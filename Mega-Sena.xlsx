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GA SENA" sheetId="1" state="visible" r:id="rId3"/>
    <sheet name="nosso jogo" sheetId="2" state="visible" r:id="rId4"/>
    <sheet name="bola01" sheetId="3" state="visible" r:id="rId5"/>
    <sheet name="bola02" sheetId="4" state="visible" r:id="rId6"/>
    <sheet name="bola03" sheetId="5" state="visible" r:id="rId7"/>
    <sheet name="bola04" sheetId="6" state="visible" r:id="rId8"/>
    <sheet name="bola05" sheetId="7" state="visible" r:id="rId9"/>
    <sheet name="bola06" sheetId="8" state="visible" r:id="rId10"/>
    <sheet name="meusjogos" sheetId="9" state="visible" r:id="rId11"/>
    <sheet name="Planilha10" sheetId="10" state="visible" r:id="rId12"/>
    <sheet name="Planilha11" sheetId="11" state="visible" r:id="rId13"/>
  </sheets>
  <definedNames>
    <definedName function="false" hidden="true" localSheetId="0" name="_xlnm._FilterDatabase" vbProcedure="false">'MEGA SENA'!$A$1:$V$2959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<sst xmlns="http://schemas.openxmlformats.org/spreadsheetml/2006/main" count="26217" uniqueCount="16945">
  <si>
    <t xml:space="preserve">Concurso</t>
  </si>
  <si>
    <t xml:space="preserve">Data do Sorteio</t>
  </si>
  <si>
    <t xml:space="preserve">Bola1</t>
  </si>
  <si>
    <t xml:space="preserve">Bola2</t>
  </si>
  <si>
    <t xml:space="preserve">Bola3</t>
  </si>
  <si>
    <t xml:space="preserve">Bola4</t>
  </si>
  <si>
    <t xml:space="preserve">Bola5</t>
  </si>
  <si>
    <t xml:space="preserve">Bola6</t>
  </si>
  <si>
    <t xml:space="preserve">Bola7</t>
  </si>
  <si>
    <t xml:space="preserve">repetições</t>
  </si>
  <si>
    <t xml:space="preserve">Ganhadores 6 acertos</t>
  </si>
  <si>
    <t xml:space="preserve">Cidade / UF</t>
  </si>
  <si>
    <t xml:space="preserve">Rateio 6 acertos</t>
  </si>
  <si>
    <t xml:space="preserve">Ganhadores 5 acertos</t>
  </si>
  <si>
    <t xml:space="preserve">Rateio 5 acertos</t>
  </si>
  <si>
    <t xml:space="preserve">Ganhadores 4 acertos</t>
  </si>
  <si>
    <t xml:space="preserve">Rateio 4 acertos</t>
  </si>
  <si>
    <t xml:space="preserve">Acumulado 6 acertos</t>
  </si>
  <si>
    <t xml:space="preserve">Arrecadação Total</t>
  </si>
  <si>
    <t xml:space="preserve">Estimativa prêmio</t>
  </si>
  <si>
    <t xml:space="preserve">Acumulado Sorteio Especial Mega da Virada</t>
  </si>
  <si>
    <t xml:space="preserve">Observação</t>
  </si>
  <si>
    <t xml:space="preserve">11/03/1996</t>
  </si>
  <si>
    <t xml:space="preserve">R$0,00</t>
  </si>
  <si>
    <t xml:space="preserve">R$39.158,92</t>
  </si>
  <si>
    <t xml:space="preserve">R$330,21</t>
  </si>
  <si>
    <t xml:space="preserve">R$1.714.650,23</t>
  </si>
  <si>
    <t xml:space="preserve">18/03/1996</t>
  </si>
  <si>
    <t xml:space="preserve">PR</t>
  </si>
  <si>
    <t xml:space="preserve">R$2.307.162,23</t>
  </si>
  <si>
    <t xml:space="preserve">R$14.424,02</t>
  </si>
  <si>
    <t xml:space="preserve">R$208,91</t>
  </si>
  <si>
    <t xml:space="preserve">25/03/1996</t>
  </si>
  <si>
    <t xml:space="preserve">RN; SP</t>
  </si>
  <si>
    <t xml:space="preserve">R$391.192,51</t>
  </si>
  <si>
    <t xml:space="preserve">R$10.515,93</t>
  </si>
  <si>
    <t xml:space="preserve">R$153,01</t>
  </si>
  <si>
    <t xml:space="preserve">01/04/1996</t>
  </si>
  <si>
    <t xml:space="preserve">R$15.322,24</t>
  </si>
  <si>
    <t xml:space="preserve">R$180,48</t>
  </si>
  <si>
    <t xml:space="preserve">R$717.080,75</t>
  </si>
  <si>
    <t xml:space="preserve">08/04/1996</t>
  </si>
  <si>
    <t xml:space="preserve">R$5.318,10</t>
  </si>
  <si>
    <t xml:space="preserve">R$96,53</t>
  </si>
  <si>
    <t xml:space="preserve">R$1.342.488,85</t>
  </si>
  <si>
    <t xml:space="preserve">15/04/1996</t>
  </si>
  <si>
    <t xml:space="preserve">R$7.214,66</t>
  </si>
  <si>
    <t xml:space="preserve">R$110,03</t>
  </si>
  <si>
    <t xml:space="preserve">R$2.286.166,33</t>
  </si>
  <si>
    <t xml:space="preserve">22/04/1996</t>
  </si>
  <si>
    <t xml:space="preserve">R$8.746,05</t>
  </si>
  <si>
    <t xml:space="preserve">R$152,48</t>
  </si>
  <si>
    <t xml:space="preserve">R$3.335.692,28</t>
  </si>
  <si>
    <t xml:space="preserve">29/04/1996</t>
  </si>
  <si>
    <t xml:space="preserve">R$16.084,11</t>
  </si>
  <si>
    <t xml:space="preserve">R$183,40</t>
  </si>
  <si>
    <t xml:space="preserve">R$4.493.748,19</t>
  </si>
  <si>
    <t xml:space="preserve">06/05/1996</t>
  </si>
  <si>
    <t xml:space="preserve">R$60.043,79</t>
  </si>
  <si>
    <t xml:space="preserve">R$469,31</t>
  </si>
  <si>
    <t xml:space="preserve">R$5.718.641,49</t>
  </si>
  <si>
    <t xml:space="preserve">13/05/1996</t>
  </si>
  <si>
    <t xml:space="preserve">R$6.638,45</t>
  </si>
  <si>
    <t xml:space="preserve">R$132,35</t>
  </si>
  <si>
    <t xml:space="preserve">R$13.334.769,81</t>
  </si>
  <si>
    <t xml:space="preserve">20/05/1996</t>
  </si>
  <si>
    <t xml:space="preserve">RJ</t>
  </si>
  <si>
    <t xml:space="preserve">R$15.591.365,07</t>
  </si>
  <si>
    <t xml:space="preserve">R$12.706,05</t>
  </si>
  <si>
    <t xml:space="preserve">R$199,16</t>
  </si>
  <si>
    <t xml:space="preserve">27/05/1996</t>
  </si>
  <si>
    <t xml:space="preserve">R$6.791,17</t>
  </si>
  <si>
    <t xml:space="preserve">R$113,64</t>
  </si>
  <si>
    <t xml:space="preserve">R$880.136,24</t>
  </si>
  <si>
    <t xml:space="preserve">03/06/1996</t>
  </si>
  <si>
    <t xml:space="preserve">R$20.543,98</t>
  </si>
  <si>
    <t xml:space="preserve">R$301,09</t>
  </si>
  <si>
    <t xml:space="preserve">R$1.940.205,35</t>
  </si>
  <si>
    <t xml:space="preserve">10/06/1996</t>
  </si>
  <si>
    <t xml:space="preserve">R$10.458,19</t>
  </si>
  <si>
    <t xml:space="preserve">R$167,00</t>
  </si>
  <si>
    <t xml:space="preserve">R$3.006.941,32</t>
  </si>
  <si>
    <t xml:space="preserve">17/06/1996</t>
  </si>
  <si>
    <t xml:space="preserve">R$17.919,89</t>
  </si>
  <si>
    <t xml:space="preserve">R$259,84</t>
  </si>
  <si>
    <t xml:space="preserve">R$4.232.661,35</t>
  </si>
  <si>
    <t xml:space="preserve">24/06/1996</t>
  </si>
  <si>
    <t xml:space="preserve">R$33.307,13</t>
  </si>
  <si>
    <t xml:space="preserve">R$317,70</t>
  </si>
  <si>
    <t xml:space="preserve">R$5.471.686,62</t>
  </si>
  <si>
    <t xml:space="preserve">01/07/1996</t>
  </si>
  <si>
    <t xml:space="preserve">SP</t>
  </si>
  <si>
    <t xml:space="preserve">R$6.789.869,08</t>
  </si>
  <si>
    <t xml:space="preserve">R$7.628,37</t>
  </si>
  <si>
    <t xml:space="preserve">R$117,16</t>
  </si>
  <si>
    <t xml:space="preserve">08/07/1996</t>
  </si>
  <si>
    <t xml:space="preserve">R$13.763,52</t>
  </si>
  <si>
    <t xml:space="preserve">R$159,61</t>
  </si>
  <si>
    <t xml:space="preserve">R$858.843,48</t>
  </si>
  <si>
    <t xml:space="preserve">15/07/1996</t>
  </si>
  <si>
    <t xml:space="preserve">R$5.380,14</t>
  </si>
  <si>
    <t xml:space="preserve">R$92,48</t>
  </si>
  <si>
    <t xml:space="preserve">R$10.506.266,73</t>
  </si>
  <si>
    <t xml:space="preserve">22/07/1996</t>
  </si>
  <si>
    <t xml:space="preserve">R$15.486,97</t>
  </si>
  <si>
    <t xml:space="preserve">R$194,67</t>
  </si>
  <si>
    <t xml:space="preserve">R$11.844.340,83</t>
  </si>
  <si>
    <t xml:space="preserve">29/07/1996</t>
  </si>
  <si>
    <t xml:space="preserve">R$17.694,19</t>
  </si>
  <si>
    <t xml:space="preserve">R$221,62</t>
  </si>
  <si>
    <t xml:space="preserve">R$13.182.021,44</t>
  </si>
  <si>
    <t xml:space="preserve">05/08/1996</t>
  </si>
  <si>
    <t xml:space="preserve">R$27.212,90</t>
  </si>
  <si>
    <t xml:space="preserve">R$262,90</t>
  </si>
  <si>
    <t xml:space="preserve">R$14.716.828,84</t>
  </si>
  <si>
    <t xml:space="preserve">12/08/1996</t>
  </si>
  <si>
    <t xml:space="preserve">R$20.198,46</t>
  </si>
  <si>
    <t xml:space="preserve">R$305,23</t>
  </si>
  <si>
    <t xml:space="preserve">R$16.510.452,00</t>
  </si>
  <si>
    <t xml:space="preserve">19/08/1996</t>
  </si>
  <si>
    <t xml:space="preserve">R$18.661.679,61</t>
  </si>
  <si>
    <t xml:space="preserve">R$7.897,31</t>
  </si>
  <si>
    <t xml:space="preserve">R$132,93</t>
  </si>
  <si>
    <t xml:space="preserve">25/08/1996</t>
  </si>
  <si>
    <t xml:space="preserve">R$26.338,50</t>
  </si>
  <si>
    <t xml:space="preserve">R$269,06</t>
  </si>
  <si>
    <t xml:space="preserve">R$884.973,50</t>
  </si>
  <si>
    <t xml:space="preserve">01/09/1996</t>
  </si>
  <si>
    <t xml:space="preserve">R$52.473,74</t>
  </si>
  <si>
    <t xml:space="preserve">R$460,55</t>
  </si>
  <si>
    <t xml:space="preserve">R$1.892.469,30</t>
  </si>
  <si>
    <t xml:space="preserve">08/09/1996</t>
  </si>
  <si>
    <t xml:space="preserve">R$9.306,24</t>
  </si>
  <si>
    <t xml:space="preserve">R$142,49</t>
  </si>
  <si>
    <t xml:space="preserve">R$2.998.050,68</t>
  </si>
  <si>
    <t xml:space="preserve">15/09/1996</t>
  </si>
  <si>
    <t xml:space="preserve">R$19.749,22</t>
  </si>
  <si>
    <t xml:space="preserve">R$201,73</t>
  </si>
  <si>
    <t xml:space="preserve">R$4.183.003,48</t>
  </si>
  <si>
    <t xml:space="preserve">22/09/1996</t>
  </si>
  <si>
    <t xml:space="preserve">RS</t>
  </si>
  <si>
    <t xml:space="preserve">R$5.401.793,60</t>
  </si>
  <si>
    <t xml:space="preserve">R$23.083,15</t>
  </si>
  <si>
    <t xml:space="preserve">R$193,53</t>
  </si>
  <si>
    <t xml:space="preserve">29/09/1996</t>
  </si>
  <si>
    <t xml:space="preserve">R$11.347,74</t>
  </si>
  <si>
    <t xml:space="preserve">R$154,26</t>
  </si>
  <si>
    <t xml:space="preserve">R$10.127.520,80</t>
  </si>
  <si>
    <t xml:space="preserve">06/10/1996</t>
  </si>
  <si>
    <t xml:space="preserve">R$8.793,04</t>
  </si>
  <si>
    <t xml:space="preserve">R$159,45</t>
  </si>
  <si>
    <t xml:space="preserve">R$11.214.340,46</t>
  </si>
  <si>
    <t xml:space="preserve">13/10/1996</t>
  </si>
  <si>
    <t xml:space="preserve">R$11.430,91</t>
  </si>
  <si>
    <t xml:space="preserve">R$159,60</t>
  </si>
  <si>
    <t xml:space="preserve">R$12.531.181,83</t>
  </si>
  <si>
    <t xml:space="preserve">20/10/1996</t>
  </si>
  <si>
    <t xml:space="preserve">MG</t>
  </si>
  <si>
    <t xml:space="preserve">R$13.997.410,74</t>
  </si>
  <si>
    <t xml:space="preserve">R$9.545,76</t>
  </si>
  <si>
    <t xml:space="preserve">R$140,09</t>
  </si>
  <si>
    <t xml:space="preserve">27/10/1996</t>
  </si>
  <si>
    <t xml:space="preserve">R$13.604,06</t>
  </si>
  <si>
    <t xml:space="preserve">R$264,11</t>
  </si>
  <si>
    <t xml:space="preserve">R$832.568,20</t>
  </si>
  <si>
    <t xml:space="preserve">03/11/1996</t>
  </si>
  <si>
    <t xml:space="preserve">R$20.051,18</t>
  </si>
  <si>
    <t xml:space="preserve">R$218,68</t>
  </si>
  <si>
    <t xml:space="preserve">R$1.770.963,49</t>
  </si>
  <si>
    <t xml:space="preserve">10/11/1996</t>
  </si>
  <si>
    <t xml:space="preserve">R$6.238,12</t>
  </si>
  <si>
    <t xml:space="preserve">R$104,36</t>
  </si>
  <si>
    <t xml:space="preserve">R$2.841.425,78</t>
  </si>
  <si>
    <t xml:space="preserve">17/11/1996</t>
  </si>
  <si>
    <t xml:space="preserve">R$16.848,61</t>
  </si>
  <si>
    <t xml:space="preserve">R$214,32</t>
  </si>
  <si>
    <t xml:space="preserve">R$3.791.687,26</t>
  </si>
  <si>
    <t xml:space="preserve">24/11/1996</t>
  </si>
  <si>
    <t xml:space="preserve">R$38.863,10</t>
  </si>
  <si>
    <t xml:space="preserve">R$466,59</t>
  </si>
  <si>
    <t xml:space="preserve">R$4.910.944,53</t>
  </si>
  <si>
    <t xml:space="preserve">01/12/1996</t>
  </si>
  <si>
    <t xml:space="preserve">R$13.459,05</t>
  </si>
  <si>
    <t xml:space="preserve">R$221,09</t>
  </si>
  <si>
    <t xml:space="preserve">R$13.456.111,33</t>
  </si>
  <si>
    <t xml:space="preserve">08/12/1996</t>
  </si>
  <si>
    <t xml:space="preserve">R$7.789,93</t>
  </si>
  <si>
    <t xml:space="preserve">R$121,51</t>
  </si>
  <si>
    <t xml:space="preserve">R$15.222.867,04</t>
  </si>
  <si>
    <t xml:space="preserve">15/12/1996</t>
  </si>
  <si>
    <t xml:space="preserve">BA</t>
  </si>
  <si>
    <t xml:space="preserve">R$17.019.238,50</t>
  </si>
  <si>
    <t xml:space="preserve">R$10.114,70</t>
  </si>
  <si>
    <t xml:space="preserve">R$147,03</t>
  </si>
  <si>
    <t xml:space="preserve">GANHADOR DA CIDADE DE SALVADOR, ESTADO DA BAHIA</t>
  </si>
  <si>
    <t xml:space="preserve">22/12/1996</t>
  </si>
  <si>
    <t xml:space="preserve">R$3.684,64</t>
  </si>
  <si>
    <t xml:space="preserve">R$77,31</t>
  </si>
  <si>
    <t xml:space="preserve">R$888.735,02</t>
  </si>
  <si>
    <t xml:space="preserve">29/12/1996</t>
  </si>
  <si>
    <t xml:space="preserve">R$9.738,03</t>
  </si>
  <si>
    <t xml:space="preserve">R$144,06</t>
  </si>
  <si>
    <t xml:space="preserve">R$1.765.157,22</t>
  </si>
  <si>
    <t xml:space="preserve">05/01/1997</t>
  </si>
  <si>
    <t xml:space="preserve">R$7.099,32</t>
  </si>
  <si>
    <t xml:space="preserve">R$94,45</t>
  </si>
  <si>
    <t xml:space="preserve">R$2.642.633,14</t>
  </si>
  <si>
    <t xml:space="preserve">12/01/1997</t>
  </si>
  <si>
    <t xml:space="preserve">R$27.201,47</t>
  </si>
  <si>
    <t xml:space="preserve">R$298,82</t>
  </si>
  <si>
    <t xml:space="preserve">R$3.719.811,46</t>
  </si>
  <si>
    <t xml:space="preserve">19/01/1997</t>
  </si>
  <si>
    <t xml:space="preserve">R$9.982,42</t>
  </si>
  <si>
    <t xml:space="preserve">R$145,04</t>
  </si>
  <si>
    <t xml:space="preserve">R$4.809.891,56</t>
  </si>
  <si>
    <t xml:space="preserve">26/01/1997</t>
  </si>
  <si>
    <t xml:space="preserve">R$4.458,44</t>
  </si>
  <si>
    <t xml:space="preserve">R$85,94</t>
  </si>
  <si>
    <t xml:space="preserve">R$5.933.418,51</t>
  </si>
  <si>
    <t xml:space="preserve">02/02/1997</t>
  </si>
  <si>
    <t xml:space="preserve">R$7.482,95</t>
  </si>
  <si>
    <t xml:space="preserve">R$132,25</t>
  </si>
  <si>
    <t xml:space="preserve">R$7.118.717,38</t>
  </si>
  <si>
    <t xml:space="preserve">09/02/1997</t>
  </si>
  <si>
    <t xml:space="preserve">R$8.405.156,76</t>
  </si>
  <si>
    <t xml:space="preserve">R$6.916,34</t>
  </si>
  <si>
    <t xml:space="preserve">R$108,85</t>
  </si>
  <si>
    <t xml:space="preserve">Ganhador  RJ (Barra Mansa)</t>
  </si>
  <si>
    <t xml:space="preserve">16/02/1997</t>
  </si>
  <si>
    <t xml:space="preserve">R$25.241,25</t>
  </si>
  <si>
    <t xml:space="preserve">R$278,91</t>
  </si>
  <si>
    <t xml:space="preserve">R$8.917.830,39</t>
  </si>
  <si>
    <t xml:space="preserve">23/02/1997</t>
  </si>
  <si>
    <t xml:space="preserve">R$7.231,47</t>
  </si>
  <si>
    <t xml:space="preserve">R$110,25</t>
  </si>
  <si>
    <t xml:space="preserve">R$10.158.749,73</t>
  </si>
  <si>
    <t xml:space="preserve">02/03/1997</t>
  </si>
  <si>
    <t xml:space="preserve">R$15.544,23</t>
  </si>
  <si>
    <t xml:space="preserve">R$185,43</t>
  </si>
  <si>
    <t xml:space="preserve">R$11.595.036,71</t>
  </si>
  <si>
    <t xml:space="preserve">09/03/1997</t>
  </si>
  <si>
    <t xml:space="preserve">R$6.337,79</t>
  </si>
  <si>
    <t xml:space="preserve">R$121,41</t>
  </si>
  <si>
    <t xml:space="preserve">R$13.192.159,46</t>
  </si>
  <si>
    <t xml:space="preserve">16/03/1997</t>
  </si>
  <si>
    <t xml:space="preserve">BA; SP</t>
  </si>
  <si>
    <t xml:space="preserve">R$7.469.653,99</t>
  </si>
  <si>
    <t xml:space="preserve">R$7.033,61</t>
  </si>
  <si>
    <t xml:space="preserve">R$111,20</t>
  </si>
  <si>
    <t xml:space="preserve">Ganhadores dos estados: BA e SP.</t>
  </si>
  <si>
    <t xml:space="preserve">23/03/1997</t>
  </si>
  <si>
    <t xml:space="preserve">R$10.817,63</t>
  </si>
  <si>
    <t xml:space="preserve">R$185,56</t>
  </si>
  <si>
    <t xml:space="preserve">R$856.756,39</t>
  </si>
  <si>
    <t xml:space="preserve">30/03/1997</t>
  </si>
  <si>
    <t xml:space="preserve">R$12.142,20</t>
  </si>
  <si>
    <t xml:space="preserve">R$223,81</t>
  </si>
  <si>
    <t xml:space="preserve">R$1.556.147,46</t>
  </si>
  <si>
    <t xml:space="preserve">06/04/1997</t>
  </si>
  <si>
    <t xml:space="preserve">R$10.699,10</t>
  </si>
  <si>
    <t xml:space="preserve">R$136,65</t>
  </si>
  <si>
    <t xml:space="preserve">R$2.570.421,80</t>
  </si>
  <si>
    <t xml:space="preserve">13/04/1997</t>
  </si>
  <si>
    <t xml:space="preserve">R$3.631.304,91</t>
  </si>
  <si>
    <t xml:space="preserve">R$13.601,07</t>
  </si>
  <si>
    <t xml:space="preserve">R$175,06</t>
  </si>
  <si>
    <t xml:space="preserve">Ganhador do Estado: SP</t>
  </si>
  <si>
    <t xml:space="preserve">20/04/1997</t>
  </si>
  <si>
    <t xml:space="preserve">R$7.312,34</t>
  </si>
  <si>
    <t xml:space="preserve">R$122,75</t>
  </si>
  <si>
    <t xml:space="preserve">R$789.733,42</t>
  </si>
  <si>
    <t xml:space="preserve">27/04/1997</t>
  </si>
  <si>
    <t xml:space="preserve">R$7.111,47</t>
  </si>
  <si>
    <t xml:space="preserve">R$115,69</t>
  </si>
  <si>
    <t xml:space="preserve">R$9.478.249,26</t>
  </si>
  <si>
    <t xml:space="preserve">04/05/1997</t>
  </si>
  <si>
    <t xml:space="preserve">R$18.902,94</t>
  </si>
  <si>
    <t xml:space="preserve">R$253,76</t>
  </si>
  <si>
    <t xml:space="preserve">R$10.657.792,45</t>
  </si>
  <si>
    <t xml:space="preserve">11/05/1997</t>
  </si>
  <si>
    <t xml:space="preserve">R$9.968,70</t>
  </si>
  <si>
    <t xml:space="preserve">R$137,46</t>
  </si>
  <si>
    <t xml:space="preserve">R$12.081.323,45</t>
  </si>
  <si>
    <t xml:space="preserve">18/05/1997</t>
  </si>
  <si>
    <t xml:space="preserve">R$13.680.019,57</t>
  </si>
  <si>
    <t xml:space="preserve">R$16.246,91</t>
  </si>
  <si>
    <t xml:space="preserve">R$209,10</t>
  </si>
  <si>
    <t xml:space="preserve">25/05/1997</t>
  </si>
  <si>
    <t xml:space="preserve">R$23.309,96</t>
  </si>
  <si>
    <t xml:space="preserve">R$276,38</t>
  </si>
  <si>
    <t xml:space="preserve">R$811.186,58</t>
  </si>
  <si>
    <t xml:space="preserve">01/06/1997</t>
  </si>
  <si>
    <t xml:space="preserve">R$11.542,37</t>
  </si>
  <si>
    <t xml:space="preserve">R$142,48</t>
  </si>
  <si>
    <t xml:space="preserve">R$1.656.088,09</t>
  </si>
  <si>
    <t xml:space="preserve">08/06/1997</t>
  </si>
  <si>
    <t xml:space="preserve">R$8.054,25</t>
  </si>
  <si>
    <t xml:space="preserve">R$106,68</t>
  </si>
  <si>
    <t xml:space="preserve">R$2.641.927,81</t>
  </si>
  <si>
    <t xml:space="preserve">15/06/1997</t>
  </si>
  <si>
    <t xml:space="preserve">R$10.617,25</t>
  </si>
  <si>
    <t xml:space="preserve">R$160,52</t>
  </si>
  <si>
    <t xml:space="preserve">R$3.699.406,44</t>
  </si>
  <si>
    <t xml:space="preserve">22/06/1997</t>
  </si>
  <si>
    <t xml:space="preserve">R$18.496,73</t>
  </si>
  <si>
    <t xml:space="preserve">R$190,11</t>
  </si>
  <si>
    <t xml:space="preserve">R$4.787.014,46</t>
  </si>
  <si>
    <t xml:space="preserve">29/06/1997</t>
  </si>
  <si>
    <t xml:space="preserve">R$17.271,48</t>
  </si>
  <si>
    <t xml:space="preserve">R$258,96</t>
  </si>
  <si>
    <t xml:space="preserve">R$5.926.931,93</t>
  </si>
  <si>
    <t xml:space="preserve">06/07/1997</t>
  </si>
  <si>
    <t xml:space="preserve">R$12.899,52</t>
  </si>
  <si>
    <t xml:space="preserve">R$201,46</t>
  </si>
  <si>
    <t xml:space="preserve">R$14.883.849,29</t>
  </si>
  <si>
    <t xml:space="preserve">13/07/1997</t>
  </si>
  <si>
    <t xml:space="preserve">R$12.451,74</t>
  </si>
  <si>
    <t xml:space="preserve">R$192,35</t>
  </si>
  <si>
    <t xml:space="preserve">R$16.602.188,45</t>
  </si>
  <si>
    <t xml:space="preserve">20/07/1997</t>
  </si>
  <si>
    <t xml:space="preserve">R$19.676,33</t>
  </si>
  <si>
    <t xml:space="preserve">R$209,13</t>
  </si>
  <si>
    <t xml:space="preserve">R$18.609.174,26</t>
  </si>
  <si>
    <t xml:space="preserve">27/07/1997</t>
  </si>
  <si>
    <t xml:space="preserve">R$21.026.575,40</t>
  </si>
  <si>
    <t xml:space="preserve">R$21.205,27</t>
  </si>
  <si>
    <t xml:space="preserve">R$244,52</t>
  </si>
  <si>
    <t xml:space="preserve">GANHADOR: BA - SALVADOR</t>
  </si>
  <si>
    <t xml:space="preserve">03/08/1997</t>
  </si>
  <si>
    <t xml:space="preserve">R$18.257,68</t>
  </si>
  <si>
    <t xml:space="preserve">R$219,48</t>
  </si>
  <si>
    <t xml:space="preserve">R$876.368,71</t>
  </si>
  <si>
    <t xml:space="preserve">10/08/1997</t>
  </si>
  <si>
    <t xml:space="preserve">R$12.395,02</t>
  </si>
  <si>
    <t xml:space="preserve">R$172,09</t>
  </si>
  <si>
    <t xml:space="preserve">R$1.917.550,02</t>
  </si>
  <si>
    <t xml:space="preserve">17/08/1997</t>
  </si>
  <si>
    <t xml:space="preserve">R$10.247,61</t>
  </si>
  <si>
    <t xml:space="preserve">R$147,04</t>
  </si>
  <si>
    <t xml:space="preserve">R$3.048.886,14</t>
  </si>
  <si>
    <t xml:space="preserve">24/08/1997</t>
  </si>
  <si>
    <t xml:space="preserve">R$49.648,81</t>
  </si>
  <si>
    <t xml:space="preserve">R$376,09</t>
  </si>
  <si>
    <t xml:space="preserve">R$4.240.457,60</t>
  </si>
  <si>
    <t xml:space="preserve">31/08/1997</t>
  </si>
  <si>
    <t xml:space="preserve">R$9.907,36</t>
  </si>
  <si>
    <t xml:space="preserve">R$170,19</t>
  </si>
  <si>
    <t xml:space="preserve">R$5.465.006,39</t>
  </si>
  <si>
    <t xml:space="preserve">07/09/1997</t>
  </si>
  <si>
    <t xml:space="preserve">R$6.770.601,75</t>
  </si>
  <si>
    <t xml:space="preserve">R$4.404,85</t>
  </si>
  <si>
    <t xml:space="preserve">R$81,18</t>
  </si>
  <si>
    <t xml:space="preserve">O ganhador da SENA do Estado do Rio Grande do Sul</t>
  </si>
  <si>
    <t xml:space="preserve">14/09/1997</t>
  </si>
  <si>
    <t xml:space="preserve">R$26.443,00</t>
  </si>
  <si>
    <t xml:space="preserve">R$264,89</t>
  </si>
  <si>
    <t xml:space="preserve">R$10.953.707,53</t>
  </si>
  <si>
    <t xml:space="preserve">21/09/1997</t>
  </si>
  <si>
    <t xml:space="preserve">R$19.453,15</t>
  </si>
  <si>
    <t xml:space="preserve">R$247,17</t>
  </si>
  <si>
    <t xml:space="preserve">R$12.401.021,68</t>
  </si>
  <si>
    <t xml:space="preserve">28/09/1997</t>
  </si>
  <si>
    <t xml:space="preserve">R$13.877.826,02</t>
  </si>
  <si>
    <t xml:space="preserve">R$15.982,73</t>
  </si>
  <si>
    <t xml:space="preserve">R$208,57</t>
  </si>
  <si>
    <t xml:space="preserve">Ganhador da SENA do Estado da Bahia.</t>
  </si>
  <si>
    <t xml:space="preserve">05/10/1997</t>
  </si>
  <si>
    <t xml:space="preserve">R$9.408,43</t>
  </si>
  <si>
    <t xml:space="preserve">R$150,04</t>
  </si>
  <si>
    <t xml:space="preserve">R$858.048,93</t>
  </si>
  <si>
    <t xml:space="preserve">12/10/1997</t>
  </si>
  <si>
    <t xml:space="preserve">R$7.539,68</t>
  </si>
  <si>
    <t xml:space="preserve">R$138,40</t>
  </si>
  <si>
    <t xml:space="preserve">R$1.780.905,80</t>
  </si>
  <si>
    <t xml:space="preserve">19/10/1997</t>
  </si>
  <si>
    <t xml:space="preserve">R$17.279,25</t>
  </si>
  <si>
    <t xml:space="preserve">R$179,96</t>
  </si>
  <si>
    <t xml:space="preserve">R$2.713.984,86</t>
  </si>
  <si>
    <t xml:space="preserve">26/10/1997</t>
  </si>
  <si>
    <t xml:space="preserve">R$16.752,96</t>
  </si>
  <si>
    <t xml:space="preserve">R$213,90</t>
  </si>
  <si>
    <t xml:space="preserve">R$3.678.955,17</t>
  </si>
  <si>
    <t xml:space="preserve">02/11/1997</t>
  </si>
  <si>
    <t xml:space="preserve">R$12.696,60</t>
  </si>
  <si>
    <t xml:space="preserve">R$156,11</t>
  </si>
  <si>
    <t xml:space="preserve">R$4.654.053,86</t>
  </si>
  <si>
    <t xml:space="preserve">A SENA ESTA ACUMULADA.</t>
  </si>
  <si>
    <t xml:space="preserve">09/11/1997</t>
  </si>
  <si>
    <t xml:space="preserve">R$7.965,82</t>
  </si>
  <si>
    <t xml:space="preserve">R$128,51</t>
  </si>
  <si>
    <t xml:space="preserve">R$5.705.540,99</t>
  </si>
  <si>
    <t xml:space="preserve">A MEGASENA ESTA ACUMULADA</t>
  </si>
  <si>
    <t xml:space="preserve">16/11/1997</t>
  </si>
  <si>
    <t xml:space="preserve">R$24.246,00</t>
  </si>
  <si>
    <t xml:space="preserve">R$226,45</t>
  </si>
  <si>
    <t xml:space="preserve">R$6.752.968,26</t>
  </si>
  <si>
    <t xml:space="preserve">A MEGA SENA EST- ACUMULADA.</t>
  </si>
  <si>
    <t xml:space="preserve">23/11/1997</t>
  </si>
  <si>
    <t xml:space="preserve">R$15.764.300,87</t>
  </si>
  <si>
    <t xml:space="preserve">R$18.584,49</t>
  </si>
  <si>
    <t xml:space="preserve">R$288,17</t>
  </si>
  <si>
    <t xml:space="preserve">ESTADO CONTEMPLADO COM SENA: RIO DE JANEIRO</t>
  </si>
  <si>
    <t xml:space="preserve">30/11/1997</t>
  </si>
  <si>
    <t xml:space="preserve">R$9.588,80</t>
  </si>
  <si>
    <t xml:space="preserve">R$167,81</t>
  </si>
  <si>
    <t xml:space="preserve">R$782.445,93</t>
  </si>
  <si>
    <t xml:space="preserve">07/12/1997</t>
  </si>
  <si>
    <t xml:space="preserve">R$9.792,64</t>
  </si>
  <si>
    <t xml:space="preserve">R$132,56</t>
  </si>
  <si>
    <t xml:space="preserve">R$1.663.783,45</t>
  </si>
  <si>
    <t xml:space="preserve">14/12/1997</t>
  </si>
  <si>
    <t xml:space="preserve">R$12.369,31</t>
  </si>
  <si>
    <t xml:space="preserve">R$198,44</t>
  </si>
  <si>
    <t xml:space="preserve">R$2.569.217,31</t>
  </si>
  <si>
    <t xml:space="preserve">21/12/1997</t>
  </si>
  <si>
    <t xml:space="preserve">R$31.457,49</t>
  </si>
  <si>
    <t xml:space="preserve">R$376,26</t>
  </si>
  <si>
    <t xml:space="preserve">R$3.512.942,16</t>
  </si>
  <si>
    <t xml:space="preserve">28/12/1997</t>
  </si>
  <si>
    <t xml:space="preserve">R$30.807,89</t>
  </si>
  <si>
    <t xml:space="preserve">R$309,58</t>
  </si>
  <si>
    <t xml:space="preserve">R$4.326.270,55</t>
  </si>
  <si>
    <t xml:space="preserve">04/01/1998</t>
  </si>
  <si>
    <t xml:space="preserve">R$5.218.562,47</t>
  </si>
  <si>
    <t xml:space="preserve">R$11.993,17</t>
  </si>
  <si>
    <t xml:space="preserve">R$186,27</t>
  </si>
  <si>
    <t xml:space="preserve">11/01/1998</t>
  </si>
  <si>
    <t xml:space="preserve">R$727.932,66</t>
  </si>
  <si>
    <t xml:space="preserve">R$10.832,33</t>
  </si>
  <si>
    <t xml:space="preserve">R$175,94</t>
  </si>
  <si>
    <t xml:space="preserve">Ganhador da SENA do Estado de Minas Gerais.</t>
  </si>
  <si>
    <t xml:space="preserve">18/01/1998</t>
  </si>
  <si>
    <t xml:space="preserve">R$6.508,88</t>
  </si>
  <si>
    <t xml:space="preserve">R$116,28</t>
  </si>
  <si>
    <t xml:space="preserve">R$695.149,05</t>
  </si>
  <si>
    <t xml:space="preserve">25/01/1998</t>
  </si>
  <si>
    <t xml:space="preserve">R$14.037,92</t>
  </si>
  <si>
    <t xml:space="preserve">R$213,76</t>
  </si>
  <si>
    <t xml:space="preserve">R$1.470.041,96</t>
  </si>
  <si>
    <t xml:space="preserve">A MEGA EST- ACUMULADA ! ! !</t>
  </si>
  <si>
    <t xml:space="preserve">01/02/1998</t>
  </si>
  <si>
    <t xml:space="preserve">R$15.930,48</t>
  </si>
  <si>
    <t xml:space="preserve">R$247,32</t>
  </si>
  <si>
    <t xml:space="preserve">R$8.585.129,47</t>
  </si>
  <si>
    <t xml:space="preserve">08/02/1998</t>
  </si>
  <si>
    <t xml:space="preserve">R$20.589,41</t>
  </si>
  <si>
    <t xml:space="preserve">R$229,64</t>
  </si>
  <si>
    <t xml:space="preserve">R$9.869.908,65</t>
  </si>
  <si>
    <t xml:space="preserve">A MEGA EST-  A C U M U L A D A  ! ! !</t>
  </si>
  <si>
    <t xml:space="preserve">15/02/1998</t>
  </si>
  <si>
    <t xml:space="preserve">R$11.336.626,88</t>
  </si>
  <si>
    <t xml:space="preserve">R$16.743,36</t>
  </si>
  <si>
    <t xml:space="preserve">R$196,85</t>
  </si>
  <si>
    <t xml:space="preserve">22/02/1998</t>
  </si>
  <si>
    <t xml:space="preserve">R$696.984,24</t>
  </si>
  <si>
    <t xml:space="preserve">R$20.743,58</t>
  </si>
  <si>
    <t xml:space="preserve">R$220,24</t>
  </si>
  <si>
    <t xml:space="preserve">GANHADOR DA SENA DO ESTADO DO PARAN-</t>
  </si>
  <si>
    <t xml:space="preserve">01/03/1998</t>
  </si>
  <si>
    <t xml:space="preserve">R$14.006,33</t>
  </si>
  <si>
    <t xml:space="preserve">R$199,85</t>
  </si>
  <si>
    <t xml:space="preserve">R$621.880,72</t>
  </si>
  <si>
    <t xml:space="preserve">A C U M U L O U !!!</t>
  </si>
  <si>
    <t xml:space="preserve">08/03/1998</t>
  </si>
  <si>
    <t xml:space="preserve">R$11.824,08</t>
  </si>
  <si>
    <t xml:space="preserve">R$133,14</t>
  </si>
  <si>
    <t xml:space="preserve">R$1.402.269,88</t>
  </si>
  <si>
    <t xml:space="preserve">A MEGA-SENA EST- ACUMULADA ! ! !</t>
  </si>
  <si>
    <t xml:space="preserve">15/03/1998</t>
  </si>
  <si>
    <t xml:space="preserve">R$7.678,27</t>
  </si>
  <si>
    <t xml:space="preserve">R$133,65</t>
  </si>
  <si>
    <t xml:space="preserve">R$2.268.378,66</t>
  </si>
  <si>
    <t xml:space="preserve">R$9.795.278,00</t>
  </si>
  <si>
    <t xml:space="preserve">R$3.000.000,00</t>
  </si>
  <si>
    <t xml:space="preserve">22/03/1998</t>
  </si>
  <si>
    <t xml:space="preserve">R$21.494,23</t>
  </si>
  <si>
    <t xml:space="preserve">R$211,26</t>
  </si>
  <si>
    <t xml:space="preserve">R$3.171.136,01</t>
  </si>
  <si>
    <t xml:space="preserve">29/03/1998</t>
  </si>
  <si>
    <t xml:space="preserve">R$22.511,72</t>
  </si>
  <si>
    <t xml:space="preserve">R$320,57</t>
  </si>
  <si>
    <t xml:space="preserve">R$4.116.628,49</t>
  </si>
  <si>
    <t xml:space="preserve">04/04/1998</t>
  </si>
  <si>
    <t xml:space="preserve">R$21.153,30</t>
  </si>
  <si>
    <t xml:space="preserve">R$212,15</t>
  </si>
  <si>
    <t xml:space="preserve">R$11.523.677,38</t>
  </si>
  <si>
    <t xml:space="preserve">11/04/1998</t>
  </si>
  <si>
    <t xml:space="preserve">R$27.771,48</t>
  </si>
  <si>
    <t xml:space="preserve">R$302,01</t>
  </si>
  <si>
    <t xml:space="preserve">R$12.690.079,16</t>
  </si>
  <si>
    <t xml:space="preserve">18/04/1998</t>
  </si>
  <si>
    <t xml:space="preserve">R$18.082,94</t>
  </si>
  <si>
    <t xml:space="preserve">R$200,88</t>
  </si>
  <si>
    <t xml:space="preserve">R$14.165.647,19</t>
  </si>
  <si>
    <t xml:space="preserve">25/04/1998</t>
  </si>
  <si>
    <t xml:space="preserve">R$15.802.579,93</t>
  </si>
  <si>
    <t xml:space="preserve">R$9.957,01</t>
  </si>
  <si>
    <t xml:space="preserve">R$163,25</t>
  </si>
  <si>
    <t xml:space="preserve">01 GANHADOR DO ESTADO DO "RIO GRANDE DO NORTE"</t>
  </si>
  <si>
    <t xml:space="preserve">02/05/1998</t>
  </si>
  <si>
    <t xml:space="preserve">R$14.269,55</t>
  </si>
  <si>
    <t xml:space="preserve">R$210,40</t>
  </si>
  <si>
    <t xml:space="preserve">R$650.691,40</t>
  </si>
  <si>
    <t xml:space="preserve">09/05/1998</t>
  </si>
  <si>
    <t xml:space="preserve">R$9.626,08</t>
  </si>
  <si>
    <t xml:space="preserve">R$138,99</t>
  </si>
  <si>
    <t xml:space="preserve">R$1.470.833,69</t>
  </si>
  <si>
    <t xml:space="preserve">16/05/1998</t>
  </si>
  <si>
    <t xml:space="preserve">R$9.283,10</t>
  </si>
  <si>
    <t xml:space="preserve">R$141,95</t>
  </si>
  <si>
    <t xml:space="preserve">R$2.339.731,79</t>
  </si>
  <si>
    <t xml:space="preserve">A MEGA-SENA EST- ACUMULADA !!!</t>
  </si>
  <si>
    <t xml:space="preserve">23/05/1998</t>
  </si>
  <si>
    <t xml:space="preserve">R$11.956,28</t>
  </si>
  <si>
    <t xml:space="preserve">R$144,91</t>
  </si>
  <si>
    <t xml:space="preserve">R$3.257.973,62</t>
  </si>
  <si>
    <t xml:space="preserve">R$10.384.878,00</t>
  </si>
  <si>
    <t xml:space="preserve">R$4.200.000,00</t>
  </si>
  <si>
    <t xml:space="preserve">30/05/1998</t>
  </si>
  <si>
    <t xml:space="preserve">R$22.046,87</t>
  </si>
  <si>
    <t xml:space="preserve">R$207,26</t>
  </si>
  <si>
    <t xml:space="preserve">R$4.210.398,41</t>
  </si>
  <si>
    <t xml:space="preserve">06/06/1998</t>
  </si>
  <si>
    <t xml:space="preserve">R$16.052,88</t>
  </si>
  <si>
    <t xml:space="preserve">R$195,56</t>
  </si>
  <si>
    <t xml:space="preserve">R$5.231.361,36</t>
  </si>
  <si>
    <t xml:space="preserve">13/06/1998</t>
  </si>
  <si>
    <t xml:space="preserve">R$38.921,16</t>
  </si>
  <si>
    <t xml:space="preserve">R$303,13</t>
  </si>
  <si>
    <t xml:space="preserve">R$13.206.225,91</t>
  </si>
  <si>
    <t xml:space="preserve">20/06/1998</t>
  </si>
  <si>
    <t xml:space="preserve">R$13.020,97</t>
  </si>
  <si>
    <t xml:space="preserve">R$169,04</t>
  </si>
  <si>
    <t xml:space="preserve">R$14.643.740,70</t>
  </si>
  <si>
    <t xml:space="preserve">27/06/1998</t>
  </si>
  <si>
    <t xml:space="preserve">R$28.917,00</t>
  </si>
  <si>
    <t xml:space="preserve">R$285,17</t>
  </si>
  <si>
    <t xml:space="preserve">R$16.205.258,33</t>
  </si>
  <si>
    <t xml:space="preserve">04/07/1998</t>
  </si>
  <si>
    <t xml:space="preserve">R$18.210,45</t>
  </si>
  <si>
    <t xml:space="preserve">R$209,43</t>
  </si>
  <si>
    <t xml:space="preserve">R$18.019.018,95</t>
  </si>
  <si>
    <t xml:space="preserve">11/07/1998</t>
  </si>
  <si>
    <t xml:space="preserve">R$12.440,56</t>
  </si>
  <si>
    <t xml:space="preserve">R$166,06</t>
  </si>
  <si>
    <t xml:space="preserve">R$20.646.465,28</t>
  </si>
  <si>
    <t xml:space="preserve">A MEGA-SENA ACUMULOU (11¬ Vez)</t>
  </si>
  <si>
    <t xml:space="preserve">18/07/1998</t>
  </si>
  <si>
    <t xml:space="preserve">R$24.536.288,72</t>
  </si>
  <si>
    <t xml:space="preserve">R$17.242,12</t>
  </si>
  <si>
    <t xml:space="preserve">R$230,76</t>
  </si>
  <si>
    <t xml:space="preserve">O PREMIO PRINCIPAL SAIU PARA A CIDADE DE VILA VELHA NO ESTADO DO ESPIRITO SANTO.</t>
  </si>
  <si>
    <t xml:space="preserve">25/07/1998</t>
  </si>
  <si>
    <t xml:space="preserve">R$15.425,68</t>
  </si>
  <si>
    <t xml:space="preserve">R$254,38</t>
  </si>
  <si>
    <t xml:space="preserve">R$851.497,47</t>
  </si>
  <si>
    <t xml:space="preserve">01/08/1998</t>
  </si>
  <si>
    <t xml:space="preserve">R$10.052,56</t>
  </si>
  <si>
    <t xml:space="preserve">R$151,13</t>
  </si>
  <si>
    <t xml:space="preserve">R$1.852.731,83</t>
  </si>
  <si>
    <t xml:space="preserve">08/08/1998</t>
  </si>
  <si>
    <t xml:space="preserve">R$23.638,47</t>
  </si>
  <si>
    <t xml:space="preserve">R$361,14</t>
  </si>
  <si>
    <t xml:space="preserve">R$2.987.378,17</t>
  </si>
  <si>
    <t xml:space="preserve">15/08/1998</t>
  </si>
  <si>
    <t xml:space="preserve">R$1.024,41</t>
  </si>
  <si>
    <t xml:space="preserve">R$84,91</t>
  </si>
  <si>
    <t xml:space="preserve">R$4.183.483,50</t>
  </si>
  <si>
    <t xml:space="preserve">22/08/1998</t>
  </si>
  <si>
    <t xml:space="preserve">R$15.634,41</t>
  </si>
  <si>
    <t xml:space="preserve">R$196,51</t>
  </si>
  <si>
    <t xml:space="preserve">R$5.440.490,00</t>
  </si>
  <si>
    <t xml:space="preserve">A MEGA-SENA EST- BIG ACUMULADA ! ! !</t>
  </si>
  <si>
    <t xml:space="preserve">29/08/1998</t>
  </si>
  <si>
    <t xml:space="preserve">R$11.796,24</t>
  </si>
  <si>
    <t xml:space="preserve">R$160,03</t>
  </si>
  <si>
    <t xml:space="preserve">R$18.814.958,31</t>
  </si>
  <si>
    <t xml:space="preserve">05/09/1998</t>
  </si>
  <si>
    <t xml:space="preserve">R$6.811,67</t>
  </si>
  <si>
    <t xml:space="preserve">R$113,19</t>
  </si>
  <si>
    <t xml:space="preserve">R$21.765.774,49</t>
  </si>
  <si>
    <t xml:space="preserve">12/09/1998</t>
  </si>
  <si>
    <t xml:space="preserve">R$20.846,64</t>
  </si>
  <si>
    <t xml:space="preserve">R$244,29</t>
  </si>
  <si>
    <t xml:space="preserve">R$25.343.057,89</t>
  </si>
  <si>
    <t xml:space="preserve">A MEGA CONTINUA ACUMULADA - Previsão de Prêmio para o Conc.133 = 29.000.000,00</t>
  </si>
  <si>
    <t xml:space="preserve">19/09/1998</t>
  </si>
  <si>
    <t xml:space="preserve">R$30.533.241,12</t>
  </si>
  <si>
    <t xml:space="preserve">R$10.035,16</t>
  </si>
  <si>
    <t xml:space="preserve">R$147,51</t>
  </si>
  <si>
    <t xml:space="preserve">ESTADO CONTEMPLADO COM SENA: 01 MINAS GERAIS.</t>
  </si>
  <si>
    <t xml:space="preserve">26/09/1998</t>
  </si>
  <si>
    <t xml:space="preserve">R$10.253,38</t>
  </si>
  <si>
    <t xml:space="preserve">R$183,42</t>
  </si>
  <si>
    <t xml:space="preserve">R$1.008.932,39</t>
  </si>
  <si>
    <t xml:space="preserve">03/10/1998</t>
  </si>
  <si>
    <t xml:space="preserve">R$24.573,18</t>
  </si>
  <si>
    <t xml:space="preserve">R$272,19</t>
  </si>
  <si>
    <t xml:space="preserve">R$2.188.444,72</t>
  </si>
  <si>
    <t xml:space="preserve">A MEGA-SENA ESTÁ ACUMULADA ! ! !</t>
  </si>
  <si>
    <t xml:space="preserve">10/10/1998</t>
  </si>
  <si>
    <t xml:space="preserve">R$8.435,36</t>
  </si>
  <si>
    <t xml:space="preserve">R$143,29</t>
  </si>
  <si>
    <t xml:space="preserve">R$3.463.871,17</t>
  </si>
  <si>
    <t xml:space="preserve">17/10/1998</t>
  </si>
  <si>
    <t xml:space="preserve">R$12.675,49</t>
  </si>
  <si>
    <t xml:space="preserve">R$166,13</t>
  </si>
  <si>
    <t xml:space="preserve">R$4.802.402,93</t>
  </si>
  <si>
    <t xml:space="preserve">24/10/1998</t>
  </si>
  <si>
    <t xml:space="preserve">R$14.074,36</t>
  </si>
  <si>
    <t xml:space="preserve">R$173,74</t>
  </si>
  <si>
    <t xml:space="preserve">R$6.254.876,80</t>
  </si>
  <si>
    <t xml:space="preserve">31/10/1998</t>
  </si>
  <si>
    <t xml:space="preserve">R$3.902.486,14</t>
  </si>
  <si>
    <t xml:space="preserve">R$7.216,46</t>
  </si>
  <si>
    <t xml:space="preserve">R$137,14</t>
  </si>
  <si>
    <t xml:space="preserve">02 Ganhadores do Estado de SÃO PAULO (Taubaté e São Paulo-Capital)</t>
  </si>
  <si>
    <t xml:space="preserve">07/11/1998</t>
  </si>
  <si>
    <t xml:space="preserve">R$36.581,33</t>
  </si>
  <si>
    <t xml:space="preserve">R$332,24</t>
  </si>
  <si>
    <t xml:space="preserve">R$16.453.628,31</t>
  </si>
  <si>
    <t xml:space="preserve">14/11/1998</t>
  </si>
  <si>
    <t xml:space="preserve">R$20.106,10</t>
  </si>
  <si>
    <t xml:space="preserve">R$226,70</t>
  </si>
  <si>
    <t xml:space="preserve">R$19.324.778,90</t>
  </si>
  <si>
    <t xml:space="preserve">A MEGA-SENA ESTÁ ACUMULADA.  PREVISÃO DO PRÊMIO: 23 Milhões. ! ! !</t>
  </si>
  <si>
    <t xml:space="preserve">21/11/1998</t>
  </si>
  <si>
    <t xml:space="preserve">R$18.143,56</t>
  </si>
  <si>
    <t xml:space="preserve">R$209,66</t>
  </si>
  <si>
    <t xml:space="preserve">R$22.851.887,24</t>
  </si>
  <si>
    <t xml:space="preserve">A MEGA-SENA  CONTINUA   A C U M U L A A A D A !</t>
  </si>
  <si>
    <t xml:space="preserve">28/11/1998</t>
  </si>
  <si>
    <t xml:space="preserve">R$24.792,99</t>
  </si>
  <si>
    <t xml:space="preserve">R$324,10</t>
  </si>
  <si>
    <t xml:space="preserve">R$27.136.115,88</t>
  </si>
  <si>
    <t xml:space="preserve">A MEGA ACUMULOU  E  A  BOLADA ESTARÁ BEM MAIOR ! ! !</t>
  </si>
  <si>
    <t xml:space="preserve">05/12/1998</t>
  </si>
  <si>
    <t xml:space="preserve">R$33.597.755,21</t>
  </si>
  <si>
    <t xml:space="preserve">R$20.952,14</t>
  </si>
  <si>
    <t xml:space="preserve">R$224,38</t>
  </si>
  <si>
    <t xml:space="preserve">ESTADO CONTEMPLADO COM A SENA: RONDONIA - CIDADE PORTO VELHO.</t>
  </si>
  <si>
    <t xml:space="preserve">12/12/1998</t>
  </si>
  <si>
    <t xml:space="preserve">R$15.061,27</t>
  </si>
  <si>
    <t xml:space="preserve">R$314,91</t>
  </si>
  <si>
    <t xml:space="preserve">R$1.283.220,59</t>
  </si>
  <si>
    <t xml:space="preserve">A C U M U L O U  ! ! !</t>
  </si>
  <si>
    <t xml:space="preserve">19/12/1998</t>
  </si>
  <si>
    <t xml:space="preserve">R$23.923,45</t>
  </si>
  <si>
    <t xml:space="preserve">R$298,52</t>
  </si>
  <si>
    <t xml:space="preserve">R$2.747.335,81</t>
  </si>
  <si>
    <t xml:space="preserve">24/12/1998</t>
  </si>
  <si>
    <t xml:space="preserve">R$3.805.750,38</t>
  </si>
  <si>
    <t xml:space="preserve">R$11.760,17</t>
  </si>
  <si>
    <t xml:space="preserve">R$162,48</t>
  </si>
  <si>
    <t xml:space="preserve">01 Ganhador da MEGA  -  Distrito Federal</t>
  </si>
  <si>
    <t xml:space="preserve">31/12/1998</t>
  </si>
  <si>
    <t xml:space="preserve">R$53.660,04</t>
  </si>
  <si>
    <t xml:space="preserve">R$345,95</t>
  </si>
  <si>
    <t xml:space="preserve">R$965.880,61</t>
  </si>
  <si>
    <t xml:space="preserve">09/01/1999</t>
  </si>
  <si>
    <t xml:space="preserve">R$9.795,13</t>
  </si>
  <si>
    <t xml:space="preserve">R$164,74</t>
  </si>
  <si>
    <t xml:space="preserve">R$2.211.820,94</t>
  </si>
  <si>
    <t xml:space="preserve">A MEGA ACUMULOU - O prêmio do CONC.150 pode chegar a 21,2 Milhões.</t>
  </si>
  <si>
    <t xml:space="preserve">16/01/1999</t>
  </si>
  <si>
    <t xml:space="preserve">R$36.378,71</t>
  </si>
  <si>
    <t xml:space="preserve">R$367,00</t>
  </si>
  <si>
    <t xml:space="preserve">R$21.414.530,14</t>
  </si>
  <si>
    <t xml:space="preserve">23/01/1999</t>
  </si>
  <si>
    <t xml:space="preserve">R$24.091.811,02</t>
  </si>
  <si>
    <t xml:space="preserve">R$14.678,07</t>
  </si>
  <si>
    <t xml:space="preserve">R$225,62</t>
  </si>
  <si>
    <t xml:space="preserve">Ganhador da SENA do Estado do Rio Grande do Norte.</t>
  </si>
  <si>
    <t xml:space="preserve">30/01/1999</t>
  </si>
  <si>
    <t xml:space="preserve">R$11.562,39</t>
  </si>
  <si>
    <t xml:space="preserve">R$172,03</t>
  </si>
  <si>
    <t xml:space="preserve">R$1.040.614,80</t>
  </si>
  <si>
    <t xml:space="preserve">A MEGA-SENA acumulou em mais de 1 milhão de reais.</t>
  </si>
  <si>
    <t xml:space="preserve">06/02/1999</t>
  </si>
  <si>
    <t xml:space="preserve">R$22.846,45</t>
  </si>
  <si>
    <t xml:space="preserve">R$254,57</t>
  </si>
  <si>
    <t xml:space="preserve">R$2.329.154,62</t>
  </si>
  <si>
    <t xml:space="preserve">13/02/1999</t>
  </si>
  <si>
    <t xml:space="preserve">R$7.888,29</t>
  </si>
  <si>
    <t xml:space="preserve">R$122,78</t>
  </si>
  <si>
    <t xml:space="preserve">R$3.692.251,60</t>
  </si>
  <si>
    <t xml:space="preserve">A MEGA ESTÁ ACUMULADA - Próximo Conc. 155, será dia 20/02/1999</t>
  </si>
  <si>
    <t xml:space="preserve">20/02/1999</t>
  </si>
  <si>
    <t xml:space="preserve">R$4.988.808,21</t>
  </si>
  <si>
    <t xml:space="preserve">R$16.126,32</t>
  </si>
  <si>
    <t xml:space="preserve">R$217,22</t>
  </si>
  <si>
    <t xml:space="preserve">Ganhador da SENA da cidade de Foz do Iguaçu - Estado do Paraná.</t>
  </si>
  <si>
    <t xml:space="preserve">27/02/1999</t>
  </si>
  <si>
    <t xml:space="preserve">R$11.018,10</t>
  </si>
  <si>
    <t xml:space="preserve">R$183,02</t>
  </si>
  <si>
    <t xml:space="preserve">R$978.407,41</t>
  </si>
  <si>
    <t xml:space="preserve">A MEGA-SENA   está  A C U M U L A D A !!!</t>
  </si>
  <si>
    <t xml:space="preserve">06/03/1999</t>
  </si>
  <si>
    <t xml:space="preserve">R$2.140.030,92</t>
  </si>
  <si>
    <t xml:space="preserve">R$7.224,03</t>
  </si>
  <si>
    <t xml:space="preserve">R$108,84</t>
  </si>
  <si>
    <t xml:space="preserve">Ganhador da SENA do Estado de Goiás.</t>
  </si>
  <si>
    <t xml:space="preserve">13/03/1999</t>
  </si>
  <si>
    <t xml:space="preserve">R$25.856,53</t>
  </si>
  <si>
    <t xml:space="preserve">R$220,81</t>
  </si>
  <si>
    <t xml:space="preserve">R$961.863,12</t>
  </si>
  <si>
    <t xml:space="preserve">A  Mega-Sena   A C U M U L O U  !!!</t>
  </si>
  <si>
    <t xml:space="preserve">20/03/1999</t>
  </si>
  <si>
    <t xml:space="preserve">R$2.038.170,67</t>
  </si>
  <si>
    <t xml:space="preserve">R$15.735,49</t>
  </si>
  <si>
    <t xml:space="preserve">R$217,49</t>
  </si>
  <si>
    <t xml:space="preserve">Ganhador da SENA do Estado do Paraná.</t>
  </si>
  <si>
    <t xml:space="preserve">27/03/1999</t>
  </si>
  <si>
    <t xml:space="preserve">R$19.431,89</t>
  </si>
  <si>
    <t xml:space="preserve">R$234,50</t>
  </si>
  <si>
    <t xml:space="preserve">R$11.251.511,63</t>
  </si>
  <si>
    <t xml:space="preserve">A MEGA está acumulada - o Prêmio do Concurso 161, poderá chegar a R$  13 Milhões</t>
  </si>
  <si>
    <t xml:space="preserve">03/04/1999</t>
  </si>
  <si>
    <t xml:space="preserve">R$14.430,61</t>
  </si>
  <si>
    <t xml:space="preserve">R$199,69</t>
  </si>
  <si>
    <t xml:space="preserve">R$12.896.601,04</t>
  </si>
  <si>
    <t xml:space="preserve">10/04/1999</t>
  </si>
  <si>
    <t xml:space="preserve">R$20.941,30</t>
  </si>
  <si>
    <t xml:space="preserve">R$265,96</t>
  </si>
  <si>
    <t xml:space="preserve">R$15.208.520,83</t>
  </si>
  <si>
    <t xml:space="preserve">17/04/1999</t>
  </si>
  <si>
    <t xml:space="preserve">R$8.975.833,36</t>
  </si>
  <si>
    <t xml:space="preserve">R$15.657,23</t>
  </si>
  <si>
    <t xml:space="preserve">R$211,80</t>
  </si>
  <si>
    <t xml:space="preserve">02 Ganhadores da MEGA:  Distrito Federal e Mato Grosso do Sul</t>
  </si>
  <si>
    <t xml:space="preserve">24/04/1999</t>
  </si>
  <si>
    <t xml:space="preserve">R$7.595,63</t>
  </si>
  <si>
    <t xml:space="preserve">R$100,54</t>
  </si>
  <si>
    <t xml:space="preserve">R$1.011.737,90</t>
  </si>
  <si>
    <t xml:space="preserve">A Mega-Sena  ACUMULOU em: R$ 1.011.737,90</t>
  </si>
  <si>
    <t xml:space="preserve">01/05/1999</t>
  </si>
  <si>
    <t xml:space="preserve">R$1.044.444,54</t>
  </si>
  <si>
    <t xml:space="preserve">R$11.968,35</t>
  </si>
  <si>
    <t xml:space="preserve">R$166,91</t>
  </si>
  <si>
    <t xml:space="preserve">Ganhadores da SENA dos Estados de Minas Gerais e Pernambuco.</t>
  </si>
  <si>
    <t xml:space="preserve">08/05/1999</t>
  </si>
  <si>
    <t xml:space="preserve">R$17.424,67</t>
  </si>
  <si>
    <t xml:space="preserve">R$242,95</t>
  </si>
  <si>
    <t xml:space="preserve">R$982.751,54</t>
  </si>
  <si>
    <t xml:space="preserve">A MEGA   A C U M U L O U   ! ! !</t>
  </si>
  <si>
    <t xml:space="preserve">15/05/1999</t>
  </si>
  <si>
    <t xml:space="preserve">R$2.100.980,21</t>
  </si>
  <si>
    <t xml:space="preserve">R$11.364,11</t>
  </si>
  <si>
    <t xml:space="preserve">R$186,48</t>
  </si>
  <si>
    <t xml:space="preserve">Ganhador da SENA do Estado do Rio de Janeiro.</t>
  </si>
  <si>
    <t xml:space="preserve">22/05/1999</t>
  </si>
  <si>
    <t xml:space="preserve">R$15.743,70</t>
  </si>
  <si>
    <t xml:space="preserve">R$214,20</t>
  </si>
  <si>
    <t xml:space="preserve">R$906.836,93</t>
  </si>
  <si>
    <t xml:space="preserve">MEGASENA - O prêmio está ACUMULADO</t>
  </si>
  <si>
    <t xml:space="preserve">29/05/1999</t>
  </si>
  <si>
    <t xml:space="preserve">R$13.679,08</t>
  </si>
  <si>
    <t xml:space="preserve">R$198,07</t>
  </si>
  <si>
    <t xml:space="preserve">R$1.973.804,91</t>
  </si>
  <si>
    <t xml:space="preserve">05/06/1999</t>
  </si>
  <si>
    <t xml:space="preserve">R$32.383,95</t>
  </si>
  <si>
    <t xml:space="preserve">R$258,78</t>
  </si>
  <si>
    <t xml:space="preserve">R$13.643.095,71</t>
  </si>
  <si>
    <t xml:space="preserve">A  MEGA-SENA  CONTINUA    "A C U M U L A D A" podendo passar de 16 MILHÕES DE REAIS</t>
  </si>
  <si>
    <t xml:space="preserve">12/06/1999</t>
  </si>
  <si>
    <t xml:space="preserve">R$16.052.410,83</t>
  </si>
  <si>
    <t xml:space="preserve">R$14.983,30</t>
  </si>
  <si>
    <t xml:space="preserve">R$193,46</t>
  </si>
  <si>
    <t xml:space="preserve">UM GANHADOR DA MEGA-SENA, no Estado do Rio de Janeiro - Capital</t>
  </si>
  <si>
    <t xml:space="preserve">19/06/1999</t>
  </si>
  <si>
    <t xml:space="preserve">R$13.460,12</t>
  </si>
  <si>
    <t xml:space="preserve">R$186,89</t>
  </si>
  <si>
    <t xml:space="preserve">R$1.033.736,70</t>
  </si>
  <si>
    <t xml:space="preserve">26/06/1999</t>
  </si>
  <si>
    <t xml:space="preserve">R$2.148.316,42</t>
  </si>
  <si>
    <t xml:space="preserve">R$23.220,41</t>
  </si>
  <si>
    <t xml:space="preserve">R$256,32</t>
  </si>
  <si>
    <t xml:space="preserve">O Ganhador da SENA é do Distrito Federal.</t>
  </si>
  <si>
    <t xml:space="preserve">03/07/1999</t>
  </si>
  <si>
    <t xml:space="preserve">R$17.846,85</t>
  </si>
  <si>
    <t xml:space="preserve">R$243,18</t>
  </si>
  <si>
    <t xml:space="preserve">R$942.313,58</t>
  </si>
  <si>
    <t xml:space="preserve">A MEGA-SENA  ( A C U M U L O U ) - R$ 942.313,58</t>
  </si>
  <si>
    <t xml:space="preserve">10/07/1999</t>
  </si>
  <si>
    <t xml:space="preserve">R$8.094,08</t>
  </si>
  <si>
    <t xml:space="preserve">R$130,25</t>
  </si>
  <si>
    <t xml:space="preserve">R$2.049.582,99</t>
  </si>
  <si>
    <t xml:space="preserve">A SENA está ACUMULADA  em  R$ 2.049.582,99.</t>
  </si>
  <si>
    <t xml:space="preserve">17/07/1999</t>
  </si>
  <si>
    <t xml:space="preserve">R$16.696,39</t>
  </si>
  <si>
    <t xml:space="preserve">R$190,80</t>
  </si>
  <si>
    <t xml:space="preserve">R$3.291.794,61</t>
  </si>
  <si>
    <t xml:space="preserve">24/07/1999</t>
  </si>
  <si>
    <t xml:space="preserve">R$21.716,29</t>
  </si>
  <si>
    <t xml:space="preserve">R$255,21</t>
  </si>
  <si>
    <t xml:space="preserve">R$4.646.890,81</t>
  </si>
  <si>
    <t xml:space="preserve">A SENA ESTÁ ACUMULADA, E O PRÊMIO ESTIMADO É DE R$ 6.500.000,00!</t>
  </si>
  <si>
    <t xml:space="preserve">31/07/1999</t>
  </si>
  <si>
    <t xml:space="preserve">R$6.129.539,43</t>
  </si>
  <si>
    <t xml:space="preserve">R$6.240,11</t>
  </si>
  <si>
    <t xml:space="preserve">R$94,07</t>
  </si>
  <si>
    <t xml:space="preserve">Ganhador do Estado de São Paulo</t>
  </si>
  <si>
    <t xml:space="preserve">07/08/1999</t>
  </si>
  <si>
    <t xml:space="preserve">R$10.281,59</t>
  </si>
  <si>
    <t xml:space="preserve">R$141,51</t>
  </si>
  <si>
    <t xml:space="preserve">R$962.357,04</t>
  </si>
  <si>
    <t xml:space="preserve">Não Houve Ganhador da Sena. MEGASENA  ACUMULADA.</t>
  </si>
  <si>
    <t xml:space="preserve">14/08/1999</t>
  </si>
  <si>
    <t xml:space="preserve">R$15.907,98</t>
  </si>
  <si>
    <t xml:space="preserve">R$252,09</t>
  </si>
  <si>
    <t xml:space="preserve">R$12.143.009,93</t>
  </si>
  <si>
    <t xml:space="preserve">A MEGA SENA Acumulou - prêmio previsto superior a 14 Milhões.</t>
  </si>
  <si>
    <t xml:space="preserve">21/08/1999</t>
  </si>
  <si>
    <t xml:space="preserve">R$11.127,07</t>
  </si>
  <si>
    <t xml:space="preserve">R$171,02</t>
  </si>
  <si>
    <t xml:space="preserve">R$14.573.162,71</t>
  </si>
  <si>
    <t xml:space="preserve">Estimativa de prêmio para a sena do próximo concurso: R$ 18 milhões.</t>
  </si>
  <si>
    <t xml:space="preserve">28/08/1999</t>
  </si>
  <si>
    <t xml:space="preserve">R$9.954,78</t>
  </si>
  <si>
    <t xml:space="preserve">R$136,13</t>
  </si>
  <si>
    <t xml:space="preserve">R$17.428.194,22</t>
  </si>
  <si>
    <t xml:space="preserve">A  MEGASENA continua Acumulada</t>
  </si>
  <si>
    <t xml:space="preserve">04/09/1999</t>
  </si>
  <si>
    <t xml:space="preserve">R$9.468,79</t>
  </si>
  <si>
    <t xml:space="preserve">R$139,60</t>
  </si>
  <si>
    <t xml:space="preserve">R$20.905.131,40</t>
  </si>
  <si>
    <t xml:space="preserve">A MEGASENA Acumulou!!! Prêmio previsto  acima  de R$ 25 Milhões.</t>
  </si>
  <si>
    <t xml:space="preserve">11/09/1999</t>
  </si>
  <si>
    <t xml:space="preserve">R$14.699,97</t>
  </si>
  <si>
    <t xml:space="preserve">R$205,53</t>
  </si>
  <si>
    <t xml:space="preserve">R$24.733.003,15</t>
  </si>
  <si>
    <t xml:space="preserve">A MEGA-SENA ACUMULOU NOVAMENTE!!!. A PREVISÃO DE PREMIAÇÃO DO CONC. 185 É DE R$ 30.000.000,00</t>
  </si>
  <si>
    <t xml:space="preserve">18/09/1999</t>
  </si>
  <si>
    <t xml:space="preserve">R$12.275,86</t>
  </si>
  <si>
    <t xml:space="preserve">R$180,13</t>
  </si>
  <si>
    <t xml:space="preserve">R$30.124.561,09</t>
  </si>
  <si>
    <t xml:space="preserve">A MEGA-SENA ACUMULOU!!! A ESTIMATIVA DE PRÊMIO É DE R$ 37.000.000,00.</t>
  </si>
  <si>
    <t xml:space="preserve">25/09/1999</t>
  </si>
  <si>
    <t xml:space="preserve">R$17.072,24</t>
  </si>
  <si>
    <t xml:space="preserve">R$192,10</t>
  </si>
  <si>
    <t xml:space="preserve">R$37.335.874,86</t>
  </si>
  <si>
    <t xml:space="preserve">Megasena Acumulada. Previsao de premio para o conc.187 e de R$46 Milhoes</t>
  </si>
  <si>
    <t xml:space="preserve">02/10/1999</t>
  </si>
  <si>
    <t xml:space="preserve">R$23.058,35</t>
  </si>
  <si>
    <t xml:space="preserve">R$231,66</t>
  </si>
  <si>
    <t xml:space="preserve">R$48.320.873,60</t>
  </si>
  <si>
    <t xml:space="preserve">Sorteio Conc. 188 será domingo, 10/10, às 20:30 h. em Salvador/BA. Vendas até às 16 h. do domingo.</t>
  </si>
  <si>
    <t xml:space="preserve">10/10/1999</t>
  </si>
  <si>
    <t xml:space="preserve">R$64.905.517,65</t>
  </si>
  <si>
    <t xml:space="preserve">R$11.517,11</t>
  </si>
  <si>
    <t xml:space="preserve">R$152,58</t>
  </si>
  <si>
    <t xml:space="preserve">Ganhador da MEGASENA é do Estado da  BAHIA, Prêmio para o próximo concurso 1 MILHÃO.</t>
  </si>
  <si>
    <t xml:space="preserve">16/10/1999</t>
  </si>
  <si>
    <t xml:space="preserve">R$23.476,18</t>
  </si>
  <si>
    <t xml:space="preserve">R$260,09</t>
  </si>
  <si>
    <t xml:space="preserve">R$1.718.456,25</t>
  </si>
  <si>
    <t xml:space="preserve">A MEGA-SENA ACUMULOU. PREVISÃO DE PRÊMIO PARA SENA CONC.190 É DE R$ 45.000.000,00.</t>
  </si>
  <si>
    <t xml:space="preserve">24/10/1999</t>
  </si>
  <si>
    <t xml:space="preserve">R$14.923,96</t>
  </si>
  <si>
    <t xml:space="preserve">R$210,41</t>
  </si>
  <si>
    <t xml:space="preserve">R$44.895.988,05</t>
  </si>
  <si>
    <t xml:space="preserve">A MEGASENA Acumulou!!!! prêmio previsto para o próximo concurso é de R$ 53 Milhões.</t>
  </si>
  <si>
    <t xml:space="preserve">31/10/1999</t>
  </si>
  <si>
    <t xml:space="preserve">R$50.968.412,58</t>
  </si>
  <si>
    <t xml:space="preserve">R$13.212,41</t>
  </si>
  <si>
    <t xml:space="preserve">R$165,41</t>
  </si>
  <si>
    <t xml:space="preserve">MEGA-SENA  tem 01 Ganhador de MATO GROSSO DO SUL, Campo Grande</t>
  </si>
  <si>
    <t xml:space="preserve">06/11/1999</t>
  </si>
  <si>
    <t xml:space="preserve">R$23.005,08</t>
  </si>
  <si>
    <t xml:space="preserve">R$275,87</t>
  </si>
  <si>
    <t xml:space="preserve">R$1.463.122,78</t>
  </si>
  <si>
    <t xml:space="preserve">A MEGASENA Acumulou!!! Estimativa de prêmio para o próximo concurso acima de 3 Milhões.</t>
  </si>
  <si>
    <t xml:space="preserve">13/11/1999</t>
  </si>
  <si>
    <t xml:space="preserve">R$7.199,87</t>
  </si>
  <si>
    <t xml:space="preserve">R$119,39</t>
  </si>
  <si>
    <t xml:space="preserve">R$3.104.692,58</t>
  </si>
  <si>
    <t xml:space="preserve">Previsão prêmio próximo concurso R$5.300.000,00.</t>
  </si>
  <si>
    <t xml:space="preserve">20/11/1999</t>
  </si>
  <si>
    <t xml:space="preserve">R$12.862,40</t>
  </si>
  <si>
    <t xml:space="preserve">R$182,18</t>
  </si>
  <si>
    <t xml:space="preserve">R$4.740.789,92</t>
  </si>
  <si>
    <t xml:space="preserve">Previsão prêmio próximo concurso R$6.700.000,00.</t>
  </si>
  <si>
    <t xml:space="preserve">27/11/1999</t>
  </si>
  <si>
    <t xml:space="preserve">AM</t>
  </si>
  <si>
    <t xml:space="preserve">R$6.370.250,64</t>
  </si>
  <si>
    <t xml:space="preserve">R$4.005,56</t>
  </si>
  <si>
    <t xml:space="preserve">R$97,89</t>
  </si>
  <si>
    <t xml:space="preserve">Previsão prêmio próximo concurso R$1.000.000,00.</t>
  </si>
  <si>
    <t xml:space="preserve">04/12/1999</t>
  </si>
  <si>
    <t xml:space="preserve">R$5.309,16</t>
  </si>
  <si>
    <t xml:space="preserve">R$91,75</t>
  </si>
  <si>
    <t xml:space="preserve">R$1.159.520,95</t>
  </si>
  <si>
    <t xml:space="preserve">Previsão prêmio próximo concurso R$2.490.000,00.</t>
  </si>
  <si>
    <t xml:space="preserve">11/12/1999</t>
  </si>
  <si>
    <t xml:space="preserve">R$8.259,15</t>
  </si>
  <si>
    <t xml:space="preserve">R$120,78</t>
  </si>
  <si>
    <t xml:space="preserve">R$2.428.125,98</t>
  </si>
  <si>
    <t xml:space="preserve">Previsão prêmio próximo concurso R$4.200.000,00.</t>
  </si>
  <si>
    <t xml:space="preserve">18/12/1999</t>
  </si>
  <si>
    <t xml:space="preserve">R$8.881,02</t>
  </si>
  <si>
    <t xml:space="preserve">R$155,02</t>
  </si>
  <si>
    <t xml:space="preserve">R$3.760.278,08</t>
  </si>
  <si>
    <t xml:space="preserve">Previsão prêmio próximo concurso R$5.000.000,00.</t>
  </si>
  <si>
    <t xml:space="preserve">24/12/1999</t>
  </si>
  <si>
    <t xml:space="preserve">R$4.915.593,20</t>
  </si>
  <si>
    <t xml:space="preserve">R$28.316,55</t>
  </si>
  <si>
    <t xml:space="preserve">R$305,16</t>
  </si>
  <si>
    <t xml:space="preserve">Previsão prêmio próximo concurso R$16.500.000,00.</t>
  </si>
  <si>
    <t xml:space="preserve">31/12/1999</t>
  </si>
  <si>
    <t xml:space="preserve">R$8.829.389,20</t>
  </si>
  <si>
    <t xml:space="preserve">R$11.008,48</t>
  </si>
  <si>
    <t xml:space="preserve">R$156,59</t>
  </si>
  <si>
    <t xml:space="preserve">Os ganhadores da MEGASENA são de: Clevelândia/PR e São José dos Campos/SP.</t>
  </si>
  <si>
    <t xml:space="preserve">08/01/2000</t>
  </si>
  <si>
    <t xml:space="preserve">RN</t>
  </si>
  <si>
    <t xml:space="preserve">R$1.038.373,94</t>
  </si>
  <si>
    <t xml:space="preserve">R$11.237,81</t>
  </si>
  <si>
    <t xml:space="preserve">R$191,48</t>
  </si>
  <si>
    <t xml:space="preserve">Previsão prêmio próximo concurso R$1.070.000,00.</t>
  </si>
  <si>
    <t xml:space="preserve">15/01/2000</t>
  </si>
  <si>
    <t xml:space="preserve">R$12.412,65</t>
  </si>
  <si>
    <t xml:space="preserve">R$187,85</t>
  </si>
  <si>
    <t xml:space="preserve">R$968.186,82</t>
  </si>
  <si>
    <t xml:space="preserve">Estimativa prêmio próximo concurso R$2.000.000,00.</t>
  </si>
  <si>
    <t xml:space="preserve">22/01/2000</t>
  </si>
  <si>
    <t xml:space="preserve">R$14.099,33</t>
  </si>
  <si>
    <t xml:space="preserve">R$163,36</t>
  </si>
  <si>
    <t xml:space="preserve">R$2.034.096,14</t>
  </si>
  <si>
    <t xml:space="preserve">Estimativa prêmio próximo concurso R$3.300.000,00.</t>
  </si>
  <si>
    <t xml:space="preserve">29/01/2000</t>
  </si>
  <si>
    <t xml:space="preserve">R$30.221,85</t>
  </si>
  <si>
    <t xml:space="preserve">R$401,43</t>
  </si>
  <si>
    <t xml:space="preserve">R$3.194.615,19</t>
  </si>
  <si>
    <t xml:space="preserve">Previsão prêmio próximo concurso R$4.500.000,00.</t>
  </si>
  <si>
    <t xml:space="preserve">05/02/2000</t>
  </si>
  <si>
    <t xml:space="preserve">R$4.490.339,49</t>
  </si>
  <si>
    <t xml:space="preserve">R$15.208,03</t>
  </si>
  <si>
    <t xml:space="preserve">R$178,86</t>
  </si>
  <si>
    <t xml:space="preserve">Previsão prêmio próximo concurso R$900.000,00.</t>
  </si>
  <si>
    <t xml:space="preserve">12/02/2000</t>
  </si>
  <si>
    <t xml:space="preserve">R$17.769,34</t>
  </si>
  <si>
    <t xml:space="preserve">R$218,86</t>
  </si>
  <si>
    <t xml:space="preserve">R$916.897,74</t>
  </si>
  <si>
    <t xml:space="preserve">Previsão prêmio próximo concurso R$2.000.000,00.</t>
  </si>
  <si>
    <t xml:space="preserve">19/02/2000</t>
  </si>
  <si>
    <t xml:space="preserve">R$9.663,76</t>
  </si>
  <si>
    <t xml:space="preserve">R$133,10</t>
  </si>
  <si>
    <t xml:space="preserve">R$1.960.583,04</t>
  </si>
  <si>
    <t xml:space="preserve">Previsão prêmio próximo concurso R$3.200.000,00.</t>
  </si>
  <si>
    <t xml:space="preserve">26/02/2000</t>
  </si>
  <si>
    <t xml:space="preserve">R$12.679,18</t>
  </si>
  <si>
    <t xml:space="preserve">R$173,83</t>
  </si>
  <si>
    <t xml:space="preserve">R$3.056.064,34</t>
  </si>
  <si>
    <t xml:space="preserve">Previsão prêmio próximo concurso R$4.300.000,00.</t>
  </si>
  <si>
    <t xml:space="preserve">04/03/2000</t>
  </si>
  <si>
    <t xml:space="preserve">R$12.349,82</t>
  </si>
  <si>
    <t xml:space="preserve">R$181,32</t>
  </si>
  <si>
    <t xml:space="preserve">R$4.256.466,94</t>
  </si>
  <si>
    <t xml:space="preserve">Previsão prêmio próximo concurso R$14.000.000,00.</t>
  </si>
  <si>
    <t xml:space="preserve">11/03/2000</t>
  </si>
  <si>
    <t xml:space="preserve">R$46.721,17</t>
  </si>
  <si>
    <t xml:space="preserve">R$344,24</t>
  </si>
  <si>
    <t xml:space="preserve">R$14.043.878,83</t>
  </si>
  <si>
    <t xml:space="preserve">Previsão prêmio próximo concursoR$16MILHÕES.</t>
  </si>
  <si>
    <t xml:space="preserve">18/03/2000</t>
  </si>
  <si>
    <t xml:space="preserve">R$10.880,27</t>
  </si>
  <si>
    <t xml:space="preserve">R$106,58</t>
  </si>
  <si>
    <t xml:space="preserve">R$16.185.115,03</t>
  </si>
  <si>
    <t xml:space="preserve">Previsão prêmio próximo concurso R$19.000.000,00.</t>
  </si>
  <si>
    <t xml:space="preserve">25/03/2000</t>
  </si>
  <si>
    <t xml:space="preserve">R$13.318,79</t>
  </si>
  <si>
    <t xml:space="preserve">R$197,42</t>
  </si>
  <si>
    <t xml:space="preserve">R$18.534.548,53</t>
  </si>
  <si>
    <t xml:space="preserve">Previsão prêmio próximo concurso R$21.000.000,00.</t>
  </si>
  <si>
    <t xml:space="preserve">01/04/2000</t>
  </si>
  <si>
    <t xml:space="preserve">PR; RS; SC</t>
  </si>
  <si>
    <t xml:space="preserve">R$7.089.194,54</t>
  </si>
  <si>
    <t xml:space="preserve">R$7.299,77</t>
  </si>
  <si>
    <t xml:space="preserve">R$123,66</t>
  </si>
  <si>
    <t xml:space="preserve">08/04/2000</t>
  </si>
  <si>
    <t xml:space="preserve">R$15.578,04</t>
  </si>
  <si>
    <t xml:space="preserve">R$222,35</t>
  </si>
  <si>
    <t xml:space="preserve">R$1.009.456,63</t>
  </si>
  <si>
    <t xml:space="preserve">Previsão prêmio próximo concurso R$2.100.000,00.</t>
  </si>
  <si>
    <t xml:space="preserve">15/04/2000</t>
  </si>
  <si>
    <t xml:space="preserve">R$12.078,40</t>
  </si>
  <si>
    <t xml:space="preserve">R$189,92</t>
  </si>
  <si>
    <t xml:space="preserve">R$2.139.994,41</t>
  </si>
  <si>
    <t xml:space="preserve">Previsão prêmio próximo concurso R$3.400.000,00.</t>
  </si>
  <si>
    <t xml:space="preserve">22/04/2000</t>
  </si>
  <si>
    <t xml:space="preserve">BA; MG; RJ; SP</t>
  </si>
  <si>
    <t xml:space="preserve">R$801.057,55</t>
  </si>
  <si>
    <t xml:space="preserve">R$9.745,75</t>
  </si>
  <si>
    <t xml:space="preserve">R$175,00</t>
  </si>
  <si>
    <t xml:space="preserve">29/04/2000</t>
  </si>
  <si>
    <t xml:space="preserve">R$4.599,62</t>
  </si>
  <si>
    <t xml:space="preserve">R$125,19</t>
  </si>
  <si>
    <t xml:space="preserve">R$877.607,32</t>
  </si>
  <si>
    <t xml:space="preserve">Previsão prêmio próximo concurso R$1.800.000,00.</t>
  </si>
  <si>
    <t xml:space="preserve">06/05/2000</t>
  </si>
  <si>
    <t xml:space="preserve">R$1.878.255,09</t>
  </si>
  <si>
    <t xml:space="preserve">R$8.777,61</t>
  </si>
  <si>
    <t xml:space="preserve">R$177,55</t>
  </si>
  <si>
    <t xml:space="preserve">13/05/2000</t>
  </si>
  <si>
    <t xml:space="preserve">R$9.221,78</t>
  </si>
  <si>
    <t xml:space="preserve">R$143,02</t>
  </si>
  <si>
    <t xml:space="preserve">R$885.291,29</t>
  </si>
  <si>
    <t xml:space="preserve">Previsão prêmio próximo concurso R$12.000.000,00.</t>
  </si>
  <si>
    <t xml:space="preserve">20/05/2000</t>
  </si>
  <si>
    <t xml:space="preserve">R$12.636.751,12</t>
  </si>
  <si>
    <t xml:space="preserve">R$12.488,05</t>
  </si>
  <si>
    <t xml:space="preserve">R$192,78</t>
  </si>
  <si>
    <t xml:space="preserve">27/05/2000</t>
  </si>
  <si>
    <t xml:space="preserve">R$14.565,66</t>
  </si>
  <si>
    <t xml:space="preserve">R$187,45</t>
  </si>
  <si>
    <t xml:space="preserve">R$856.460,89</t>
  </si>
  <si>
    <t xml:space="preserve">03/06/2000</t>
  </si>
  <si>
    <t xml:space="preserve">R$15.243,16</t>
  </si>
  <si>
    <t xml:space="preserve">R$187,18</t>
  </si>
  <si>
    <t xml:space="preserve">R$1.862.509,60</t>
  </si>
  <si>
    <t xml:space="preserve">Previsão prêmio próximo concurso R$3.000.000,00.</t>
  </si>
  <si>
    <t xml:space="preserve">10/06/2000</t>
  </si>
  <si>
    <t xml:space="preserve">R$5.838,31</t>
  </si>
  <si>
    <t xml:space="preserve">R$121,86</t>
  </si>
  <si>
    <t xml:space="preserve">R$3.004.483,21</t>
  </si>
  <si>
    <t xml:space="preserve">Estimativa de prêmio p/ Conc.224 (Sena) R$ 4.400.000,00. Sorteio realizado em Graça/SP.</t>
  </si>
  <si>
    <t xml:space="preserve">17/06/2000</t>
  </si>
  <si>
    <t xml:space="preserve">R$8.706,35</t>
  </si>
  <si>
    <t xml:space="preserve">R$143,77</t>
  </si>
  <si>
    <t xml:space="preserve">R$4.247.750,04</t>
  </si>
  <si>
    <t xml:space="preserve">Previsão prêmio próximo concurso R$5.800.00,00.</t>
  </si>
  <si>
    <t xml:space="preserve">24/06/2000</t>
  </si>
  <si>
    <t xml:space="preserve">R$12.542,39</t>
  </si>
  <si>
    <t xml:space="preserve">R$188,14</t>
  </si>
  <si>
    <t xml:space="preserve">R$5.496.971,76</t>
  </si>
  <si>
    <t xml:space="preserve">Previsão prêmio próximo concurso R$7.000.000,00.</t>
  </si>
  <si>
    <t xml:space="preserve">01/07/2000</t>
  </si>
  <si>
    <t xml:space="preserve">R$6.916.920,13</t>
  </si>
  <si>
    <t xml:space="preserve">R$15.170,39</t>
  </si>
  <si>
    <t xml:space="preserve">R$286,14</t>
  </si>
  <si>
    <t xml:space="preserve">08/07/2000</t>
  </si>
  <si>
    <t xml:space="preserve">R$14.471,45</t>
  </si>
  <si>
    <t xml:space="preserve">R$201,72</t>
  </si>
  <si>
    <t xml:space="preserve">R$885.652,57</t>
  </si>
  <si>
    <t xml:space="preserve">15/07/2000</t>
  </si>
  <si>
    <t xml:space="preserve">R$13.240,28</t>
  </si>
  <si>
    <t xml:space="preserve">R$187,87</t>
  </si>
  <si>
    <t xml:space="preserve">R$1.902.506,15</t>
  </si>
  <si>
    <t xml:space="preserve">Previsão prêmio próximo concurso R$3.300.000,00.</t>
  </si>
  <si>
    <t xml:space="preserve">22/07/2000</t>
  </si>
  <si>
    <t xml:space="preserve">R$2.992.781,57</t>
  </si>
  <si>
    <t xml:space="preserve">R$7.508,79</t>
  </si>
  <si>
    <t xml:space="preserve">R$117,88</t>
  </si>
  <si>
    <t xml:space="preserve">Previsão prêmio próximo concurso R$8.800.000,00.</t>
  </si>
  <si>
    <t xml:space="preserve">29/07/2000</t>
  </si>
  <si>
    <t xml:space="preserve">R$15.000,56</t>
  </si>
  <si>
    <t xml:space="preserve">R$241,56</t>
  </si>
  <si>
    <t xml:space="preserve">R$9.547.336,00</t>
  </si>
  <si>
    <t xml:space="preserve">Previsão prêmio próximo concurso R$11.600.000,00.</t>
  </si>
  <si>
    <t xml:space="preserve">05/08/2000</t>
  </si>
  <si>
    <t xml:space="preserve">R$12.896,11</t>
  </si>
  <si>
    <t xml:space="preserve">R$169,93</t>
  </si>
  <si>
    <t xml:space="preserve">R$11.481.752,44</t>
  </si>
  <si>
    <t xml:space="preserve">Previsão prêmio próximo concurso R$13.800.000,00.</t>
  </si>
  <si>
    <t xml:space="preserve">12/08/2000</t>
  </si>
  <si>
    <t xml:space="preserve">R$14.598,36</t>
  </si>
  <si>
    <t xml:space="preserve">R$204,93</t>
  </si>
  <si>
    <t xml:space="preserve">R$13.653.988,77</t>
  </si>
  <si>
    <t xml:space="preserve">Previsão prêmio próximo concurso R$16.200.000,00.</t>
  </si>
  <si>
    <t xml:space="preserve">19/08/2000</t>
  </si>
  <si>
    <t xml:space="preserve">DF; SP</t>
  </si>
  <si>
    <t xml:space="preserve">R$3.196.547,03</t>
  </si>
  <si>
    <t xml:space="preserve">R$3.790,28</t>
  </si>
  <si>
    <t xml:space="preserve">R$90,20</t>
  </si>
  <si>
    <t xml:space="preserve">26/08/2000</t>
  </si>
  <si>
    <t xml:space="preserve">R$19.369,91</t>
  </si>
  <si>
    <t xml:space="preserve">R$214,89</t>
  </si>
  <si>
    <t xml:space="preserve">R$906.511,63</t>
  </si>
  <si>
    <t xml:space="preserve">02/09/2000</t>
  </si>
  <si>
    <t xml:space="preserve">R$16.604,49</t>
  </si>
  <si>
    <t xml:space="preserve">R$278,96</t>
  </si>
  <si>
    <t xml:space="preserve">R$1.942.631,63</t>
  </si>
  <si>
    <t xml:space="preserve">09/09/2000</t>
  </si>
  <si>
    <t xml:space="preserve">R$12.197,95</t>
  </si>
  <si>
    <t xml:space="preserve">R$196,53</t>
  </si>
  <si>
    <t xml:space="preserve">R$3.055.084,91</t>
  </si>
  <si>
    <t xml:space="preserve">16/09/2000</t>
  </si>
  <si>
    <t xml:space="preserve">R$19.896,75</t>
  </si>
  <si>
    <t xml:space="preserve">R$258,44</t>
  </si>
  <si>
    <t xml:space="preserve">R$4.344.394,18</t>
  </si>
  <si>
    <t xml:space="preserve">Previsão prêmio próximo concurso R$5.900.000,00.</t>
  </si>
  <si>
    <t xml:space="preserve">23/09/2000</t>
  </si>
  <si>
    <t xml:space="preserve">R$1.429.476,11</t>
  </si>
  <si>
    <t xml:space="preserve">R$6.088,25</t>
  </si>
  <si>
    <t xml:space="preserve">R$108,86</t>
  </si>
  <si>
    <t xml:space="preserve">30/09/2000</t>
  </si>
  <si>
    <t xml:space="preserve">R$866.183,32</t>
  </si>
  <si>
    <t xml:space="preserve">R$24.060,65</t>
  </si>
  <si>
    <t xml:space="preserve">R$188,10</t>
  </si>
  <si>
    <t xml:space="preserve">Previsão prêmio próximo concurso: R$11.500.000,00.</t>
  </si>
  <si>
    <t xml:space="preserve">07/10/2000</t>
  </si>
  <si>
    <t xml:space="preserve">R$15.200,74</t>
  </si>
  <si>
    <t xml:space="preserve">R$250,00</t>
  </si>
  <si>
    <t xml:space="preserve">R$11.686.511,34</t>
  </si>
  <si>
    <t xml:space="preserve">Estimativa de prêmio (sena) do próximo concurso R$14 MILHÕES.</t>
  </si>
  <si>
    <t xml:space="preserve">14/10/2000</t>
  </si>
  <si>
    <t xml:space="preserve">R$22.811,94</t>
  </si>
  <si>
    <t xml:space="preserve">R$306,85</t>
  </si>
  <si>
    <t xml:space="preserve">R$13.712.211,55</t>
  </si>
  <si>
    <t xml:space="preserve">Estimativa prêmio próximo concurso R$16.000.000,00.</t>
  </si>
  <si>
    <t xml:space="preserve">21/10/2000</t>
  </si>
  <si>
    <t xml:space="preserve">R$9.933,73</t>
  </si>
  <si>
    <t xml:space="preserve">R$148,97</t>
  </si>
  <si>
    <t xml:space="preserve">R$16.132.069,11</t>
  </si>
  <si>
    <t xml:space="preserve">Estimativa de prêmio do próximo concurso (sena): R$ 19MILHÕES.</t>
  </si>
  <si>
    <t xml:space="preserve">28/10/2000</t>
  </si>
  <si>
    <t xml:space="preserve">R$12.019,97</t>
  </si>
  <si>
    <t xml:space="preserve">R$157,40</t>
  </si>
  <si>
    <t xml:space="preserve">R$18.728.383,13</t>
  </si>
  <si>
    <t xml:space="preserve">Estimativa de prêmio próximo concurso: R$23.000.000,00</t>
  </si>
  <si>
    <t xml:space="preserve">04/11/2000</t>
  </si>
  <si>
    <t xml:space="preserve">R$13.698,02</t>
  </si>
  <si>
    <t xml:space="preserve">R$189,08</t>
  </si>
  <si>
    <t xml:space="preserve">R$22.081.659,67</t>
  </si>
  <si>
    <t xml:space="preserve">Previsão de prêmio para próximo concurso (245) é de R$ 27 MILHÕES.</t>
  </si>
  <si>
    <t xml:space="preserve">11/11/2000</t>
  </si>
  <si>
    <t xml:space="preserve">GO; MG; SC</t>
  </si>
  <si>
    <t xml:space="preserve">R$9.153.484,88</t>
  </si>
  <si>
    <t xml:space="preserve">R$15.838,62</t>
  </si>
  <si>
    <t xml:space="preserve">R$206,96</t>
  </si>
  <si>
    <t xml:space="preserve">Previsão de prêmio do próximo concurso R$900.000,00.</t>
  </si>
  <si>
    <t xml:space="preserve">18/11/2000</t>
  </si>
  <si>
    <t xml:space="preserve">R$9.292,06</t>
  </si>
  <si>
    <t xml:space="preserve">R$158,71</t>
  </si>
  <si>
    <t xml:space="preserve">R$1.036.993,80</t>
  </si>
  <si>
    <t xml:space="preserve">Estimativa de prêmio do próximo concurso (247): R$2.300.000,00.</t>
  </si>
  <si>
    <t xml:space="preserve">25/11/2000</t>
  </si>
  <si>
    <t xml:space="preserve">R$12.080,19</t>
  </si>
  <si>
    <t xml:space="preserve">R$149,96</t>
  </si>
  <si>
    <t xml:space="preserve">R$2.196.692,29</t>
  </si>
  <si>
    <t xml:space="preserve">Previsão de prêmio (sena) para próximo concurso (248) é de R$3.600.000,00</t>
  </si>
  <si>
    <t xml:space="preserve">02/12/2000</t>
  </si>
  <si>
    <t xml:space="preserve">R$21.550,72</t>
  </si>
  <si>
    <t xml:space="preserve">R$220,96</t>
  </si>
  <si>
    <t xml:space="preserve">R$3.489.735,08</t>
  </si>
  <si>
    <t xml:space="preserve">Estimativa prêmio próximo concurso:R$5MILHÕES.</t>
  </si>
  <si>
    <t xml:space="preserve">09/12/2000</t>
  </si>
  <si>
    <t xml:space="preserve">R$19.680,20</t>
  </si>
  <si>
    <t xml:space="preserve">R$277,21</t>
  </si>
  <si>
    <t xml:space="preserve">R$4.906.709,76</t>
  </si>
  <si>
    <t xml:space="preserve">Previsão prêmio próximo concurso final zero R$22.500.000,00.</t>
  </si>
  <si>
    <t xml:space="preserve">16/12/2000</t>
  </si>
  <si>
    <t xml:space="preserve">R$10.867,31</t>
  </si>
  <si>
    <t xml:space="preserve">R$141,50</t>
  </si>
  <si>
    <t xml:space="preserve">R$22.593.628,59</t>
  </si>
  <si>
    <t xml:space="preserve">ESTIMATIVA PRÊMIO PRÓXIMO CONCURSO (SENA): R$26MILHÕES.</t>
  </si>
  <si>
    <t xml:space="preserve">23/12/2000</t>
  </si>
  <si>
    <t xml:space="preserve">R$15.473,98</t>
  </si>
  <si>
    <t xml:space="preserve">R$216,73</t>
  </si>
  <si>
    <t xml:space="preserve">R$25.936.007,67</t>
  </si>
  <si>
    <t xml:space="preserve">Previsão prêmio próximo concurso (sena) R$31 MILHÕES.</t>
  </si>
  <si>
    <t xml:space="preserve">30/12/2000</t>
  </si>
  <si>
    <t xml:space="preserve">R$15.107.002,24</t>
  </si>
  <si>
    <t xml:space="preserve">R$10.070,62</t>
  </si>
  <si>
    <t xml:space="preserve">R$160,67</t>
  </si>
  <si>
    <t xml:space="preserve">Estimativa prêmio próximo concurso: R$1 MILHÃO.</t>
  </si>
  <si>
    <t xml:space="preserve">06/01/2001</t>
  </si>
  <si>
    <t xml:space="preserve">R$6.985,77</t>
  </si>
  <si>
    <t xml:space="preserve">R$120,88</t>
  </si>
  <si>
    <t xml:space="preserve">R$1.056.248,75</t>
  </si>
  <si>
    <t xml:space="preserve">Estimativa prêmio próximo concurso (Sena):R$2.500.000,00.</t>
  </si>
  <si>
    <t xml:space="preserve">13/01/2001</t>
  </si>
  <si>
    <t xml:space="preserve">R$16.400,47</t>
  </si>
  <si>
    <t xml:space="preserve">R$169,14</t>
  </si>
  <si>
    <t xml:space="preserve">R$2.355.166,17</t>
  </si>
  <si>
    <t xml:space="preserve">Estimativa prêmio próximo concurso (sena):R$4MILHÕES.</t>
  </si>
  <si>
    <t xml:space="preserve">20/01/2001</t>
  </si>
  <si>
    <t xml:space="preserve">R$14.363,63</t>
  </si>
  <si>
    <t xml:space="preserve">R$168,19</t>
  </si>
  <si>
    <t xml:space="preserve">R$3.734.074,48</t>
  </si>
  <si>
    <t xml:space="preserve">Previsão prêmio próximo concurso(Sena)R$5.500.000,00</t>
  </si>
  <si>
    <t xml:space="preserve">27/01/2001</t>
  </si>
  <si>
    <t xml:space="preserve">R$13.336,96</t>
  </si>
  <si>
    <t xml:space="preserve">R$191,49</t>
  </si>
  <si>
    <t xml:space="preserve">R$5.190.470,09</t>
  </si>
  <si>
    <t xml:space="preserve">Estimativa prêmio próximo concurso (sena):R$7MILHÕES.</t>
  </si>
  <si>
    <t xml:space="preserve">03/02/2001</t>
  </si>
  <si>
    <t xml:space="preserve">R$6.808.483,96</t>
  </si>
  <si>
    <t xml:space="preserve">R$7.704,83</t>
  </si>
  <si>
    <t xml:space="preserve">R$114,84</t>
  </si>
  <si>
    <t xml:space="preserve">PREVISÃO PRÊMIO PRÓXIMO CONCURSO(Sena):R$1.000.000,00</t>
  </si>
  <si>
    <t xml:space="preserve">10/02/2001</t>
  </si>
  <si>
    <t xml:space="preserve">R$15.960,68</t>
  </si>
  <si>
    <t xml:space="preserve">R$233,30</t>
  </si>
  <si>
    <t xml:space="preserve">R$1.015.099,19</t>
  </si>
  <si>
    <t xml:space="preserve">Previsão prêmio próximo concurso (Sena): R$2.300.000,00</t>
  </si>
  <si>
    <t xml:space="preserve">17/02/2001</t>
  </si>
  <si>
    <t xml:space="preserve">R$15.136,22</t>
  </si>
  <si>
    <t xml:space="preserve">R$175,77</t>
  </si>
  <si>
    <t xml:space="preserve">R$2.195.724,03</t>
  </si>
  <si>
    <t xml:space="preserve">Estimativa prêmio próximo concurso (sena):R$17MILHÕES.</t>
  </si>
  <si>
    <t xml:space="preserve">24/02/2001</t>
  </si>
  <si>
    <t xml:space="preserve">R$16.065,94</t>
  </si>
  <si>
    <t xml:space="preserve">R$214,63</t>
  </si>
  <si>
    <t xml:space="preserve">R$17.357.124,85</t>
  </si>
  <si>
    <t xml:space="preserve">Previsão prêmio próximo concurso(sena): R$20.000.000,00</t>
  </si>
  <si>
    <t xml:space="preserve">03/03/2001</t>
  </si>
  <si>
    <t xml:space="preserve">R$22.350,19</t>
  </si>
  <si>
    <t xml:space="preserve">R$278,51</t>
  </si>
  <si>
    <t xml:space="preserve">R$19.797.765,32</t>
  </si>
  <si>
    <t xml:space="preserve">Estimativa prêmio próximo concurso (262): R$23MILHÕES.</t>
  </si>
  <si>
    <t xml:space="preserve">10/03/2001</t>
  </si>
  <si>
    <t xml:space="preserve">R$24.643,78</t>
  </si>
  <si>
    <t xml:space="preserve">R$300,24</t>
  </si>
  <si>
    <t xml:space="preserve">R$22.991.600,18</t>
  </si>
  <si>
    <t xml:space="preserve">Estimativa prêmio próximo concurso (sena)Rr$27.000.000,00.</t>
  </si>
  <si>
    <t xml:space="preserve">17/03/2001</t>
  </si>
  <si>
    <t xml:space="preserve">R$24.937,18</t>
  </si>
  <si>
    <t xml:space="preserve">R$265,17</t>
  </si>
  <si>
    <t xml:space="preserve">R$27.061.348,12</t>
  </si>
  <si>
    <t xml:space="preserve">Estimativa prêmio próximo concurso (sena): R$32Milhões.</t>
  </si>
  <si>
    <t xml:space="preserve">24/03/2001</t>
  </si>
  <si>
    <t xml:space="preserve">CE; SP</t>
  </si>
  <si>
    <t xml:space="preserve">R$16.055.880,73</t>
  </si>
  <si>
    <t xml:space="preserve">R$4.298,96</t>
  </si>
  <si>
    <t xml:space="preserve">R$83,25</t>
  </si>
  <si>
    <t xml:space="preserve">Previsão prêmio próximo concurso(Sena) R$1.000.000,00</t>
  </si>
  <si>
    <t xml:space="preserve">31/03/2001</t>
  </si>
  <si>
    <t xml:space="preserve">R$14.676,59</t>
  </si>
  <si>
    <t xml:space="preserve">R$242,74</t>
  </si>
  <si>
    <t xml:space="preserve">R$1.127.161,81</t>
  </si>
  <si>
    <t xml:space="preserve">Estimativa prêmio próximo concurso (sena):R$2.500.000,00.</t>
  </si>
  <si>
    <t xml:space="preserve">07/04/2001</t>
  </si>
  <si>
    <t xml:space="preserve">R$12.318,14</t>
  </si>
  <si>
    <t xml:space="preserve">R$163,33</t>
  </si>
  <si>
    <t xml:space="preserve">R$2.442.739,49</t>
  </si>
  <si>
    <t xml:space="preserve">PREVISÃO PRÊMIO(SENA)PRÓXIMO CONCURSO: R$4.000.000,00</t>
  </si>
  <si>
    <t xml:space="preserve">14/04/2001</t>
  </si>
  <si>
    <t xml:space="preserve">R$23.142,59</t>
  </si>
  <si>
    <t xml:space="preserve">R$260,19</t>
  </si>
  <si>
    <t xml:space="preserve">R$3.720.210,04</t>
  </si>
  <si>
    <t xml:space="preserve">ESTIMATIVA PRÊMIO (SENA) PRÓXIMO CONCURSO: R$5.000.000,00.</t>
  </si>
  <si>
    <t xml:space="preserve">21/04/2001</t>
  </si>
  <si>
    <t xml:space="preserve">R$10.348,29</t>
  </si>
  <si>
    <t xml:space="preserve">R$112,93</t>
  </si>
  <si>
    <t xml:space="preserve">R$5.098.601,74</t>
  </si>
  <si>
    <t xml:space="preserve">28/04/2001</t>
  </si>
  <si>
    <t xml:space="preserve">R$12.115,70</t>
  </si>
  <si>
    <t xml:space="preserve">R$152,31</t>
  </si>
  <si>
    <t xml:space="preserve">R$6.697.873,66</t>
  </si>
  <si>
    <t xml:space="preserve">Estimativa prêmio (Sena) próximo concurso: R$25.000.000,00.</t>
  </si>
  <si>
    <t xml:space="preserve">05/05/2001</t>
  </si>
  <si>
    <t xml:space="preserve">R$25.186.260,21</t>
  </si>
  <si>
    <t xml:space="preserve">R$9.665,14</t>
  </si>
  <si>
    <t xml:space="preserve">R$130,16</t>
  </si>
  <si>
    <t xml:space="preserve">Estimativa prêmio próximo concurso (sena):1MILHÃO.</t>
  </si>
  <si>
    <t xml:space="preserve">12/05/2001</t>
  </si>
  <si>
    <t xml:space="preserve">R$19.939,25</t>
  </si>
  <si>
    <t xml:space="preserve">R$194,79</t>
  </si>
  <si>
    <t xml:space="preserve">R$1.028.865,23</t>
  </si>
  <si>
    <t xml:space="preserve">Estimativa prêmio (Sena) próximo concurso: R$2.500.000,00.</t>
  </si>
  <si>
    <t xml:space="preserve">19/05/2001</t>
  </si>
  <si>
    <t xml:space="preserve">R$14.013,37</t>
  </si>
  <si>
    <t xml:space="preserve">R$177,97</t>
  </si>
  <si>
    <t xml:space="preserve">R$2.205.988,15</t>
  </si>
  <si>
    <t xml:space="preserve">Estimativa prêmio próximo concurso (sena):R$3.500.000,00.</t>
  </si>
  <si>
    <t xml:space="preserve">26/05/2001</t>
  </si>
  <si>
    <t xml:space="preserve">PE</t>
  </si>
  <si>
    <t xml:space="preserve">R$3.456.480,23</t>
  </si>
  <si>
    <t xml:space="preserve">R$11.326,92</t>
  </si>
  <si>
    <t xml:space="preserve">R$143,38</t>
  </si>
  <si>
    <t xml:space="preserve">Estimativa prêmio próximo concurso (sena) :R$1MILHÃO.</t>
  </si>
  <si>
    <t xml:space="preserve">02/06/2001</t>
  </si>
  <si>
    <t xml:space="preserve">R$5.488,22</t>
  </si>
  <si>
    <t xml:space="preserve">R$104,64</t>
  </si>
  <si>
    <t xml:space="preserve">R$935.192,94</t>
  </si>
  <si>
    <t xml:space="preserve">Estimativa prêmio próximo concurso (sena):R$ 2 MILHÕES.</t>
  </si>
  <si>
    <t xml:space="preserve">09/06/2001</t>
  </si>
  <si>
    <t xml:space="preserve">R$22.897,52</t>
  </si>
  <si>
    <t xml:space="preserve">R$250,27</t>
  </si>
  <si>
    <t xml:space="preserve">R$2.061.751,10</t>
  </si>
  <si>
    <t xml:space="preserve">Estimativa prêmio próximo concurso (sena): R$ 3.500.000,00.</t>
  </si>
  <si>
    <t xml:space="preserve">16/06/2001</t>
  </si>
  <si>
    <t xml:space="preserve">R$12.486,98</t>
  </si>
  <si>
    <t xml:space="preserve">R$190,01</t>
  </si>
  <si>
    <t xml:space="preserve">R$3.245.516,79</t>
  </si>
  <si>
    <t xml:space="preserve">Estimativa prêmio próximo concurso (sena):R$ 5 MILHÕES.</t>
  </si>
  <si>
    <t xml:space="preserve">23/06/2001</t>
  </si>
  <si>
    <t xml:space="preserve">R$11.578,72</t>
  </si>
  <si>
    <t xml:space="preserve">R$202,78</t>
  </si>
  <si>
    <t xml:space="preserve">R$4.565.490,29</t>
  </si>
  <si>
    <t xml:space="preserve">Estimativa prêmio próximo concurso (Sena)R$6.000.000,00</t>
  </si>
  <si>
    <t xml:space="preserve">30/06/2001</t>
  </si>
  <si>
    <t xml:space="preserve">R$11.868,09</t>
  </si>
  <si>
    <t xml:space="preserve">R$167,32</t>
  </si>
  <si>
    <t xml:space="preserve">R$5.975.419,10</t>
  </si>
  <si>
    <t xml:space="preserve">Estimativa prêmio próximo concurso (sena): R$ 8 MILHÕES.</t>
  </si>
  <si>
    <t xml:space="preserve">07/07/2001</t>
  </si>
  <si>
    <t xml:space="preserve">R$23.664,88</t>
  </si>
  <si>
    <t xml:space="preserve">R$222,81</t>
  </si>
  <si>
    <t xml:space="preserve">R$7.622.494,24</t>
  </si>
  <si>
    <t xml:space="preserve">Estimativa prêmio (Sena) próximo concurso: R$ 20.000.000,00</t>
  </si>
  <si>
    <t xml:space="preserve">14/07/2001</t>
  </si>
  <si>
    <t xml:space="preserve">R$11.199,47</t>
  </si>
  <si>
    <t xml:space="preserve">R$146,00</t>
  </si>
  <si>
    <t xml:space="preserve">R$19.351.758,16</t>
  </si>
  <si>
    <t xml:space="preserve">Estimativa prêmio(sena) próximo concurso: R$23.000.000,00.</t>
  </si>
  <si>
    <t xml:space="preserve">21/07/2001</t>
  </si>
  <si>
    <t xml:space="preserve">R$22.414.093,50</t>
  </si>
  <si>
    <t xml:space="preserve">R$13.574,18</t>
  </si>
  <si>
    <t xml:space="preserve">R$197,63</t>
  </si>
  <si>
    <t xml:space="preserve">Estimativa prêmio próximo concurso (sena)R$1.000.000,00</t>
  </si>
  <si>
    <t xml:space="preserve">28/07/2001</t>
  </si>
  <si>
    <t xml:space="preserve">R$958.878,82</t>
  </si>
  <si>
    <t xml:space="preserve">R$10.514,03</t>
  </si>
  <si>
    <t xml:space="preserve">R$131,27</t>
  </si>
  <si>
    <t xml:space="preserve">Estimativa prêmio próximo concurso (sena): R$ 800 MIL.</t>
  </si>
  <si>
    <t xml:space="preserve">01/08/2001</t>
  </si>
  <si>
    <t xml:space="preserve">R$367.173,22</t>
  </si>
  <si>
    <t xml:space="preserve">R$8.499,38</t>
  </si>
  <si>
    <t xml:space="preserve">Estimativa de prêmio (SENA) próximo concurso: R$ 800.000,00</t>
  </si>
  <si>
    <t xml:space="preserve">04/08/2001</t>
  </si>
  <si>
    <t xml:space="preserve">R$901.884,48</t>
  </si>
  <si>
    <t xml:space="preserve">R$10.020,94</t>
  </si>
  <si>
    <t xml:space="preserve">R$139,74</t>
  </si>
  <si>
    <t xml:space="preserve">Estimativa prêmio próximo concurso (sena): R$500 MIL.</t>
  </si>
  <si>
    <t xml:space="preserve">08/08/2001</t>
  </si>
  <si>
    <t xml:space="preserve">R$20.875,96</t>
  </si>
  <si>
    <t xml:space="preserve">R$301,41</t>
  </si>
  <si>
    <t xml:space="preserve">R$425.869,64</t>
  </si>
  <si>
    <t xml:space="preserve">Estimativa prêmio próximo concurso (sena): R$ 1.500.000,00.</t>
  </si>
  <si>
    <t xml:space="preserve">11/08/2001</t>
  </si>
  <si>
    <t xml:space="preserve">R$13.743,96</t>
  </si>
  <si>
    <t xml:space="preserve">R$216,06</t>
  </si>
  <si>
    <t xml:space="preserve">R$1.398.941,94</t>
  </si>
  <si>
    <t xml:space="preserve">Estimativa prêmio (SENA)próximo concurso: R$ 2.000.000,00.</t>
  </si>
  <si>
    <t xml:space="preserve">15/08/2001</t>
  </si>
  <si>
    <t xml:space="preserve">TO</t>
  </si>
  <si>
    <t xml:space="preserve">R$1.931.474,80</t>
  </si>
  <si>
    <t xml:space="preserve">R$4.034,34</t>
  </si>
  <si>
    <t xml:space="preserve">R$78,49</t>
  </si>
  <si>
    <t xml:space="preserve">Estimativa prêmio próximo concurso (sena): R$ 1 MILHÃO.</t>
  </si>
  <si>
    <t xml:space="preserve">18/08/2001</t>
  </si>
  <si>
    <t xml:space="preserve">R$8.749,64</t>
  </si>
  <si>
    <t xml:space="preserve">R$150,07</t>
  </si>
  <si>
    <t xml:space="preserve">R$860.964,72</t>
  </si>
  <si>
    <t xml:space="preserve">Estimativa de prêmio para o próximo concurso: (sena) R$1.500.000,00</t>
  </si>
  <si>
    <t xml:space="preserve">22/08/2001</t>
  </si>
  <si>
    <t xml:space="preserve">R$13.819,12</t>
  </si>
  <si>
    <t xml:space="preserve">R$181,72</t>
  </si>
  <si>
    <t xml:space="preserve">R$1.341.870,11</t>
  </si>
  <si>
    <t xml:space="preserve">Estimativa prêmio (sena) próximo concurso: R$10 MILHÕES.</t>
  </si>
  <si>
    <t xml:space="preserve">25/08/2001</t>
  </si>
  <si>
    <t xml:space="preserve">R$20.662,23</t>
  </si>
  <si>
    <t xml:space="preserve">R$236,75</t>
  </si>
  <si>
    <t xml:space="preserve">R$10.159.688,47</t>
  </si>
  <si>
    <t xml:space="preserve">Estimativa prêmio(sena) próximo concurso: R$11.000.000,00</t>
  </si>
  <si>
    <t xml:space="preserve">29/08/2001</t>
  </si>
  <si>
    <t xml:space="preserve">R$11.244,78</t>
  </si>
  <si>
    <t xml:space="preserve">R$163,32</t>
  </si>
  <si>
    <t xml:space="preserve">R$11.117.743,68</t>
  </si>
  <si>
    <t xml:space="preserve">Estimativa prêmio próximo concurso (sena): R$ 13 MILHÕES.</t>
  </si>
  <si>
    <t xml:space="preserve">01/09/2001</t>
  </si>
  <si>
    <t xml:space="preserve">R$11.313,30</t>
  </si>
  <si>
    <t xml:space="preserve">R$150,80</t>
  </si>
  <si>
    <t xml:space="preserve">R$12.692.554,40</t>
  </si>
  <si>
    <t xml:space="preserve">Estimativa premio (SENA)próximo concurso: R$ 14.000.000,00.</t>
  </si>
  <si>
    <t xml:space="preserve">05/09/2001</t>
  </si>
  <si>
    <t xml:space="preserve">R$5.817,88</t>
  </si>
  <si>
    <t xml:space="preserve">R$95,03</t>
  </si>
  <si>
    <t xml:space="preserve">R$13.858.457,03</t>
  </si>
  <si>
    <t xml:space="preserve">Estimativa prêmio próximo concurso: (SENA)  R$16 MILHÕES.</t>
  </si>
  <si>
    <t xml:space="preserve">08/09/2001</t>
  </si>
  <si>
    <t xml:space="preserve">PR; SP</t>
  </si>
  <si>
    <t xml:space="preserve">R$7.696.680,33</t>
  </si>
  <si>
    <t xml:space="preserve">R$9.839,13</t>
  </si>
  <si>
    <t xml:space="preserve">R$171,41</t>
  </si>
  <si>
    <t xml:space="preserve">Estimativa prêmio próximo concurso: (SENA) R$600 MIL.</t>
  </si>
  <si>
    <t xml:space="preserve">12/09/2001</t>
  </si>
  <si>
    <t xml:space="preserve">R$10.242,27</t>
  </si>
  <si>
    <t xml:space="preserve">R$178,75</t>
  </si>
  <si>
    <t xml:space="preserve">R$442.466,08</t>
  </si>
  <si>
    <t xml:space="preserve">Estimativa prêmio (SENA) próximo concurso: R$1.500.000,00.</t>
  </si>
  <si>
    <t xml:space="preserve">15/09/2001</t>
  </si>
  <si>
    <t xml:space="preserve">R$26.582,95</t>
  </si>
  <si>
    <t xml:space="preserve">R$327,09</t>
  </si>
  <si>
    <t xml:space="preserve">R$1.367.552,68</t>
  </si>
  <si>
    <t xml:space="preserve">Estimativa prêmio (SENA) próximo concurso: R$2 MILHÕES.</t>
  </si>
  <si>
    <t xml:space="preserve">19/09/2001</t>
  </si>
  <si>
    <t xml:space="preserve">R$19.353,56</t>
  </si>
  <si>
    <t xml:space="preserve">R$251,05</t>
  </si>
  <si>
    <t xml:space="preserve">R$1.948.159,43</t>
  </si>
  <si>
    <t xml:space="preserve">ESTIMATIVA PRÊMIO (SENA) PRÓXIMO CONCURSO: R$3.000.000,00.</t>
  </si>
  <si>
    <t xml:space="preserve">22/09/2001</t>
  </si>
  <si>
    <t xml:space="preserve">R$2.994.572,21</t>
  </si>
  <si>
    <t xml:space="preserve">R$17.440,22</t>
  </si>
  <si>
    <t xml:space="preserve">R$198,71</t>
  </si>
  <si>
    <t xml:space="preserve">Estimativa de prêmio (sena) próximo concurso: R$500.000,00.</t>
  </si>
  <si>
    <t xml:space="preserve">26/09/2001</t>
  </si>
  <si>
    <t xml:space="preserve">R$10.538,82</t>
  </si>
  <si>
    <t xml:space="preserve">R$169,09</t>
  </si>
  <si>
    <t xml:space="preserve">R$417.337,23</t>
  </si>
  <si>
    <t xml:space="preserve">Estimativa prêmio (SENA) próximo concurso: R$8 MILHÕES.</t>
  </si>
  <si>
    <t xml:space="preserve">29/09/2001</t>
  </si>
  <si>
    <t xml:space="preserve">R$22.820,73</t>
  </si>
  <si>
    <t xml:space="preserve">R$226,40</t>
  </si>
  <si>
    <t xml:space="preserve">R$8.421.199,74</t>
  </si>
  <si>
    <t xml:space="preserve">Estimativa prêmio (SENA) próximo concurso: R$10 MILHÕES.</t>
  </si>
  <si>
    <t xml:space="preserve">03/10/2001</t>
  </si>
  <si>
    <t xml:space="preserve">R$29.571,34</t>
  </si>
  <si>
    <t xml:space="preserve">R$285,22</t>
  </si>
  <si>
    <t xml:space="preserve">R$9.414.796,91</t>
  </si>
  <si>
    <t xml:space="preserve">Estimativa prêmio próximo concurso (sena): R$ 11 MILHÕES.</t>
  </si>
  <si>
    <t xml:space="preserve">06/10/2001</t>
  </si>
  <si>
    <t xml:space="preserve">R$13.505,06</t>
  </si>
  <si>
    <t xml:space="preserve">R$213,63</t>
  </si>
  <si>
    <t xml:space="preserve">R$11.051.609,38</t>
  </si>
  <si>
    <t xml:space="preserve">Estimativa prêmio (SENA) próximo concurso: R$12 MILHÕES.</t>
  </si>
  <si>
    <t xml:space="preserve">10/10/2001</t>
  </si>
  <si>
    <t xml:space="preserve">MS</t>
  </si>
  <si>
    <t xml:space="preserve">R$12.257.748,27</t>
  </si>
  <si>
    <t xml:space="preserve">R$4.674,95</t>
  </si>
  <si>
    <t xml:space="preserve">R$77,86</t>
  </si>
  <si>
    <t xml:space="preserve">Estimativa de prêmio próximo concurso R$ 900 MIL.</t>
  </si>
  <si>
    <t xml:space="preserve">13/10/2001</t>
  </si>
  <si>
    <t xml:space="preserve">R$11.050,10</t>
  </si>
  <si>
    <t xml:space="preserve">R$195,02</t>
  </si>
  <si>
    <t xml:space="preserve">R$769.087,04</t>
  </si>
  <si>
    <t xml:space="preserve">Estimativa prêmio próximo concurso (sena): R$ 1.300.000,00.</t>
  </si>
  <si>
    <t xml:space="preserve">17/10/2001</t>
  </si>
  <si>
    <t xml:space="preserve">R$10.013,62</t>
  </si>
  <si>
    <t xml:space="preserve">R$124,37</t>
  </si>
  <si>
    <t xml:space="preserve">R$1.333.855,18</t>
  </si>
  <si>
    <t xml:space="preserve">Estimativa prêmio (SENA) próximo concurso: R$2.300.000,00.</t>
  </si>
  <si>
    <t xml:space="preserve">20/10/2001</t>
  </si>
  <si>
    <t xml:space="preserve">R$29.736,18</t>
  </si>
  <si>
    <t xml:space="preserve">R$361,58</t>
  </si>
  <si>
    <t xml:space="preserve">R$2.332.990,80</t>
  </si>
  <si>
    <t xml:space="preserve">Estimativa prêmio (SENA) próximo concurso: R$ 3 MILHÕES.</t>
  </si>
  <si>
    <t xml:space="preserve">24/10/2001</t>
  </si>
  <si>
    <t xml:space="preserve">R$12.632,80</t>
  </si>
  <si>
    <t xml:space="preserve">R$139,76</t>
  </si>
  <si>
    <t xml:space="preserve">R$3.000.002,70</t>
  </si>
  <si>
    <t xml:space="preserve">Estimativa de prêmio próximo concurso (SENA): R$ 4.000.000,00.</t>
  </si>
  <si>
    <t xml:space="preserve">27/10/2001</t>
  </si>
  <si>
    <t xml:space="preserve">R$4.138.172,99</t>
  </si>
  <si>
    <t xml:space="preserve">R$15.297,99</t>
  </si>
  <si>
    <t xml:space="preserve">R$182,67</t>
  </si>
  <si>
    <t xml:space="preserve">Estimativa de prêmio (SENA) próximo concurso:R$ 500.000,00</t>
  </si>
  <si>
    <t xml:space="preserve">31/10/2001</t>
  </si>
  <si>
    <t xml:space="preserve">R$442.899,06</t>
  </si>
  <si>
    <t xml:space="preserve">R$122,53</t>
  </si>
  <si>
    <t xml:space="preserve">R$122,69</t>
  </si>
  <si>
    <t xml:space="preserve">estimativa prêmio próximo concurso (sena): R$ 7 MILHÕES.</t>
  </si>
  <si>
    <t xml:space="preserve">03/11/2001</t>
  </si>
  <si>
    <t xml:space="preserve">R$10.544,47</t>
  </si>
  <si>
    <t xml:space="preserve">R$167,07</t>
  </si>
  <si>
    <t xml:space="preserve">R$7.512.984,90</t>
  </si>
  <si>
    <t xml:space="preserve">Estimativa de prêmio próximo concurso(SENA): R$ 9.000.000,00.</t>
  </si>
  <si>
    <t xml:space="preserve">07/11/2001</t>
  </si>
  <si>
    <t xml:space="preserve">R$25.454,68</t>
  </si>
  <si>
    <t xml:space="preserve">R$273,81</t>
  </si>
  <si>
    <t xml:space="preserve">R$8.459.898,95</t>
  </si>
  <si>
    <t xml:space="preserve">Estimativa prêmio (SENA) próximo concurso: R$ 10 MILHÕES.</t>
  </si>
  <si>
    <t xml:space="preserve">10/11/2001</t>
  </si>
  <si>
    <t xml:space="preserve">R$15.889,75</t>
  </si>
  <si>
    <t xml:space="preserve">R$241,33</t>
  </si>
  <si>
    <t xml:space="preserve">R$9.909.043,97</t>
  </si>
  <si>
    <t xml:space="preserve">Estimativa prêmio (SENA) próximo concurso: R$ 11 MILHÕES.</t>
  </si>
  <si>
    <t xml:space="preserve">14/11/2001</t>
  </si>
  <si>
    <t xml:space="preserve">R$15.665,21</t>
  </si>
  <si>
    <t xml:space="preserve">R$171,62</t>
  </si>
  <si>
    <t xml:space="preserve">R$11.055.737,35</t>
  </si>
  <si>
    <t xml:space="preserve">Estimativa prêmio(sena)próximo concurso: R$12.000.000,00.</t>
  </si>
  <si>
    <t xml:space="preserve">17/11/2001</t>
  </si>
  <si>
    <t xml:space="preserve">R$12.287,32</t>
  </si>
  <si>
    <t xml:space="preserve">R$205,42</t>
  </si>
  <si>
    <t xml:space="preserve">R$12.427.002,17</t>
  </si>
  <si>
    <t xml:space="preserve">Estimativa prêmio (sena) próximo concurso: R$14.000.000,00.</t>
  </si>
  <si>
    <t xml:space="preserve">21/11/2001</t>
  </si>
  <si>
    <t xml:space="preserve">R$13.675.105,67</t>
  </si>
  <si>
    <t xml:space="preserve">R$24.188,06</t>
  </si>
  <si>
    <t xml:space="preserve">R$225,35</t>
  </si>
  <si>
    <t xml:space="preserve">Estimativa de prêmio (SENA) próximo concurso: R$ 700.000,00.</t>
  </si>
  <si>
    <t xml:space="preserve">24/11/2001</t>
  </si>
  <si>
    <t xml:space="preserve">R$6.446,33</t>
  </si>
  <si>
    <t xml:space="preserve">R$163,18</t>
  </si>
  <si>
    <t xml:space="preserve">R$804.502,07</t>
  </si>
  <si>
    <t xml:space="preserve">Estimativa prêmio (sena) próximo concurso: R$1.300.000,00.</t>
  </si>
  <si>
    <t xml:space="preserve">28/11/2001</t>
  </si>
  <si>
    <t xml:space="preserve">R$18.858,99</t>
  </si>
  <si>
    <t xml:space="preserve">R$1.325.010,22</t>
  </si>
  <si>
    <t xml:space="preserve">Estimativa prêmio (SENA) próximo concurso: R$2.200.000,00.</t>
  </si>
  <si>
    <t xml:space="preserve">01/12/2001</t>
  </si>
  <si>
    <t xml:space="preserve">R$2.227.008,03</t>
  </si>
  <si>
    <t xml:space="preserve">R$16.340,54</t>
  </si>
  <si>
    <t xml:space="preserve">R$243,84</t>
  </si>
  <si>
    <t xml:space="preserve">Estimativa prêmio próximo concurso (sena) R$ 550 MIL.</t>
  </si>
  <si>
    <t xml:space="preserve">05/12/2001</t>
  </si>
  <si>
    <t xml:space="preserve">R$7.242,06</t>
  </si>
  <si>
    <t xml:space="preserve">R$112,26</t>
  </si>
  <si>
    <t xml:space="preserve">R$451.904,22</t>
  </si>
  <si>
    <t xml:space="preserve">ESTIMATIVA DE PRÊMIO (SENA) PRÓXIMO CONCURSO:R$8.000.000,00.</t>
  </si>
  <si>
    <t xml:space="preserve">08/12/2001</t>
  </si>
  <si>
    <t xml:space="preserve">R$15.489,00</t>
  </si>
  <si>
    <t xml:space="preserve">R$241,69</t>
  </si>
  <si>
    <t xml:space="preserve">R$8.460.390,65</t>
  </si>
  <si>
    <t xml:space="preserve">Estimativa de prêmio (SENA) próximo concurso: R$ 10.000.000,00.</t>
  </si>
  <si>
    <t xml:space="preserve">12/12/2001</t>
  </si>
  <si>
    <t xml:space="preserve">R$16.954,09</t>
  </si>
  <si>
    <t xml:space="preserve">R$249,11</t>
  </si>
  <si>
    <t xml:space="preserve">R$9.579.360,38</t>
  </si>
  <si>
    <t xml:space="preserve">Estimativa de prêmio (SENA) próximo concurso: R$ 11.000.000,00.</t>
  </si>
  <si>
    <t xml:space="preserve">15/12/2001</t>
  </si>
  <si>
    <t xml:space="preserve">R$15.453,45</t>
  </si>
  <si>
    <t xml:space="preserve">R$170,95</t>
  </si>
  <si>
    <t xml:space="preserve">R$11.192.700,36</t>
  </si>
  <si>
    <t xml:space="preserve">Estimativa de prêmio (SENA) próximo concurso: R$12.500.000,00.</t>
  </si>
  <si>
    <t xml:space="preserve">19/12/2001</t>
  </si>
  <si>
    <t xml:space="preserve">R$19.921,91</t>
  </si>
  <si>
    <t xml:space="preserve">R$261,89</t>
  </si>
  <si>
    <t xml:space="preserve">R$12.531.452,28</t>
  </si>
  <si>
    <t xml:space="preserve">Estimativa de prêmio (SENA) próximo concurso: R$14.000.000,00.</t>
  </si>
  <si>
    <t xml:space="preserve">22/12/2001</t>
  </si>
  <si>
    <t xml:space="preserve">R$7.938,40</t>
  </si>
  <si>
    <t xml:space="preserve">R$136,87</t>
  </si>
  <si>
    <t xml:space="preserve">R$14.541.455,70</t>
  </si>
  <si>
    <t xml:space="preserve">Estimativa de prêmio (SENA) próximo concurso: 17.000.000,00.</t>
  </si>
  <si>
    <t xml:space="preserve">29/12/2001</t>
  </si>
  <si>
    <t xml:space="preserve">AM; SP</t>
  </si>
  <si>
    <t xml:space="preserve">R$8.743.877,80</t>
  </si>
  <si>
    <t xml:space="preserve">R$9.590,82</t>
  </si>
  <si>
    <t xml:space="preserve">R$156,33</t>
  </si>
  <si>
    <t xml:space="preserve">Estimativa de prêmio (SENA) próximo concurso: R$1.200.000,00.</t>
  </si>
  <si>
    <t xml:space="preserve">05/01/2002</t>
  </si>
  <si>
    <t xml:space="preserve">R$32.367,36</t>
  </si>
  <si>
    <t xml:space="preserve">R$325,58</t>
  </si>
  <si>
    <t xml:space="preserve">R$1.048.702,44</t>
  </si>
  <si>
    <t xml:space="preserve">Estimativa de prêmio (SENA) próximo concurso: R$1.800.000,00.</t>
  </si>
  <si>
    <t xml:space="preserve">09/01/2002</t>
  </si>
  <si>
    <t xml:space="preserve">R$30.517,93</t>
  </si>
  <si>
    <t xml:space="preserve">R$230,33</t>
  </si>
  <si>
    <t xml:space="preserve">R$1.634.646,68</t>
  </si>
  <si>
    <t xml:space="preserve">Estimativa de prêmio (SENA) próximo concurso: R$2.600.000,00.</t>
  </si>
  <si>
    <t xml:space="preserve">12/01/2002</t>
  </si>
  <si>
    <t xml:space="preserve">R$2.721.357,01</t>
  </si>
  <si>
    <t xml:space="preserve">R$9.055,92</t>
  </si>
  <si>
    <t xml:space="preserve">R$126,69</t>
  </si>
  <si>
    <t xml:space="preserve">Estimativa prêmio próximo concurso (sena): R$ 550 MIL.</t>
  </si>
  <si>
    <t xml:space="preserve">16/01/2002</t>
  </si>
  <si>
    <t xml:space="preserve">R$10.380,30</t>
  </si>
  <si>
    <t xml:space="preserve">R$142,44</t>
  </si>
  <si>
    <t xml:space="preserve">R$9.617.027,24</t>
  </si>
  <si>
    <t xml:space="preserve">Estimativa de prêmio (SENA) próximo concurso: R$11.000.000,00 (ONZE MILHÕES!!!)</t>
  </si>
  <si>
    <t xml:space="preserve">19/01/2002</t>
  </si>
  <si>
    <t xml:space="preserve">R$10.924,51</t>
  </si>
  <si>
    <t xml:space="preserve">R$165,03</t>
  </si>
  <si>
    <t xml:space="preserve">R$11.190.156,01</t>
  </si>
  <si>
    <t xml:space="preserve">Estimativa de prêmio (SENA) próximo concurso: R$13.000.000,00 (TREZE MILHÕES).</t>
  </si>
  <si>
    <t xml:space="preserve">23/01/2002</t>
  </si>
  <si>
    <t xml:space="preserve">R$13.872,44</t>
  </si>
  <si>
    <t xml:space="preserve">R$150,97</t>
  </si>
  <si>
    <t xml:space="preserve">R$12.355.441,42</t>
  </si>
  <si>
    <t xml:space="preserve">Estimativa de prêmio (SENA) próximo concurso: R$15.000.000,00 (QUINZE MILHÕES!!!)</t>
  </si>
  <si>
    <t xml:space="preserve">26/01/2002</t>
  </si>
  <si>
    <t xml:space="preserve">R$16.762,69</t>
  </si>
  <si>
    <t xml:space="preserve">R$206,47</t>
  </si>
  <si>
    <t xml:space="preserve">R$14.025.004,81</t>
  </si>
  <si>
    <t xml:space="preserve">Estimativa de prêmio (SENA) próximo concurso: R$16.000.000,00 (DEZESSEIS MILHÕES!!!).</t>
  </si>
  <si>
    <t xml:space="preserve">30/01/2002</t>
  </si>
  <si>
    <t xml:space="preserve">R$12.692,31</t>
  </si>
  <si>
    <t xml:space="preserve">R$189,02</t>
  </si>
  <si>
    <t xml:space="preserve">R$15.441.466,12</t>
  </si>
  <si>
    <t xml:space="preserve">Estimativa de prêmio (SENA) próximo concurso: R$17.000.000,00 (DEZESSETE MILHÕES!!).</t>
  </si>
  <si>
    <t xml:space="preserve">02/02/2002</t>
  </si>
  <si>
    <t xml:space="preserve">R$8.729.392,91</t>
  </si>
  <si>
    <t xml:space="preserve">R$1.400,91</t>
  </si>
  <si>
    <t xml:space="preserve">R$189,47</t>
  </si>
  <si>
    <t xml:space="preserve">Estimativa de prêmio (SENA) próximo concurso: R$600.000,00.</t>
  </si>
  <si>
    <t xml:space="preserve">06/02/2002</t>
  </si>
  <si>
    <t xml:space="preserve">R$17.736,83</t>
  </si>
  <si>
    <t xml:space="preserve">R$198,73</t>
  </si>
  <si>
    <t xml:space="preserve">R$510.820,70</t>
  </si>
  <si>
    <t xml:space="preserve">Estimativa de prêmio (SENA) próximo concurso: R$1.100.000,00.</t>
  </si>
  <si>
    <t xml:space="preserve">09/02/2002</t>
  </si>
  <si>
    <t xml:space="preserve">R$11.058,60</t>
  </si>
  <si>
    <t xml:space="preserve">R$180,91</t>
  </si>
  <si>
    <t xml:space="preserve">R$1.413.202,70</t>
  </si>
  <si>
    <t xml:space="preserve">Estimativa de prêmio(SENA)para o próximo concurso: R$ 2.500.000,00</t>
  </si>
  <si>
    <t xml:space="preserve">16/02/2002</t>
  </si>
  <si>
    <t xml:space="preserve">R$27.110,52</t>
  </si>
  <si>
    <t xml:space="preserve">R$265,86</t>
  </si>
  <si>
    <t xml:space="preserve">R$2.519.311,97</t>
  </si>
  <si>
    <t xml:space="preserve">Estimativa de prêmio (SENA) próximo concurso: R$3.500.000,00.</t>
  </si>
  <si>
    <t xml:space="preserve">20/02/2002</t>
  </si>
  <si>
    <t xml:space="preserve">R$14.031,02</t>
  </si>
  <si>
    <t xml:space="preserve">R$185,23</t>
  </si>
  <si>
    <t xml:space="preserve">R$3.243.312,50</t>
  </si>
  <si>
    <t xml:space="preserve">Estimativa de prêmio (SENA) próximo concurso: R$4.200.000,00.</t>
  </si>
  <si>
    <t xml:space="preserve">23/02/2002</t>
  </si>
  <si>
    <t xml:space="preserve">R$12.374,85</t>
  </si>
  <si>
    <t xml:space="preserve">R$135,64</t>
  </si>
  <si>
    <t xml:space="preserve">R$12.514.336,94</t>
  </si>
  <si>
    <t xml:space="preserve">Estimativa de prêmio (SENA) próximo concurso: R$14.000.000,00 (QUATORZE MILHÕES!!).</t>
  </si>
  <si>
    <t xml:space="preserve">27/02/2002</t>
  </si>
  <si>
    <t xml:space="preserve">R$9.877,84</t>
  </si>
  <si>
    <t xml:space="preserve">R$170,83</t>
  </si>
  <si>
    <t xml:space="preserve">R$13.948.598,35</t>
  </si>
  <si>
    <t xml:space="preserve">Estimativa de prêmio (SENA) próximo concurso: R$16.000.000,00 (DEZESSEIS MILHÕES!!).</t>
  </si>
  <si>
    <t xml:space="preserve">02/03/2002</t>
  </si>
  <si>
    <t xml:space="preserve">R$9.623,14</t>
  </si>
  <si>
    <t xml:space="preserve">R$143,34</t>
  </si>
  <si>
    <t xml:space="preserve">R$15.865.526,88</t>
  </si>
  <si>
    <t xml:space="preserve">Estimativa de prêmio (SENA) próximo concurso: R$18.000.000,00 (DEZOITO MILHÕES!!).</t>
  </si>
  <si>
    <t xml:space="preserve">06/03/2002</t>
  </si>
  <si>
    <t xml:space="preserve">R$15.067,81</t>
  </si>
  <si>
    <t xml:space="preserve">R$17.547.094,93</t>
  </si>
  <si>
    <t xml:space="preserve">Estimativa de prêmio (SENA) próximo concurso: R$20.000.000,00.</t>
  </si>
  <si>
    <t xml:space="preserve">09/03/2002</t>
  </si>
  <si>
    <t xml:space="preserve">PR; RJ</t>
  </si>
  <si>
    <t xml:space="preserve">R$9.937.283,03</t>
  </si>
  <si>
    <t xml:space="preserve">R$7.884,39</t>
  </si>
  <si>
    <t xml:space="preserve">R$113,51</t>
  </si>
  <si>
    <t xml:space="preserve">13/03/2002</t>
  </si>
  <si>
    <t xml:space="preserve">R$9.494,33</t>
  </si>
  <si>
    <t xml:space="preserve">R$124,78</t>
  </si>
  <si>
    <t xml:space="preserve">R$524.086,97</t>
  </si>
  <si>
    <t xml:space="preserve">Estimativa de prêmio (SENA) próximo concurso: R$1.300.000,00.</t>
  </si>
  <si>
    <t xml:space="preserve">16/03/2002</t>
  </si>
  <si>
    <t xml:space="preserve">R$1.447.870,53</t>
  </si>
  <si>
    <t xml:space="preserve">R$28.511,84</t>
  </si>
  <si>
    <t xml:space="preserve">R$353,42</t>
  </si>
  <si>
    <t xml:space="preserve">Estimativa prêmio próximo concurso (Sena) R$ 550.000,00.</t>
  </si>
  <si>
    <t xml:space="preserve">20/03/2002</t>
  </si>
  <si>
    <t xml:space="preserve">R$19.632,30</t>
  </si>
  <si>
    <t xml:space="preserve">R$246,17</t>
  </si>
  <si>
    <t xml:space="preserve">R$471.175,04</t>
  </si>
  <si>
    <t xml:space="preserve">23/03/2002</t>
  </si>
  <si>
    <t xml:space="preserve">R$9.988,89</t>
  </si>
  <si>
    <t xml:space="preserve">R$151,48</t>
  </si>
  <si>
    <t xml:space="preserve">R$1.334.215,32</t>
  </si>
  <si>
    <t xml:space="preserve">Estimativa de prêmio (SENA) próximo concurso: R$2.000.000,00.</t>
  </si>
  <si>
    <t xml:space="preserve">27/03/2002</t>
  </si>
  <si>
    <t xml:space="preserve">R$26.763,06</t>
  </si>
  <si>
    <t xml:space="preserve">R$327,46</t>
  </si>
  <si>
    <t xml:space="preserve">R$1.944.413,01</t>
  </si>
  <si>
    <t xml:space="preserve">Estimativa de prêmio (SENA) próximo concurso: R$2.700.000,00.</t>
  </si>
  <si>
    <t xml:space="preserve">30/03/2002</t>
  </si>
  <si>
    <t xml:space="preserve">R$14.053,06</t>
  </si>
  <si>
    <t xml:space="preserve">R$197,31</t>
  </si>
  <si>
    <t xml:space="preserve">R$10.405.636,15</t>
  </si>
  <si>
    <t xml:space="preserve">Estimativa de prêmio (SENA) próximo concurso: R$11.500.000,00</t>
  </si>
  <si>
    <t xml:space="preserve">03/04/2002</t>
  </si>
  <si>
    <t xml:space="preserve">R$11.801,82</t>
  </si>
  <si>
    <t xml:space="preserve">R$187,66</t>
  </si>
  <si>
    <t xml:space="preserve">R$11.538.610,20</t>
  </si>
  <si>
    <t xml:space="preserve">Estimativa de prêmio (SENA) próximo concurso: R$13.000.000,00 (TREZE MILHÕES!!!)</t>
  </si>
  <si>
    <t xml:space="preserve">06/04/2002</t>
  </si>
  <si>
    <t xml:space="preserve">R$14.478,34</t>
  </si>
  <si>
    <t xml:space="preserve">R$242,37</t>
  </si>
  <si>
    <t xml:space="preserve">R$13.241.262,56</t>
  </si>
  <si>
    <t xml:space="preserve">Estimativa de prêmio (SENA) próximo concurso: R$15.000.000,00 (QUINZE MILHÕES!!!).</t>
  </si>
  <si>
    <t xml:space="preserve">10/04/2002</t>
  </si>
  <si>
    <t xml:space="preserve">R$7.848,74</t>
  </si>
  <si>
    <t xml:space="preserve">R$155,80</t>
  </si>
  <si>
    <t xml:space="preserve">R$14.757.638,49</t>
  </si>
  <si>
    <t xml:space="preserve">Estimativa de prêmio (SENA) próximo concurso: R$17.000.000,00 (DEZESSETE MILHÕES!!!).</t>
  </si>
  <si>
    <t xml:space="preserve">13/04/2002</t>
  </si>
  <si>
    <t xml:space="preserve">R$19.537,11</t>
  </si>
  <si>
    <t xml:space="preserve">R$252,44</t>
  </si>
  <si>
    <t xml:space="preserve">R$16.844.201,81</t>
  </si>
  <si>
    <t xml:space="preserve">Estimativa de prêmio (SENA) próximo concurso: R$19.000.000,00 (DEZENOVE MILHÕES!!!).</t>
  </si>
  <si>
    <t xml:space="preserve">17/04/2002</t>
  </si>
  <si>
    <t xml:space="preserve">R$18.680.098,10</t>
  </si>
  <si>
    <t xml:space="preserve">R$16.450,68</t>
  </si>
  <si>
    <t xml:space="preserve">R$246,46</t>
  </si>
  <si>
    <t xml:space="preserve">Estimativa de prêmio (SENA) próximo concurso: R$550.000,00.</t>
  </si>
  <si>
    <t xml:space="preserve">20/04/2002</t>
  </si>
  <si>
    <t xml:space="preserve">R$14.412,47</t>
  </si>
  <si>
    <t xml:space="preserve">R$152,39</t>
  </si>
  <si>
    <t xml:space="preserve">R$864.747,94</t>
  </si>
  <si>
    <t xml:space="preserve">Estimativa de prêmio (SENA) próximo concurso: R$1.400.000,00.</t>
  </si>
  <si>
    <t xml:space="preserve">24/04/2002</t>
  </si>
  <si>
    <t xml:space="preserve">R$15.777,72</t>
  </si>
  <si>
    <t xml:space="preserve">R$208,28</t>
  </si>
  <si>
    <t xml:space="preserve">R$1.470.612,40</t>
  </si>
  <si>
    <t xml:space="preserve">Estimativa de prêmio (SENA) próximo concurso: R$2.200.000,00.</t>
  </si>
  <si>
    <t xml:space="preserve">27/04/2002</t>
  </si>
  <si>
    <t xml:space="preserve">R$23.899,52</t>
  </si>
  <si>
    <t xml:space="preserve">R$247,94</t>
  </si>
  <si>
    <t xml:space="preserve">R$2.445.712,66</t>
  </si>
  <si>
    <t xml:space="preserve">Estimativa de prêmio (SENA) PRÓXIMO CONCURSO: R$3.800.000,00.</t>
  </si>
  <si>
    <t xml:space="preserve">04/05/2002</t>
  </si>
  <si>
    <t xml:space="preserve">R$12.903,06</t>
  </si>
  <si>
    <t xml:space="preserve">R$186,23</t>
  </si>
  <si>
    <t xml:space="preserve">R$3.746.340,86</t>
  </si>
  <si>
    <t xml:space="preserve">Estimativa de prêmio (SENA) próximo concurso: R$ 4.600.000,00.</t>
  </si>
  <si>
    <t xml:space="preserve">08/05/2002</t>
  </si>
  <si>
    <t xml:space="preserve">R$13.050,25</t>
  </si>
  <si>
    <t xml:space="preserve">R$184,17</t>
  </si>
  <si>
    <t xml:space="preserve">R$13.221.837,92</t>
  </si>
  <si>
    <t xml:space="preserve">Estimativa de prêmio (SENA) próximo concurso: R$14.600.000,00.</t>
  </si>
  <si>
    <t xml:space="preserve">11/05/2002</t>
  </si>
  <si>
    <t xml:space="preserve">R$10.645,79</t>
  </si>
  <si>
    <t xml:space="preserve">R$168,28</t>
  </si>
  <si>
    <t xml:space="preserve">R$14.920.906,83</t>
  </si>
  <si>
    <t xml:space="preserve">Estimativa de prêmio (SENA) próximo concurso: R$16.300.000,00</t>
  </si>
  <si>
    <t xml:space="preserve">15/05/2002</t>
  </si>
  <si>
    <t xml:space="preserve">R$12.456,14</t>
  </si>
  <si>
    <t xml:space="preserve">R$232,26</t>
  </si>
  <si>
    <t xml:space="preserve">R$16.385.748,75</t>
  </si>
  <si>
    <t xml:space="preserve">Estimativa de prêmio (SENA) próx concurso: R$18.500.000,00</t>
  </si>
  <si>
    <t xml:space="preserve">18/05/2002</t>
  </si>
  <si>
    <t xml:space="preserve">R$18.399.160,53</t>
  </si>
  <si>
    <t xml:space="preserve">R$15.253,12</t>
  </si>
  <si>
    <t xml:space="preserve">R$201,08</t>
  </si>
  <si>
    <t xml:space="preserve">Estimativa prêmio próximo concurso (sena): R$ 600 MIL.</t>
  </si>
  <si>
    <t xml:space="preserve">22/05/2002</t>
  </si>
  <si>
    <t xml:space="preserve">R$14.921,89</t>
  </si>
  <si>
    <t xml:space="preserve">R$180,39</t>
  </si>
  <si>
    <t xml:space="preserve">R$483.469,12</t>
  </si>
  <si>
    <t xml:space="preserve">25/05/2002</t>
  </si>
  <si>
    <t xml:space="preserve">SC</t>
  </si>
  <si>
    <t xml:space="preserve">R$1.307.293,04</t>
  </si>
  <si>
    <t xml:space="preserve">R$9.033,16</t>
  </si>
  <si>
    <t xml:space="preserve">R$206,32</t>
  </si>
  <si>
    <t xml:space="preserve">Estimativa de prêmio (SENA) próximo concurso: R$550.000,00. O ganhador da SENA é de Jaraguá do Sul/SC.</t>
  </si>
  <si>
    <t xml:space="preserve">29/05/2002</t>
  </si>
  <si>
    <t xml:space="preserve">R$462.752,26</t>
  </si>
  <si>
    <t xml:space="preserve">R$8.569,49</t>
  </si>
  <si>
    <t xml:space="preserve">R$157,90</t>
  </si>
  <si>
    <t xml:space="preserve">Estimativa de prêmio (SENA) próximo concurso: R$550.000,00. O ganhador da SENA é de Paracatu/MG.</t>
  </si>
  <si>
    <t xml:space="preserve">01/06/2002</t>
  </si>
  <si>
    <t xml:space="preserve">R$12.721,16</t>
  </si>
  <si>
    <t xml:space="preserve">R$148,93</t>
  </si>
  <si>
    <t xml:space="preserve">R$625.880,91</t>
  </si>
  <si>
    <t xml:space="preserve">05/06/2002</t>
  </si>
  <si>
    <t xml:space="preserve">R$1.150.498,02</t>
  </si>
  <si>
    <t xml:space="preserve">R$6.157,48</t>
  </si>
  <si>
    <t xml:space="preserve">R$143,27</t>
  </si>
  <si>
    <t xml:space="preserve">Estimativa de prêmio (SENA) próximo concurso: R$550.000,00. O ganhador da sena é de Salvador/BA.</t>
  </si>
  <si>
    <t xml:space="preserve">08/06/2002</t>
  </si>
  <si>
    <t xml:space="preserve">R$10.725,28</t>
  </si>
  <si>
    <t xml:space="preserve">R$175,87</t>
  </si>
  <si>
    <t xml:space="preserve">R$682.127,44</t>
  </si>
  <si>
    <t xml:space="preserve">Estimativa de prêmio (SENA)próximo concurso: R$ 1.300.000,00.</t>
  </si>
  <si>
    <t xml:space="preserve">12/06/2002</t>
  </si>
  <si>
    <t xml:space="preserve">CE</t>
  </si>
  <si>
    <t xml:space="preserve">R$1.221.738,07</t>
  </si>
  <si>
    <t xml:space="preserve">R$9.775,55</t>
  </si>
  <si>
    <t xml:space="preserve">R$107,51</t>
  </si>
  <si>
    <t xml:space="preserve">Estimativa de prêmio (SENA) próximo concurso: R$7.200.000,00. O acertador da SENA é de Fortaleza/CE.</t>
  </si>
  <si>
    <t xml:space="preserve">15/06/2002</t>
  </si>
  <si>
    <t xml:space="preserve">R$23.283,30</t>
  </si>
  <si>
    <t xml:space="preserve">R$287,25</t>
  </si>
  <si>
    <t xml:space="preserve">R$7.330.667,64</t>
  </si>
  <si>
    <t xml:space="preserve">Estimativa de prêmio (SENA) próximo concurso: R$8.500.000,00.</t>
  </si>
  <si>
    <t xml:space="preserve">19/06/2002</t>
  </si>
  <si>
    <t xml:space="preserve">R$16.675,12</t>
  </si>
  <si>
    <t xml:space="preserve">R$196,23</t>
  </si>
  <si>
    <t xml:space="preserve">R$8.271.144,70</t>
  </si>
  <si>
    <t xml:space="preserve">Estimativa de prêmio (SENA) próximo concurso: R$9.600.000,00.</t>
  </si>
  <si>
    <t xml:space="preserve">22/06/2002</t>
  </si>
  <si>
    <t xml:space="preserve">R$4.792.658,35</t>
  </si>
  <si>
    <t xml:space="preserve">R$12.884,04</t>
  </si>
  <si>
    <t xml:space="preserve">R$161,80</t>
  </si>
  <si>
    <t xml:space="preserve">Estimativa de prêmio (SENA) próximo concurso: R$600.000,00 . Os ganhadores da SENA são de Vinhedo/SP.</t>
  </si>
  <si>
    <t xml:space="preserve">26/06/2002</t>
  </si>
  <si>
    <t xml:space="preserve">R$6.480,14</t>
  </si>
  <si>
    <t xml:space="preserve">R$101,98</t>
  </si>
  <si>
    <t xml:space="preserve">R$404.360,65</t>
  </si>
  <si>
    <t xml:space="preserve">Estimativa de prêmio (SENA) próximo concurso: R$1.100.000,00</t>
  </si>
  <si>
    <t xml:space="preserve">29/06/2002</t>
  </si>
  <si>
    <t xml:space="preserve">R$8.073,17</t>
  </si>
  <si>
    <t xml:space="preserve">R$193,45</t>
  </si>
  <si>
    <t xml:space="preserve">R$1.179.384,47</t>
  </si>
  <si>
    <t xml:space="preserve">Estimativa de prêmio (SENA) próximo concurso: R$1.700.000,00.</t>
  </si>
  <si>
    <t xml:space="preserve">03/07/2002</t>
  </si>
  <si>
    <t xml:space="preserve">R$14.359,09</t>
  </si>
  <si>
    <t xml:space="preserve">R$200,11</t>
  </si>
  <si>
    <t xml:space="preserve">R$1.748.004,50</t>
  </si>
  <si>
    <t xml:space="preserve">06/07/2002</t>
  </si>
  <si>
    <t xml:space="preserve">R$7.257,00</t>
  </si>
  <si>
    <t xml:space="preserve">R$114,33</t>
  </si>
  <si>
    <t xml:space="preserve">R$2.705.928,72</t>
  </si>
  <si>
    <t xml:space="preserve">10/07/2002</t>
  </si>
  <si>
    <t xml:space="preserve">R$6.639,02</t>
  </si>
  <si>
    <t xml:space="preserve">R$105,23</t>
  </si>
  <si>
    <t xml:space="preserve">R$3.399.042,30</t>
  </si>
  <si>
    <t xml:space="preserve">13/07/2002</t>
  </si>
  <si>
    <t xml:space="preserve">R$25.450,60</t>
  </si>
  <si>
    <t xml:space="preserve">R$293,02</t>
  </si>
  <si>
    <t xml:space="preserve">R$4.498.508,08</t>
  </si>
  <si>
    <t xml:space="preserve">Estimativa de prêmio (SENA) próximo concurso: R$5.400.000,00.</t>
  </si>
  <si>
    <t xml:space="preserve">17/07/2002</t>
  </si>
  <si>
    <t xml:space="preserve">R$23.407,93</t>
  </si>
  <si>
    <t xml:space="preserve">R$263,68</t>
  </si>
  <si>
    <t xml:space="preserve">R$11.243.785,66</t>
  </si>
  <si>
    <t xml:space="preserve">Estimativa de prêmio (SENA) próximo concurso: R$13.000.000,00. (TREZE MILHÕES!!!)</t>
  </si>
  <si>
    <t xml:space="preserve">20/07/2002</t>
  </si>
  <si>
    <t xml:space="preserve">R$6.628,67</t>
  </si>
  <si>
    <t xml:space="preserve">R$189,31</t>
  </si>
  <si>
    <t xml:space="preserve">R$12.882.392,95</t>
  </si>
  <si>
    <t xml:space="preserve">Estimativa de prêmio (SENA) próximo concurso: R$14.500.000,00 (QUATORZE MILHÕES E QUINHENTOS MIL REAIS!!!).</t>
  </si>
  <si>
    <t xml:space="preserve">24/07/2002</t>
  </si>
  <si>
    <t xml:space="preserve">R$14.181,19</t>
  </si>
  <si>
    <t xml:space="preserve">R$164,62</t>
  </si>
  <si>
    <t xml:space="preserve">R$14.328.873,76</t>
  </si>
  <si>
    <t xml:space="preserve">Estimativa de prêmio (SENA) próximo concurso: R$16.000.000,00 (DEZESSEIS MILHÕES).</t>
  </si>
  <si>
    <t xml:space="preserve">27/07/2002</t>
  </si>
  <si>
    <t xml:space="preserve">R$23.756,27</t>
  </si>
  <si>
    <t xml:space="preserve">R$255,82</t>
  </si>
  <si>
    <t xml:space="preserve">R$16.267.384,96</t>
  </si>
  <si>
    <t xml:space="preserve">Estimativa de prêmio (SENA) próximo concurso: R$18.000.000,00 (DEZOITO MILHÕES!!!).</t>
  </si>
  <si>
    <t xml:space="preserve">31/07/2002</t>
  </si>
  <si>
    <t xml:space="preserve">R$23.753,43</t>
  </si>
  <si>
    <t xml:space="preserve">R$262,81</t>
  </si>
  <si>
    <t xml:space="preserve">R$18.348.185,45</t>
  </si>
  <si>
    <t xml:space="preserve">Estimativa de prêmio (SENA) próximo concurso: R$21.000.000,00 (VINTE E UM MILHÕES!!!).</t>
  </si>
  <si>
    <t xml:space="preserve">03/08/2002</t>
  </si>
  <si>
    <t xml:space="preserve">R$18.351,99</t>
  </si>
  <si>
    <t xml:space="preserve">R$259,37</t>
  </si>
  <si>
    <t xml:space="preserve">R$21.673.565,65</t>
  </si>
  <si>
    <t xml:space="preserve">Estimativa de prêmio para o próximo concurso (SENA): R$ 25.000.000,00 (Vinte e cinco milhões).</t>
  </si>
  <si>
    <t xml:space="preserve">07/08/2002</t>
  </si>
  <si>
    <t xml:space="preserve">DF; MG</t>
  </si>
  <si>
    <t xml:space="preserve">R$12.952.192,89</t>
  </si>
  <si>
    <t xml:space="preserve">R$4.645,17</t>
  </si>
  <si>
    <t xml:space="preserve">R$93,80</t>
  </si>
  <si>
    <t xml:space="preserve">Estimativa de prêmio ( SENA ) próximo concurso: R$550.000,00. Os ganhadores da (SENA) são de João Pinheiro/MG e Brasília/DF.</t>
  </si>
  <si>
    <t xml:space="preserve">10/08/2002</t>
  </si>
  <si>
    <t xml:space="preserve">R$11.571,98</t>
  </si>
  <si>
    <t xml:space="preserve">R$154,12</t>
  </si>
  <si>
    <t xml:space="preserve">R$972.045,86</t>
  </si>
  <si>
    <t xml:space="preserve">Estimativa de prêmio (SENA) próximo concurso:R$1.700.000,00.</t>
  </si>
  <si>
    <t xml:space="preserve">14/08/2002</t>
  </si>
  <si>
    <t xml:space="preserve">R$14.937,65</t>
  </si>
  <si>
    <t xml:space="preserve">R$198,55</t>
  </si>
  <si>
    <t xml:space="preserve">R$1.689.053,37</t>
  </si>
  <si>
    <t xml:space="preserve">17/08/2002</t>
  </si>
  <si>
    <t xml:space="preserve">R$18.826,46</t>
  </si>
  <si>
    <t xml:space="preserve">R$200,97</t>
  </si>
  <si>
    <t xml:space="preserve">R$2.728.273,75</t>
  </si>
  <si>
    <t xml:space="preserve">Estimativa de prêmio (SENA) próximo concurso: R$3.700.000,00.</t>
  </si>
  <si>
    <t xml:space="preserve">21/08/2002</t>
  </si>
  <si>
    <t xml:space="preserve">R$11.305,19</t>
  </si>
  <si>
    <t xml:space="preserve">R$170,20</t>
  </si>
  <si>
    <t xml:space="preserve">R$15.745.310,46</t>
  </si>
  <si>
    <t xml:space="preserve">24/08/2002</t>
  </si>
  <si>
    <t xml:space="preserve">R$17.611.429,97</t>
  </si>
  <si>
    <t xml:space="preserve">R$9.094,15</t>
  </si>
  <si>
    <t xml:space="preserve">R$144,49</t>
  </si>
  <si>
    <t xml:space="preserve">ESTIMATIVA DE PRÊMIO PARA O PRÓXIMO CONCURSO (SENA): R$ 600.000,00.</t>
  </si>
  <si>
    <t xml:space="preserve">28/08/2002</t>
  </si>
  <si>
    <t xml:space="preserve">R$10.170,35</t>
  </si>
  <si>
    <t xml:space="preserve">R$162,70</t>
  </si>
  <si>
    <t xml:space="preserve">R$536.994,30</t>
  </si>
  <si>
    <t xml:space="preserve">Estimativa de prêmio (SENA) próximo concurso: R$1.300.000,00</t>
  </si>
  <si>
    <t xml:space="preserve">31/08/2002</t>
  </si>
  <si>
    <t xml:space="preserve">R$1.410.917,29</t>
  </si>
  <si>
    <t xml:space="preserve">R$10.709,84</t>
  </si>
  <si>
    <t xml:space="preserve">R$202,03</t>
  </si>
  <si>
    <t xml:space="preserve">Estimativa de prêmio (SENA) próximo concurso:R$550.000,00.</t>
  </si>
  <si>
    <t xml:space="preserve">04/09/2002</t>
  </si>
  <si>
    <t xml:space="preserve">R$13.716,51</t>
  </si>
  <si>
    <t xml:space="preserve">R$217,35</t>
  </si>
  <si>
    <t xml:space="preserve">R$510.254,22</t>
  </si>
  <si>
    <t xml:space="preserve">07/09/2002</t>
  </si>
  <si>
    <t xml:space="preserve">R$11.817,80</t>
  </si>
  <si>
    <t xml:space="preserve">R$114,93</t>
  </si>
  <si>
    <t xml:space="preserve">R$1.176.778,31</t>
  </si>
  <si>
    <t xml:space="preserve">11/09/2002</t>
  </si>
  <si>
    <t xml:space="preserve">DF</t>
  </si>
  <si>
    <t xml:space="preserve">R$1.843.709,96</t>
  </si>
  <si>
    <t xml:space="preserve">R$20.584,31</t>
  </si>
  <si>
    <t xml:space="preserve">R$237,84</t>
  </si>
  <si>
    <t xml:space="preserve">Estimativa de prêmio (SENA) próximo concurso: R$800.000,00.</t>
  </si>
  <si>
    <t xml:space="preserve">14/09/2002</t>
  </si>
  <si>
    <t xml:space="preserve">R$10.148,72</t>
  </si>
  <si>
    <t xml:space="preserve">R$151,63</t>
  </si>
  <si>
    <t xml:space="preserve">R$767.243,59</t>
  </si>
  <si>
    <t xml:space="preserve">Estimativa de prêmio (MEGA) próximo concurso: R$1.500.000,00.</t>
  </si>
  <si>
    <t xml:space="preserve">18/09/2002</t>
  </si>
  <si>
    <t xml:space="preserve">R$7.992,42</t>
  </si>
  <si>
    <t xml:space="preserve">R$120,64</t>
  </si>
  <si>
    <t xml:space="preserve">R$1.352.288,49</t>
  </si>
  <si>
    <t xml:space="preserve">Estimativa de prêmio ( SENA ) próximo concurso R$2.300.000,00.</t>
  </si>
  <si>
    <t xml:space="preserve">21/09/2002</t>
  </si>
  <si>
    <t xml:space="preserve">R$2.221.289,77</t>
  </si>
  <si>
    <t xml:space="preserve">R$11.494,73</t>
  </si>
  <si>
    <t xml:space="preserve">R$141,29</t>
  </si>
  <si>
    <t xml:space="preserve">25/09/2002</t>
  </si>
  <si>
    <t xml:space="preserve">R$19.537,00</t>
  </si>
  <si>
    <t xml:space="preserve">R$225,01</t>
  </si>
  <si>
    <t xml:space="preserve">R$5.676.171,41</t>
  </si>
  <si>
    <t xml:space="preserve">Estimativa de prêmio (SENA) próximo concurso: R$7.000.000,00.</t>
  </si>
  <si>
    <t xml:space="preserve">28/09/2002</t>
  </si>
  <si>
    <t xml:space="preserve">R$13.254,18</t>
  </si>
  <si>
    <t xml:space="preserve">R$203,14</t>
  </si>
  <si>
    <t xml:space="preserve">R$6.869.047,91</t>
  </si>
  <si>
    <t xml:space="preserve">Estimativa de prêmio (SENA) próximo concurso R$8.500.000,00.</t>
  </si>
  <si>
    <t xml:space="preserve">02/10/2002</t>
  </si>
  <si>
    <t xml:space="preserve">R$25.008,64</t>
  </si>
  <si>
    <t xml:space="preserve">R$288,18</t>
  </si>
  <si>
    <t xml:space="preserve">R$7.859.389,89</t>
  </si>
  <si>
    <t xml:space="preserve">Estimativa de prêmio (SENA) próximo concurso: R$9.300.000,00</t>
  </si>
  <si>
    <t xml:space="preserve">05/10/2002</t>
  </si>
  <si>
    <t xml:space="preserve">R$7.927,99</t>
  </si>
  <si>
    <t xml:space="preserve">R$148,08</t>
  </si>
  <si>
    <t xml:space="preserve">R$9.248.373,54</t>
  </si>
  <si>
    <t xml:space="preserve">Estimativa de prêmio (SENA) próximo concurso: R$10.500.000,00.</t>
  </si>
  <si>
    <t xml:space="preserve">09/10/2002</t>
  </si>
  <si>
    <t xml:space="preserve">R$19.972,95</t>
  </si>
  <si>
    <t xml:space="preserve">R$233,01</t>
  </si>
  <si>
    <t xml:space="preserve">R$10.398.815,28</t>
  </si>
  <si>
    <t xml:space="preserve">Estimativa de prêmio (SENA) próximo concurso: R$12.000.000,00 (DOZE MILHÕES!!!).</t>
  </si>
  <si>
    <t xml:space="preserve">12/10/2002</t>
  </si>
  <si>
    <t xml:space="preserve">R$16.580,07</t>
  </si>
  <si>
    <t xml:space="preserve">R$249,80</t>
  </si>
  <si>
    <t xml:space="preserve">R$11.711.956,93</t>
  </si>
  <si>
    <t xml:space="preserve">Estimativa de prêmio (SENA) próximo concurso: R$13.200.000,00 (TREZE MILHÕES E DUZENTOS MIL REAIS!!!).</t>
  </si>
  <si>
    <t xml:space="preserve">16/10/2002</t>
  </si>
  <si>
    <t xml:space="preserve">R$16.988,17</t>
  </si>
  <si>
    <t xml:space="preserve">R$247,63</t>
  </si>
  <si>
    <t xml:space="preserve">R$13.077.805,76</t>
  </si>
  <si>
    <t xml:space="preserve">Estimativa de prêmio (SENA) próximo concurso: R$ 15.000.000,00.</t>
  </si>
  <si>
    <t xml:space="preserve">19/10/2002</t>
  </si>
  <si>
    <t xml:space="preserve">R$19.463,48</t>
  </si>
  <si>
    <t xml:space="preserve">R$230,66</t>
  </si>
  <si>
    <t xml:space="preserve">R$14.899.587,92</t>
  </si>
  <si>
    <t xml:space="preserve">Estimativa de prêmio (SENA) próximo concurso: R$17.000.000,00.</t>
  </si>
  <si>
    <t xml:space="preserve">23/10/2002</t>
  </si>
  <si>
    <t xml:space="preserve">R$16.315,38</t>
  </si>
  <si>
    <t xml:space="preserve">R$229,18</t>
  </si>
  <si>
    <t xml:space="preserve">R$16.661.649,27</t>
  </si>
  <si>
    <t xml:space="preserve">Estimativa de prêmio (SENA) próximo concurso: R$19.000.000,00.</t>
  </si>
  <si>
    <t xml:space="preserve">26/10/2002</t>
  </si>
  <si>
    <t xml:space="preserve">R$18.948.827,67</t>
  </si>
  <si>
    <t xml:space="preserve">R$7.085,43</t>
  </si>
  <si>
    <t xml:space="preserve">R$135,92</t>
  </si>
  <si>
    <t xml:space="preserve">30/10/2002</t>
  </si>
  <si>
    <t xml:space="preserve">R$18.741,96</t>
  </si>
  <si>
    <t xml:space="preserve">R$219,32</t>
  </si>
  <si>
    <t xml:space="preserve">R$9.710.567,61</t>
  </si>
  <si>
    <t xml:space="preserve">Estimativa de prêmio (SENA) próximo concurso: R$11.000.000,00 (ONZE MILHÕES!!!).</t>
  </si>
  <si>
    <t xml:space="preserve">02/11/2002</t>
  </si>
  <si>
    <t xml:space="preserve">R$10.257,12</t>
  </si>
  <si>
    <t xml:space="preserve">R$10.953.730,37</t>
  </si>
  <si>
    <t xml:space="preserve">Estimativa de prêmio (SENA) próximo concurso: R$12.500.000,00 (DOZE MILHÕES E QUINHENTOS MIL REAIS!!!).</t>
  </si>
  <si>
    <t xml:space="preserve">06/11/2002</t>
  </si>
  <si>
    <t xml:space="preserve">R$11.814,39</t>
  </si>
  <si>
    <t xml:space="preserve">R$209,40</t>
  </si>
  <si>
    <t xml:space="preserve">R$12.243.861,06</t>
  </si>
  <si>
    <t xml:space="preserve">Estimativa de prêmio (SENA) próximo concurso: R$14.000.000,00 (QUATORZE MILHÕES!!!).</t>
  </si>
  <si>
    <t xml:space="preserve">09/11/2002</t>
  </si>
  <si>
    <t xml:space="preserve">R$16.616,72</t>
  </si>
  <si>
    <t xml:space="preserve">R$172,49</t>
  </si>
  <si>
    <t xml:space="preserve">R$14.018.527,28</t>
  </si>
  <si>
    <t xml:space="preserve">13/11/2002</t>
  </si>
  <si>
    <t xml:space="preserve">R$13.376,53</t>
  </si>
  <si>
    <t xml:space="preserve">R$175,49</t>
  </si>
  <si>
    <t xml:space="preserve">R$15.655.814,53</t>
  </si>
  <si>
    <t xml:space="preserve">Estimativa de prêmio (SENA) proóximo concurso: R$18.000.000,00.</t>
  </si>
  <si>
    <t xml:space="preserve">16/11/2002</t>
  </si>
  <si>
    <t xml:space="preserve">R$17.428.452,98</t>
  </si>
  <si>
    <t xml:space="preserve">R$28.964,68</t>
  </si>
  <si>
    <t xml:space="preserve">R$266,26</t>
  </si>
  <si>
    <t xml:space="preserve">20/11/2002</t>
  </si>
  <si>
    <t xml:space="preserve">R$11.027,47</t>
  </si>
  <si>
    <t xml:space="preserve">R$181,96</t>
  </si>
  <si>
    <t xml:space="preserve">R$529.318,35</t>
  </si>
  <si>
    <t xml:space="preserve">23/11/2002</t>
  </si>
  <si>
    <t xml:space="preserve">R$16.547,76</t>
  </si>
  <si>
    <t xml:space="preserve">R$179,90</t>
  </si>
  <si>
    <t xml:space="preserve">R$1.403.039,91</t>
  </si>
  <si>
    <t xml:space="preserve">Estimativa de prêmio (SENA) próximo concurso: R$2.400.000,00.</t>
  </si>
  <si>
    <t xml:space="preserve">27/11/2002</t>
  </si>
  <si>
    <t xml:space="preserve">R$7.435,78</t>
  </si>
  <si>
    <t xml:space="preserve">R$110,73</t>
  </si>
  <si>
    <t xml:space="preserve">R$2.099.028,66</t>
  </si>
  <si>
    <t xml:space="preserve">Estimativa de prêmio (SENA) próximo concurso: R$3.000.000,00.</t>
  </si>
  <si>
    <t xml:space="preserve">30/11/2002</t>
  </si>
  <si>
    <t xml:space="preserve">ES; MG</t>
  </si>
  <si>
    <t xml:space="preserve">R$1.558.712,24</t>
  </si>
  <si>
    <t xml:space="preserve">R$10.349,55</t>
  </si>
  <si>
    <t xml:space="preserve">R$164,72</t>
  </si>
  <si>
    <t xml:space="preserve">04/12/2002</t>
  </si>
  <si>
    <t xml:space="preserve">R$14.860,22</t>
  </si>
  <si>
    <t xml:space="preserve">R$278,62</t>
  </si>
  <si>
    <t xml:space="preserve">R$8.115.153,05</t>
  </si>
  <si>
    <t xml:space="preserve">Estimativa de prêmio (SENA) próximo concurso: R$9.500.000,00</t>
  </si>
  <si>
    <t xml:space="preserve">07/12/2002</t>
  </si>
  <si>
    <t xml:space="preserve">R$13.949,86</t>
  </si>
  <si>
    <t xml:space="preserve">R$205,47</t>
  </si>
  <si>
    <t xml:space="preserve">R$9.504.559,06</t>
  </si>
  <si>
    <t xml:space="preserve">11/12/2002</t>
  </si>
  <si>
    <t xml:space="preserve">R$21.307,17</t>
  </si>
  <si>
    <t xml:space="preserve">R$211,55</t>
  </si>
  <si>
    <t xml:space="preserve">R$10.706.283,47</t>
  </si>
  <si>
    <t xml:space="preserve">Estimativa de prêmio (SENA) próximo concurso:R$12.200.000,00.</t>
  </si>
  <si>
    <t xml:space="preserve">14/12/2002</t>
  </si>
  <si>
    <t xml:space="preserve">R$16.823,65</t>
  </si>
  <si>
    <t xml:space="preserve">R$205,77</t>
  </si>
  <si>
    <t xml:space="preserve">R$12.321.354,11</t>
  </si>
  <si>
    <t xml:space="preserve">18/12/2002</t>
  </si>
  <si>
    <t xml:space="preserve">R$17.925,27</t>
  </si>
  <si>
    <t xml:space="preserve">R$282,10</t>
  </si>
  <si>
    <t xml:space="preserve">R$13.741.035,48</t>
  </si>
  <si>
    <t xml:space="preserve">Estimativa de prêmio (SENA) próximo concurso: R$15.500.000,00 (QUINZE MILHÕES E MEIO!!!).</t>
  </si>
  <si>
    <t xml:space="preserve">21/12/2002</t>
  </si>
  <si>
    <t xml:space="preserve">R$17.356,78</t>
  </si>
  <si>
    <t xml:space="preserve">R$212,95</t>
  </si>
  <si>
    <t xml:space="preserve">R$15.636.395,41</t>
  </si>
  <si>
    <t xml:space="preserve">28/12/2002</t>
  </si>
  <si>
    <t xml:space="preserve">R$18.979.599,19</t>
  </si>
  <si>
    <t xml:space="preserve">R$9.985,67</t>
  </si>
  <si>
    <t xml:space="preserve">R$159,42</t>
  </si>
  <si>
    <t xml:space="preserve">Estimativa de prêmio (SENA) próximo concurso: R$700.000,00. A CAIXA informa que o concurso 426 da Mega Sena acontecerá em 04/01/2003 (sábado).</t>
  </si>
  <si>
    <t xml:space="preserve">04/01/2003</t>
  </si>
  <si>
    <t xml:space="preserve">R$13.241,94</t>
  </si>
  <si>
    <t xml:space="preserve">R$243,76</t>
  </si>
  <si>
    <t xml:space="preserve">R$921.638,77</t>
  </si>
  <si>
    <t xml:space="preserve">Estimativa de prêmio (SENA)próximo concurso:R$1.700.000,00.</t>
  </si>
  <si>
    <t xml:space="preserve">08/01/2003</t>
  </si>
  <si>
    <t xml:space="preserve">R$11.642,10</t>
  </si>
  <si>
    <t xml:space="preserve">R$156,25</t>
  </si>
  <si>
    <t xml:space="preserve">R$1.592.223,84</t>
  </si>
  <si>
    <t xml:space="preserve">Estimativa de prêmio (SENA) próximo concurso:R$2.500.000,00.</t>
  </si>
  <si>
    <t xml:space="preserve">11/01/2003</t>
  </si>
  <si>
    <t xml:space="preserve">R$16.919,00</t>
  </si>
  <si>
    <t xml:space="preserve">R$216,67</t>
  </si>
  <si>
    <t xml:space="preserve">R$2.566.758,37</t>
  </si>
  <si>
    <t xml:space="preserve">15/01/2003</t>
  </si>
  <si>
    <t xml:space="preserve">R$14.978,72</t>
  </si>
  <si>
    <t xml:space="preserve">R$198,96</t>
  </si>
  <si>
    <t xml:space="preserve">R$12.839.021,93</t>
  </si>
  <si>
    <t xml:space="preserve">18/01/2003</t>
  </si>
  <si>
    <t xml:space="preserve">R$14.410.708,81</t>
  </si>
  <si>
    <t xml:space="preserve">R$15.408,70</t>
  </si>
  <si>
    <t xml:space="preserve">R$187,90</t>
  </si>
  <si>
    <t xml:space="preserve">22/01/2003</t>
  </si>
  <si>
    <t xml:space="preserve">R$21.069,89</t>
  </si>
  <si>
    <t xml:space="preserve">R$354,56</t>
  </si>
  <si>
    <t xml:space="preserve">R$505.677,41</t>
  </si>
  <si>
    <t xml:space="preserve">Estimativa de prêmio ( SENA ) próximo concurso: R$1.300.000,00.</t>
  </si>
  <si>
    <t xml:space="preserve">25/01/2003</t>
  </si>
  <si>
    <t xml:space="preserve">R$12.185,97</t>
  </si>
  <si>
    <t xml:space="preserve">R$153,24</t>
  </si>
  <si>
    <t xml:space="preserve">R$1.295.327,95</t>
  </si>
  <si>
    <t xml:space="preserve">ACUMULOU!! Estimativa de prêmio (SENA) próximo concurso: R$2.000.000,00.</t>
  </si>
  <si>
    <t xml:space="preserve">29/01/2003</t>
  </si>
  <si>
    <t xml:space="preserve">R$16.580,20</t>
  </si>
  <si>
    <t xml:space="preserve">R$219,58</t>
  </si>
  <si>
    <t xml:space="preserve">R$1.912.111,54</t>
  </si>
  <si>
    <t xml:space="preserve">01/02/2003</t>
  </si>
  <si>
    <t xml:space="preserve">R$9.173,28</t>
  </si>
  <si>
    <t xml:space="preserve">R$157,63</t>
  </si>
  <si>
    <t xml:space="preserve">R$2.836.778,00</t>
  </si>
  <si>
    <t xml:space="preserve">05/02/2003</t>
  </si>
  <si>
    <t xml:space="preserve">R$11.059,32</t>
  </si>
  <si>
    <t xml:space="preserve">R$186,85</t>
  </si>
  <si>
    <t xml:space="preserve">R$3.566.693,13</t>
  </si>
  <si>
    <t xml:space="preserve">Estimativa de prêmio SENA próximo concurso:R$4.500.000,00.</t>
  </si>
  <si>
    <t xml:space="preserve">08/02/2003</t>
  </si>
  <si>
    <t xml:space="preserve">R$19.531,31</t>
  </si>
  <si>
    <t xml:space="preserve">R$194,74</t>
  </si>
  <si>
    <t xml:space="preserve">R$4.668.258,69</t>
  </si>
  <si>
    <t xml:space="preserve">Estimativa de prêmio (SENA)próximo concurso: R$ 5.600.000,00.</t>
  </si>
  <si>
    <t xml:space="preserve">12/02/2003</t>
  </si>
  <si>
    <t xml:space="preserve">R$22.273,90</t>
  </si>
  <si>
    <t xml:space="preserve">R$258,84</t>
  </si>
  <si>
    <t xml:space="preserve">R$5.550.305,04</t>
  </si>
  <si>
    <t xml:space="preserve">Estimativa de prêmio (SENA) próximo concurso:R$7.000.000,00 (SETE MILHÕES!!!).</t>
  </si>
  <si>
    <t xml:space="preserve">15/02/2003</t>
  </si>
  <si>
    <t xml:space="preserve">R$16.281,73</t>
  </si>
  <si>
    <t xml:space="preserve">R$167,99</t>
  </si>
  <si>
    <t xml:space="preserve">R$6.820.280,27</t>
  </si>
  <si>
    <t xml:space="preserve">Estimativa de prêmio (SENA) próximo concurso: R$8.000.000,00 (OITO MILHÕES!!!).</t>
  </si>
  <si>
    <t xml:space="preserve">19/02/2003</t>
  </si>
  <si>
    <t xml:space="preserve">R$13.353,84</t>
  </si>
  <si>
    <t xml:space="preserve">R$196,22</t>
  </si>
  <si>
    <t xml:space="preserve">R$14.150.924,79</t>
  </si>
  <si>
    <t xml:space="preserve">Estimativa de prêmio (6 ACERTOS) para o próximo concurso: R$16.000.000,00.</t>
  </si>
  <si>
    <t xml:space="preserve">22/02/2003</t>
  </si>
  <si>
    <t xml:space="preserve">R$10.909,13</t>
  </si>
  <si>
    <t xml:space="preserve">R$149,28</t>
  </si>
  <si>
    <t xml:space="preserve">R$15.970.566,86</t>
  </si>
  <si>
    <t xml:space="preserve">26/02/2003</t>
  </si>
  <si>
    <t xml:space="preserve">R$11.917,74</t>
  </si>
  <si>
    <t xml:space="preserve">R$206,98</t>
  </si>
  <si>
    <t xml:space="preserve">R$17.701.023,29</t>
  </si>
  <si>
    <t xml:space="preserve">Estimativa de prêmio (SENA) próximo concurso: R$21.000.000,00 (VINTE E UM MILHÕES!!!). No dia 05/03/2003 (Quarta-feira de Cinzas) não haverá sorteio da Loteria Federal, Lotomania e Mega-Sena.</t>
  </si>
  <si>
    <t xml:space="preserve">01/03/2003</t>
  </si>
  <si>
    <t xml:space="preserve">R$19.946.601,01</t>
  </si>
  <si>
    <t xml:space="preserve">R$13.861,59</t>
  </si>
  <si>
    <t xml:space="preserve">R$187,48</t>
  </si>
  <si>
    <t xml:space="preserve">Estimativa de prêmio (SENA) próximo concurso: R$700.000,00. A CAIXA informa que o concurso 443 da Mega Sena acontecerá em 08/03/2003.</t>
  </si>
  <si>
    <t xml:space="preserve">08/03/2003</t>
  </si>
  <si>
    <t xml:space="preserve">R$16.322,42</t>
  </si>
  <si>
    <t xml:space="preserve">R$204,46</t>
  </si>
  <si>
    <t xml:space="preserve">R$920.584,21</t>
  </si>
  <si>
    <t xml:space="preserve">Estimativa de prêmio ( SENA )próximo concurso: R$2.000.000,00.</t>
  </si>
  <si>
    <t xml:space="preserve">12/03/2003</t>
  </si>
  <si>
    <t xml:space="preserve">R$13.890,62</t>
  </si>
  <si>
    <t xml:space="preserve">R$178,58</t>
  </si>
  <si>
    <t xml:space="preserve">R$1.637.340,11</t>
  </si>
  <si>
    <t xml:space="preserve">Estimativa de prêmio (SENA) próximo concurso: R$2.500.000,00.</t>
  </si>
  <si>
    <t xml:space="preserve">15/03/2003</t>
  </si>
  <si>
    <t xml:space="preserve">R$28.559,37</t>
  </si>
  <si>
    <t xml:space="preserve">R$284,42</t>
  </si>
  <si>
    <t xml:space="preserve">R$2.699.748,84</t>
  </si>
  <si>
    <t xml:space="preserve">Estimativa de prêmio (SENA)próximo concurso: R$ 3.600.000,00.</t>
  </si>
  <si>
    <t xml:space="preserve">19/03/2003</t>
  </si>
  <si>
    <t xml:space="preserve">RS; SP</t>
  </si>
  <si>
    <t xml:space="preserve">R$1.767.117,91</t>
  </si>
  <si>
    <t xml:space="preserve">R$10.698,55</t>
  </si>
  <si>
    <t xml:space="preserve">R$137,48</t>
  </si>
  <si>
    <t xml:space="preserve">Estimativa de prêmio (SENA) próximo concurso: R$650.000,00.</t>
  </si>
  <si>
    <t xml:space="preserve">22/03/2003</t>
  </si>
  <si>
    <t xml:space="preserve">R$12.010,32</t>
  </si>
  <si>
    <t xml:space="preserve">R$117,25</t>
  </si>
  <si>
    <t xml:space="preserve">R$792.681,47</t>
  </si>
  <si>
    <t xml:space="preserve">Estimativa de prêmio (SENA) próximo concurso: R$1.500.000,00.</t>
  </si>
  <si>
    <t xml:space="preserve">26/03/2003</t>
  </si>
  <si>
    <t xml:space="preserve">R$13.356,99</t>
  </si>
  <si>
    <t xml:space="preserve">R$177,48</t>
  </si>
  <si>
    <t xml:space="preserve">R$1.433.817,03</t>
  </si>
  <si>
    <t xml:space="preserve">Estimativa de prêmio (SENA) próximo concurso: 2.200.000,00.</t>
  </si>
  <si>
    <t xml:space="preserve">29/03/2003</t>
  </si>
  <si>
    <t xml:space="preserve">R$14.643,05</t>
  </si>
  <si>
    <t xml:space="preserve">R$219,46</t>
  </si>
  <si>
    <t xml:space="preserve">R$10.220.372,33</t>
  </si>
  <si>
    <t xml:space="preserve">Estimativa de prêmio (SENA) próximo concurso: R$12.000.000,00</t>
  </si>
  <si>
    <t xml:space="preserve">02/04/2003</t>
  </si>
  <si>
    <t xml:space="preserve">R$10.575,60</t>
  </si>
  <si>
    <t xml:space="preserve">R$183,70</t>
  </si>
  <si>
    <t xml:space="preserve">R$11.590.970,46</t>
  </si>
  <si>
    <t xml:space="preserve">Estimativa de prêmio (SENA) do próximo concurso:R$13.500.000,00.</t>
  </si>
  <si>
    <t xml:space="preserve">05/04/2003</t>
  </si>
  <si>
    <t xml:space="preserve">R$17.131,80</t>
  </si>
  <si>
    <t xml:space="preserve">R$201,53</t>
  </si>
  <si>
    <t xml:space="preserve">R$13.379.529,89</t>
  </si>
  <si>
    <t xml:space="preserve">Estimativa de prêmio (SENA) próximo concurso:R$16.000.000,00.</t>
  </si>
  <si>
    <t xml:space="preserve">09/04/2003</t>
  </si>
  <si>
    <t xml:space="preserve">R$18.847,21</t>
  </si>
  <si>
    <t xml:space="preserve">R$225,90</t>
  </si>
  <si>
    <t xml:space="preserve">R$15.098.395,42</t>
  </si>
  <si>
    <t xml:space="preserve">12/04/2003</t>
  </si>
  <si>
    <t xml:space="preserve">R$15.932,45</t>
  </si>
  <si>
    <t xml:space="preserve">R$241,65</t>
  </si>
  <si>
    <t xml:space="preserve">R$17.392.667,68</t>
  </si>
  <si>
    <t xml:space="preserve">Estimativa de prêmio (SENA) próximo concurso: R$20.000.000,00 (VINTE MILHÕES!!!).</t>
  </si>
  <si>
    <t xml:space="preserve">16/04/2003</t>
  </si>
  <si>
    <t xml:space="preserve">R$7.515,39</t>
  </si>
  <si>
    <t xml:space="preserve">R$124,30</t>
  </si>
  <si>
    <t xml:space="preserve">R$19.872.744,64</t>
  </si>
  <si>
    <t xml:space="preserve">Estimativa de prêmio (SENA) próximo concurso: R$23.000.000,00 (VINTE E TRÊS MILHÕES!!!).</t>
  </si>
  <si>
    <t xml:space="preserve">19/04/2003</t>
  </si>
  <si>
    <t xml:space="preserve">R$23.171,64</t>
  </si>
  <si>
    <t xml:space="preserve">R$248,50</t>
  </si>
  <si>
    <t xml:space="preserve">R$22.264.057,74</t>
  </si>
  <si>
    <t xml:space="preserve">Estimativa de prêmio (SENA) próximo concurso: R$25.000.000,00 (VINTE E CINCO MILHÕES!!!).</t>
  </si>
  <si>
    <t xml:space="preserve">23/04/2003</t>
  </si>
  <si>
    <t xml:space="preserve">R$11.142,66</t>
  </si>
  <si>
    <t xml:space="preserve">R$144,61</t>
  </si>
  <si>
    <t xml:space="preserve">R$25.219.091,20</t>
  </si>
  <si>
    <t xml:space="preserve">ACUMULOU!!! Estimativa de prêmio (SENA) próximo concurso: R$30.000.000,00 (TRINTA MILHÕES!!!).</t>
  </si>
  <si>
    <t xml:space="preserve">26/04/2003</t>
  </si>
  <si>
    <t xml:space="preserve">R$10.000.441,74</t>
  </si>
  <si>
    <t xml:space="preserve">R$8.302,49</t>
  </si>
  <si>
    <t xml:space="preserve">R$126,68</t>
  </si>
  <si>
    <t xml:space="preserve">Estimativa de prêmio (SENA) próximo concurso: R$500.000,00.</t>
  </si>
  <si>
    <t xml:space="preserve">30/04/2003</t>
  </si>
  <si>
    <t xml:space="preserve">R$7.395,34</t>
  </si>
  <si>
    <t xml:space="preserve">R$154,08</t>
  </si>
  <si>
    <t xml:space="preserve">R$727.701,47</t>
  </si>
  <si>
    <t xml:space="preserve">03/05/2003</t>
  </si>
  <si>
    <t xml:space="preserve">R$12.146,48</t>
  </si>
  <si>
    <t xml:space="preserve">R$178,76</t>
  </si>
  <si>
    <t xml:space="preserve">R$15.906.301,09</t>
  </si>
  <si>
    <t xml:space="preserve">ACUMULOU!!! Estimativa de prêmio (SENA) próximo concurso: R$18.000.000,00 (DEZOITO MILHÕES!!!).</t>
  </si>
  <si>
    <t xml:space="preserve">07/05/2003</t>
  </si>
  <si>
    <t xml:space="preserve">R$9.688,96</t>
  </si>
  <si>
    <t xml:space="preserve">R$158,09</t>
  </si>
  <si>
    <t xml:space="preserve">R$17.708.446,64</t>
  </si>
  <si>
    <t xml:space="preserve">Estimativa de prêmio (SENA) próximo concurso:R$20.000.000,00.</t>
  </si>
  <si>
    <t xml:space="preserve">10/05/2003</t>
  </si>
  <si>
    <t xml:space="preserve">R$10.317,48</t>
  </si>
  <si>
    <t xml:space="preserve">R$233,71</t>
  </si>
  <si>
    <t xml:space="preserve">R$20.048.450,45</t>
  </si>
  <si>
    <t xml:space="preserve">Estimativa de prêmio (SENA) próximo concurso: R$23.000.000,00.</t>
  </si>
  <si>
    <t xml:space="preserve">14/05/2003</t>
  </si>
  <si>
    <t xml:space="preserve">R$9.023,34</t>
  </si>
  <si>
    <t xml:space="preserve">R$131,76</t>
  </si>
  <si>
    <t xml:space="preserve">R$22.343.987,57</t>
  </si>
  <si>
    <t xml:space="preserve">Estimativa de prêmio (SENA) próximo concurso: R$26.000.000,00 (VINTE E SEIS MILHÕES!!!).</t>
  </si>
  <si>
    <t xml:space="preserve">17/05/2003</t>
  </si>
  <si>
    <t xml:space="preserve">R$14.740,96</t>
  </si>
  <si>
    <t xml:space="preserve">R$159,66</t>
  </si>
  <si>
    <t xml:space="preserve">R$25.280.386,38</t>
  </si>
  <si>
    <t xml:space="preserve">Estimativa de prêmio (SENA) próximo concurso: R$29.000.000,00 (VINTE E NOVE MILHÕES!!!).</t>
  </si>
  <si>
    <t xml:space="preserve">21/05/2003</t>
  </si>
  <si>
    <t xml:space="preserve">R$28.414.544,43</t>
  </si>
  <si>
    <t xml:space="preserve">R$10.837,34</t>
  </si>
  <si>
    <t xml:space="preserve">R$168,33</t>
  </si>
  <si>
    <t xml:space="preserve">Estimativa de prêmio (SENA) próximo concurso: R$700.000,00.</t>
  </si>
  <si>
    <t xml:space="preserve">24/05/2003</t>
  </si>
  <si>
    <t xml:space="preserve">R$40.627,81</t>
  </si>
  <si>
    <t xml:space="preserve">R$353,57</t>
  </si>
  <si>
    <t xml:space="preserve">R$926.313,93</t>
  </si>
  <si>
    <t xml:space="preserve">Estimativa de prêmio (SENA) próximo concurso: R$1.600.000,00.</t>
  </si>
  <si>
    <t xml:space="preserve">28/05/2003</t>
  </si>
  <si>
    <t xml:space="preserve">R$10.353,72</t>
  </si>
  <si>
    <t xml:space="preserve">R$184,29</t>
  </si>
  <si>
    <t xml:space="preserve">R$1.721.479,17</t>
  </si>
  <si>
    <t xml:space="preserve">31/05/2003</t>
  </si>
  <si>
    <t xml:space="preserve">R$20.730,13</t>
  </si>
  <si>
    <t xml:space="preserve">R$237,87</t>
  </si>
  <si>
    <t xml:space="preserve">R$2.840.905,83</t>
  </si>
  <si>
    <t xml:space="preserve">Estimativa de prêmio (SENA) próximo concurso: R$4.000.000,00.</t>
  </si>
  <si>
    <t xml:space="preserve">04/06/2003</t>
  </si>
  <si>
    <t xml:space="preserve">R$14.292,56</t>
  </si>
  <si>
    <t xml:space="preserve">R$175,67</t>
  </si>
  <si>
    <t xml:space="preserve">R$3.835.668,21</t>
  </si>
  <si>
    <t xml:space="preserve">Estimativa de prêmio (SENA) próximo concurso: R$5.000.000,00.</t>
  </si>
  <si>
    <t xml:space="preserve">07/06/2003</t>
  </si>
  <si>
    <t xml:space="preserve">AL; RO</t>
  </si>
  <si>
    <t xml:space="preserve">R$2.596.432,92</t>
  </si>
  <si>
    <t xml:space="preserve">R$6.048,12</t>
  </si>
  <si>
    <t xml:space="preserve">R$128,07</t>
  </si>
  <si>
    <t xml:space="preserve">Estimativa de prêmio (SENA) próximo concurso: R$13.500.000,00.</t>
  </si>
  <si>
    <t xml:space="preserve">11/06/2003</t>
  </si>
  <si>
    <t xml:space="preserve">R$13.384,59</t>
  </si>
  <si>
    <t xml:space="preserve">R$188,18</t>
  </si>
  <si>
    <t xml:space="preserve">R$13.182.029,14</t>
  </si>
  <si>
    <t xml:space="preserve">14/06/2003</t>
  </si>
  <si>
    <t xml:space="preserve">R$19.668,02</t>
  </si>
  <si>
    <t xml:space="preserve">R$271,24</t>
  </si>
  <si>
    <t xml:space="preserve">R$14.975.752,83</t>
  </si>
  <si>
    <t xml:space="preserve">18/06/2003</t>
  </si>
  <si>
    <t xml:space="preserve">R$17.224,58</t>
  </si>
  <si>
    <t xml:space="preserve">R$215,88</t>
  </si>
  <si>
    <t xml:space="preserve">R$16.670.651,02</t>
  </si>
  <si>
    <t xml:space="preserve">Estimativa de prêmio (SENA) próximo concurso: R$19.000.000,00 (DEZENOVE MILHÕES DE REAIS!!).</t>
  </si>
  <si>
    <t xml:space="preserve">21/06/2003</t>
  </si>
  <si>
    <t xml:space="preserve">R$23.285,11</t>
  </si>
  <si>
    <t xml:space="preserve">R$231,12</t>
  </si>
  <si>
    <t xml:space="preserve">R$18.486.889,08</t>
  </si>
  <si>
    <t xml:space="preserve">Estimativa de prêmio (SENA) próximo concurso: R$21.000.000,00 (VINTE E UM MILHÕES DE REAIS!!!).</t>
  </si>
  <si>
    <t xml:space="preserve">25/06/2003</t>
  </si>
  <si>
    <t xml:space="preserve">R$34.156,59</t>
  </si>
  <si>
    <t xml:space="preserve">R$275,76</t>
  </si>
  <si>
    <t xml:space="preserve">R$20.782.211,64</t>
  </si>
  <si>
    <t xml:space="preserve">Estimativa de prêmio (SENA) próximo concurso: R$24.000.000,00 (VINTE E QUATRO MILHÕES DE REAIS!!!).</t>
  </si>
  <si>
    <t xml:space="preserve">28/06/2003</t>
  </si>
  <si>
    <t xml:space="preserve">R$15.008,18</t>
  </si>
  <si>
    <t xml:space="preserve">R$176,23</t>
  </si>
  <si>
    <t xml:space="preserve">R$23.591.742,20</t>
  </si>
  <si>
    <t xml:space="preserve">Estimativa de prêmio (SENA) próximo concurso: R$27.000.000,00 (VINTE E SETE MILHÕES DE REAIS!!!).</t>
  </si>
  <si>
    <t xml:space="preserve">02/07/2003</t>
  </si>
  <si>
    <t xml:space="preserve">R$16.837,81</t>
  </si>
  <si>
    <t xml:space="preserve">R$238,49</t>
  </si>
  <si>
    <t xml:space="preserve">R$26.885.217,69</t>
  </si>
  <si>
    <t xml:space="preserve">ACUMULADA!!! Estimativa de prêmio (SENA) próximo concurso: R$31.000.000,00 (TRINTA E UM MILHÕES DE REAIS!!!).</t>
  </si>
  <si>
    <t xml:space="preserve">05/07/2003</t>
  </si>
  <si>
    <t xml:space="preserve">AM; RN; RS</t>
  </si>
  <si>
    <t xml:space="preserve">R$10.401.481,92</t>
  </si>
  <si>
    <t xml:space="preserve">R$12.900,92</t>
  </si>
  <si>
    <t xml:space="preserve">R$163,30</t>
  </si>
  <si>
    <t xml:space="preserve">09/07/2003</t>
  </si>
  <si>
    <t xml:space="preserve">R$7.045,32</t>
  </si>
  <si>
    <t xml:space="preserve">R$132,43</t>
  </si>
  <si>
    <t xml:space="preserve">R$777.803,22</t>
  </si>
  <si>
    <t xml:space="preserve">12/07/2003</t>
  </si>
  <si>
    <t xml:space="preserve">R$29.012,34</t>
  </si>
  <si>
    <t xml:space="preserve">R$326,35</t>
  </si>
  <si>
    <t xml:space="preserve">R$16.088.932,65</t>
  </si>
  <si>
    <t xml:space="preserve">ACUMULOU!!! Estimativa de prêmio (SENA) próximo concurso: R$18.000.000,00 (DEZOITO MILHÕES DE REAIS!!!).</t>
  </si>
  <si>
    <t xml:space="preserve">16/07/2003</t>
  </si>
  <si>
    <t xml:space="preserve">R$13.831,54</t>
  </si>
  <si>
    <t xml:space="preserve">R$179,69</t>
  </si>
  <si>
    <t xml:space="preserve">R$17.947.892,21</t>
  </si>
  <si>
    <t xml:space="preserve">19/07/2003</t>
  </si>
  <si>
    <t xml:space="preserve">AC; MT; SP</t>
  </si>
  <si>
    <t xml:space="preserve">R$6.796.888,03</t>
  </si>
  <si>
    <t xml:space="preserve">R$5.670,32</t>
  </si>
  <si>
    <t xml:space="preserve">R$104,19</t>
  </si>
  <si>
    <t xml:space="preserve">23/07/2003</t>
  </si>
  <si>
    <t xml:space="preserve">R$14.878,29</t>
  </si>
  <si>
    <t xml:space="preserve">R$207,48</t>
  </si>
  <si>
    <t xml:space="preserve">R$732.011,95</t>
  </si>
  <si>
    <t xml:space="preserve">Acumulou!! Estimativa de prêmio (SENA) próximo concurso: R$1.600.000,00.</t>
  </si>
  <si>
    <t xml:space="preserve">26/07/2003</t>
  </si>
  <si>
    <t xml:space="preserve">R$9.761,25</t>
  </si>
  <si>
    <t xml:space="preserve">R$139,38</t>
  </si>
  <si>
    <t xml:space="preserve">R$1.786.227,43</t>
  </si>
  <si>
    <t xml:space="preserve">30/07/2003</t>
  </si>
  <si>
    <t xml:space="preserve">R$13.655,17</t>
  </si>
  <si>
    <t xml:space="preserve">R$186,35</t>
  </si>
  <si>
    <t xml:space="preserve">R$2.687.468,43</t>
  </si>
  <si>
    <t xml:space="preserve">Estimativa de prêmio (SENA) próximo concurso: R$4.000.000,00 (QUATRO MILHÕES DE REAIS!!!).</t>
  </si>
  <si>
    <t xml:space="preserve">02/08/2003</t>
  </si>
  <si>
    <t xml:space="preserve">R$35.888,42</t>
  </si>
  <si>
    <t xml:space="preserve">R$334,87</t>
  </si>
  <si>
    <t xml:space="preserve">R$3.979.451,73</t>
  </si>
  <si>
    <t xml:space="preserve">Estimativa de prêmio (SENA) próximo concurso: R$5.500.000,00.</t>
  </si>
  <si>
    <t xml:space="preserve">06/08/2003</t>
  </si>
  <si>
    <t xml:space="preserve">R$5.125.800,12</t>
  </si>
  <si>
    <t xml:space="preserve">R$17.368,92</t>
  </si>
  <si>
    <t xml:space="preserve">R$220,05</t>
  </si>
  <si>
    <t xml:space="preserve">09/08/2003</t>
  </si>
  <si>
    <t xml:space="preserve">SE</t>
  </si>
  <si>
    <t xml:space="preserve">R$467.702,34</t>
  </si>
  <si>
    <t xml:space="preserve">R$7.495,23</t>
  </si>
  <si>
    <t xml:space="preserve">R$145,73</t>
  </si>
  <si>
    <t xml:space="preserve">Estimativa de prêmio (SENA) próximo concurso: R$750.000,00.</t>
  </si>
  <si>
    <t xml:space="preserve">13/08/2003</t>
  </si>
  <si>
    <t xml:space="preserve">R$11.864,07</t>
  </si>
  <si>
    <t xml:space="preserve">R$201,45</t>
  </si>
  <si>
    <t xml:space="preserve">R$654.896,68</t>
  </si>
  <si>
    <t xml:space="preserve">ACUMULOU!!! Estimativa de prêmio (SENA) próximo concurso: R$1.500.000,00.</t>
  </si>
  <si>
    <t xml:space="preserve">16/08/2003</t>
  </si>
  <si>
    <t xml:space="preserve">R$12.406,82</t>
  </si>
  <si>
    <t xml:space="preserve">R$162,16</t>
  </si>
  <si>
    <t xml:space="preserve">R$9.662.631,84</t>
  </si>
  <si>
    <t xml:space="preserve">ACUMULOU!!! Estimativa de prêmio (SENA) próximo concurso: R$11.000.000,00 (ONZE MILHÕES DE REAIS!!!).</t>
  </si>
  <si>
    <t xml:space="preserve">20/08/2003</t>
  </si>
  <si>
    <t xml:space="preserve">R$11.070.173,50</t>
  </si>
  <si>
    <t xml:space="preserve">R$7.925,35</t>
  </si>
  <si>
    <t xml:space="preserve">R$138,49</t>
  </si>
  <si>
    <t xml:space="preserve">Estimativa de prêmio (SENA) próximo concurso: R$900.000,00.</t>
  </si>
  <si>
    <t xml:space="preserve">23/08/2003</t>
  </si>
  <si>
    <t xml:space="preserve">R$849.344,26</t>
  </si>
  <si>
    <t xml:space="preserve">R$8.738,11</t>
  </si>
  <si>
    <t xml:space="preserve">R$167,05</t>
  </si>
  <si>
    <t xml:space="preserve">27/08/2003</t>
  </si>
  <si>
    <t xml:space="preserve">R$19.041,52</t>
  </si>
  <si>
    <t xml:space="preserve">R$187,61</t>
  </si>
  <si>
    <t xml:space="preserve">R$594.095,53</t>
  </si>
  <si>
    <t xml:space="preserve">30/08/2003</t>
  </si>
  <si>
    <t xml:space="preserve">R$9.663,99</t>
  </si>
  <si>
    <t xml:space="preserve">R$143,67</t>
  </si>
  <si>
    <t xml:space="preserve">R$1.510.241,51</t>
  </si>
  <si>
    <t xml:space="preserve">ACUMULOU!!! Estimativa de prêmio (SENA) próximo concurso: R$2.500.000,00.</t>
  </si>
  <si>
    <t xml:space="preserve">03/09/2003</t>
  </si>
  <si>
    <t xml:space="preserve">R$21.997,60</t>
  </si>
  <si>
    <t xml:space="preserve">R$253,53</t>
  </si>
  <si>
    <t xml:space="preserve">R$2.354.949,51</t>
  </si>
  <si>
    <t xml:space="preserve">ACUMULOU!!! Estimativa de prêmio (SENA) próximo concurso: R$3.500.000,00.</t>
  </si>
  <si>
    <t xml:space="preserve">06/09/2003</t>
  </si>
  <si>
    <t xml:space="preserve">R$20.565,02</t>
  </si>
  <si>
    <t xml:space="preserve">R$185,09</t>
  </si>
  <si>
    <t xml:space="preserve">R$3.539.495,03</t>
  </si>
  <si>
    <t xml:space="preserve">ACUMULOU!!! Estimativa de prêmio (SENA) próximo concurso: R$5.000.000,00 (CINCO MILHÕES DE REAIS!!!).</t>
  </si>
  <si>
    <t xml:space="preserve">10/09/2003</t>
  </si>
  <si>
    <t xml:space="preserve">R$27.720,31</t>
  </si>
  <si>
    <t xml:space="preserve">R$244,94</t>
  </si>
  <si>
    <t xml:space="preserve">R$4.570.690,49</t>
  </si>
  <si>
    <t xml:space="preserve">ACUMULOU!!! Estimativa de prêmio (SENA) próximo concurso: R$6.000.000,00 (SEIS MILHÕES DE REAIS!!!).</t>
  </si>
  <si>
    <t xml:space="preserve">13/09/2003</t>
  </si>
  <si>
    <t xml:space="preserve">R$15.712,44</t>
  </si>
  <si>
    <t xml:space="preserve">R$207,21</t>
  </si>
  <si>
    <t xml:space="preserve">R$5.928.244,66</t>
  </si>
  <si>
    <t xml:space="preserve">ACUMULOU!!! Estimativa de prêmio (SENA) próximo concurso: R$7.500.000,00 (SETE MILHÕES E MEIO DE REAIS!!!).</t>
  </si>
  <si>
    <t xml:space="preserve">17/09/2003</t>
  </si>
  <si>
    <t xml:space="preserve">R$17.603,00</t>
  </si>
  <si>
    <t xml:space="preserve">R$221,50</t>
  </si>
  <si>
    <t xml:space="preserve">R$7.153.413,01</t>
  </si>
  <si>
    <t xml:space="preserve">ACUMULOU!!! Estimativa de prêmio (SENA) próximo concurso: R$9.000.000,00 (NOVE MILHÕES DE REAIS).</t>
  </si>
  <si>
    <t xml:space="preserve">20/09/2003</t>
  </si>
  <si>
    <t xml:space="preserve">R$8.698.099,22</t>
  </si>
  <si>
    <t xml:space="preserve">R$10.216,18</t>
  </si>
  <si>
    <t xml:space="preserve">R$144,04</t>
  </si>
  <si>
    <t xml:space="preserve">Estimativa de prêmio (SENA) próximo concurso: R$11.000.000,00 (ONZE MILHÕES DE REAIS). A CAIXA informa que o próximo concurso (500) da MEGA-SENA será realizado em Recife/PE em 27/09/2003.</t>
  </si>
  <si>
    <t xml:space="preserve">27/09/2003</t>
  </si>
  <si>
    <t xml:space="preserve">R$9.394.248,83</t>
  </si>
  <si>
    <t xml:space="preserve">R$23.869,01</t>
  </si>
  <si>
    <t xml:space="preserve">R$254,60</t>
  </si>
  <si>
    <t xml:space="preserve">01/10/2003</t>
  </si>
  <si>
    <t xml:space="preserve">R$11.303,51</t>
  </si>
  <si>
    <t xml:space="preserve">R$583.261,35</t>
  </si>
  <si>
    <t xml:space="preserve">04/10/2003</t>
  </si>
  <si>
    <t xml:space="preserve">MS; SP</t>
  </si>
  <si>
    <t xml:space="preserve">R$730.915,33</t>
  </si>
  <si>
    <t xml:space="preserve">R$2.731,87</t>
  </si>
  <si>
    <t xml:space="preserve">R$76,39</t>
  </si>
  <si>
    <t xml:space="preserve">08/10/2003</t>
  </si>
  <si>
    <t xml:space="preserve">R$11.636,06</t>
  </si>
  <si>
    <t xml:space="preserve">R$158,04</t>
  </si>
  <si>
    <t xml:space="preserve">R$558.530,93</t>
  </si>
  <si>
    <t xml:space="preserve">ACUMULOU!!! Estimativa de prêmio (SENA) próximo concurso: R$1.400.000,00.</t>
  </si>
  <si>
    <t xml:space="preserve">11/10/2003</t>
  </si>
  <si>
    <t xml:space="preserve">R$12.855,55</t>
  </si>
  <si>
    <t xml:space="preserve">R$172,64</t>
  </si>
  <si>
    <t xml:space="preserve">R$1.391.570,39</t>
  </si>
  <si>
    <t xml:space="preserve">ACUMULOU!!! Estimativa de prêmio (SENA) próximo concurso: R$2.300.000,00.</t>
  </si>
  <si>
    <t xml:space="preserve">15/10/2003</t>
  </si>
  <si>
    <t xml:space="preserve">R$19.736,18</t>
  </si>
  <si>
    <t xml:space="preserve">R$230,51</t>
  </si>
  <si>
    <t xml:space="preserve">R$2.102.072,80</t>
  </si>
  <si>
    <t xml:space="preserve">ACUMULOU!!! Estimativa de prêmio (SENA) próximo concurso: R$3.000.000,00.</t>
  </si>
  <si>
    <t xml:space="preserve">18/10/2003</t>
  </si>
  <si>
    <t xml:space="preserve">R$12.720,38</t>
  </si>
  <si>
    <t xml:space="preserve">R$173,96</t>
  </si>
  <si>
    <t xml:space="preserve">R$3.094.262,01</t>
  </si>
  <si>
    <t xml:space="preserve">ACUMULOU!!! Estimativa de prêmio (SENA) próximo concurso: R$4.500.000,00.</t>
  </si>
  <si>
    <t xml:space="preserve">22/10/2003</t>
  </si>
  <si>
    <t xml:space="preserve">MG; SP</t>
  </si>
  <si>
    <t xml:space="preserve">R$1.963.484,53</t>
  </si>
  <si>
    <t xml:space="preserve">R$3.273,22</t>
  </si>
  <si>
    <t xml:space="preserve">R$104,68</t>
  </si>
  <si>
    <t xml:space="preserve">25/10/2003</t>
  </si>
  <si>
    <t xml:space="preserve">R$18.038,77</t>
  </si>
  <si>
    <t xml:space="preserve">R$196,05</t>
  </si>
  <si>
    <t xml:space="preserve">R$714.335,26</t>
  </si>
  <si>
    <t xml:space="preserve">29/10/2003</t>
  </si>
  <si>
    <t xml:space="preserve">R$13.104,28</t>
  </si>
  <si>
    <t xml:space="preserve">R$178,52</t>
  </si>
  <si>
    <t xml:space="preserve">R$7.199.176,21</t>
  </si>
  <si>
    <t xml:space="preserve">ACUMULOU!!! Estimativa de prêmio (SENA) próximo concurso: R$8.500.000,00.</t>
  </si>
  <si>
    <t xml:space="preserve">01/11/2003</t>
  </si>
  <si>
    <t xml:space="preserve">MA; SP</t>
  </si>
  <si>
    <t xml:space="preserve">R$4.252.983,06</t>
  </si>
  <si>
    <t xml:space="preserve">R$15.557,02</t>
  </si>
  <si>
    <t xml:space="preserve">R$247,01</t>
  </si>
  <si>
    <t xml:space="preserve">05/11/2003</t>
  </si>
  <si>
    <t xml:space="preserve">R$8.700,75</t>
  </si>
  <si>
    <t xml:space="preserve">R$137,37</t>
  </si>
  <si>
    <t xml:space="preserve">R$761.315,61</t>
  </si>
  <si>
    <t xml:space="preserve">ACUMULOU!!! Estimativa de prêmio (SENA) próximo concurso: R$1.800.000,00.</t>
  </si>
  <si>
    <t xml:space="preserve">08/11/2003</t>
  </si>
  <si>
    <t xml:space="preserve">MS; RJ</t>
  </si>
  <si>
    <t xml:space="preserve">R$653.828,50</t>
  </si>
  <si>
    <t xml:space="preserve">R$16.727,11</t>
  </si>
  <si>
    <t xml:space="preserve">R$300,05</t>
  </si>
  <si>
    <t xml:space="preserve">12/11/2003</t>
  </si>
  <si>
    <t xml:space="preserve">R$8.485,71</t>
  </si>
  <si>
    <t xml:space="preserve">R$160,23</t>
  </si>
  <si>
    <t xml:space="preserve">R$683.099,65</t>
  </si>
  <si>
    <t xml:space="preserve">ACUMULOU!!! Estimativa de prêmio (SENA) próximo concurso: R$1.500.000,00</t>
  </si>
  <si>
    <t xml:space="preserve">15/11/2003</t>
  </si>
  <si>
    <t xml:space="preserve">R$24.964,72</t>
  </si>
  <si>
    <t xml:space="preserve">R$411,42</t>
  </si>
  <si>
    <t xml:space="preserve">R$4.941.165,35</t>
  </si>
  <si>
    <t xml:space="preserve">ACUMULOU!!! Estimativa de prêmio (SENA) próximo concurso: R$6.500.000,00.</t>
  </si>
  <si>
    <t xml:space="preserve">19/11/2003</t>
  </si>
  <si>
    <t xml:space="preserve">R$20.464,65</t>
  </si>
  <si>
    <t xml:space="preserve">R$255,23</t>
  </si>
  <si>
    <t xml:space="preserve">R$6.122.998,73</t>
  </si>
  <si>
    <t xml:space="preserve">ACUMULOU!!! Estimativa de prêmio (SENA) próximo concurso: R$7.500.000,00 (SETE MILHÕES E QUINHENTOS MIL REAIS!!!).</t>
  </si>
  <si>
    <t xml:space="preserve">22/11/2003</t>
  </si>
  <si>
    <t xml:space="preserve">R$5.416,02</t>
  </si>
  <si>
    <t xml:space="preserve">R$114,65</t>
  </si>
  <si>
    <t xml:space="preserve">R$7.677.394,38</t>
  </si>
  <si>
    <t xml:space="preserve">ACUMULOU!!! Estimativa de prêmio (SENA) próximo concurso: R$9.000.000,00. (NOVE MILHÕES DE REAIS).</t>
  </si>
  <si>
    <t xml:space="preserve">26/11/2003</t>
  </si>
  <si>
    <t xml:space="preserve">R$22.385,92</t>
  </si>
  <si>
    <t xml:space="preserve">R$246,13</t>
  </si>
  <si>
    <t xml:space="preserve">R$9.087.707,16</t>
  </si>
  <si>
    <t xml:space="preserve">ACUMULOU!!! Estimativa de prêmio (SENA) próximo concurso: R$11.000.000,00 (ONZE MILHÕES DE REAIS).</t>
  </si>
  <si>
    <t xml:space="preserve">29/11/2003</t>
  </si>
  <si>
    <t xml:space="preserve">R$6.014,85</t>
  </si>
  <si>
    <t xml:space="preserve">R$126,04</t>
  </si>
  <si>
    <t xml:space="preserve">R$11.003.437,88</t>
  </si>
  <si>
    <t xml:space="preserve">ACUMULOU!!! Estimativa de prêmio (SENA) próximo concurso: R$13.000.000,00 (TREZE MILHÕES DE REAIS).</t>
  </si>
  <si>
    <t xml:space="preserve">03/12/2003</t>
  </si>
  <si>
    <t xml:space="preserve">R$9.685,31</t>
  </si>
  <si>
    <t xml:space="preserve">R$152,61</t>
  </si>
  <si>
    <t xml:space="preserve">R$18.558.840,36</t>
  </si>
  <si>
    <t xml:space="preserve">ACUMULOU!!! Estimativa de prêmio (SENA) próximo concurso: R$21.000.000,00 (VINTE E UM MILHÕES DE REAIS).</t>
  </si>
  <si>
    <t xml:space="preserve">06/12/2003</t>
  </si>
  <si>
    <t xml:space="preserve">R$10.017,32</t>
  </si>
  <si>
    <t xml:space="preserve">R$152,20</t>
  </si>
  <si>
    <t xml:space="preserve">R$21.468.871,74</t>
  </si>
  <si>
    <t xml:space="preserve">ACUMULOU!!! Estimativa de prêmio (SENA) próximo concurso: R$24.000.000,00 (VINTE E QUATRO MILHÕES DE REAIS).</t>
  </si>
  <si>
    <t xml:space="preserve">10/12/2003</t>
  </si>
  <si>
    <t xml:space="preserve">R$10.463,37</t>
  </si>
  <si>
    <t xml:space="preserve">R$163,09</t>
  </si>
  <si>
    <t xml:space="preserve">R$24.508.480,18</t>
  </si>
  <si>
    <t xml:space="preserve">ACUMULOU!!! Estimativa de prêmio (sena) para o próximo concurso: R$ 29.000.000,00 (VINTE E NOVE MILHÕES).</t>
  </si>
  <si>
    <t xml:space="preserve">13/12/2003</t>
  </si>
  <si>
    <t xml:space="preserve">R$19.311,39</t>
  </si>
  <si>
    <t xml:space="preserve">R$274,17</t>
  </si>
  <si>
    <t xml:space="preserve">R$28.496.281,66</t>
  </si>
  <si>
    <t xml:space="preserve">ACUMULOU!!! Estimativa de prêmio (SENA) próximo concurso: R$33.000.000,00 (TRINTA E TRÊS MILHÕES DE REAIS).</t>
  </si>
  <si>
    <t xml:space="preserve">17/12/2003</t>
  </si>
  <si>
    <t xml:space="preserve">R$27.528,74</t>
  </si>
  <si>
    <t xml:space="preserve">R$348,05</t>
  </si>
  <si>
    <t xml:space="preserve">R$34.421.843,43</t>
  </si>
  <si>
    <t xml:space="preserve">ACUMULOU!!! Estimativa de prêmio (SENA) próximo concurso: R$40.000.000,00 (QUARENTA MILHÕES DE REAIS).</t>
  </si>
  <si>
    <t xml:space="preserve">20/12/2003</t>
  </si>
  <si>
    <t xml:space="preserve">R$42.794.697,56</t>
  </si>
  <si>
    <t xml:space="preserve">R$26.580,49</t>
  </si>
  <si>
    <t xml:space="preserve">R$277,83</t>
  </si>
  <si>
    <t xml:space="preserve">Estimativa de prêmio (SENA) próximo concurso: R$20.000.000,00 (VINTE MILHÕES DE REAIS).</t>
  </si>
  <si>
    <t xml:space="preserve">27/12/2003</t>
  </si>
  <si>
    <t xml:space="preserve">R$10.208.722,99</t>
  </si>
  <si>
    <t xml:space="preserve">R$11.600,82</t>
  </si>
  <si>
    <t xml:space="preserve">R$183,43</t>
  </si>
  <si>
    <t xml:space="preserve">Estimativa de prêmio (SENA) próximo concurso: R$1.000.000,00</t>
  </si>
  <si>
    <t xml:space="preserve">03/01/2004</t>
  </si>
  <si>
    <t xml:space="preserve">R$22.681,04</t>
  </si>
  <si>
    <t xml:space="preserve">R$314,34</t>
  </si>
  <si>
    <t xml:space="preserve">R$1.349.521,77</t>
  </si>
  <si>
    <t xml:space="preserve">07/01/2004</t>
  </si>
  <si>
    <t xml:space="preserve">R$27.463,44</t>
  </si>
  <si>
    <t xml:space="preserve">R$300,94</t>
  </si>
  <si>
    <t xml:space="preserve">R$2.454.925,13</t>
  </si>
  <si>
    <t xml:space="preserve">ACUMULOU!!! Estimativa de prêmio (SENA) próximo concurso: R$4.000.000,00.</t>
  </si>
  <si>
    <t xml:space="preserve">10/01/2004</t>
  </si>
  <si>
    <t xml:space="preserve">R$12.554,60</t>
  </si>
  <si>
    <t xml:space="preserve">R$173,60</t>
  </si>
  <si>
    <t xml:space="preserve">R$3.926.952,17</t>
  </si>
  <si>
    <t xml:space="preserve">ACUMULOU!!! Estimativa de prêmio (SENA) próximo concurso: R$5.500.000,00.</t>
  </si>
  <si>
    <t xml:space="preserve">14/01/2004</t>
  </si>
  <si>
    <t xml:space="preserve">BA; CE; PB; PE; PI; RN</t>
  </si>
  <si>
    <t xml:space="preserve">R$348.732,75</t>
  </si>
  <si>
    <t xml:space="preserve">R$8.565,12</t>
  </si>
  <si>
    <t xml:space="preserve">R$156,03</t>
  </si>
  <si>
    <t xml:space="preserve">Estimativa de prêmio (SENA) próximo concurso: R$7.000.000,00 (SETE MILHÕES DE REAIS).</t>
  </si>
  <si>
    <t xml:space="preserve">17/01/2004</t>
  </si>
  <si>
    <t xml:space="preserve">R$18.501,75</t>
  </si>
  <si>
    <t xml:space="preserve">R$239,50</t>
  </si>
  <si>
    <t xml:space="preserve">R$7.541.604,05</t>
  </si>
  <si>
    <t xml:space="preserve">21/01/2004</t>
  </si>
  <si>
    <t xml:space="preserve">R$9.079,10</t>
  </si>
  <si>
    <t xml:space="preserve">R$167,37</t>
  </si>
  <si>
    <t xml:space="preserve">R$9.066.892,84</t>
  </si>
  <si>
    <t xml:space="preserve">24/01/2004</t>
  </si>
  <si>
    <t xml:space="preserve">R$16.628,16</t>
  </si>
  <si>
    <t xml:space="preserve">R$215,09</t>
  </si>
  <si>
    <t xml:space="preserve">R$11.074.743,03</t>
  </si>
  <si>
    <t xml:space="preserve">28/01/2004</t>
  </si>
  <si>
    <t xml:space="preserve">R$12.747,27</t>
  </si>
  <si>
    <t xml:space="preserve">R$203,03</t>
  </si>
  <si>
    <t xml:space="preserve">R$12.903.975,95</t>
  </si>
  <si>
    <t xml:space="preserve">ACUMULOU!!! Estimativa de prêmio (SENA) próximo concurso: R$15.000.000,00 (QUINZE MILHÕES DE REAIS).</t>
  </si>
  <si>
    <t xml:space="preserve">31/01/2004</t>
  </si>
  <si>
    <t xml:space="preserve">MT</t>
  </si>
  <si>
    <t xml:space="preserve">R$15.184.658,12</t>
  </si>
  <si>
    <t xml:space="preserve">R$12.179,88</t>
  </si>
  <si>
    <t xml:space="preserve">R$197,95</t>
  </si>
  <si>
    <t xml:space="preserve">Estimativa de prêmio (SENA) próximo concurso: R$8.000.000,00. (OITO MILHÕES DE REAIS).</t>
  </si>
  <si>
    <t xml:space="preserve">04/02/2004</t>
  </si>
  <si>
    <t xml:space="preserve">R$7.834.139,14</t>
  </si>
  <si>
    <t xml:space="preserve">R$12.025,02</t>
  </si>
  <si>
    <t xml:space="preserve">R$170,89</t>
  </si>
  <si>
    <t xml:space="preserve">Estimativa de prêmio (SENA) próximo concurso: R$1.000.000,00.</t>
  </si>
  <si>
    <t xml:space="preserve">07/02/2004</t>
  </si>
  <si>
    <t xml:space="preserve">R$12.551,38</t>
  </si>
  <si>
    <t xml:space="preserve">R$190,46</t>
  </si>
  <si>
    <t xml:space="preserve">R$1.076.280,35</t>
  </si>
  <si>
    <t xml:space="preserve">ACUMULOU!!! Estimativa de prêmio (SENA) próximo concurso: R$2.000.000,00 (DOIS MILHÕES DE REAIS).</t>
  </si>
  <si>
    <t xml:space="preserve">11/02/2004</t>
  </si>
  <si>
    <t xml:space="preserve">R$2.054.340,05</t>
  </si>
  <si>
    <t xml:space="preserve">R$4.366,34</t>
  </si>
  <si>
    <t xml:space="preserve">R$104,17</t>
  </si>
  <si>
    <t xml:space="preserve">14/02/2004</t>
  </si>
  <si>
    <t xml:space="preserve">R$16.533,54</t>
  </si>
  <si>
    <t xml:space="preserve">R$223,17</t>
  </si>
  <si>
    <t xml:space="preserve">R$1.041.612,80</t>
  </si>
  <si>
    <t xml:space="preserve">18/02/2004</t>
  </si>
  <si>
    <t xml:space="preserve">R$25.214,62</t>
  </si>
  <si>
    <t xml:space="preserve">R$276,47</t>
  </si>
  <si>
    <t xml:space="preserve">R$5.728.373,54</t>
  </si>
  <si>
    <t xml:space="preserve">ACUMULOU!!! Estimativa de prêmio (SENA) próximo concurso: R$7.000.000,00 (SETE MILHÕES DE REAIS).</t>
  </si>
  <si>
    <t xml:space="preserve">21/02/2004</t>
  </si>
  <si>
    <t xml:space="preserve">R$10.186,19</t>
  </si>
  <si>
    <t xml:space="preserve">R$187,97</t>
  </si>
  <si>
    <t xml:space="preserve">R$7.225.743,35</t>
  </si>
  <si>
    <t xml:space="preserve">ACUMULOU!!! Estimativa de prêmio (SENA) próximo concurso: R$9.000.000,00 (NOVE MILHÕES DE REAIS). A CAIXA informa que o concurso 541 da Mega Sena ocorrerá em 28/02/2004 (sábado) às 20 horas.</t>
  </si>
  <si>
    <t xml:space="preserve">28/02/2004</t>
  </si>
  <si>
    <t xml:space="preserve">R$9.144.543,50</t>
  </si>
  <si>
    <t xml:space="preserve">R$20.304,76</t>
  </si>
  <si>
    <t xml:space="preserve">R$223,88</t>
  </si>
  <si>
    <t xml:space="preserve">03/03/2004</t>
  </si>
  <si>
    <t xml:space="preserve">R$9.683,43</t>
  </si>
  <si>
    <t xml:space="preserve">R$144,70</t>
  </si>
  <si>
    <t xml:space="preserve">R$711.731,71</t>
  </si>
  <si>
    <t xml:space="preserve">ACUMULOU!!! Estimativa de prêmio (SENA) próximo concurso: R$1.700.000,00 (HUM MILHÃO E SETECENTOS MIL REAIS).</t>
  </si>
  <si>
    <t xml:space="preserve">06/03/2004</t>
  </si>
  <si>
    <t xml:space="preserve">R$1.836.749,58</t>
  </si>
  <si>
    <t xml:space="preserve">R$8.241,89</t>
  </si>
  <si>
    <t xml:space="preserve">R$250,47</t>
  </si>
  <si>
    <t xml:space="preserve">10/03/2004</t>
  </si>
  <si>
    <t xml:space="preserve">R$10.062,10</t>
  </si>
  <si>
    <t xml:space="preserve">R$161,89</t>
  </si>
  <si>
    <t xml:space="preserve">R$4.929.350,89</t>
  </si>
  <si>
    <t xml:space="preserve">ACUMULOU!!! Estimativa de prêmio (SENA) próximo concurso: R$6.000.000,00 (SEIS MILHÕES DE REAIS).</t>
  </si>
  <si>
    <t xml:space="preserve">13/03/2004</t>
  </si>
  <si>
    <t xml:space="preserve">ES</t>
  </si>
  <si>
    <t xml:space="preserve">R$6.409.645,53</t>
  </si>
  <si>
    <t xml:space="preserve">R$8.292,97</t>
  </si>
  <si>
    <t xml:space="preserve">R$195,29</t>
  </si>
  <si>
    <t xml:space="preserve">17/03/2004</t>
  </si>
  <si>
    <t xml:space="preserve">R$12.224,97</t>
  </si>
  <si>
    <t xml:space="preserve">R$129,78</t>
  </si>
  <si>
    <t xml:space="preserve">R$684.598,29</t>
  </si>
  <si>
    <t xml:space="preserve">ACUMULOU!!! Estimativa de prêmio (SENA) próximo concurso: R$1.500.000,00 (HUM MILHÃO E QUINHENTOS MIL REAIS).</t>
  </si>
  <si>
    <t xml:space="preserve">20/03/2004</t>
  </si>
  <si>
    <t xml:space="preserve">PB</t>
  </si>
  <si>
    <t xml:space="preserve">R$1.746.857,35</t>
  </si>
  <si>
    <t xml:space="preserve">R$14.452,51</t>
  </si>
  <si>
    <t xml:space="preserve">R$232,67</t>
  </si>
  <si>
    <t xml:space="preserve">Estimativa de prêmio (SENA) próximo concurso: R$850.000,00.</t>
  </si>
  <si>
    <t xml:space="preserve">24/03/2004</t>
  </si>
  <si>
    <t xml:space="preserve">R$41.634,70</t>
  </si>
  <si>
    <t xml:space="preserve">R$386,83</t>
  </si>
  <si>
    <t xml:space="preserve">R$655.746,39</t>
  </si>
  <si>
    <t xml:space="preserve">27/03/2004</t>
  </si>
  <si>
    <t xml:space="preserve">R$17.519,41</t>
  </si>
  <si>
    <t xml:space="preserve">R$214,07</t>
  </si>
  <si>
    <t xml:space="preserve">R$5.216.225,00</t>
  </si>
  <si>
    <t xml:space="preserve">31/03/2004</t>
  </si>
  <si>
    <t xml:space="preserve">R$18.277,00</t>
  </si>
  <si>
    <t xml:space="preserve">R$240,88</t>
  </si>
  <si>
    <t xml:space="preserve">R$6.463.630,53</t>
  </si>
  <si>
    <t xml:space="preserve">ACUMULOU!!! Estimativa de prêmio (SENA) próximo concurso: R$8.000.000,00 (OITO MILHÕES DE REAIS).</t>
  </si>
  <si>
    <t xml:space="preserve">03/04/2004</t>
  </si>
  <si>
    <t xml:space="preserve">R$28.192,58</t>
  </si>
  <si>
    <t xml:space="preserve">R$324,75</t>
  </si>
  <si>
    <t xml:space="preserve">R$8.190.426,28</t>
  </si>
  <si>
    <t xml:space="preserve">ACUMULOU!!! Estimativa de prêmio (SENA) próximo concurso: R$10.000.000,00 (DEZ MILHÕES DE REAIS).</t>
  </si>
  <si>
    <t xml:space="preserve">07/04/2004</t>
  </si>
  <si>
    <t xml:space="preserve">R$14.110,09</t>
  </si>
  <si>
    <t xml:space="preserve">R$225,61</t>
  </si>
  <si>
    <t xml:space="preserve">R$9.894.220,21</t>
  </si>
  <si>
    <t xml:space="preserve">ACUMULOU!!! Estimativa de prêmio (SENA) próximo concurso: R$11.500.000,00 (ONZE MILHÕES E QUINHENTOS MIL REAIS).</t>
  </si>
  <si>
    <t xml:space="preserve">10/04/2004</t>
  </si>
  <si>
    <t xml:space="preserve">R$23.814,78</t>
  </si>
  <si>
    <t xml:space="preserve">R$301,22</t>
  </si>
  <si>
    <t xml:space="preserve">R$11.644.606,76</t>
  </si>
  <si>
    <t xml:space="preserve">ACUMULOU!!! Estimativa de prêmio (SENA) próximo concurso: R$13.500.000,00 (TREZE MILHÕES E QUINHENTOS MIL REAIS).</t>
  </si>
  <si>
    <t xml:space="preserve">14/04/2004</t>
  </si>
  <si>
    <t xml:space="preserve">R$20.951,21</t>
  </si>
  <si>
    <t xml:space="preserve">R$277,60</t>
  </si>
  <si>
    <t xml:space="preserve">R$20.258.939,21</t>
  </si>
  <si>
    <t xml:space="preserve">ACUMULOU !!! Estimativa de prêmio (SENA) próximo concurso: R$23.000.000,00 (VINTE E TRÊS MILHÕES DE REAIS).</t>
  </si>
  <si>
    <t xml:space="preserve">17/04/2004</t>
  </si>
  <si>
    <t xml:space="preserve">R$23.810.057,19</t>
  </si>
  <si>
    <t xml:space="preserve">R$13.350,07</t>
  </si>
  <si>
    <t xml:space="preserve">R$188,35</t>
  </si>
  <si>
    <t xml:space="preserve">Estimativa de prêmio (SENA) próximo concurso: R$1.300.000,00 (UM MILHÃO E TREZENTOS MIL REAIS).</t>
  </si>
  <si>
    <t xml:space="preserve">21/04/2004</t>
  </si>
  <si>
    <t xml:space="preserve">R$14.872,57</t>
  </si>
  <si>
    <t xml:space="preserve">R$174,41</t>
  </si>
  <si>
    <t xml:space="preserve">R$520.539,87</t>
  </si>
  <si>
    <t xml:space="preserve">ACUMULOU!!! Estimativa de prêmio (SENA) próximo concurso: R$1.400.000,00. (UM MILHÃO E QUATROCENTOS MIL REAIS)</t>
  </si>
  <si>
    <t xml:space="preserve">24/04/2004</t>
  </si>
  <si>
    <t xml:space="preserve">R$11.001,41</t>
  </si>
  <si>
    <t xml:space="preserve">R$171,20</t>
  </si>
  <si>
    <t xml:space="preserve">R$1.656.435,01</t>
  </si>
  <si>
    <t xml:space="preserve">ACUMULOU!!! Estimativa de prêmio (SENA) próximo concurso: R$2.500.000,00 (DOIS MILHÕES E QUINHENTOS MIL REAIS).</t>
  </si>
  <si>
    <t xml:space="preserve">28/04/2004</t>
  </si>
  <si>
    <t xml:space="preserve">R$26.571,46</t>
  </si>
  <si>
    <t xml:space="preserve">R$277,94</t>
  </si>
  <si>
    <t xml:space="preserve">R$2.632.936,06</t>
  </si>
  <si>
    <t xml:space="preserve">ACUMULOU!!! Estimativa de prêmio (SENA) próximo concurso: R$3.700.000,00 (TRÊS MILHÕES E SETECENTOS MIL REAIS).</t>
  </si>
  <si>
    <t xml:space="preserve">01/05/2004</t>
  </si>
  <si>
    <t xml:space="preserve">R$3.707.152,54</t>
  </si>
  <si>
    <t xml:space="preserve">R$8.184,51</t>
  </si>
  <si>
    <t xml:space="preserve">R$137,11</t>
  </si>
  <si>
    <t xml:space="preserve">Estimativa de prêmio (SENA) próximo concurso: R$6.500.000,00 (SEIS MILHÕES E QUINHENTOS MIL REAIS).</t>
  </si>
  <si>
    <t xml:space="preserve">05/05/2004</t>
  </si>
  <si>
    <t xml:space="preserve">R$16.215,47</t>
  </si>
  <si>
    <t xml:space="preserve">R$274,97</t>
  </si>
  <si>
    <t xml:space="preserve">R$6.433.069,85</t>
  </si>
  <si>
    <t xml:space="preserve">08/05/2004</t>
  </si>
  <si>
    <t xml:space="preserve">R$31.342,98</t>
  </si>
  <si>
    <t xml:space="preserve">R$364,27</t>
  </si>
  <si>
    <t xml:space="preserve">R$8.188.276,67</t>
  </si>
  <si>
    <t xml:space="preserve">12/05/2004</t>
  </si>
  <si>
    <t xml:space="preserve">R$8.271,95</t>
  </si>
  <si>
    <t xml:space="preserve">R$187,22</t>
  </si>
  <si>
    <t xml:space="preserve">R$9.881.959,48</t>
  </si>
  <si>
    <t xml:space="preserve">15/05/2004</t>
  </si>
  <si>
    <t xml:space="preserve">R$13.541,69</t>
  </si>
  <si>
    <t xml:space="preserve">R$202,12</t>
  </si>
  <si>
    <t xml:space="preserve">R$12.014.774,50</t>
  </si>
  <si>
    <t xml:space="preserve">ACUMULOU!!! Estimativa de prêmio (SENA) próximo concurso: R$14.000.000,00 (QUATORZE MILHÕES DE REAIS).</t>
  </si>
  <si>
    <t xml:space="preserve">19/05/2004</t>
  </si>
  <si>
    <t xml:space="preserve">R$25.392,82</t>
  </si>
  <si>
    <t xml:space="preserve">R$261,73</t>
  </si>
  <si>
    <t xml:space="preserve">R$20.397.765,64</t>
  </si>
  <si>
    <t xml:space="preserve">ACUMULOU!!! Estimativa de prêmio (SENA) próximo concurso: R$23.000.000,00 (VINTE E TRÊS MILHÕES DE REAIS).</t>
  </si>
  <si>
    <t xml:space="preserve">22/05/2004</t>
  </si>
  <si>
    <t xml:space="preserve">R$29.241,27</t>
  </si>
  <si>
    <t xml:space="preserve">R$244,04</t>
  </si>
  <si>
    <t xml:space="preserve">R$23.314.582,63</t>
  </si>
  <si>
    <t xml:space="preserve">ACUMULOU!!! Estimativa de prêmio (SENA) próximo concurso: R$27.000.000,00 (VINTE E SETE MILHÕES DE REAIS).</t>
  </si>
  <si>
    <t xml:space="preserve">26/05/2004</t>
  </si>
  <si>
    <t xml:space="preserve">R$11.334,45</t>
  </si>
  <si>
    <t xml:space="preserve">R$152,49</t>
  </si>
  <si>
    <t xml:space="preserve">R$26.805.592,27</t>
  </si>
  <si>
    <t xml:space="preserve">ACUMULOU!!! Estimativa de prêmio (SENA) próximo concurso: R$32.000.000,00 (TRINTA E DOIS MILHÕES DE REAIS).</t>
  </si>
  <si>
    <t xml:space="preserve">29/05/2004</t>
  </si>
  <si>
    <t xml:space="preserve">R$37.888,61</t>
  </si>
  <si>
    <t xml:space="preserve">R$450,05</t>
  </si>
  <si>
    <t xml:space="preserve">R$31.380.642,06</t>
  </si>
  <si>
    <t xml:space="preserve">ACUMULOU!!! Estimatva de prêmio (SENA) próximo concurso: R$36.000.000,00 (TRINTA E SEIS MILHÕES DE REAIS).</t>
  </si>
  <si>
    <t xml:space="preserve">02/06/2004</t>
  </si>
  <si>
    <t xml:space="preserve">R$7.802,44</t>
  </si>
  <si>
    <t xml:space="preserve">R$37.620.642,34</t>
  </si>
  <si>
    <t xml:space="preserve">ACUMULOU!!! Estimativa de prêmio (SENA) próximo concurso: R$45.000.000,00 (QUARENTA E CINCO MILHÕES DE REAIS).</t>
  </si>
  <si>
    <t xml:space="preserve">05/06/2004</t>
  </si>
  <si>
    <t xml:space="preserve">R$46.663.532,70</t>
  </si>
  <si>
    <t xml:space="preserve">R$11.906,37</t>
  </si>
  <si>
    <t xml:space="preserve">R$172,04</t>
  </si>
  <si>
    <t xml:space="preserve">Estimativa de prêmio (SENA) próximo concurso: R$21.000.000,00 (VINTE E UM MILHÕES DE REAIS).</t>
  </si>
  <si>
    <t xml:space="preserve">09/06/2004</t>
  </si>
  <si>
    <t xml:space="preserve">R$18.168,10</t>
  </si>
  <si>
    <t xml:space="preserve">R$201,67</t>
  </si>
  <si>
    <t xml:space="preserve">R$21.431.972,38</t>
  </si>
  <si>
    <t xml:space="preserve">ACUMULOU!!! Estimativa de prêmio (SENA) próximo concurso: R$25.000.000,00 (VINTE E CINCO MILHÕES DE REAIS).</t>
  </si>
  <si>
    <t xml:space="preserve">12/06/2004</t>
  </si>
  <si>
    <t xml:space="preserve">R$22.294,35</t>
  </si>
  <si>
    <t xml:space="preserve">R$275,04</t>
  </si>
  <si>
    <t xml:space="preserve">R$24.124.014,99</t>
  </si>
  <si>
    <t xml:space="preserve">Acumulou!!! Estimativa de prêmio (SENA) próximo concurso:R$27.000.000,00 (VINTE E SETE MILHÕES DE REAIS).</t>
  </si>
  <si>
    <t xml:space="preserve">16/06/2004</t>
  </si>
  <si>
    <t xml:space="preserve">R$10.668,49</t>
  </si>
  <si>
    <t xml:space="preserve">R$173,21</t>
  </si>
  <si>
    <t xml:space="preserve">R$27.148.533,16</t>
  </si>
  <si>
    <t xml:space="preserve">Acumulou!!! Estimativa de prêmio (SENA) para o próximo concurso: R$31.000.000,00 (TRINTA E UM MILHÕES DE REAIS).</t>
  </si>
  <si>
    <t xml:space="preserve">19/06/2004</t>
  </si>
  <si>
    <t xml:space="preserve">R$25.012,22</t>
  </si>
  <si>
    <t xml:space="preserve">R$247,00</t>
  </si>
  <si>
    <t xml:space="preserve">R$30.737.786,41</t>
  </si>
  <si>
    <t xml:space="preserve">ACUMULOU!!! Estimativa de prêmio (SENA) próximo concurso: R$34.000.000,00 (TRINTA E QUATRO MILHÕES DE REAIS).</t>
  </si>
  <si>
    <t xml:space="preserve">23/06/2004</t>
  </si>
  <si>
    <t xml:space="preserve">R$12.609,31</t>
  </si>
  <si>
    <t xml:space="preserve">R$160,35</t>
  </si>
  <si>
    <t xml:space="preserve">R$45.420.567,88</t>
  </si>
  <si>
    <t xml:space="preserve">ACUMULOU!!! Estimativa de prêmio (SENA) próximo concurso: R$50.000.000,00 (CINQÜENTA MILHÕES DE REAIS).</t>
  </si>
  <si>
    <t xml:space="preserve">26/06/2004</t>
  </si>
  <si>
    <t xml:space="preserve">R$25.737.016,52</t>
  </si>
  <si>
    <t xml:space="preserve">R$7.359,84</t>
  </si>
  <si>
    <t xml:space="preserve">R$159,10</t>
  </si>
  <si>
    <t xml:space="preserve">30/06/2004</t>
  </si>
  <si>
    <t xml:space="preserve">R$22.856,21</t>
  </si>
  <si>
    <t xml:space="preserve">R$310,81</t>
  </si>
  <si>
    <t xml:space="preserve">R$1.079.955,77</t>
  </si>
  <si>
    <t xml:space="preserve">03/07/2004</t>
  </si>
  <si>
    <t xml:space="preserve">R$15.092,90</t>
  </si>
  <si>
    <t xml:space="preserve">R$187,17</t>
  </si>
  <si>
    <t xml:space="preserve">R$2.585.472,50</t>
  </si>
  <si>
    <t xml:space="preserve">ACUMULOU!!! Estimativa de prêmio (SENA) próximo concurso: R$4.000.000,00 (QUATRO MILHÕES DE REAIS).</t>
  </si>
  <si>
    <t xml:space="preserve">07/07/2004</t>
  </si>
  <si>
    <t xml:space="preserve">R$3.982.872,62</t>
  </si>
  <si>
    <t xml:space="preserve">R$12.879,26</t>
  </si>
  <si>
    <t xml:space="preserve">R$218,60</t>
  </si>
  <si>
    <t xml:space="preserve">10/07/2004</t>
  </si>
  <si>
    <t xml:space="preserve">R$1.175.432,13</t>
  </si>
  <si>
    <t xml:space="preserve">R$7.463,06</t>
  </si>
  <si>
    <t xml:space="preserve">R$129,38</t>
  </si>
  <si>
    <t xml:space="preserve">Estimativa de prêmio (SENA) próximo concurso: R$10.000.000,00 (DEZ MILHÕES DE REAIS).</t>
  </si>
  <si>
    <t xml:space="preserve">14/07/2004</t>
  </si>
  <si>
    <t xml:space="preserve">R$16.168,75</t>
  </si>
  <si>
    <t xml:space="preserve">R$220,17</t>
  </si>
  <si>
    <t xml:space="preserve">R$9.592.944,81</t>
  </si>
  <si>
    <t xml:space="preserve">ACUMULOU!!! Estimativa de prêmio (SENA) próximo concurso: R$12.000.000,00 (DOZE MILHÕES DE REAIS).</t>
  </si>
  <si>
    <t xml:space="preserve">17/07/2004</t>
  </si>
  <si>
    <t xml:space="preserve">R$11.781.320,02</t>
  </si>
  <si>
    <t xml:space="preserve">R$22.330,36</t>
  </si>
  <si>
    <t xml:space="preserve">R$281,27</t>
  </si>
  <si>
    <t xml:space="preserve">21/07/2004</t>
  </si>
  <si>
    <t xml:space="preserve">R$17.143,40</t>
  </si>
  <si>
    <t xml:space="preserve">R$254,91</t>
  </si>
  <si>
    <t xml:space="preserve">R$870.027,37</t>
  </si>
  <si>
    <t xml:space="preserve">24/07/2004</t>
  </si>
  <si>
    <t xml:space="preserve">R$20.218,13</t>
  </si>
  <si>
    <t xml:space="preserve">R$336,16</t>
  </si>
  <si>
    <t xml:space="preserve">R$2.143.769,60</t>
  </si>
  <si>
    <t xml:space="preserve">ACUMULOU!!! Estimativa de prêmio (SENA) próximo concurso: R$3.500.000,00 (TRÊS MILHÕES E QUINHENTOS MIL REAIS).</t>
  </si>
  <si>
    <t xml:space="preserve">28/07/2004</t>
  </si>
  <si>
    <t xml:space="preserve">R$13.327,92</t>
  </si>
  <si>
    <t xml:space="preserve">R$198,48</t>
  </si>
  <si>
    <t xml:space="preserve">R$8.329.175,80</t>
  </si>
  <si>
    <t xml:space="preserve">Acumulou!!! Estimativa de prêmio (SENA) próximo concurso: R$10.000.000,00. (DEZ MILHÕES DE REAIS).</t>
  </si>
  <si>
    <t xml:space="preserve">31/07/2004</t>
  </si>
  <si>
    <t xml:space="preserve">R$10.166.807,68</t>
  </si>
  <si>
    <t xml:space="preserve">R$8.468,35</t>
  </si>
  <si>
    <t xml:space="preserve">R$146,89</t>
  </si>
  <si>
    <t xml:space="preserve">04/08/2004</t>
  </si>
  <si>
    <t xml:space="preserve">R$15.687,92</t>
  </si>
  <si>
    <t xml:space="preserve">R$216,87</t>
  </si>
  <si>
    <t xml:space="preserve">R$823.615,95</t>
  </si>
  <si>
    <t xml:space="preserve">Acumulou!!! Estimativa de prêmio (SENA) próximo concurso: R$1.800.000,00 (HUM MILHÃO E OITOCENTOS MIL REAIS).</t>
  </si>
  <si>
    <t xml:space="preserve">07/08/2004</t>
  </si>
  <si>
    <t xml:space="preserve">R$20.518,92</t>
  </si>
  <si>
    <t xml:space="preserve">R$302,09</t>
  </si>
  <si>
    <t xml:space="preserve">R$2.116.308,12</t>
  </si>
  <si>
    <t xml:space="preserve">Acumulou!!! Estimativa de prêmio (SENA) próximo concurso: R$3.000.000,00 (TRÊS MILHÕES DE REAIS).</t>
  </si>
  <si>
    <t xml:space="preserve">11/08/2004</t>
  </si>
  <si>
    <t xml:space="preserve">R$29.565,71</t>
  </si>
  <si>
    <t xml:space="preserve">R$310,34</t>
  </si>
  <si>
    <t xml:space="preserve">R$3.254.587,92</t>
  </si>
  <si>
    <t xml:space="preserve">ACUMULOU!!! Estimativa de prêmio (SENA) próximo concurso: R$4.500.000,00 (QUATRO MILHÕES E QUINHENTOS MIL REAIS).</t>
  </si>
  <si>
    <t xml:space="preserve">14/08/2004</t>
  </si>
  <si>
    <t xml:space="preserve">R$5.926,91</t>
  </si>
  <si>
    <t xml:space="preserve">R$99,66</t>
  </si>
  <si>
    <t xml:space="preserve">R$9.594.559,27</t>
  </si>
  <si>
    <t xml:space="preserve">18/08/2004</t>
  </si>
  <si>
    <t xml:space="preserve">R$14.105,62</t>
  </si>
  <si>
    <t xml:space="preserve">R$190,82</t>
  </si>
  <si>
    <t xml:space="preserve">R$11.322.497,59</t>
  </si>
  <si>
    <t xml:space="preserve">21/08/2004</t>
  </si>
  <si>
    <t xml:space="preserve">R$18.968,95</t>
  </si>
  <si>
    <t xml:space="preserve">R$271,90</t>
  </si>
  <si>
    <t xml:space="preserve">R$13.447.020,10</t>
  </si>
  <si>
    <t xml:space="preserve">ACUMULOU!!! Estimativa de prêmio (SENA) próximo concurso: R$16.000.000,00.</t>
  </si>
  <si>
    <t xml:space="preserve">25/08/2004</t>
  </si>
  <si>
    <t xml:space="preserve">R$18.664,59</t>
  </si>
  <si>
    <t xml:space="preserve">R$220,39</t>
  </si>
  <si>
    <t xml:space="preserve">R$15.406.801,69</t>
  </si>
  <si>
    <t xml:space="preserve">Acumulou!!! Estimativa de prêmio (SENA) próximo concurso: R$18.000.000,00 (DEZOITO MILHÕES DE REAIS).</t>
  </si>
  <si>
    <t xml:space="preserve">28/08/2004</t>
  </si>
  <si>
    <t xml:space="preserve">R$20.265,54</t>
  </si>
  <si>
    <t xml:space="preserve">R$259,47</t>
  </si>
  <si>
    <t xml:space="preserve">R$17.818.401,51</t>
  </si>
  <si>
    <t xml:space="preserve">Acumulou!!! Estimativa de prêmio (SENA) próximo concurso: R$20.000.000,00 (VINTE MILHÕES DE REAIS).</t>
  </si>
  <si>
    <t xml:space="preserve">01/09/2004</t>
  </si>
  <si>
    <t xml:space="preserve">R$11.747,70</t>
  </si>
  <si>
    <t xml:space="preserve">R$219,76</t>
  </si>
  <si>
    <t xml:space="preserve">R$27.956.987,94</t>
  </si>
  <si>
    <t xml:space="preserve">Acumulou!!! Estimativa de prêmio (SENA) próximo concurso: R$31.000.000,00 (TRINTA E UM MILHÕES DE REAIS).</t>
  </si>
  <si>
    <t xml:space="preserve">04/09/2004</t>
  </si>
  <si>
    <t xml:space="preserve">R$22.736,36</t>
  </si>
  <si>
    <t xml:space="preserve">R$278,82</t>
  </si>
  <si>
    <t xml:space="preserve">R$31.498.176,46</t>
  </si>
  <si>
    <t xml:space="preserve">Acumulou!!! Estimativa de prêmio (SENA) próximo concurso: R$35.000.000,00 (TRINTA E CINCO MILHÕES DE REAIS).</t>
  </si>
  <si>
    <t xml:space="preserve">08/09/2004</t>
  </si>
  <si>
    <t xml:space="preserve">R$15.749,68</t>
  </si>
  <si>
    <t xml:space="preserve">R$276,69</t>
  </si>
  <si>
    <t xml:space="preserve">R$34.695.360,86</t>
  </si>
  <si>
    <t xml:space="preserve">Acumulou!!! Estimativa de prêmio (SENA) próximo concurso: R$39.000.000,00 (TRINTA E NOVE MILHÕES DE REAIS).</t>
  </si>
  <si>
    <t xml:space="preserve">11/09/2004</t>
  </si>
  <si>
    <t xml:space="preserve">R$21.650,75</t>
  </si>
  <si>
    <t xml:space="preserve">R$301,33</t>
  </si>
  <si>
    <t xml:space="preserve">R$39.999.792,49</t>
  </si>
  <si>
    <t xml:space="preserve">ACUMULOU!!! Estimativa de prêmio (sena) para o próximo concurso: R$45.000.000,00 (Quarenta e cinco milhões de reais).</t>
  </si>
  <si>
    <t xml:space="preserve">15/09/2004</t>
  </si>
  <si>
    <t xml:space="preserve">DF; RS</t>
  </si>
  <si>
    <t xml:space="preserve">R$23.179.951,19</t>
  </si>
  <si>
    <t xml:space="preserve">R$15.531,40</t>
  </si>
  <si>
    <t xml:space="preserve">R$188,29</t>
  </si>
  <si>
    <t xml:space="preserve">18/09/2004</t>
  </si>
  <si>
    <t xml:space="preserve">R$10.375,80</t>
  </si>
  <si>
    <t xml:space="preserve">R$141,31</t>
  </si>
  <si>
    <t xml:space="preserve">R$15.168.219,08</t>
  </si>
  <si>
    <t xml:space="preserve">Acumulou!!! Estimativa de prêmio (SENA) próximo concurso: R$17.000.000,00 (DEZESSETE MILHÕES DE REAIS).</t>
  </si>
  <si>
    <t xml:space="preserve">22/09/2004</t>
  </si>
  <si>
    <t xml:space="preserve">R$16.062,92</t>
  </si>
  <si>
    <t xml:space="preserve">R$251,75</t>
  </si>
  <si>
    <t xml:space="preserve">R$17.220.256,51</t>
  </si>
  <si>
    <t xml:space="preserve">25/09/2004</t>
  </si>
  <si>
    <t xml:space="preserve">R$18.837,59</t>
  </si>
  <si>
    <t xml:space="preserve">R$19.692.689,90</t>
  </si>
  <si>
    <t xml:space="preserve">ACUMULOU!!! Estimativa de prêmio (sena) para o próximo concurso: R$22.000.000,00 (vinte e dois milhões de reais).</t>
  </si>
  <si>
    <t xml:space="preserve">29/09/2004</t>
  </si>
  <si>
    <t xml:space="preserve">R$13.988,93</t>
  </si>
  <si>
    <t xml:space="preserve">R$195,47</t>
  </si>
  <si>
    <t xml:space="preserve">R$22.018.349,56</t>
  </si>
  <si>
    <t xml:space="preserve">Acumulou!!! Estimativa de prêmio (SENA) próximo concurso: R$24.000.000,00.</t>
  </si>
  <si>
    <t xml:space="preserve">02/10/2004</t>
  </si>
  <si>
    <t xml:space="preserve">R$24.750.883,61</t>
  </si>
  <si>
    <t xml:space="preserve">R$6.701,50</t>
  </si>
  <si>
    <t xml:space="preserve">R$123,80</t>
  </si>
  <si>
    <t xml:space="preserve">Estimativa de prêmio (sena) para o próximo concurso: R$1.000.000,00.</t>
  </si>
  <si>
    <t xml:space="preserve">06/10/2004</t>
  </si>
  <si>
    <t xml:space="preserve">R$35.679,23</t>
  </si>
  <si>
    <t xml:space="preserve">R$374,94</t>
  </si>
  <si>
    <t xml:space="preserve">R$8.450.325,62</t>
  </si>
  <si>
    <t xml:space="preserve">Acumulou!!! Estimativa de prêmio (SENA) próximo concurso: R$10.000.000,00 (DEZ MILHÕES DE REAIS).</t>
  </si>
  <si>
    <t xml:space="preserve">09/10/2004</t>
  </si>
  <si>
    <t xml:space="preserve">R$23.716,98</t>
  </si>
  <si>
    <t xml:space="preserve">R$267,15</t>
  </si>
  <si>
    <t xml:space="preserve">R$10.318.037,87</t>
  </si>
  <si>
    <t xml:space="preserve">ACUMULOU!!! Estimativa de prêmio (sena) para o próximo concurso: R$12.000.000,00 (DOZE MILHÕES DE REAIS).</t>
  </si>
  <si>
    <t xml:space="preserve">13/10/2004</t>
  </si>
  <si>
    <t xml:space="preserve">R$11.878.491,65</t>
  </si>
  <si>
    <t xml:space="preserve">R$20.736,93</t>
  </si>
  <si>
    <t xml:space="preserve">R$235,63</t>
  </si>
  <si>
    <t xml:space="preserve">Estimativa de prêmio (sena) para o próximo concurso: R$1.000.000,00 (HUM MILHÃO  DE REAIS).</t>
  </si>
  <si>
    <t xml:space="preserve">16/10/2004</t>
  </si>
  <si>
    <t xml:space="preserve">R$13.506,67</t>
  </si>
  <si>
    <t xml:space="preserve">R$211,14</t>
  </si>
  <si>
    <t xml:space="preserve">R$1.134.560,21</t>
  </si>
  <si>
    <t xml:space="preserve">ACUMULOU!!! Estimativa de prêmio (SENA) para o próximo concurso: R$2.000.000,00 (DOIS MILHÕES DE REAIS).</t>
  </si>
  <si>
    <t xml:space="preserve">20/10/2004</t>
  </si>
  <si>
    <t xml:space="preserve">R$6.267,54</t>
  </si>
  <si>
    <t xml:space="preserve">R$121,72</t>
  </si>
  <si>
    <t xml:space="preserve">R$2.242.347,59</t>
  </si>
  <si>
    <t xml:space="preserve">Acumulou!!! Estimativa de prêmio (SENA) próximo concurso: R$3.500.000,00 (TRÊS MILHÕES E QUINHENTOS MIL REAIS).</t>
  </si>
  <si>
    <t xml:space="preserve">23/10/2004</t>
  </si>
  <si>
    <t xml:space="preserve">R$13.952,24</t>
  </si>
  <si>
    <t xml:space="preserve">R$208,81</t>
  </si>
  <si>
    <t xml:space="preserve">R$8.804.117,70</t>
  </si>
  <si>
    <t xml:space="preserve">ACUMULOU!!! Estimativa de prêmio (sena) para o próximo concurso: R$10.000.000,00 (DEZ MILHÕES DE REAIS).</t>
  </si>
  <si>
    <t xml:space="preserve">27/10/2004</t>
  </si>
  <si>
    <t xml:space="preserve">R$14.911,12</t>
  </si>
  <si>
    <t xml:space="preserve">R$227,75</t>
  </si>
  <si>
    <t xml:space="preserve">R$10.421.973,58</t>
  </si>
  <si>
    <t xml:space="preserve">30/10/2004</t>
  </si>
  <si>
    <t xml:space="preserve">R$16.349,76</t>
  </si>
  <si>
    <t xml:space="preserve">R$248,04</t>
  </si>
  <si>
    <t xml:space="preserve">R$12.396.207,89</t>
  </si>
  <si>
    <t xml:space="preserve">ACUMULOU!!! Estimativa de prêmio (sena) para o próximo concurso: R$14.000.000,00 (QUATORZE MILHÕES DE REAIS).</t>
  </si>
  <si>
    <t xml:space="preserve">03/11/2004</t>
  </si>
  <si>
    <t xml:space="preserve">R$22.250,05</t>
  </si>
  <si>
    <t xml:space="preserve">R$268,16</t>
  </si>
  <si>
    <t xml:space="preserve">R$13.992.649,10</t>
  </si>
  <si>
    <t xml:space="preserve">ACUMULOU!!! Estimativa de prêmio (SENA) próximo concurso: R$16.000.000,00 (DEZESSEIS MILHÕES DE REAIS).</t>
  </si>
  <si>
    <t xml:space="preserve">06/11/2004</t>
  </si>
  <si>
    <t xml:space="preserve">R$12.259,22</t>
  </si>
  <si>
    <t xml:space="preserve">R$185,76</t>
  </si>
  <si>
    <t xml:space="preserve">R$16.309.642,40</t>
  </si>
  <si>
    <t xml:space="preserve">ACUMULOU!!! Estimativa de prêmio (sena) para o próximo concurso: R$18.000.000,00 (DEZOITO MILHÕES DE REAIS).</t>
  </si>
  <si>
    <t xml:space="preserve">10/11/2004</t>
  </si>
  <si>
    <t xml:space="preserve">R$24.951,84</t>
  </si>
  <si>
    <t xml:space="preserve">R$319,23</t>
  </si>
  <si>
    <t xml:space="preserve">R$25.638.073,79</t>
  </si>
  <si>
    <t xml:space="preserve">Acumulou!!! Estimativa de prêmio (SENA) próximo concurso: R$28.000.000,00 (VINTE E OITO MILHÕES DE REAIS).</t>
  </si>
  <si>
    <t xml:space="preserve">13/11/2004</t>
  </si>
  <si>
    <t xml:space="preserve">R$11.348,03</t>
  </si>
  <si>
    <t xml:space="preserve">R$181,48</t>
  </si>
  <si>
    <t xml:space="preserve">R$28.755.943,65</t>
  </si>
  <si>
    <t xml:space="preserve">ACUMULOU!!! Estimativa de prêmio (SENA) para o próximo concurso: R$31.000.000,00 (TRINTA E UM MILHÕES DE REAIS).</t>
  </si>
  <si>
    <t xml:space="preserve">17/11/2004</t>
  </si>
  <si>
    <t xml:space="preserve">R$18.187,52</t>
  </si>
  <si>
    <t xml:space="preserve">R$176,56</t>
  </si>
  <si>
    <t xml:space="preserve">R$31.620.478,41</t>
  </si>
  <si>
    <t xml:space="preserve">20/11/2004</t>
  </si>
  <si>
    <t xml:space="preserve">RJ; SP</t>
  </si>
  <si>
    <t xml:space="preserve">R$17.791.387,59</t>
  </si>
  <si>
    <t xml:space="preserve">R$7.834,50</t>
  </si>
  <si>
    <t xml:space="preserve">R$130,08</t>
  </si>
  <si>
    <t xml:space="preserve">Estimativa de prêmio (sena) para o próximo concurso: R$ 1.000.000,00.</t>
  </si>
  <si>
    <t xml:space="preserve">24/11/2004</t>
  </si>
  <si>
    <t xml:space="preserve">R$6.312,56</t>
  </si>
  <si>
    <t xml:space="preserve">R$108,34</t>
  </si>
  <si>
    <t xml:space="preserve">R$950.038,98</t>
  </si>
  <si>
    <t xml:space="preserve">ACUMULOU! Estimativa de prêmio (SENA) próximo concurso: R$2.000.000,00.</t>
  </si>
  <si>
    <t xml:space="preserve">27/11/2004</t>
  </si>
  <si>
    <t xml:space="preserve">R$7.354,06</t>
  </si>
  <si>
    <t xml:space="preserve">R$124,91</t>
  </si>
  <si>
    <t xml:space="preserve">R$10.960.275,81</t>
  </si>
  <si>
    <t xml:space="preserve">ACUMULOU!!! Estimativa de prêmio (sena) para o próximo concurso: R$13.000.000,00 (TREZE MILHÕES DE REAIS).</t>
  </si>
  <si>
    <t xml:space="preserve">01/12/2004</t>
  </si>
  <si>
    <t xml:space="preserve">R$11.707,09</t>
  </si>
  <si>
    <t xml:space="preserve">R$172,39</t>
  </si>
  <si>
    <t xml:space="preserve">R$12.742.680,43</t>
  </si>
  <si>
    <t xml:space="preserve">ACUMULOU! Estimativa de prêmio (SENA) para o próximo concurso: R$15.000.000,00 (QUINZE MILHÕES DE REAIS).</t>
  </si>
  <si>
    <t xml:space="preserve">04/12/2004</t>
  </si>
  <si>
    <t xml:space="preserve">R$32.904,81</t>
  </si>
  <si>
    <t xml:space="preserve">R$341,73</t>
  </si>
  <si>
    <t xml:space="preserve">R$15.046.017,24</t>
  </si>
  <si>
    <t xml:space="preserve">ACUMULOU!!! Estimativa de prêmio (sena) para o próximo concurso: R$17.000.000,00 (DEZESSETE MILHÕES DE REAIS).</t>
  </si>
  <si>
    <t xml:space="preserve">08/12/2004</t>
  </si>
  <si>
    <t xml:space="preserve">R$24.789,92</t>
  </si>
  <si>
    <t xml:space="preserve">R$339,92</t>
  </si>
  <si>
    <t xml:space="preserve">R$17.171.752,86</t>
  </si>
  <si>
    <t xml:space="preserve">ACUMULOU!!! Estimativa de prêmio (SENA) próximo concurso: R$19.000.000,00 (DEZENOVE MILHÕES DE REAIS).</t>
  </si>
  <si>
    <t xml:space="preserve">11/12/2004</t>
  </si>
  <si>
    <t xml:space="preserve">R$12.236,03</t>
  </si>
  <si>
    <t xml:space="preserve">R$218,59</t>
  </si>
  <si>
    <t xml:space="preserve">R$19.826.970,07</t>
  </si>
  <si>
    <t xml:space="preserve">ACUMULOU!!! Estimativa de prêmio (SENA) próximo concurso: R$22.000.000,00 (VINTE E DOIS MILHÕES DE REAIS).</t>
  </si>
  <si>
    <t xml:space="preserve">15/12/2004</t>
  </si>
  <si>
    <t xml:space="preserve">R$22.375.180,08</t>
  </si>
  <si>
    <t xml:space="preserve">R$13.482,59</t>
  </si>
  <si>
    <t xml:space="preserve">Estimativa de prêmio (SENA) para o próximo concurso: R$10.000.000,00 (DEZ MILHÕES DE REAIS).</t>
  </si>
  <si>
    <t xml:space="preserve">18/12/2004</t>
  </si>
  <si>
    <t xml:space="preserve">R$20.777,72</t>
  </si>
  <si>
    <t xml:space="preserve">R$250,06</t>
  </si>
  <si>
    <t xml:space="preserve">R$9.935.192,23</t>
  </si>
  <si>
    <t xml:space="preserve">ACUMULOU!!! Estimativa de prêmio (06 acertos) para o próximo concurso: R$12.000.000,00 (DOZE MILHÕES DE REAIS).</t>
  </si>
  <si>
    <t xml:space="preserve">22/12/2004</t>
  </si>
  <si>
    <t xml:space="preserve">R$21.294,16</t>
  </si>
  <si>
    <t xml:space="preserve">R$216,47</t>
  </si>
  <si>
    <t xml:space="preserve">R$11.872.960,59</t>
  </si>
  <si>
    <t xml:space="preserve">ACUMULOU!!! Estimativa de prêmio (SENA) para o próximo concurso: R$14.000.000,00 (CATORZE MILHÕES DE REAIS). Informamos que não haverá sorteio das loterias nos dias 24 e 25/12/2004.</t>
  </si>
  <si>
    <t xml:space="preserve">29/12/2004</t>
  </si>
  <si>
    <t xml:space="preserve">R$14.270,18</t>
  </si>
  <si>
    <t xml:space="preserve">R$197,82</t>
  </si>
  <si>
    <t xml:space="preserve">R$14.669.915,47</t>
  </si>
  <si>
    <t xml:space="preserve">ACUMULOU!!! Estimativa de prêmio (SENA)próximo concurso: R$17.000.000,00. O sorteio do concurso 628 será em 05/01/2005.</t>
  </si>
  <si>
    <t xml:space="preserve">05/01/2005</t>
  </si>
  <si>
    <t xml:space="preserve">R$17.373.966,13</t>
  </si>
  <si>
    <t xml:space="preserve">R$20.331,21</t>
  </si>
  <si>
    <t xml:space="preserve">R$279,37</t>
  </si>
  <si>
    <t xml:space="preserve">Estimativa de prêmio (sena) para o próximo concurso: R$1.200.000,00.</t>
  </si>
  <si>
    <t xml:space="preserve">08/01/2005</t>
  </si>
  <si>
    <t xml:space="preserve">R$1.104.456,38</t>
  </si>
  <si>
    <t xml:space="preserve">R$42.074,53</t>
  </si>
  <si>
    <t xml:space="preserve">R$337,13</t>
  </si>
  <si>
    <t xml:space="preserve">Estimativa de prêmio (sena) para o próximo concurso: R$9.000.000,00 (NOVE MILHÕES DE REAIS).</t>
  </si>
  <si>
    <t xml:space="preserve">12/01/2005</t>
  </si>
  <si>
    <t xml:space="preserve">R$24.880,69</t>
  </si>
  <si>
    <t xml:space="preserve">R$275,23</t>
  </si>
  <si>
    <t xml:space="preserve">R$8.811.801,94</t>
  </si>
  <si>
    <t xml:space="preserve">15/01/2005</t>
  </si>
  <si>
    <t xml:space="preserve">R$10.579.247,17</t>
  </si>
  <si>
    <t xml:space="preserve">R$21.955,84</t>
  </si>
  <si>
    <t xml:space="preserve">R$283,58</t>
  </si>
  <si>
    <t xml:space="preserve">19/01/2005</t>
  </si>
  <si>
    <t xml:space="preserve">R$19.697,02</t>
  </si>
  <si>
    <t xml:space="preserve">R$260,03</t>
  </si>
  <si>
    <t xml:space="preserve">R$896.214,44</t>
  </si>
  <si>
    <t xml:space="preserve">ACUMULOU! Estimativa de prêmio (SENA), próximo concurso: R$2.000.000,00 (Dois milhões de reais).</t>
  </si>
  <si>
    <t xml:space="preserve">22/01/2005</t>
  </si>
  <si>
    <t xml:space="preserve">R$11.744,77</t>
  </si>
  <si>
    <t xml:space="preserve">R$192,57</t>
  </si>
  <si>
    <t xml:space="preserve">R$2.088.308,43</t>
  </si>
  <si>
    <t xml:space="preserve">ACUMULOU!!! Estimativa de prêmio (sena) para o próximo concurso: R$3.500.000,00 (TRÊS MILHÕES E QUINHENTOS MIL REAIS).</t>
  </si>
  <si>
    <t xml:space="preserve">26/01/2005</t>
  </si>
  <si>
    <t xml:space="preserve">R$11.854,27</t>
  </si>
  <si>
    <t xml:space="preserve">R$169,97</t>
  </si>
  <si>
    <t xml:space="preserve">R$7.789.137,30</t>
  </si>
  <si>
    <t xml:space="preserve">ACUMULOU!!! Estimativa de prêmio (sena) para o próximo concurso: R$9.000.000,00 (NOVE MILHÕES DE REAIS).</t>
  </si>
  <si>
    <t xml:space="preserve">29/01/2005</t>
  </si>
  <si>
    <t xml:space="preserve">R$16.456,84</t>
  </si>
  <si>
    <t xml:space="preserve">R$260,80</t>
  </si>
  <si>
    <t xml:space="preserve">R$9.459.506,58</t>
  </si>
  <si>
    <t xml:space="preserve">ACUMULOU!!! Estimativa de prêmio (sena) para o próximo concurso: R$11.000.000,00 (ONZE MILHÕES DE REAIS).</t>
  </si>
  <si>
    <t xml:space="preserve">02/02/2005</t>
  </si>
  <si>
    <t xml:space="preserve">R$12.762,47</t>
  </si>
  <si>
    <t xml:space="preserve">R$296,79</t>
  </si>
  <si>
    <t xml:space="preserve">R$11.112.246,45</t>
  </si>
  <si>
    <t xml:space="preserve">ACUMULOU!!! Estimativa de prêmio (sena) para o próximo concurso: R$ 13.000.000,00 (TREZE MILHÕES DE REAIS).</t>
  </si>
  <si>
    <t xml:space="preserve">05/02/2005</t>
  </si>
  <si>
    <t xml:space="preserve">R$38.451,69</t>
  </si>
  <si>
    <t xml:space="preserve">R$312,04</t>
  </si>
  <si>
    <t xml:space="preserve">R$13.063.669,53</t>
  </si>
  <si>
    <t xml:space="preserve">ACUMULOU!!! Estimativa de prêmio (SENA) próximo concurso: R$15.000.000,00 - QUINZE MILHÕES DE REAIS!</t>
  </si>
  <si>
    <t xml:space="preserve">12/02/2005</t>
  </si>
  <si>
    <t xml:space="preserve">R$22.677,35</t>
  </si>
  <si>
    <t xml:space="preserve">R$325,03</t>
  </si>
  <si>
    <t xml:space="preserve">R$15.643.218,50</t>
  </si>
  <si>
    <t xml:space="preserve">ACUMULOU! Estimativa de prêmio (SENA) próximo concurso: R$18.000.000,00 (DEZOITO MILHÕES DE REAIS).</t>
  </si>
  <si>
    <t xml:space="preserve">16/02/2005</t>
  </si>
  <si>
    <t xml:space="preserve">R$17.653,96</t>
  </si>
  <si>
    <t xml:space="preserve">R$231,37</t>
  </si>
  <si>
    <t xml:space="preserve">R$25.066.531,77</t>
  </si>
  <si>
    <t xml:space="preserve">ACUMULOU!!! Estimativa de prêmio (SENA) para o próximo concurso: R$28.000.000,00 (VINTE E OITO MILHÕES DE REAIS).</t>
  </si>
  <si>
    <t xml:space="preserve">19/02/2005</t>
  </si>
  <si>
    <t xml:space="preserve">R$14.012,81</t>
  </si>
  <si>
    <t xml:space="preserve">R$222,49</t>
  </si>
  <si>
    <t xml:space="preserve">R$28.229.924,76</t>
  </si>
  <si>
    <t xml:space="preserve">23/02/2005</t>
  </si>
  <si>
    <t xml:space="preserve">R$31.923.289,19</t>
  </si>
  <si>
    <t xml:space="preserve">R$5.766,38</t>
  </si>
  <si>
    <t xml:space="preserve">R$100,89</t>
  </si>
  <si>
    <t xml:space="preserve">Estimativa de prêmio (SENA) para o próximo concurso: R$1.000.000,00.</t>
  </si>
  <si>
    <t xml:space="preserve">26/02/2005</t>
  </si>
  <si>
    <t xml:space="preserve">R$22.758,80</t>
  </si>
  <si>
    <t xml:space="preserve">R$319,34</t>
  </si>
  <si>
    <t xml:space="preserve">R$1.115.180,94</t>
  </si>
  <si>
    <t xml:space="preserve">ACUMULOU!! Estimativa de prêmio (SENA) PRÓXIMO CONCURSO: R$2.000.000,00. Dois milhões de reais.</t>
  </si>
  <si>
    <t xml:space="preserve">02/03/2005</t>
  </si>
  <si>
    <t xml:space="preserve">R$15.663,14</t>
  </si>
  <si>
    <t xml:space="preserve">R$237,48</t>
  </si>
  <si>
    <t xml:space="preserve">R$2.239.011,24</t>
  </si>
  <si>
    <t xml:space="preserve">ACUMULOU!!! Estimativa de prêmio (SENA) para o próximo concurso: R$3.500.000,00.</t>
  </si>
  <si>
    <t xml:space="preserve">05/03/2005</t>
  </si>
  <si>
    <t xml:space="preserve">R$10.667,36</t>
  </si>
  <si>
    <t xml:space="preserve">R$194,17</t>
  </si>
  <si>
    <t xml:space="preserve">R$11.328.156,70</t>
  </si>
  <si>
    <t xml:space="preserve">ACUMULOU!! Estimativa de prêmio (SENA) próximo concurso: R$13.000.000,00. Treze Milhões de Reais.</t>
  </si>
  <si>
    <t xml:space="preserve">09/03/2005</t>
  </si>
  <si>
    <t xml:space="preserve">R$27.310,11</t>
  </si>
  <si>
    <t xml:space="preserve">R$244,20</t>
  </si>
  <si>
    <t xml:space="preserve">R$13.192.071,41</t>
  </si>
  <si>
    <t xml:space="preserve">12/03/2005</t>
  </si>
  <si>
    <t xml:space="preserve">R$16.079,41</t>
  </si>
  <si>
    <t xml:space="preserve">R$205,00</t>
  </si>
  <si>
    <t xml:space="preserve">R$15.415.049,93</t>
  </si>
  <si>
    <t xml:space="preserve">ACUMULOU!!! Estimativa de prêmio (SENA) próximo concurso: R$17.000.000,00 (DEZESSETE MILHÕES DE REAIS).</t>
  </si>
  <si>
    <t xml:space="preserve">16/03/2005</t>
  </si>
  <si>
    <t xml:space="preserve">R$17.603.353,15</t>
  </si>
  <si>
    <t xml:space="preserve">R$25.009,18</t>
  </si>
  <si>
    <t xml:space="preserve">R$229,34</t>
  </si>
  <si>
    <t xml:space="preserve">Estimativa de prêmio (SENA) para o próximo concurso: R$1.000.000,00 (HUM MILHÃO DE REAIS).</t>
  </si>
  <si>
    <t xml:space="preserve">19/03/2005</t>
  </si>
  <si>
    <t xml:space="preserve">MG; RJ; SC</t>
  </si>
  <si>
    <t xml:space="preserve">R$361.199,61</t>
  </si>
  <si>
    <t xml:space="preserve">R$4.454,67</t>
  </si>
  <si>
    <t xml:space="preserve">Estimativa de prêmio (Sena) para o próximo concurso: R$ 1.000.000,00.</t>
  </si>
  <si>
    <t xml:space="preserve">23/03/2005</t>
  </si>
  <si>
    <t xml:space="preserve">R$15.748,23</t>
  </si>
  <si>
    <t xml:space="preserve">R$225,57</t>
  </si>
  <si>
    <t xml:space="preserve">R$6.720.868,06</t>
  </si>
  <si>
    <t xml:space="preserve">ACUMULOU!!! Estimativa de prêmio (SENA) para o próximo concurso: R$8.000.000,00 (OITO MILHÕES DE REAIS).</t>
  </si>
  <si>
    <t xml:space="preserve">26/03/2005</t>
  </si>
  <si>
    <t xml:space="preserve">R$24.322,62</t>
  </si>
  <si>
    <t xml:space="preserve">R$254,15</t>
  </si>
  <si>
    <t xml:space="preserve">R$7.955.241,21</t>
  </si>
  <si>
    <t xml:space="preserve">ACUMULOU!!! Estimativa de prêmio (SENA) para o próximo concurso: R$9.000.000,00 (NOVE MILHÕES DE REAIS).</t>
  </si>
  <si>
    <t xml:space="preserve">30/03/2005</t>
  </si>
  <si>
    <t xml:space="preserve">R$24.882,92</t>
  </si>
  <si>
    <t xml:space="preserve">R$204,86</t>
  </si>
  <si>
    <t xml:space="preserve">R$9.522.864,81</t>
  </si>
  <si>
    <t xml:space="preserve">ACUMULOU!!! Estimativa de prêmio (SENA) para o próximo concurso: R$11.000.000,00 (ONZE MILHÕES DE REAIS).</t>
  </si>
  <si>
    <t xml:space="preserve">02/04/2005</t>
  </si>
  <si>
    <t xml:space="preserve">R$27.383,54</t>
  </si>
  <si>
    <t xml:space="preserve">R$288,71</t>
  </si>
  <si>
    <t xml:space="preserve">R$11.487.633,94</t>
  </si>
  <si>
    <t xml:space="preserve">ACUMULOU!!! Estimativa de prêmio (SENA) para o próximo concurso: R$13.000.000,00 (TREZE MILHÕES DE REAIS).</t>
  </si>
  <si>
    <t xml:space="preserve">06/04/2005</t>
  </si>
  <si>
    <t xml:space="preserve">R$14.994,32</t>
  </si>
  <si>
    <t xml:space="preserve">R$176,18</t>
  </si>
  <si>
    <t xml:space="preserve">R$13.429.397,87</t>
  </si>
  <si>
    <t xml:space="preserve">09/04/2005</t>
  </si>
  <si>
    <t xml:space="preserve">R$15.767.596,35</t>
  </si>
  <si>
    <t xml:space="preserve">R$20.244,14</t>
  </si>
  <si>
    <t xml:space="preserve">R$280,52</t>
  </si>
  <si>
    <t xml:space="preserve">Estimativa de prêmio (sena) para o próximo concurso, a ser realizado em 13/04/2005: R$8.000.000,00 (OITO MILHÕES DE REAIS).</t>
  </si>
  <si>
    <t xml:space="preserve">13/04/2005</t>
  </si>
  <si>
    <t xml:space="preserve">R$33.457,53</t>
  </si>
  <si>
    <t xml:space="preserve">R$281,64</t>
  </si>
  <si>
    <t xml:space="preserve">R$7.808.614,22</t>
  </si>
  <si>
    <t xml:space="preserve">ACUMULOU!!! Estimativa de prêmio (SENA) próximo concurso, a ser realizado em 16/04/2005: R$9.000.000,00 (NOVE MILHÕES DE REAIS).</t>
  </si>
  <si>
    <t xml:space="preserve">16/04/2005</t>
  </si>
  <si>
    <t xml:space="preserve">R$42.026,73</t>
  </si>
  <si>
    <t xml:space="preserve">R$383,08</t>
  </si>
  <si>
    <t xml:space="preserve">R$9.573.736,75</t>
  </si>
  <si>
    <t xml:space="preserve">ACUMULOU!!! Estimativa de prêmio (SENA) próximo concurso, a ser realizado em 20/04/2005: R$11.000.000,00 (ONZE MILHÕES DE REAIS).</t>
  </si>
  <si>
    <t xml:space="preserve">20/04/2005</t>
  </si>
  <si>
    <t xml:space="preserve">R$11.354.235,39</t>
  </si>
  <si>
    <t xml:space="preserve">R$18.168,36</t>
  </si>
  <si>
    <t xml:space="preserve">R$253,72</t>
  </si>
  <si>
    <t xml:space="preserve">Estimativa de prêmio (SENA) próximo concurso, a ser realizado em 23/04/2005: R$1.000.000,00.</t>
  </si>
  <si>
    <t xml:space="preserve">23/04/2005</t>
  </si>
  <si>
    <t xml:space="preserve">R$18.418,26</t>
  </si>
  <si>
    <t xml:space="preserve">R$197,30</t>
  </si>
  <si>
    <t xml:space="preserve">R$999.190,32</t>
  </si>
  <si>
    <t xml:space="preserve">ACUMULOU!!! Estimativa de prêmio (SENA) próximo concurso, a ser realizado em 27/04/2005: R$2.000.000,00.</t>
  </si>
  <si>
    <t xml:space="preserve">27/04/2005</t>
  </si>
  <si>
    <t xml:space="preserve">R$27.222,16</t>
  </si>
  <si>
    <t xml:space="preserve">R$429,22</t>
  </si>
  <si>
    <t xml:space="preserve">R$7.004.050,46</t>
  </si>
  <si>
    <t xml:space="preserve">ACUMULOU!!! Estimativa de prêmio (SENA) próximo concurso, a ser realizado em 30/04/2005: R$9.000.000,00.</t>
  </si>
  <si>
    <t xml:space="preserve">30/04/2005</t>
  </si>
  <si>
    <t xml:space="preserve">R$16.751,00</t>
  </si>
  <si>
    <t xml:space="preserve">R$230,23</t>
  </si>
  <si>
    <t xml:space="preserve">R$8.704.277,05</t>
  </si>
  <si>
    <t xml:space="preserve">ACUMULOU!!! Estimativa de prêmio (sena) para o próximo concurso, a ser realizado em 04/05/2005: R$10.000.000,00 (Dez milhões de reais).</t>
  </si>
  <si>
    <t xml:space="preserve">04/05/2005</t>
  </si>
  <si>
    <t xml:space="preserve">R$15.130,77</t>
  </si>
  <si>
    <t xml:space="preserve">R$229,09</t>
  </si>
  <si>
    <t xml:space="preserve">R$10.398.923,36</t>
  </si>
  <si>
    <t xml:space="preserve">ACUMULOU!!! Estimativa de prêmio (SENA) próximo concurso, a ser realizado em 07/05/2005: R$12.000.000,00.</t>
  </si>
  <si>
    <t xml:space="preserve">07/05/2005</t>
  </si>
  <si>
    <t xml:space="preserve">R$14.974,99</t>
  </si>
  <si>
    <t xml:space="preserve">R$213,31</t>
  </si>
  <si>
    <t xml:space="preserve">R$12.469.215,44</t>
  </si>
  <si>
    <t xml:space="preserve">ACUMULOU!!! Estimativa de prêmio (SENA) próximo concurso, a ser realizado em 11/05/2005: R$14.000.000,00.</t>
  </si>
  <si>
    <t xml:space="preserve">11/05/2005</t>
  </si>
  <si>
    <t xml:space="preserve">R$17.649,82</t>
  </si>
  <si>
    <t xml:space="preserve">R$279,93</t>
  </si>
  <si>
    <t xml:space="preserve">R$14.445.995,20</t>
  </si>
  <si>
    <t xml:space="preserve">ACUMULOU!!! Estimativa de prêmio (SENA) próximo concurso, a ser realizado em 14/05/2005: R$17.000.000,00.</t>
  </si>
  <si>
    <t xml:space="preserve">14/05/2005</t>
  </si>
  <si>
    <t xml:space="preserve">R$18.450,77</t>
  </si>
  <si>
    <t xml:space="preserve">R$273,62</t>
  </si>
  <si>
    <t xml:space="preserve">R$23.857.740,39</t>
  </si>
  <si>
    <t xml:space="preserve">ACUMULOU!!! Estimativa de prêmio (SENA) próximo concurso, a ser realizado em 18/05/2005: R$26.000.000,00.</t>
  </si>
  <si>
    <t xml:space="preserve">18/05/2005</t>
  </si>
  <si>
    <t xml:space="preserve">R$8.538,56</t>
  </si>
  <si>
    <t xml:space="preserve">R$156,51</t>
  </si>
  <si>
    <t xml:space="preserve">R$26.622.098,55</t>
  </si>
  <si>
    <t xml:space="preserve">ACUMULOU!!! Estimativa de prêmio (SENA) próximo concurso, a ser realizado em 21/05/2005: R$30.000.000,00 (TRINTA MILHÕES DE REAIS).</t>
  </si>
  <si>
    <t xml:space="preserve">21/05/2005</t>
  </si>
  <si>
    <t xml:space="preserve">R$26.923,37</t>
  </si>
  <si>
    <t xml:space="preserve">R$254,29</t>
  </si>
  <si>
    <t xml:space="preserve">R$30.250.022,18</t>
  </si>
  <si>
    <t xml:space="preserve">ACUMULOU!!! Estimativa de prêmio (sena) para o próximo concurso, a ser realizado em 25/05/2005: R$34.000.000,00.</t>
  </si>
  <si>
    <t xml:space="preserve">25/05/2005</t>
  </si>
  <si>
    <t xml:space="preserve">R$34.263.173,55</t>
  </si>
  <si>
    <t xml:space="preserve">R$11.296,70</t>
  </si>
  <si>
    <t xml:space="preserve">R$149,48</t>
  </si>
  <si>
    <t xml:space="preserve">Estimativa de prêmio (SENA) próximo concurso, a ser realizado em 28/05/2005: R$1.000.000,00.</t>
  </si>
  <si>
    <t xml:space="preserve">28/05/2005</t>
  </si>
  <si>
    <t xml:space="preserve">R$11.007,74</t>
  </si>
  <si>
    <t xml:space="preserve">R$206,54</t>
  </si>
  <si>
    <t xml:space="preserve">R$1.020.967,19</t>
  </si>
  <si>
    <t xml:space="preserve">ACUMULOU!!! Estimativa de prêmio (SENA) próximo concurso, a ser realizado em 01/06/2005: R$2.000.000,00.</t>
  </si>
  <si>
    <t xml:space="preserve">01/06/2005</t>
  </si>
  <si>
    <t xml:space="preserve">R$2.170.216,15</t>
  </si>
  <si>
    <t xml:space="preserve">R$20.522,30</t>
  </si>
  <si>
    <t xml:space="preserve">R$269,57</t>
  </si>
  <si>
    <t xml:space="preserve">Estimativa de prêmio (SENA) próximo concurso, a ser realizado em 04/06/2005: R$10.000.000,00.</t>
  </si>
  <si>
    <t xml:space="preserve">04/06/2005</t>
  </si>
  <si>
    <t xml:space="preserve">R$43.085,53</t>
  </si>
  <si>
    <t xml:space="preserve">R$355,84</t>
  </si>
  <si>
    <t xml:space="preserve">R$10.792.198,93</t>
  </si>
  <si>
    <t xml:space="preserve">ACUMULOU!!! Estimativa de prêmio (SENA) próximo concurso, a ser realizado em 08/06/2005: R$12.000.000,00.</t>
  </si>
  <si>
    <t xml:space="preserve">08/06/2005</t>
  </si>
  <si>
    <t xml:space="preserve">R$16.609,70</t>
  </si>
  <si>
    <t xml:space="preserve">R$260,30</t>
  </si>
  <si>
    <t xml:space="preserve">R$12.739.685,49</t>
  </si>
  <si>
    <t xml:space="preserve">ACUMULOU!!! Estimativa de prêmio (SENA) próximo concurso, a ser realizado em 11/06/2005: R$15.000.000,00.</t>
  </si>
  <si>
    <t xml:space="preserve">11/06/2005</t>
  </si>
  <si>
    <t xml:space="preserve">R$24.277,19</t>
  </si>
  <si>
    <t xml:space="preserve">R$296,08</t>
  </si>
  <si>
    <t xml:space="preserve">R$15.033.880,01</t>
  </si>
  <si>
    <t xml:space="preserve">ACUMULOU!!! Estimativa de prêmio (SENA) próximo concurso, a ser realizado em 15/06/2005: R$17.000.000,00. Sorteios dias 13 e 14/06 serão em Martinópolis/SP.</t>
  </si>
  <si>
    <t xml:space="preserve">15/06/2005</t>
  </si>
  <si>
    <t xml:space="preserve">R$17.523,73</t>
  </si>
  <si>
    <t xml:space="preserve">R$262,30</t>
  </si>
  <si>
    <t xml:space="preserve">R$17.241.869,86</t>
  </si>
  <si>
    <t xml:space="preserve">ACUMULOU!!! Estimativa de prêmio (SENA) próximo concurso, a ser realizado em 18/06/2005: R$20.000.000,00.</t>
  </si>
  <si>
    <t xml:space="preserve">18/06/2005</t>
  </si>
  <si>
    <t xml:space="preserve">R$16.070,11</t>
  </si>
  <si>
    <t xml:space="preserve">R$275,14</t>
  </si>
  <si>
    <t xml:space="preserve">R$27.769.536,63</t>
  </si>
  <si>
    <t xml:space="preserve">ACUMULOU!!! Estimativa de prêmio (SENA) próximo concurso, a ser realizado em 22/06/2005: R$30.000.000,00.</t>
  </si>
  <si>
    <t xml:space="preserve">22/06/2005</t>
  </si>
  <si>
    <t xml:space="preserve">R$26.180,70</t>
  </si>
  <si>
    <t xml:space="preserve">R$335,79</t>
  </si>
  <si>
    <t xml:space="preserve">R$30.839.224,48</t>
  </si>
  <si>
    <t xml:space="preserve">ACUMULOU!!! Estimativa de prêmio (SENA) próximo concurso, a ser realizado em 25/06/2005: R$35.000.000,00.</t>
  </si>
  <si>
    <t xml:space="preserve">25/06/2005</t>
  </si>
  <si>
    <t xml:space="preserve">R$22.081,78</t>
  </si>
  <si>
    <t xml:space="preserve">R$272,69</t>
  </si>
  <si>
    <t xml:space="preserve">R$34.471.676,39</t>
  </si>
  <si>
    <t xml:space="preserve">ACUMULOU!!! Estimativa de prêmio (SENA) próximo concurso, a ser realizado em 29/06/2005: R$38.000.000,00.</t>
  </si>
  <si>
    <t xml:space="preserve">29/06/2005</t>
  </si>
  <si>
    <t xml:space="preserve">R$8.422,82</t>
  </si>
  <si>
    <t xml:space="preserve">R$186,14</t>
  </si>
  <si>
    <t xml:space="preserve">R$38.657.818,81</t>
  </si>
  <si>
    <t xml:space="preserve">ACUMULOU!!! Estimativa de prêmio (SENA) próximo concurso, a ser realizado em 02/07/2005: R$43.000.000,00 (QUARENTA E TRÊS MILHÕES DE REAIS).</t>
  </si>
  <si>
    <t xml:space="preserve">02/07/2005</t>
  </si>
  <si>
    <t xml:space="preserve">R$28.311,43</t>
  </si>
  <si>
    <t xml:space="preserve">R$331,07</t>
  </si>
  <si>
    <t xml:space="preserve">R$44.355.495,36</t>
  </si>
  <si>
    <t xml:space="preserve">ACUMULOU!!! Estimativa de prêmio (SENA) próximo concurso, a ser realizado em 06/07/2005: R$50.000.000,00 (CINQÜENTA MILHÕES DE REAIS).</t>
  </si>
  <si>
    <t xml:space="preserve">06/07/2005</t>
  </si>
  <si>
    <t xml:space="preserve">R$51.890.452,61</t>
  </si>
  <si>
    <t xml:space="preserve">R$9.610,91</t>
  </si>
  <si>
    <t xml:space="preserve">R$194,20</t>
  </si>
  <si>
    <t xml:space="preserve">Estimativa de prêmio (SENA) próximo concurso, a ser realizado em 09/07/2005: R$20.000.000,00.</t>
  </si>
  <si>
    <t xml:space="preserve">09/07/2005</t>
  </si>
  <si>
    <t xml:space="preserve">R$7.276,69</t>
  </si>
  <si>
    <t xml:space="preserve">R$121,45</t>
  </si>
  <si>
    <t xml:space="preserve">R$19.623.257,97</t>
  </si>
  <si>
    <t xml:space="preserve">ACUMULOU. Estimativa de prêmio (sena) para o próximo concurso a ser realizado em 13/07/2005: R$22.000.000,00.</t>
  </si>
  <si>
    <t xml:space="preserve">13/07/2005</t>
  </si>
  <si>
    <t xml:space="preserve">R$23.695,09</t>
  </si>
  <si>
    <t xml:space="preserve">R$280,91</t>
  </si>
  <si>
    <t xml:space="preserve">R$22.194.175,20</t>
  </si>
  <si>
    <t xml:space="preserve">ACUMULOU. Estimativa de prêmio (sena) para o próximo concurso, a ser realizado em 16/07/2005: R$25.000.000,00.</t>
  </si>
  <si>
    <t xml:space="preserve">16/07/2005</t>
  </si>
  <si>
    <t xml:space="preserve">R$25.832,17</t>
  </si>
  <si>
    <t xml:space="preserve">R$282,55</t>
  </si>
  <si>
    <t xml:space="preserve">R$24.996.965,62</t>
  </si>
  <si>
    <t xml:space="preserve">ACUMULOU!!! Estimativa de prêmio (SENA) próximo concurso, a ser realizado em 20/07/2005: R$27.000.000,00.</t>
  </si>
  <si>
    <t xml:space="preserve">20/07/2005</t>
  </si>
  <si>
    <t xml:space="preserve">R$19.666,04</t>
  </si>
  <si>
    <t xml:space="preserve">R$272,49</t>
  </si>
  <si>
    <t xml:space="preserve">R$27.715.795,78</t>
  </si>
  <si>
    <t xml:space="preserve">ACUMULOU. Estimativa de prêmio (sena) para o próximo concurso, a ser realizado em 23/07/2005: R$31.000.000,00.</t>
  </si>
  <si>
    <t xml:space="preserve">23/07/2005</t>
  </si>
  <si>
    <t xml:space="preserve">R$22.483,66</t>
  </si>
  <si>
    <t xml:space="preserve">R$255,42</t>
  </si>
  <si>
    <t xml:space="preserve">R$40.669.733,33</t>
  </si>
  <si>
    <t xml:space="preserve">ACUMULOU!!! Estimativa de prêmio (SENA) para o próximo concurso, a ser realizado em 27/07/2005: R$44.000.000,00.</t>
  </si>
  <si>
    <t xml:space="preserve">27/07/2005</t>
  </si>
  <si>
    <t xml:space="preserve">R$44.331.219,78</t>
  </si>
  <si>
    <t xml:space="preserve">R$6.029,62</t>
  </si>
  <si>
    <t xml:space="preserve">R$135,32</t>
  </si>
  <si>
    <t xml:space="preserve">Estimativa de prêmio (sena) para o próximo concurso, a ser realizado em 30/07/2005: R$1.000.000,00.</t>
  </si>
  <si>
    <t xml:space="preserve">30/07/2005</t>
  </si>
  <si>
    <t xml:space="preserve">R$15.221,72</t>
  </si>
  <si>
    <t xml:space="preserve">R$182,71</t>
  </si>
  <si>
    <t xml:space="preserve">R$1.251.986,54</t>
  </si>
  <si>
    <t xml:space="preserve">ACUMULOU! Estimativa de prêmio (sena) para o  próximo concurso, a ser realizado em 03/08/2005: R$2.000.000,00.</t>
  </si>
  <si>
    <t xml:space="preserve">03/08/2005</t>
  </si>
  <si>
    <t xml:space="preserve">R$25.839,62</t>
  </si>
  <si>
    <t xml:space="preserve">R$249,66</t>
  </si>
  <si>
    <t xml:space="preserve">R$2.518.128,16</t>
  </si>
  <si>
    <t xml:space="preserve">ACUMULOU!!! Estimativa de prêmio (SENA) para o próximo concurso, a ser realizado em 06/08/2005: R$4.000.000,00.</t>
  </si>
  <si>
    <t xml:space="preserve">06/08/2005</t>
  </si>
  <si>
    <t xml:space="preserve">R$23.920,89</t>
  </si>
  <si>
    <t xml:space="preserve">R$328,45</t>
  </si>
  <si>
    <t xml:space="preserve">R$4.108.867,61</t>
  </si>
  <si>
    <t xml:space="preserve">ACUMULOU! Estimativa de prêmio (sena) para o próximo concurso, a ser realizado em 10/08/2005: R$5.500.000,00.</t>
  </si>
  <si>
    <t xml:space="preserve">10/08/2005</t>
  </si>
  <si>
    <t xml:space="preserve">R$30.336,11</t>
  </si>
  <si>
    <t xml:space="preserve">R$292,33</t>
  </si>
  <si>
    <t xml:space="preserve">R$12.298.361,58</t>
  </si>
  <si>
    <t xml:space="preserve">ACUMULOU!!! Estimativa de prêmio (SENA) para o próximo concurso, a ser realizado em 13/08/2005: R$14.000.000,00.</t>
  </si>
  <si>
    <t xml:space="preserve">13/08/2005</t>
  </si>
  <si>
    <t xml:space="preserve">R$13.225,50</t>
  </si>
  <si>
    <t xml:space="preserve">R$217,74</t>
  </si>
  <si>
    <t xml:space="preserve">R$14.381.378,18</t>
  </si>
  <si>
    <t xml:space="preserve">ACUMULOU!!! Estimativa de prêmio (SENA) para o próximo concurso, a ser realizado em 17/08/2005: R$16.000.000,00.</t>
  </si>
  <si>
    <t xml:space="preserve">17/08/2005</t>
  </si>
  <si>
    <t xml:space="preserve">R$20.629,58</t>
  </si>
  <si>
    <t xml:space="preserve">R$284,85</t>
  </si>
  <si>
    <t xml:space="preserve">R$16.330.873,12</t>
  </si>
  <si>
    <t xml:space="preserve">ACUMULOU!!! Estimativa de prêmio (SENA) para o próximo concurso, a ser realizado em 20/08/2005: R$19.000.000,00.</t>
  </si>
  <si>
    <t xml:space="preserve">20/08/2005</t>
  </si>
  <si>
    <t xml:space="preserve">R$18.365,13</t>
  </si>
  <si>
    <t xml:space="preserve">R$260,06</t>
  </si>
  <si>
    <t xml:space="preserve">R$18.612.740,26</t>
  </si>
  <si>
    <t xml:space="preserve">ACUMULOU!!! Estimativa de prêmio (sena) para o próximo concurso, a ser realizado em 24/082005: R$21.000.000,00.</t>
  </si>
  <si>
    <t xml:space="preserve">24/08/2005</t>
  </si>
  <si>
    <t xml:space="preserve">R$8.909,82</t>
  </si>
  <si>
    <t xml:space="preserve">R$20.982.752,64</t>
  </si>
  <si>
    <t xml:space="preserve">ACUMULOU!!! Estimativa de prêmio (SENA) para o próximo concurso, a ser realizado em 27/08/2005: R$24.000.000,00.</t>
  </si>
  <si>
    <t xml:space="preserve">27/08/2005</t>
  </si>
  <si>
    <t xml:space="preserve">R$13.859,26</t>
  </si>
  <si>
    <t xml:space="preserve">R$222,10</t>
  </si>
  <si>
    <t xml:space="preserve">R$31.925.755,05</t>
  </si>
  <si>
    <t xml:space="preserve">ACUMULOU!!! Estimativa de prêmio (sena) para o próximo concurso, a ser realizado em 31/08/2005: R$34.000.000,00.</t>
  </si>
  <si>
    <t xml:space="preserve">31/08/2005</t>
  </si>
  <si>
    <t xml:space="preserve">R$22.217,91</t>
  </si>
  <si>
    <t xml:space="preserve">R$265,62</t>
  </si>
  <si>
    <t xml:space="preserve">R$34.880.737,54</t>
  </si>
  <si>
    <t xml:space="preserve">ACUMULOU! Estimativa de prêmio (sena) para o próximo concurso, a ser realizado em 03/09/2005: R$39.000.000,00.</t>
  </si>
  <si>
    <t xml:space="preserve">03/09/2005</t>
  </si>
  <si>
    <t xml:space="preserve">MA; MG</t>
  </si>
  <si>
    <t xml:space="preserve">R$19.251.302,49</t>
  </si>
  <si>
    <t xml:space="preserve">R$10.613,53</t>
  </si>
  <si>
    <t xml:space="preserve">R$190,66</t>
  </si>
  <si>
    <t xml:space="preserve">Estimativa de prêmio (SENA) para o próximo concurso, a ser realizado em 10/09/2005: R$1.500.000,00.</t>
  </si>
  <si>
    <t xml:space="preserve">10/09/2005</t>
  </si>
  <si>
    <t xml:space="preserve">R$33.337,57</t>
  </si>
  <si>
    <t xml:space="preserve">R$309,74</t>
  </si>
  <si>
    <t xml:space="preserve">R$1.575.200,44</t>
  </si>
  <si>
    <t xml:space="preserve">ACUMULOU!!! Estimativa de prêmio (sena) para o próximo concurso, a ser realizado em 14/09/2005: R$3.000.000,00.</t>
  </si>
  <si>
    <t xml:space="preserve">14/09/2005</t>
  </si>
  <si>
    <t xml:space="preserve">R$16.354,69</t>
  </si>
  <si>
    <t xml:space="preserve">R$175,99</t>
  </si>
  <si>
    <t xml:space="preserve">R$2.805.890,89</t>
  </si>
  <si>
    <t xml:space="preserve">Acumulou!! Estimativa de prêmio (SENA) para o próximo concurso, a ser realizado em 17/09/2005: R$4.500.000,00. INFORMAMOS QUE EM RAZÃO DE PROBLEMAS TÉCNICOS, O SORTEIO DO CONCURSO 699 FOI ADIADO PARA 19/09, ÀS 20HS EM PORTO ALEGRE.</t>
  </si>
  <si>
    <t xml:space="preserve">19/09/2005</t>
  </si>
  <si>
    <t xml:space="preserve">R$16.259,09</t>
  </si>
  <si>
    <t xml:space="preserve">R$233,13</t>
  </si>
  <si>
    <t xml:space="preserve">R$12.141.821,41</t>
  </si>
  <si>
    <t xml:space="preserve">ACUMULOU. Estimativa de prêmio (sena) para o próximo concurso, a ser realizado em 21/09/2005: R$14.000.000,00.</t>
  </si>
  <si>
    <t xml:space="preserve">21/09/2005</t>
  </si>
  <si>
    <t xml:space="preserve">R$17.991,31</t>
  </si>
  <si>
    <t xml:space="preserve">R$265,04</t>
  </si>
  <si>
    <t xml:space="preserve">R$13.810.515,56</t>
  </si>
  <si>
    <t xml:space="preserve">ACUMULOU!!! Estimativa de prêmio (SENA) para o próximo concurso, a ser realizado em 24/09/2005: R$16.000.000,00.</t>
  </si>
  <si>
    <t xml:space="preserve">24/09/2005</t>
  </si>
  <si>
    <t xml:space="preserve">R$11.253,13</t>
  </si>
  <si>
    <t xml:space="preserve">R$205,35</t>
  </si>
  <si>
    <t xml:space="preserve">R$15.838.891,81</t>
  </si>
  <si>
    <t xml:space="preserve">ACUMULOU!!! Estimativa de prêmio (SENA) para o próximo concurso, a ser realizado em 28/09/2005: R$18.000.000,00.</t>
  </si>
  <si>
    <t xml:space="preserve">28/09/2005</t>
  </si>
  <si>
    <t xml:space="preserve">R$22.868,49</t>
  </si>
  <si>
    <t xml:space="preserve">R$292,31</t>
  </si>
  <si>
    <t xml:space="preserve">R$17.719.825,24</t>
  </si>
  <si>
    <t xml:space="preserve">ACUMULOU!!! Estimativa de prêmio (SENA) para o próximo concurso, a ser realizado em 01/10/2005: R$20.000.000,00.</t>
  </si>
  <si>
    <t xml:space="preserve">01/10/2005</t>
  </si>
  <si>
    <t xml:space="preserve">R$10.767,16</t>
  </si>
  <si>
    <t xml:space="preserve">R$179,68</t>
  </si>
  <si>
    <t xml:space="preserve">R$20.037.455,42</t>
  </si>
  <si>
    <t xml:space="preserve">ACUMULOU!!! Estimativa de prêmio (sena) para o próximo concurso, a ser realizado em 05/10/2005: R$22.000.000,00.</t>
  </si>
  <si>
    <t xml:space="preserve">05/10/2005</t>
  </si>
  <si>
    <t xml:space="preserve">R$22.659,95</t>
  </si>
  <si>
    <t xml:space="preserve">R$218,56</t>
  </si>
  <si>
    <t xml:space="preserve">R$29.484.065,62</t>
  </si>
  <si>
    <t xml:space="preserve">ACUMULOU!!! Estimativa de prêmio (sena) para o próximo concurso, a ser realizado em 08/10/2005: R$32.000.000,00.</t>
  </si>
  <si>
    <t xml:space="preserve">08/10/2005</t>
  </si>
  <si>
    <t xml:space="preserve">R$11.780,58</t>
  </si>
  <si>
    <t xml:space="preserve">R$146,78</t>
  </si>
  <si>
    <t xml:space="preserve">R$32.452.771,10</t>
  </si>
  <si>
    <t xml:space="preserve">ACUMULOU!!! Estimativa de prêmio (sena) para o próximo concurso, a ser realizado em 15/10/2005: R$36.000.000,00.</t>
  </si>
  <si>
    <t xml:space="preserve">15/10/2005</t>
  </si>
  <si>
    <t xml:space="preserve">R$7.866,56</t>
  </si>
  <si>
    <t xml:space="preserve">R$138,30</t>
  </si>
  <si>
    <t xml:space="preserve">R$36.334.914,54</t>
  </si>
  <si>
    <t xml:space="preserve">ACUMULOU!!! Estimativa de prêmio (SENA) para o próximo concurso, a ser realizado em 19/10/2005: R$40.000.000,00.</t>
  </si>
  <si>
    <t xml:space="preserve">19/10/2005</t>
  </si>
  <si>
    <t xml:space="preserve">MG; RO</t>
  </si>
  <si>
    <t xml:space="preserve">R$19.919.975,72</t>
  </si>
  <si>
    <t xml:space="preserve">R$14.306,28</t>
  </si>
  <si>
    <t xml:space="preserve">R$160,12</t>
  </si>
  <si>
    <t xml:space="preserve">Estimativa de prêmio (sena) para o próximo concurso, a ser realizado em 22/10/2005: R$1.500.000,00.</t>
  </si>
  <si>
    <t xml:space="preserve">22/10/2005</t>
  </si>
  <si>
    <t xml:space="preserve">R$6.567,35</t>
  </si>
  <si>
    <t xml:space="preserve">R$111,26</t>
  </si>
  <si>
    <t xml:space="preserve">R$1.172.271,79</t>
  </si>
  <si>
    <t xml:space="preserve">Acumulou!!! Estimativa de prêmio (sena) para o próximo concurso, a ser realizado em 26/10/2005: R$2.000.000,00.</t>
  </si>
  <si>
    <t xml:space="preserve">26/10/2005</t>
  </si>
  <si>
    <t xml:space="preserve">R$5.881,47</t>
  </si>
  <si>
    <t xml:space="preserve">R$11.276.978,00</t>
  </si>
  <si>
    <t xml:space="preserve">ACUMULOU!!! Estimativa de prêmio (sena) para o próximo concurso, a ser realizado em 29/10/2005: R$13.000.000,00.</t>
  </si>
  <si>
    <t xml:space="preserve">29/10/2005</t>
  </si>
  <si>
    <t xml:space="preserve">R$21.483,28</t>
  </si>
  <si>
    <t xml:space="preserve">R$222,94</t>
  </si>
  <si>
    <t xml:space="preserve">R$13.081.573,14</t>
  </si>
  <si>
    <t xml:space="preserve">ACUMULOU!!! Estimativa de prêmio (sena) para o próximo concurso, a ser realizado em 05/11/2005: R$15.000.000,00.</t>
  </si>
  <si>
    <t xml:space="preserve">05/11/2005</t>
  </si>
  <si>
    <t xml:space="preserve">R$18.118,11</t>
  </si>
  <si>
    <t xml:space="preserve">R$244,16</t>
  </si>
  <si>
    <t xml:space="preserve">R$15.586.402,01</t>
  </si>
  <si>
    <t xml:space="preserve">ACUMULOU!!! Estimativa de prêmio (sena) para o próximo concurso, a ser realizado em 09/11/2005: R$17.000.000,00.</t>
  </si>
  <si>
    <t xml:space="preserve">09/11/2005</t>
  </si>
  <si>
    <t xml:space="preserve">R$12.122,15</t>
  </si>
  <si>
    <t xml:space="preserve">R$207,81</t>
  </si>
  <si>
    <t xml:space="preserve">R$17.644.136,19</t>
  </si>
  <si>
    <t xml:space="preserve">ACUMULOU!!! Estimativa de prêmio (sena) para o próximo concurso, a ser realizado em 12/11/2005: R$20.000.000,00.</t>
  </si>
  <si>
    <t xml:space="preserve">12/11/2005</t>
  </si>
  <si>
    <t xml:space="preserve">R$20.438,81</t>
  </si>
  <si>
    <t xml:space="preserve">R$233,68</t>
  </si>
  <si>
    <t xml:space="preserve">R$20.040.586,54</t>
  </si>
  <si>
    <t xml:space="preserve">ACUMULOU!!! Estimativa de prêmio (sena) para o próximo concurso, a ser realizado em 16/11/2005: R$22.000.000,00.</t>
  </si>
  <si>
    <t xml:space="preserve">16/11/2005</t>
  </si>
  <si>
    <t xml:space="preserve">R$9.766,45</t>
  </si>
  <si>
    <t xml:space="preserve">R$100,36</t>
  </si>
  <si>
    <t xml:space="preserve">R$29.611.134,96</t>
  </si>
  <si>
    <t xml:space="preserve">ACUMULOU! Estimativa de prêmio (sena) para o próximo concurso, a ser realizado em 19/11/2005: R$32.000.000,00</t>
  </si>
  <si>
    <t xml:space="preserve">19/11/2005</t>
  </si>
  <si>
    <t xml:space="preserve">GO; MA; SP</t>
  </si>
  <si>
    <t xml:space="preserve">R$10.825.809,33</t>
  </si>
  <si>
    <t xml:space="preserve">R$6.910,89</t>
  </si>
  <si>
    <t xml:space="preserve">R$124,24</t>
  </si>
  <si>
    <t xml:space="preserve">Estimativa de prêmio (sena) para o próximo concurso, a ser realizado em 23/11/2005: R$1.000.000,00.</t>
  </si>
  <si>
    <t xml:space="preserve">23/11/2005</t>
  </si>
  <si>
    <t xml:space="preserve">R$945.382,75</t>
  </si>
  <si>
    <t xml:space="preserve">R$14.600,51</t>
  </si>
  <si>
    <t xml:space="preserve">R$214,25</t>
  </si>
  <si>
    <t xml:space="preserve">Estimativa de prêmio (sena) para o próximo concurso, a ser realizado em 26/11/2005: R$1.000.000,00.</t>
  </si>
  <si>
    <t xml:space="preserve">26/11/2005</t>
  </si>
  <si>
    <t xml:space="preserve">R$8.956,76</t>
  </si>
  <si>
    <t xml:space="preserve">R$159,00</t>
  </si>
  <si>
    <t xml:space="preserve">R$1.065.855,06</t>
  </si>
  <si>
    <t xml:space="preserve">ACUMULOU!!! Estimativa de prêmio (SENA) para o próximo concurso, a ser realizado em 30/11/2005: R$2.000.000,00.</t>
  </si>
  <si>
    <t xml:space="preserve">30/11/2005</t>
  </si>
  <si>
    <t xml:space="preserve">R$13.759,23</t>
  </si>
  <si>
    <t xml:space="preserve">R$194,26</t>
  </si>
  <si>
    <t xml:space="preserve">R$2.053.079,87</t>
  </si>
  <si>
    <t xml:space="preserve">ACUMULOU!!! Estimativa de prêmio (sena) para o próximo concurso, a ser realizado em 03/12/2005: R$3.000.000,00.</t>
  </si>
  <si>
    <t xml:space="preserve">03/12/2005</t>
  </si>
  <si>
    <t xml:space="preserve">R$12.737,00</t>
  </si>
  <si>
    <t xml:space="preserve">R$225,00</t>
  </si>
  <si>
    <t xml:space="preserve">R$8.649.484,79</t>
  </si>
  <si>
    <t xml:space="preserve">ACUMULOU!!! Estimativa de prêmio (sena) para o próximo concurso, a ser realizado em 07/12/2005: R$10.000.000,00.</t>
  </si>
  <si>
    <t xml:space="preserve">07/12/2005</t>
  </si>
  <si>
    <t xml:space="preserve">R$45.658,99</t>
  </si>
  <si>
    <t xml:space="preserve">R$349,09</t>
  </si>
  <si>
    <t xml:space="preserve">R$10.247.549,36</t>
  </si>
  <si>
    <t xml:space="preserve">ACUMULOU!!! Estimativa de prêmio (sena) para o próximo concurso a ser realizado em 10/12/2005: R$12.000.000,00.</t>
  </si>
  <si>
    <t xml:space="preserve">10/12/2005</t>
  </si>
  <si>
    <t xml:space="preserve">R$11.025,33</t>
  </si>
  <si>
    <t xml:space="preserve">R$161,75</t>
  </si>
  <si>
    <t xml:space="preserve">R$12.157.688,32</t>
  </si>
  <si>
    <t xml:space="preserve">ACUMULOU!!! Estimativa de prêmio (SENA) para o próximo concurso, a ser realizado em 14/12/2005: R$14.000.000,00.</t>
  </si>
  <si>
    <t xml:space="preserve">14/12/2005</t>
  </si>
  <si>
    <t xml:space="preserve">R$12.704,05</t>
  </si>
  <si>
    <t xml:space="preserve">R$201,68</t>
  </si>
  <si>
    <t xml:space="preserve">R$14.047.415,26</t>
  </si>
  <si>
    <t xml:space="preserve">ACUMULOU!!! Estimativa de prêmio (sena) para o próximo concurso, a ser realizado em 17/12/2005: R$16.000.000,00.</t>
  </si>
  <si>
    <t xml:space="preserve">17/12/2005</t>
  </si>
  <si>
    <t xml:space="preserve">R$25.242,04</t>
  </si>
  <si>
    <t xml:space="preserve">R$308,05</t>
  </si>
  <si>
    <t xml:space="preserve">R$16.211.920,28</t>
  </si>
  <si>
    <t xml:space="preserve">ACUMULOU!!! Estimativa de prêmio (sena) para o próximo concurso, a ser realizado em 21/12/2005: R$18.000.000,00.</t>
  </si>
  <si>
    <t xml:space="preserve">21/12/2005</t>
  </si>
  <si>
    <t xml:space="preserve">R$12.537,87</t>
  </si>
  <si>
    <t xml:space="preserve">R$205,82</t>
  </si>
  <si>
    <t xml:space="preserve">R$25.450.246,43</t>
  </si>
  <si>
    <t xml:space="preserve">ACUMULOU!!! Estimativa de prêmio (SENA) para o próximo concurso, a ser realizado em 31/12/2005, às 22 horas: R$30.000.000,00.</t>
  </si>
  <si>
    <t xml:space="preserve">31/12/2005</t>
  </si>
  <si>
    <t xml:space="preserve">MG; RJ</t>
  </si>
  <si>
    <t xml:space="preserve">R$15.815.987,63</t>
  </si>
  <si>
    <t xml:space="preserve">R$10.298,59</t>
  </si>
  <si>
    <t xml:space="preserve">R$172,08</t>
  </si>
  <si>
    <t xml:space="preserve">Estimativa de prêmio (SENA) para o próximo concurso, a ser realizado em 04/01/2006: R$1.000.000,00.</t>
  </si>
  <si>
    <t xml:space="preserve">04/01/2006</t>
  </si>
  <si>
    <t xml:space="preserve">R$15.459,49</t>
  </si>
  <si>
    <t xml:space="preserve">R$189,94</t>
  </si>
  <si>
    <t xml:space="preserve">R$946.893,69</t>
  </si>
  <si>
    <t xml:space="preserve">ACUMULOU!!! Estimativa de prêmio (sena) para o próximo concurso, a ser realizado em 07/01/2006: R$2.000.000,00.</t>
  </si>
  <si>
    <t xml:space="preserve">07/01/2006</t>
  </si>
  <si>
    <t xml:space="preserve">R$25.008,46</t>
  </si>
  <si>
    <t xml:space="preserve">R$268,79</t>
  </si>
  <si>
    <t xml:space="preserve">R$2.216.072,86</t>
  </si>
  <si>
    <t xml:space="preserve">ACUMULOU!!! Estimativa de prêmio (sena) para o próximo concurso, a ser realizado em 11/01/2006: R$3.000.000,00.</t>
  </si>
  <si>
    <t xml:space="preserve">11/01/2006</t>
  </si>
  <si>
    <t xml:space="preserve">R$8.575,31</t>
  </si>
  <si>
    <t xml:space="preserve">R$128,59</t>
  </si>
  <si>
    <t xml:space="preserve">R$3.431.622,25</t>
  </si>
  <si>
    <t xml:space="preserve">ACUMULOU!!! Estimativa de prêmio (sena) para o próximo concurso, a ser realizado em 14/01/2006: R$5.000.000,00.</t>
  </si>
  <si>
    <t xml:space="preserve">14/01/2006</t>
  </si>
  <si>
    <t xml:space="preserve">R$4.969.519,90</t>
  </si>
  <si>
    <t xml:space="preserve">R$17.231,34</t>
  </si>
  <si>
    <t xml:space="preserve">R$173,67</t>
  </si>
  <si>
    <t xml:space="preserve">Estimativa de prêmio (sena) para o próximo concurso, a ser realizado em 18/01/2006: R$9.000.000,00.</t>
  </si>
  <si>
    <t xml:space="preserve">18/01/2006</t>
  </si>
  <si>
    <t xml:space="preserve">R$23.412,97</t>
  </si>
  <si>
    <t xml:space="preserve">R$280,82</t>
  </si>
  <si>
    <t xml:space="preserve">R$9.358.249,67</t>
  </si>
  <si>
    <t xml:space="preserve">ACUMULOU!!! Estimativa de prêmio (sena) para o próximo concurso, a ser realizado em 21/01/2006: R$11.000.000,00.</t>
  </si>
  <si>
    <t xml:space="preserve">21/01/2006</t>
  </si>
  <si>
    <t xml:space="preserve">R$11.554,63</t>
  </si>
  <si>
    <t xml:space="preserve">R$152,12</t>
  </si>
  <si>
    <t xml:space="preserve">R$11.137.662,34</t>
  </si>
  <si>
    <t xml:space="preserve">ACUMULOU!!! Estimativa de prêmio (sena) para o próximo concurso, a ser realizado em 25/01/2006: R$13.000.000,00.</t>
  </si>
  <si>
    <t xml:space="preserve">25/01/2006</t>
  </si>
  <si>
    <t xml:space="preserve">R$14.610,54</t>
  </si>
  <si>
    <t xml:space="preserve">R$225,48</t>
  </si>
  <si>
    <t xml:space="preserve">R$12.799.611,64</t>
  </si>
  <si>
    <t xml:space="preserve">ACUMULOU!!! Estimativa de prêmio (sena) para o próximo concurso, a ser realizado em 28/01/2006: R$14.000.000,00.</t>
  </si>
  <si>
    <t xml:space="preserve">28/01/2006</t>
  </si>
  <si>
    <t xml:space="preserve">R$16.737,98</t>
  </si>
  <si>
    <t xml:space="preserve">R$218,63</t>
  </si>
  <si>
    <t xml:space="preserve">R$14.762.139,60</t>
  </si>
  <si>
    <t xml:space="preserve">ACUMULOU!!! Estimativa de prêmio (sena) para o próximo concurso, a ser realizado em 01/02/2006: R$17.000.000,00.</t>
  </si>
  <si>
    <t xml:space="preserve">01/02/2006</t>
  </si>
  <si>
    <t xml:space="preserve">R$16.726.569,98</t>
  </si>
  <si>
    <t xml:space="preserve">R$19.354,00</t>
  </si>
  <si>
    <t xml:space="preserve">R$280,69</t>
  </si>
  <si>
    <t xml:space="preserve">Estimativa de prêmio (sena) para o próximo concurso a ser realizado em 04/02/2006: R$8.000.000,00.</t>
  </si>
  <si>
    <t xml:space="preserve">04/02/2006</t>
  </si>
  <si>
    <t xml:space="preserve">R$27.163,91</t>
  </si>
  <si>
    <t xml:space="preserve">R$293,47</t>
  </si>
  <si>
    <t xml:space="preserve">R$7.826.853,28</t>
  </si>
  <si>
    <t xml:space="preserve">ACUMULOU!!! Estimativa de prêmio (sena) para o próximo concurso, a ser realizado em 08/02/2006: R$9.000.000,00.</t>
  </si>
  <si>
    <t xml:space="preserve">08/02/2006</t>
  </si>
  <si>
    <t xml:space="preserve">R$47.835,60</t>
  </si>
  <si>
    <t xml:space="preserve">R$413,44</t>
  </si>
  <si>
    <t xml:space="preserve">R$9.417.386,79</t>
  </si>
  <si>
    <t xml:space="preserve">ACUMULOU!!! Estimativa de prêmio (sena) para o próximo concurso, a ser realizado em 11/02/2006: R$11.000.000,00.</t>
  </si>
  <si>
    <t xml:space="preserve">11/02/2006</t>
  </si>
  <si>
    <t xml:space="preserve">R$18.730,63</t>
  </si>
  <si>
    <t xml:space="preserve">R$193,54</t>
  </si>
  <si>
    <t xml:space="preserve">R$11.547.995,59</t>
  </si>
  <si>
    <t xml:space="preserve">ACUMULOU!!! Estimativa de prêmio (sena) para o próximo concurso, a ser realizado em 15/02/2006: R$13.000.000,00.</t>
  </si>
  <si>
    <t xml:space="preserve">15/02/2006</t>
  </si>
  <si>
    <t xml:space="preserve">R$26.720,69</t>
  </si>
  <si>
    <t xml:space="preserve">R$299,45</t>
  </si>
  <si>
    <t xml:space="preserve">R$13.745.772,39</t>
  </si>
  <si>
    <t xml:space="preserve">ACUMULOU!!! Estimativa de prêmio (sena) para o próximo concurso, a ser realizado em 18/02/2006: R$16.000.000,00.</t>
  </si>
  <si>
    <t xml:space="preserve">18/02/2006</t>
  </si>
  <si>
    <t xml:space="preserve">R$25.993,77</t>
  </si>
  <si>
    <t xml:space="preserve">R$23.305.073,75</t>
  </si>
  <si>
    <t xml:space="preserve">ACUMULOU!!! Estimativa de prêmio (sena) para o próximo concurso, a ser realizado em 22/02/2006: R$26.000.000,00.</t>
  </si>
  <si>
    <t xml:space="preserve">22/02/2006</t>
  </si>
  <si>
    <t xml:space="preserve">R$26.132.814,65</t>
  </si>
  <si>
    <t xml:space="preserve">R$17.953,91</t>
  </si>
  <si>
    <t xml:space="preserve">R$231,85</t>
  </si>
  <si>
    <t xml:space="preserve">Estimativa de prêmio (sena) para o próximo concurso, a ser realizado em 25/02/2006: R$1.000.000,00.</t>
  </si>
  <si>
    <t xml:space="preserve">25/02/2006</t>
  </si>
  <si>
    <t xml:space="preserve">R$28.453,38</t>
  </si>
  <si>
    <t xml:space="preserve">R$305,65</t>
  </si>
  <si>
    <t xml:space="preserve">R$1.145.248,54</t>
  </si>
  <si>
    <t xml:space="preserve">ACUMULOU!!! Estimativa de prêmio (sena) para o próximo concurso, a ser realizado em 01/03/2006: R$2.000.000,00.</t>
  </si>
  <si>
    <t xml:space="preserve">01/03/2006</t>
  </si>
  <si>
    <t xml:space="preserve">R$14.199,00</t>
  </si>
  <si>
    <t xml:space="preserve">R$218,02</t>
  </si>
  <si>
    <t xml:space="preserve">R$1.766.454,86</t>
  </si>
  <si>
    <t xml:space="preserve">ACUMULOU!!! Estimativa de prêmio (sena) para o próximo concurso, a ser realizado em 04/03/2006: R$3.000.000,00.</t>
  </si>
  <si>
    <t xml:space="preserve">04/03/2006</t>
  </si>
  <si>
    <t xml:space="preserve">R$29.491,22</t>
  </si>
  <si>
    <t xml:space="preserve">R$297,84</t>
  </si>
  <si>
    <t xml:space="preserve">R$3.211.524,66</t>
  </si>
  <si>
    <t xml:space="preserve">ACUMULOU!!! Estimativa de prêmio (sena) para o próximo concurso, a ser realizado em 08/03/2006: R$4.500.000,00.</t>
  </si>
  <si>
    <t xml:space="preserve">08/03/2006</t>
  </si>
  <si>
    <t xml:space="preserve">R$10.441,97</t>
  </si>
  <si>
    <t xml:space="preserve">R$148,70</t>
  </si>
  <si>
    <t xml:space="preserve">R$9.937.380,49</t>
  </si>
  <si>
    <t xml:space="preserve">ACUMULOU!!! Estimativa de prêmio (sena) para o próximo concurso, a ser realizado em 11/03/2006: R$12.000.000,00.</t>
  </si>
  <si>
    <t xml:space="preserve">11/03/2006</t>
  </si>
  <si>
    <t xml:space="preserve">R$8.604,62</t>
  </si>
  <si>
    <t xml:space="preserve">R$218,30</t>
  </si>
  <si>
    <t xml:space="preserve">R$11.955.163,21</t>
  </si>
  <si>
    <t xml:space="preserve">ACUMULOU!!! Estimativa de prêmio (SENA) para o próximo concurso, a ser realizado em 15/03/2006: R$14.000.000,00.</t>
  </si>
  <si>
    <t xml:space="preserve">15/03/2006</t>
  </si>
  <si>
    <t xml:space="preserve">R$6.995.681,58</t>
  </si>
  <si>
    <t xml:space="preserve">R$10.206,52</t>
  </si>
  <si>
    <t xml:space="preserve">R$173,36</t>
  </si>
  <si>
    <t xml:space="preserve">Estimativa de prêmio (sena) para o próximo concurso, a ser realizado em 18/03/2006: R$1.000.000,00.</t>
  </si>
  <si>
    <t xml:space="preserve">18/03/2006</t>
  </si>
  <si>
    <t xml:space="preserve">R$13.079,29</t>
  </si>
  <si>
    <t xml:space="preserve">R$158,28</t>
  </si>
  <si>
    <t xml:space="preserve">R$1.213.104,40</t>
  </si>
  <si>
    <t xml:space="preserve">ACUMULOU!!! Estimativa de prêmio (sena) para o próximo concurso, a ser realizado em 22/03/2006: R$2.500.000,00.</t>
  </si>
  <si>
    <t xml:space="preserve">22/03/2006</t>
  </si>
  <si>
    <t xml:space="preserve">R$9.080,42</t>
  </si>
  <si>
    <t xml:space="preserve">R$148,14</t>
  </si>
  <si>
    <t xml:space="preserve">R$2.389.018,77</t>
  </si>
  <si>
    <t xml:space="preserve">ACUMULOU!!! Estimativa de prêmio (sena) para o próximo concurso, a ser realizado em 25/03/2006: R$4.000.000,00.</t>
  </si>
  <si>
    <t xml:space="preserve">25/03/2006</t>
  </si>
  <si>
    <t xml:space="preserve">R$26.214,36</t>
  </si>
  <si>
    <t xml:space="preserve">R$303,33</t>
  </si>
  <si>
    <t xml:space="preserve">R$9.429.097,84</t>
  </si>
  <si>
    <t xml:space="preserve">ACUMULOU!!! Estimativa de prêmio (sena) para o próximo concurso, a ser realizado em 29/03/2006: R$11.000.000,00.</t>
  </si>
  <si>
    <t xml:space="preserve">29/03/2006</t>
  </si>
  <si>
    <t xml:space="preserve">R$18.795,69</t>
  </si>
  <si>
    <t xml:space="preserve">R$241,51</t>
  </si>
  <si>
    <t xml:space="preserve">R$11.040.828,28</t>
  </si>
  <si>
    <t xml:space="preserve">ACUMULOU!!! Estimativa de prêmio (sena) para o próximo concurso, a ser realizado em 01/04/2006: R$13.000.000,00.</t>
  </si>
  <si>
    <t xml:space="preserve">01/04/2006</t>
  </si>
  <si>
    <t xml:space="preserve">R$15.221,68</t>
  </si>
  <si>
    <t xml:space="preserve">R$201,14</t>
  </si>
  <si>
    <t xml:space="preserve">R$13.012.035,71</t>
  </si>
  <si>
    <t xml:space="preserve">R$15.000.000,00</t>
  </si>
  <si>
    <t xml:space="preserve">05/04/2006</t>
  </si>
  <si>
    <t xml:space="preserve">R$13.022,30</t>
  </si>
  <si>
    <t xml:space="preserve">R$162,90</t>
  </si>
  <si>
    <t xml:space="preserve">R$14.971.892,19</t>
  </si>
  <si>
    <t xml:space="preserve">ACUMULOU!!! Estimativa de prêmio (sena) para o próximo concurso, a ser realizado em 08/04/2006: R$17.000.000,00.</t>
  </si>
  <si>
    <t xml:space="preserve">08/04/2006</t>
  </si>
  <si>
    <t xml:space="preserve">R$17.388.228,32</t>
  </si>
  <si>
    <t xml:space="preserve">R$9.083,97</t>
  </si>
  <si>
    <t xml:space="preserve">R$159,40</t>
  </si>
  <si>
    <t xml:space="preserve">Estimativa de prêmio (sena) para o próximo concurso, a ser realizado em 12/04/2006: R$1.000.000,00.</t>
  </si>
  <si>
    <t xml:space="preserve">12/04/2006</t>
  </si>
  <si>
    <t xml:space="preserve">R$14.457,22</t>
  </si>
  <si>
    <t xml:space="preserve">R$208,89</t>
  </si>
  <si>
    <t xml:space="preserve">R$7.463.330,98</t>
  </si>
  <si>
    <t xml:space="preserve">ACUMULOU!!! Estimativa de prêmio (sena) para o próximo concurso, a ser realizado em 15/04/2006: R$9.000.000,00.</t>
  </si>
  <si>
    <t xml:space="preserve">15/04/2006</t>
  </si>
  <si>
    <t xml:space="preserve">R$18.319,33</t>
  </si>
  <si>
    <t xml:space="preserve">R$251,35</t>
  </si>
  <si>
    <t xml:space="preserve">R$8.777.742,92</t>
  </si>
  <si>
    <t xml:space="preserve">ACUMULOU!!! Estimativa de prêmio (sena) para o próximo concurso, a ser realizado em 19/04/2006: R$10.000.000,00.</t>
  </si>
  <si>
    <t xml:space="preserve">19/04/2006</t>
  </si>
  <si>
    <t xml:space="preserve">R$27.503,13</t>
  </si>
  <si>
    <t xml:space="preserve">R$297,15</t>
  </si>
  <si>
    <t xml:space="preserve">R$10.414.179,09</t>
  </si>
  <si>
    <t xml:space="preserve">ACUMULOU!!! Estimativa de prêmio (sena) para o próximo concurso, a ser realizado em 22/04/2006: R$12.500.000,00.</t>
  </si>
  <si>
    <t xml:space="preserve">22/04/2006</t>
  </si>
  <si>
    <t xml:space="preserve">R$17.988,72</t>
  </si>
  <si>
    <t xml:space="preserve">R$275,46</t>
  </si>
  <si>
    <t xml:space="preserve">R$12.082.632,69</t>
  </si>
  <si>
    <t xml:space="preserve">ACUMULOU!!! Estimativa de prêmio (sena) para o próximo concurso, a ser realizado em 26/04/2006: R$14.000.000,00.</t>
  </si>
  <si>
    <t xml:space="preserve">26/04/2006</t>
  </si>
  <si>
    <t xml:space="preserve">R$14.352,34</t>
  </si>
  <si>
    <t xml:space="preserve">R$215,49</t>
  </si>
  <si>
    <t xml:space="preserve">R$13.941.260,58</t>
  </si>
  <si>
    <t xml:space="preserve">ACUMULOU!!! Estimativa de prêmio (sena) parao próximo concurso, a ser realizado em 29/04/2006: R$16.000.000,00.</t>
  </si>
  <si>
    <t xml:space="preserve">29/04/2006</t>
  </si>
  <si>
    <t xml:space="preserve">R$32.431,50</t>
  </si>
  <si>
    <t xml:space="preserve">R$474,40</t>
  </si>
  <si>
    <t xml:space="preserve">R$22.265.544,19</t>
  </si>
  <si>
    <t xml:space="preserve">ACUMULOU!!! Estimativa de prêmio (sena) para o próximo concurso, a ser realizado em 03/05/2006: R$25.000.000,00.</t>
  </si>
  <si>
    <t xml:space="preserve">03/05/2006</t>
  </si>
  <si>
    <t xml:space="preserve">R$16.005,08</t>
  </si>
  <si>
    <t xml:space="preserve">R$231,20</t>
  </si>
  <si>
    <t xml:space="preserve">R$24.506.255,18</t>
  </si>
  <si>
    <t xml:space="preserve">ACUMULOU!!! Estimativa de prêmio (sena) para o próximo concurso, a ser realizado em 06/05/2006: R$27.000.000,00.</t>
  </si>
  <si>
    <t xml:space="preserve">06/05/2006</t>
  </si>
  <si>
    <t xml:space="preserve">R$17.175,97</t>
  </si>
  <si>
    <t xml:space="preserve">R$27.512.048,76</t>
  </si>
  <si>
    <t xml:space="preserve">ACUMULOU!!! Estimativa de prêmio (sena) para o próximo concurso, a ser realizado em 10/05/2006: R$30.000.000,00.</t>
  </si>
  <si>
    <t xml:space="preserve">10/05/2006</t>
  </si>
  <si>
    <t xml:space="preserve">R$13.668,11</t>
  </si>
  <si>
    <t xml:space="preserve">R$192,40</t>
  </si>
  <si>
    <t xml:space="preserve">R$30.932.491,92</t>
  </si>
  <si>
    <t xml:space="preserve">ACUMULOU!!! Estimativa de prêmio (sena) para o próximo concurso, a ser realizado em 13/05/2006: R$35.000.000,00.</t>
  </si>
  <si>
    <t xml:space="preserve">13/05/2006</t>
  </si>
  <si>
    <t xml:space="preserve">R$23.502,31</t>
  </si>
  <si>
    <t xml:space="preserve">R$308,92</t>
  </si>
  <si>
    <t xml:space="preserve">R$35.086.525,19</t>
  </si>
  <si>
    <t xml:space="preserve">O CONCURSO 764 SERÁ SORTEADO EM 18/05/2006 (QUINTA-FEIRA) ÀS 20 HORAS EM RIBEIRÃO PRETO/SP. A ESTIMATIVA DE PRÊMIO (SENA) PARA O CONCURSO 764 É DE R$40.000.000,00.</t>
  </si>
  <si>
    <t xml:space="preserve">18/05/2006</t>
  </si>
  <si>
    <t xml:space="preserve">PA</t>
  </si>
  <si>
    <t xml:space="preserve">R$40.539.530,90</t>
  </si>
  <si>
    <t xml:space="preserve">R$16.486,79</t>
  </si>
  <si>
    <t xml:space="preserve">Estimativa de prêmio (sena): R$15.000.000,00. SORTEIO DO CONCURSO 765 ADIADO PARA 21/05/2006, ÀS 17 HORAS.</t>
  </si>
  <si>
    <t xml:space="preserve">21/05/2006</t>
  </si>
  <si>
    <t xml:space="preserve">R$15.552,09</t>
  </si>
  <si>
    <t xml:space="preserve">R$221,54</t>
  </si>
  <si>
    <t xml:space="preserve">R$14.740.248,65</t>
  </si>
  <si>
    <t xml:space="preserve">ACUMULOU!!! Estimativa de prêmio (Sena) para o próximo concurso a ser realizado em 24/05/2006: R$16.000.000,00.</t>
  </si>
  <si>
    <t xml:space="preserve">24/05/2006</t>
  </si>
  <si>
    <t xml:space="preserve">R$16.857,33</t>
  </si>
  <si>
    <t xml:space="preserve">R$236,31</t>
  </si>
  <si>
    <t xml:space="preserve">R$16.598.769,93</t>
  </si>
  <si>
    <t xml:space="preserve">ACUMULOU!!! Estimativa de prêmio (sena) para o próximo concurso, a ser realizado em 27/05/2006: R$18.000.000,00.</t>
  </si>
  <si>
    <t xml:space="preserve">27/05/2006</t>
  </si>
  <si>
    <t xml:space="preserve">R$20.318,55</t>
  </si>
  <si>
    <t xml:space="preserve">R$284,00</t>
  </si>
  <si>
    <t xml:space="preserve">R$18.803.331,88</t>
  </si>
  <si>
    <t xml:space="preserve">ACUMULOU!!! Estimativa de prêmio (sena) para o próximo concurso, a ser realizado em 31/05/2006: R$21.000.000,00.</t>
  </si>
  <si>
    <t xml:space="preserve">31/05/2006</t>
  </si>
  <si>
    <t xml:space="preserve">R$21.024.430,31</t>
  </si>
  <si>
    <t xml:space="preserve">R$13.647,30</t>
  </si>
  <si>
    <t xml:space="preserve">Estimativa de prêmio (SENA) para o próximo concurso, a ser realizado em 03/06/2006: R$1.000.000,00.</t>
  </si>
  <si>
    <t xml:space="preserve">03/06/2006</t>
  </si>
  <si>
    <t xml:space="preserve">R$14.382,06</t>
  </si>
  <si>
    <t xml:space="preserve">R$228,08</t>
  </si>
  <si>
    <t xml:space="preserve">R$7.808.149,60</t>
  </si>
  <si>
    <t xml:space="preserve">ACUMULOU!!! Estimativa de prêmio (SENA) para o próximo concurso, a ser realizado em 07/06/2006: R$10.000.000,00.</t>
  </si>
  <si>
    <t xml:space="preserve">07/06/2006</t>
  </si>
  <si>
    <t xml:space="preserve">R$13.703,65</t>
  </si>
  <si>
    <t xml:space="preserve">R$171,88</t>
  </si>
  <si>
    <t xml:space="preserve">R$9.438.882,88</t>
  </si>
  <si>
    <t xml:space="preserve">ACUMULOU!!! Estimativa de prêmio (sena) para o próximo concurso, a ser realizado em 10/06/2006: R$11.000.000,00.</t>
  </si>
  <si>
    <t xml:space="preserve">10/06/2006</t>
  </si>
  <si>
    <t xml:space="preserve">R$15.089,83</t>
  </si>
  <si>
    <t xml:space="preserve">R$227,53</t>
  </si>
  <si>
    <t xml:space="preserve">R$11.260.979,64</t>
  </si>
  <si>
    <t xml:space="preserve">ACUMULOU!!! Estimativa de prêmio (Sena) para o próximo concurso, a ser realizado em 14/06/2006: R$13.000.000,00.</t>
  </si>
  <si>
    <t xml:space="preserve">14/06/2006</t>
  </si>
  <si>
    <t xml:space="preserve">R$13.476,30</t>
  </si>
  <si>
    <t xml:space="preserve">R$166,25</t>
  </si>
  <si>
    <t xml:space="preserve">R$12.817.492,36</t>
  </si>
  <si>
    <t xml:space="preserve">17/06/2006</t>
  </si>
  <si>
    <t xml:space="preserve">R$16.454,70</t>
  </si>
  <si>
    <t xml:space="preserve">R$193,29</t>
  </si>
  <si>
    <t xml:space="preserve">R$14.487.644,71</t>
  </si>
  <si>
    <t xml:space="preserve">ACUMULOU!!! Estimativa de prêmio (sena) para o próximo concurso, a ser realizado em 21/06/2006: R$16.000.000,00.</t>
  </si>
  <si>
    <t xml:space="preserve">21/06/2006</t>
  </si>
  <si>
    <t xml:space="preserve">R$16.319.071,08</t>
  </si>
  <si>
    <t xml:space="preserve">R$16.352,03</t>
  </si>
  <si>
    <t xml:space="preserve">R$240,45</t>
  </si>
  <si>
    <t xml:space="preserve">Estimativa de prêmio (sena) para o próximo concurso a ser apurado em 24/06/2006: R$7.500.000,00.</t>
  </si>
  <si>
    <t xml:space="preserve">24/06/2006</t>
  </si>
  <si>
    <t xml:space="preserve">R$25.559,59</t>
  </si>
  <si>
    <t xml:space="preserve">R$7.421.108,15</t>
  </si>
  <si>
    <t xml:space="preserve">ACUMULOU!!! Estimativa de prêmio (sena) para o próximo concurso, a ser realizado em 28/06/2006: R$9.000.000,00.</t>
  </si>
  <si>
    <t xml:space="preserve">28/06/2006</t>
  </si>
  <si>
    <t xml:space="preserve">R$13.543,61</t>
  </si>
  <si>
    <t xml:space="preserve">R$245,72</t>
  </si>
  <si>
    <t xml:space="preserve">R$8.748.382,29</t>
  </si>
  <si>
    <t xml:space="preserve">ACUMULOU!!! Estimativa de prêmio (sena) para o próximo concurso, a ser realizado em 01/07/2006: R$10.000.000,00.</t>
  </si>
  <si>
    <t xml:space="preserve">01/07/2006</t>
  </si>
  <si>
    <t xml:space="preserve">R$10.746,73</t>
  </si>
  <si>
    <t xml:space="preserve">R$10.252.923,38</t>
  </si>
  <si>
    <t xml:space="preserve">R$12.000.000,00</t>
  </si>
  <si>
    <t xml:space="preserve">ACUMULOU!!! Estimativa de prêmio (sena) para o próximo concurso: R$ 12.000.000,00.</t>
  </si>
  <si>
    <t xml:space="preserve">05/07/2006</t>
  </si>
  <si>
    <t xml:space="preserve">R$42.785,84</t>
  </si>
  <si>
    <t xml:space="preserve">R$473,60</t>
  </si>
  <si>
    <t xml:space="preserve">R$11.825.302,87</t>
  </si>
  <si>
    <t xml:space="preserve">ACUMULOU!!! Estimativa de prêmio (sena) para o próximo concurso, a ser realizado em 08/07/2006: R$14.000.000,00.</t>
  </si>
  <si>
    <t xml:space="preserve">08/07/2006</t>
  </si>
  <si>
    <t xml:space="preserve">R$39.580,32</t>
  </si>
  <si>
    <t xml:space="preserve">R$327,85</t>
  </si>
  <si>
    <t xml:space="preserve">R$19.016.906,07</t>
  </si>
  <si>
    <t xml:space="preserve">ACUMULOU!!! Estimativa de prêmio (sena) para o próximo concurso, a ser realizado em 12/07/2006: R$21.000.000,00.</t>
  </si>
  <si>
    <t xml:space="preserve">12/07/2006</t>
  </si>
  <si>
    <t xml:space="preserve">R$26.754,56</t>
  </si>
  <si>
    <t xml:space="preserve">R$299,40</t>
  </si>
  <si>
    <t xml:space="preserve">R$21.030.186,72</t>
  </si>
  <si>
    <t xml:space="preserve">Acumulou!!! Estimativa de prêmio (SENA) para o próximo concurso, a ser realizado em 15/07/2006: R$23.000.000,00.</t>
  </si>
  <si>
    <t xml:space="preserve">15/07/2006</t>
  </si>
  <si>
    <t xml:space="preserve">R$19.809,51</t>
  </si>
  <si>
    <t xml:space="preserve">R$228,22</t>
  </si>
  <si>
    <t xml:space="preserve">R$23.318.185,27</t>
  </si>
  <si>
    <t xml:space="preserve">ACUMULOU!!! Estimativa de prêmio (SENA) para o próximo concurso, a ser realizado em 19/07/2006: R$25.000.000,00.</t>
  </si>
  <si>
    <t xml:space="preserve">19/07/2006</t>
  </si>
  <si>
    <t xml:space="preserve">R$9.270,41</t>
  </si>
  <si>
    <t xml:space="preserve">R$176,55</t>
  </si>
  <si>
    <t xml:space="preserve">R$25.654.326,84</t>
  </si>
  <si>
    <t xml:space="preserve">ACUMULOU!!! Estimativa de prêmio (sena) para o próximo concurso, a ser realizado em 22/07/2006: R$28.000.000,00.</t>
  </si>
  <si>
    <t xml:space="preserve">22/07/2006</t>
  </si>
  <si>
    <t xml:space="preserve">R$28.244.624,32</t>
  </si>
  <si>
    <t xml:space="preserve">R$10.572,64</t>
  </si>
  <si>
    <t xml:space="preserve">R$174,99</t>
  </si>
  <si>
    <t xml:space="preserve">Estimativa de prêmio (sena) para o próximo concurso, a ser realizado em 26/07/2006: R$1.000.000,00.</t>
  </si>
  <si>
    <t xml:space="preserve">26/07/2006</t>
  </si>
  <si>
    <t xml:space="preserve">R$20.363,80</t>
  </si>
  <si>
    <t xml:space="preserve">R$253,24</t>
  </si>
  <si>
    <t xml:space="preserve">R$8.240.695,17</t>
  </si>
  <si>
    <t xml:space="preserve">ACUMULOU!!! Estimativa de prêmio (SENA) para o próximo concurso, a ser realizado em 29/07/2006: R$10.000.000,00.</t>
  </si>
  <si>
    <t xml:space="preserve">29/07/2006</t>
  </si>
  <si>
    <t xml:space="preserve">R$9.770.979,43</t>
  </si>
  <si>
    <t xml:space="preserve">R$6.940,06</t>
  </si>
  <si>
    <t xml:space="preserve">R$130,87</t>
  </si>
  <si>
    <t xml:space="preserve">Estimativa de prêmio (SENA) para o próximo concurso, a ser realizado em 02/08/2006: R$1.000.000,00.</t>
  </si>
  <si>
    <t xml:space="preserve">02/08/2006</t>
  </si>
  <si>
    <t xml:space="preserve">R$25.700,08</t>
  </si>
  <si>
    <t xml:space="preserve">R$319,83</t>
  </si>
  <si>
    <t xml:space="preserve">R$854.527,84</t>
  </si>
  <si>
    <t xml:space="preserve">ACUMULOU!!! Estimativa de prêmio (sena) para o próximo concurso, a ser realizado em 05/08/2006: R$2.000.000,00.</t>
  </si>
  <si>
    <t xml:space="preserve">05/08/2006</t>
  </si>
  <si>
    <t xml:space="preserve">R$16.922,47</t>
  </si>
  <si>
    <t xml:space="preserve">R$344,93</t>
  </si>
  <si>
    <t xml:space="preserve">R$2.039.100,64</t>
  </si>
  <si>
    <t xml:space="preserve">ACUMULOU!!! Estimativa de prêmio (sena) para o próximo concurso, a ser realizado em 09/08/2006: R$3.000.000,00.</t>
  </si>
  <si>
    <t xml:space="preserve">09/08/2006</t>
  </si>
  <si>
    <t xml:space="preserve">R$10.763,88</t>
  </si>
  <si>
    <t xml:space="preserve">R$204,75</t>
  </si>
  <si>
    <t xml:space="preserve">R$3.206.981,50</t>
  </si>
  <si>
    <t xml:space="preserve">ACUMULOU!!! Estimativa de prêmio (sena) para o próximo concurso, a ser realizado em 12/08/2006; R$5.000.000,00.</t>
  </si>
  <si>
    <t xml:space="preserve">12/08/2006</t>
  </si>
  <si>
    <t xml:space="preserve">R$62.482,48</t>
  </si>
  <si>
    <t xml:space="preserve">R$447,56</t>
  </si>
  <si>
    <t xml:space="preserve">R$9.027.559,48</t>
  </si>
  <si>
    <t xml:space="preserve">ACUMULOU!!! Estimativa de prêmio (06 acertos) para o próximo concurso, a ser realizado em 16/08/2006: R$11.000.000,00.</t>
  </si>
  <si>
    <t xml:space="preserve">16/08/2006</t>
  </si>
  <si>
    <t xml:space="preserve">R$11.717,34</t>
  </si>
  <si>
    <t xml:space="preserve">R$140,86</t>
  </si>
  <si>
    <t xml:space="preserve">R$10.483.439,10</t>
  </si>
  <si>
    <t xml:space="preserve">ACUMULOU!!! Estimativa de prêmio (sena) para o próximo concurso, a ser realizado em 19/08/2006: R$12.000.000,00.</t>
  </si>
  <si>
    <t xml:space="preserve">19/08/2006</t>
  </si>
  <si>
    <t xml:space="preserve">R$12.212.213,94</t>
  </si>
  <si>
    <t xml:space="preserve">R$8.665,54</t>
  </si>
  <si>
    <t xml:space="preserve">R$170,97</t>
  </si>
  <si>
    <t xml:space="preserve">Estimativa de prêmio (sena) para o próximo concurso, a ser realizado em 23/08/2006: R$1.000.000,00.</t>
  </si>
  <si>
    <t xml:space="preserve">23/08/2006</t>
  </si>
  <si>
    <t xml:space="preserve">R$15.844,65</t>
  </si>
  <si>
    <t xml:space="preserve">R$259,17</t>
  </si>
  <si>
    <t xml:space="preserve">R$887.300,41</t>
  </si>
  <si>
    <t xml:space="preserve">ACUMULOU!!! Estimativa de prêmio (SENA) para o próximo concurso a ser realizado em 26/08/2006: R$2.000.000,00.</t>
  </si>
  <si>
    <t xml:space="preserve">26/08/2006</t>
  </si>
  <si>
    <t xml:space="preserve">R$10.387,12</t>
  </si>
  <si>
    <t xml:space="preserve">R$176,79</t>
  </si>
  <si>
    <t xml:space="preserve">R$2.014.302,06</t>
  </si>
  <si>
    <t xml:space="preserve">ACUMULOU!! Estimativa de prêmio (SENA) para o próximo concurso a ser realizado em 30/08/2006: R$3.000.000,00.</t>
  </si>
  <si>
    <t xml:space="preserve">30/08/2006</t>
  </si>
  <si>
    <t xml:space="preserve">R$37.006,71</t>
  </si>
  <si>
    <t xml:space="preserve">R$319,66</t>
  </si>
  <si>
    <t xml:space="preserve">R$7.393.144,45</t>
  </si>
  <si>
    <t xml:space="preserve">ACUMULOU!!! Estimativa de prêmio (SENA) para o próximo concurso, a ser realizado em 02/09/2006: R$9.000.000,00.</t>
  </si>
  <si>
    <t xml:space="preserve">02/09/2006</t>
  </si>
  <si>
    <t xml:space="preserve">R$11.029,20</t>
  </si>
  <si>
    <t xml:space="preserve">R$190,27</t>
  </si>
  <si>
    <t xml:space="preserve">R$8.860.028,16</t>
  </si>
  <si>
    <t xml:space="preserve">ACUMULOU!!! Estimativa de prêmio (SENA) para o próximo concurso, a ser realizado em 06/09/2006: R$10.000.000,00.</t>
  </si>
  <si>
    <t xml:space="preserve">06/09/2006</t>
  </si>
  <si>
    <t xml:space="preserve">R$9.974,90</t>
  </si>
  <si>
    <t xml:space="preserve">R$162,81</t>
  </si>
  <si>
    <t xml:space="preserve">R$10.256.514,12</t>
  </si>
  <si>
    <t xml:space="preserve">ACUMULOU!!! Estimativa de prêmio (SENA) para o próximo concurso a ser realizado em 09/09/2006: R$12.000.000,00.</t>
  </si>
  <si>
    <t xml:space="preserve">09/09/2006</t>
  </si>
  <si>
    <t xml:space="preserve">R$12.566,42</t>
  </si>
  <si>
    <t xml:space="preserve">R$239,70</t>
  </si>
  <si>
    <t xml:space="preserve">R$11.707.935,01</t>
  </si>
  <si>
    <t xml:space="preserve">ACUMULOU!!! Estimativa de prêmio (SENA) para o próximo concurso a ser realizado em 13/09/2006: R$13.000.000,00.</t>
  </si>
  <si>
    <t xml:space="preserve">13/09/2006</t>
  </si>
  <si>
    <t xml:space="preserve">R$19.610,77</t>
  </si>
  <si>
    <t xml:space="preserve">R$228,50</t>
  </si>
  <si>
    <t xml:space="preserve">R$13.355.239,88</t>
  </si>
  <si>
    <t xml:space="preserve">ACUMULOU!!! Estimativa de prêmio (sena) para o próximo concurso, a ser realizado em 16/09/2006: R$15.000.000,00.</t>
  </si>
  <si>
    <t xml:space="preserve">16/09/2006</t>
  </si>
  <si>
    <t xml:space="preserve">R$19.330,65</t>
  </si>
  <si>
    <t xml:space="preserve">R$230,69</t>
  </si>
  <si>
    <t xml:space="preserve">R$20.861.429,08</t>
  </si>
  <si>
    <t xml:space="preserve">ACUMULOU!!! Estimativa de prêmio (SENA) para o próximo concurso a ser realizado em 20/09/2006: R$23.000.000,00.</t>
  </si>
  <si>
    <t xml:space="preserve">20/09/2006</t>
  </si>
  <si>
    <t xml:space="preserve">R$26.411,64</t>
  </si>
  <si>
    <t xml:space="preserve">R$257,44</t>
  </si>
  <si>
    <t xml:space="preserve">R$22.895.125,15</t>
  </si>
  <si>
    <t xml:space="preserve">ACUMULOU!!! Estimativa de prêmio (SENA) para o próximo concurso a ser realizado em 23/09/2006: R$ 25.000.000,00.</t>
  </si>
  <si>
    <t xml:space="preserve">23/09/2006</t>
  </si>
  <si>
    <t xml:space="preserve">R$19.406,93</t>
  </si>
  <si>
    <t xml:space="preserve">R$243,72</t>
  </si>
  <si>
    <t xml:space="preserve">R$25.374.360,34</t>
  </si>
  <si>
    <t xml:space="preserve">ACUMULOU!!! Estimativa de prêmio (sena) para o próximo concurso, a ser realizado em 27/09/2006: R$28.000.000,00.</t>
  </si>
  <si>
    <t xml:space="preserve">27/09/2006</t>
  </si>
  <si>
    <t xml:space="preserve">R$12.287,80</t>
  </si>
  <si>
    <t xml:space="preserve">R$174,32</t>
  </si>
  <si>
    <t xml:space="preserve">R$27.890.287,63</t>
  </si>
  <si>
    <t xml:space="preserve">ACUMULOU!!! Estimativa de prêmio (SENA) para o próximo concurso a ser realizado em 30/09/2006: R$31.000.000,00.</t>
  </si>
  <si>
    <t xml:space="preserve">30/09/2006</t>
  </si>
  <si>
    <t xml:space="preserve">R$8.993,04</t>
  </si>
  <si>
    <t xml:space="preserve">R$143,44</t>
  </si>
  <si>
    <t xml:space="preserve">R$30.927.687,90</t>
  </si>
  <si>
    <t xml:space="preserve">ACUMULOU!!! Estimativa de prêmio (SENA) para o próximo concurso a ser realizado em 04/10/2006: R$34.000.000,00.</t>
  </si>
  <si>
    <t xml:space="preserve">04/10/2006</t>
  </si>
  <si>
    <t xml:space="preserve">R$34.172.202,25</t>
  </si>
  <si>
    <t xml:space="preserve">R$13.835,88</t>
  </si>
  <si>
    <t xml:space="preserve">R$185,88</t>
  </si>
  <si>
    <t xml:space="preserve">Estimativa de prêmio (sena) para o próximo concurso, a ser realizado em 07/10/2006: R$11.000.000,00.</t>
  </si>
  <si>
    <t xml:space="preserve">07/10/2006</t>
  </si>
  <si>
    <t xml:space="preserve">R$14.428,43</t>
  </si>
  <si>
    <t xml:space="preserve">R$11.073.179,39</t>
  </si>
  <si>
    <t xml:space="preserve">POR PROBLEMAS TÉCNICOS O SORTEIO DO CONCURSO 806 DA MEGA-SENA SERÁ REALIZADO EM 12/10 ÀS 20 HORAS NO CAMINHÃO DA SORTE EM BOA ESPERANÇA/MG. A Estimativa de prêmio (sena) para o concurso 806 é de: R$13.000.000,00.</t>
  </si>
  <si>
    <t xml:space="preserve">12/10/2006</t>
  </si>
  <si>
    <t xml:space="preserve">R$18.518,81</t>
  </si>
  <si>
    <t xml:space="preserve">R$290,17</t>
  </si>
  <si>
    <t xml:space="preserve">R$12.693.574,74</t>
  </si>
  <si>
    <t xml:space="preserve">ACUMULOU!!! Estimativa de prêmio (sena) para o próximo concurso, a ser realizado em 14/10/2006: R$14.000.000,00.</t>
  </si>
  <si>
    <t xml:space="preserve">14/10/2006</t>
  </si>
  <si>
    <t xml:space="preserve">R$7.262,48</t>
  </si>
  <si>
    <t xml:space="preserve">R$152,01</t>
  </si>
  <si>
    <t xml:space="preserve">R$14.345.789,99</t>
  </si>
  <si>
    <t xml:space="preserve">ACUMULOU!!! Estimativa de prêmio (sena) para o próximo concurso, a ser realizado em 18/10/2006: R$16.000.000,00.</t>
  </si>
  <si>
    <t xml:space="preserve">18/10/2006</t>
  </si>
  <si>
    <t xml:space="preserve">R$24.446,08</t>
  </si>
  <si>
    <t xml:space="preserve">R$278,76</t>
  </si>
  <si>
    <t xml:space="preserve">R$16.228.138,27</t>
  </si>
  <si>
    <t xml:space="preserve">ACUMULOU!!! Estimativa de prêmio (sena) para o próximo concurso, a ser realizado em 21/10/2006: R$18.000.000,00.</t>
  </si>
  <si>
    <t xml:space="preserve">21/10/2006</t>
  </si>
  <si>
    <t xml:space="preserve">R$8.582,38</t>
  </si>
  <si>
    <t xml:space="preserve">R$134,90</t>
  </si>
  <si>
    <t xml:space="preserve">R$24.143.857,18</t>
  </si>
  <si>
    <t xml:space="preserve">ACUMULOU!!! Estimativa de prêmio (sena) para o próximo concurso, a ser realizado em 25/10/2006: R$26.000.000,00.</t>
  </si>
  <si>
    <t xml:space="preserve">25/10/2006</t>
  </si>
  <si>
    <t xml:space="preserve">R$17.505,65</t>
  </si>
  <si>
    <t xml:space="preserve">R$202,79</t>
  </si>
  <si>
    <t xml:space="preserve">R$26.441.472,82</t>
  </si>
  <si>
    <t xml:space="preserve">R$30.000.000,00</t>
  </si>
  <si>
    <t xml:space="preserve">ACUMULOU!!! Estimativa de prêmio (Sena) para o próximo concurso, a ser realizado em 28/10/2006: R$30.000.000,00.</t>
  </si>
  <si>
    <t xml:space="preserve">28/10/2006</t>
  </si>
  <si>
    <t xml:space="preserve">R$14.597.902,39</t>
  </si>
  <si>
    <t xml:space="preserve">R$17.684,31</t>
  </si>
  <si>
    <t xml:space="preserve">R$284,67</t>
  </si>
  <si>
    <t xml:space="preserve">Estimativa de prêmio (sena) para o próximo concurso, a ser realizado em 01/11/2006: R$1.000.000,00.</t>
  </si>
  <si>
    <t xml:space="preserve">01/11/2006</t>
  </si>
  <si>
    <t xml:space="preserve">R$9.696,24</t>
  </si>
  <si>
    <t xml:space="preserve">R$260,21</t>
  </si>
  <si>
    <t xml:space="preserve">R$967.199,74</t>
  </si>
  <si>
    <t xml:space="preserve">ACUMULOU!!! Estimativa de prêmio (sena) para o próximo concurso, a ser realizado em 04/11/2006: R$2.000.000,00.</t>
  </si>
  <si>
    <t xml:space="preserve">04/11/2006</t>
  </si>
  <si>
    <t xml:space="preserve">R$14.647,97</t>
  </si>
  <si>
    <t xml:space="preserve">R$193,43</t>
  </si>
  <si>
    <t xml:space="preserve">R$2.069.459,59</t>
  </si>
  <si>
    <t xml:space="preserve">ACUMULOU!!! Estimativa de prêmio (sena) para o próximo concurso a ser realizado em 08/11/2006: R$3.000.000,00.</t>
  </si>
  <si>
    <t xml:space="preserve">08/11/2006</t>
  </si>
  <si>
    <t xml:space="preserve">R$18.442,44</t>
  </si>
  <si>
    <t xml:space="preserve">R$268,27</t>
  </si>
  <si>
    <t xml:space="preserve">R$9.203.290,18</t>
  </si>
  <si>
    <t xml:space="preserve">ACUMULOU!!! Estimativa de prêmio (SENA) para o próximo concurso a ser realizado em 11/11/2006: R$11.000.000,00.</t>
  </si>
  <si>
    <t xml:space="preserve">11/11/2006</t>
  </si>
  <si>
    <t xml:space="preserve">R$17.528,89</t>
  </si>
  <si>
    <t xml:space="preserve">R$270,06</t>
  </si>
  <si>
    <t xml:space="preserve">R$10.921.121,58</t>
  </si>
  <si>
    <t xml:space="preserve">ACUMULOU!!! Estimativa de prêmio (SENA) para o próximo concurso, a ser realizado em 16/11/2006: R$13.000.000,00.</t>
  </si>
  <si>
    <t xml:space="preserve">16/11/2006</t>
  </si>
  <si>
    <t xml:space="preserve">R$39.708,11</t>
  </si>
  <si>
    <t xml:space="preserve">R$440,69</t>
  </si>
  <si>
    <t xml:space="preserve">R$12.380.394,81</t>
  </si>
  <si>
    <t xml:space="preserve">ACUMULOU!!! Estimativa de prêmio (sena) para o próximo concurso, a ser realizado em 18/11/2006: R$14.000.000,00.</t>
  </si>
  <si>
    <t xml:space="preserve">18/11/2006</t>
  </si>
  <si>
    <t xml:space="preserve">R$34.364,35</t>
  </si>
  <si>
    <t xml:space="preserve">R$374,37</t>
  </si>
  <si>
    <t xml:space="preserve">R$14.004.110,17</t>
  </si>
  <si>
    <t xml:space="preserve">R$16.000.000,00</t>
  </si>
  <si>
    <t xml:space="preserve">Acumulou!!! Estimativa de prêmio (sena) para o próximo concurso, a ser realizado em 22/11/2006: R$16.000.000,00.</t>
  </si>
  <si>
    <t xml:space="preserve">22/11/2006</t>
  </si>
  <si>
    <t xml:space="preserve">R$16.865,13</t>
  </si>
  <si>
    <t xml:space="preserve">R$197,47</t>
  </si>
  <si>
    <t xml:space="preserve">R$15.715.920,16</t>
  </si>
  <si>
    <t xml:space="preserve">ACUMULOU!!! Estimativa de prêmio (sena) para o próximo concurso, a ser realzado em 25/11/2006:R$18.000.000,00.</t>
  </si>
  <si>
    <t xml:space="preserve">25/11/2006</t>
  </si>
  <si>
    <t xml:space="preserve">R$11.132,90</t>
  </si>
  <si>
    <t xml:space="preserve">R$198,46</t>
  </si>
  <si>
    <t xml:space="preserve">R$23.874.662,70</t>
  </si>
  <si>
    <t xml:space="preserve">ACUMULOU!!! Estimativa de prêmio (sena) para o próximo concurso, a ser realizado em 29/11/2006: R$26.000.000,00.</t>
  </si>
  <si>
    <t xml:space="preserve">29/11/2006</t>
  </si>
  <si>
    <t xml:space="preserve">R$13.046.320,38</t>
  </si>
  <si>
    <t xml:space="preserve">R$15.456,29</t>
  </si>
  <si>
    <t xml:space="preserve">R$247,47</t>
  </si>
  <si>
    <t xml:space="preserve">Estimativa de prêmio (Sena) para o próximo concurso, a ser realizado em 02/12/2006: R$1.000.000,00.</t>
  </si>
  <si>
    <t xml:space="preserve">02/12/2006</t>
  </si>
  <si>
    <t xml:space="preserve">R$17.462,93</t>
  </si>
  <si>
    <t xml:space="preserve">R$194,64</t>
  </si>
  <si>
    <t xml:space="preserve">R$1.130.724,80</t>
  </si>
  <si>
    <t xml:space="preserve">ACUMULOU!!! Estimativa de prêmio (Sena) para o próximo concurso, a ser realizado em 06/12/2006: R$2.000.000,00.</t>
  </si>
  <si>
    <t xml:space="preserve">06/12/2006</t>
  </si>
  <si>
    <t xml:space="preserve">R$19.931,52</t>
  </si>
  <si>
    <t xml:space="preserve">R$238,13</t>
  </si>
  <si>
    <t xml:space="preserve">R$2.212.009,51</t>
  </si>
  <si>
    <t xml:space="preserve">ACUMULOU!!! Estimativa de prêmio (SENA) para o próximo concurso a ser realizado em 09/12/2006: R$3.500.000,00.</t>
  </si>
  <si>
    <t xml:space="preserve">09/12/2006</t>
  </si>
  <si>
    <t xml:space="preserve">R$35.180,77</t>
  </si>
  <si>
    <t xml:space="preserve">R$359,62</t>
  </si>
  <si>
    <t xml:space="preserve">R$3.566.468,83</t>
  </si>
  <si>
    <t xml:space="preserve">ACUMULOU!!! Estimativa de prêmio (6 acertos) para o próximo concurso, a ser realizado em 13/12/2006: R$5.000.000,00.</t>
  </si>
  <si>
    <t xml:space="preserve">13/12/2006</t>
  </si>
  <si>
    <t xml:space="preserve">R$14.753,39</t>
  </si>
  <si>
    <t xml:space="preserve">R$155,73</t>
  </si>
  <si>
    <t xml:space="preserve">R$10.044.004,79</t>
  </si>
  <si>
    <t xml:space="preserve">ACUMULOU!!! Estimativa de prêmio (Sena) para o próximo concurso, a ser realizado em 16/12/2006: R$12.000.000,00.</t>
  </si>
  <si>
    <t xml:space="preserve">16/12/2006</t>
  </si>
  <si>
    <t xml:space="preserve">R$19.453,75</t>
  </si>
  <si>
    <t xml:space="preserve">R$242,96</t>
  </si>
  <si>
    <t xml:space="preserve">R$11.814.295,88</t>
  </si>
  <si>
    <t xml:space="preserve">ACUMULOU!!! Estimativa de prêmio (Sena) para o próximo concurso, a ser realizado em 19/12/2006: R$13.000.000,00.</t>
  </si>
  <si>
    <t xml:space="preserve">19/12/2006</t>
  </si>
  <si>
    <t xml:space="preserve">R$9.188,18</t>
  </si>
  <si>
    <t xml:space="preserve">R$174,30</t>
  </si>
  <si>
    <t xml:space="preserve">R$12.907.689,09</t>
  </si>
  <si>
    <t xml:space="preserve">ACUMULOU!!! Estimativa de prêmio (SENA) para o próximo concurso, a ser realizado em 21/12/2006: R$15.000.000,00.</t>
  </si>
  <si>
    <t xml:space="preserve">21/12/2006</t>
  </si>
  <si>
    <t xml:space="preserve">R$21.021,73</t>
  </si>
  <si>
    <t xml:space="preserve">R$239,72</t>
  </si>
  <si>
    <t xml:space="preserve">R$14.636.725,67</t>
  </si>
  <si>
    <t xml:space="preserve">ACUMULOU!!! Estimativa de prêmio (sena) para o próximo concurso, a ser realizado em 23/12/2006: R$17.000.000,00.</t>
  </si>
  <si>
    <t xml:space="preserve">23/12/2006</t>
  </si>
  <si>
    <t xml:space="preserve">R$40.114,62</t>
  </si>
  <si>
    <t xml:space="preserve">R$333,21</t>
  </si>
  <si>
    <t xml:space="preserve">R$16.672.542,56</t>
  </si>
  <si>
    <t xml:space="preserve">ACUMULOU!!! Estimativa de prêmio (SENA) para o próximo concurso, a ser realizado em 31/12/2006, DOMINGO: R$22.000.000,00.</t>
  </si>
  <si>
    <t xml:space="preserve">31/12/2006</t>
  </si>
  <si>
    <t xml:space="preserve">R$18.311,20</t>
  </si>
  <si>
    <t xml:space="preserve">R$273,27</t>
  </si>
  <si>
    <t xml:space="preserve">R$30.306.455,18</t>
  </si>
  <si>
    <t xml:space="preserve">ACUMULOU!!! Estimativa de prêmio (SENA) para o próximo concurso a ser realizado em 03/01/2007: R$33.000.000,00.</t>
  </si>
  <si>
    <t xml:space="preserve">03/01/2007</t>
  </si>
  <si>
    <t xml:space="preserve">R$24.135,05</t>
  </si>
  <si>
    <t xml:space="preserve">R$293,34</t>
  </si>
  <si>
    <t xml:space="preserve">R$34.276.670,77</t>
  </si>
  <si>
    <t xml:space="preserve">ACUMULOU!!! Estimativa de prêmio (SENA) para o próximo concurso, a ser realizado em 06/01/2007: R$40.000.000,00.</t>
  </si>
  <si>
    <t xml:space="preserve">06/01/2007</t>
  </si>
  <si>
    <t xml:space="preserve">R$31.716,10</t>
  </si>
  <si>
    <t xml:space="preserve">R$306,90</t>
  </si>
  <si>
    <t xml:space="preserve">R$40.770.541,92</t>
  </si>
  <si>
    <t xml:space="preserve">ACUMULOU!!! Estimativa de prêmio (SENA) para o próximo concurso, a ser realizado em 10/01/2007: R$50.000.000,00.</t>
  </si>
  <si>
    <t xml:space="preserve">10/01/2007</t>
  </si>
  <si>
    <t xml:space="preserve">GO</t>
  </si>
  <si>
    <t xml:space="preserve">R$52.807.317,17</t>
  </si>
  <si>
    <t xml:space="preserve">R$13.486,58</t>
  </si>
  <si>
    <t xml:space="preserve">R$184,77</t>
  </si>
  <si>
    <t xml:space="preserve">Estimativa de prêmio (6 acertos) para o próximo concurso, a ser realizado em 13/01/2007: R$1.500.000,00.</t>
  </si>
  <si>
    <t xml:space="preserve">13/01/2007</t>
  </si>
  <si>
    <t xml:space="preserve">R$19.408,81</t>
  </si>
  <si>
    <t xml:space="preserve">R$288,80</t>
  </si>
  <si>
    <t xml:space="preserve">R$1.358.616,66</t>
  </si>
  <si>
    <t xml:space="preserve">ACUMULOU!!! Estimativa de prêmio (SENA) para o próximo concurso, a ser realizado em 17/01/2007: R$2.500.000,00.</t>
  </si>
  <si>
    <t xml:space="preserve">17/01/2007</t>
  </si>
  <si>
    <t xml:space="preserve">R$2.820.323,56</t>
  </si>
  <si>
    <t xml:space="preserve">R$19.887,17</t>
  </si>
  <si>
    <t xml:space="preserve">R$270,78</t>
  </si>
  <si>
    <t xml:space="preserve">Estimativa de prêmio (sena) para o próximo concurso, a ser realizado em 20/01/2007: R$20.000.000,00.</t>
  </si>
  <si>
    <t xml:space="preserve">20/01/2007</t>
  </si>
  <si>
    <t xml:space="preserve">R$28.893,86</t>
  </si>
  <si>
    <t xml:space="preserve">R$282,34</t>
  </si>
  <si>
    <t xml:space="preserve">R$20.109.130,83</t>
  </si>
  <si>
    <t xml:space="preserve">ACUMULOU!!! Estimativa de prêmio (sena) para o próximo concurso, a ser realizado em 24/01/2007: R$22.000.000,00.</t>
  </si>
  <si>
    <t xml:space="preserve">24/01/2007</t>
  </si>
  <si>
    <t xml:space="preserve">R$20.981,59</t>
  </si>
  <si>
    <t xml:space="preserve">R$275,31</t>
  </si>
  <si>
    <t xml:space="preserve">R$22.459.069,62</t>
  </si>
  <si>
    <t xml:space="preserve">ACUMULOU!!! Estimativa de prêmio (Sena) para o próximo concurso, a ser realizado em 27/01/2007: R$25.000.000,00.</t>
  </si>
  <si>
    <t xml:space="preserve">27/01/2007</t>
  </si>
  <si>
    <t xml:space="preserve">R$25.067.473,09</t>
  </si>
  <si>
    <t xml:space="preserve">R$20.418,03</t>
  </si>
  <si>
    <t xml:space="preserve">R$238,23</t>
  </si>
  <si>
    <t xml:space="preserve">Estimativa de prêmio (Sena) para o próximo concurso, a ser realizado em 31/01/2007: R$1.000.000,00.</t>
  </si>
  <si>
    <t xml:space="preserve">31/01/2007</t>
  </si>
  <si>
    <t xml:space="preserve">R$16.256,65</t>
  </si>
  <si>
    <t xml:space="preserve">R$235,05</t>
  </si>
  <si>
    <t xml:space="preserve">R$1.166.414,58</t>
  </si>
  <si>
    <t xml:space="preserve">ACUMULOU! Estimativa de prêmio (sena) para o próximo concurso, a ser realizado em 03/02/2007: R$2.500.000,00.</t>
  </si>
  <si>
    <t xml:space="preserve">03/02/2007</t>
  </si>
  <si>
    <t xml:space="preserve">R$11.092,88</t>
  </si>
  <si>
    <t xml:space="preserve">R$160,13</t>
  </si>
  <si>
    <t xml:space="preserve">R$9.548.388,11</t>
  </si>
  <si>
    <t xml:space="preserve">ACUMULOU! Estimativa de prêmio (sena) para o próximo concurso, a ser realizado em 07/02/2007: R$11.000.000,00.</t>
  </si>
  <si>
    <t xml:space="preserve">07/02/2007</t>
  </si>
  <si>
    <t xml:space="preserve">R$11.603,23</t>
  </si>
  <si>
    <t xml:space="preserve">R$197,13</t>
  </si>
  <si>
    <t xml:space="preserve">R$11.457.118,69</t>
  </si>
  <si>
    <t xml:space="preserve">ACUMULOU! Estimativa de prêmio (sena) para o próximo concurso, a ser realizado em 10/02/2007: R$14.000.000,00.</t>
  </si>
  <si>
    <t xml:space="preserve">10/02/2007</t>
  </si>
  <si>
    <t xml:space="preserve">R$18.656,13</t>
  </si>
  <si>
    <t xml:space="preserve">R$241,23</t>
  </si>
  <si>
    <t xml:space="preserve">R$13.644.549,97</t>
  </si>
  <si>
    <t xml:space="preserve">ACUMULOU! Estimativa de prêmio (sena) para o próximo concurso, a ser realizado em 14/02/2007: R$16.000.000,00.</t>
  </si>
  <si>
    <t xml:space="preserve">14/02/2007</t>
  </si>
  <si>
    <t xml:space="preserve">R$21.165,39</t>
  </si>
  <si>
    <t xml:space="preserve">R$260,20</t>
  </si>
  <si>
    <t xml:space="preserve">R$15.792.837,51</t>
  </si>
  <si>
    <t xml:space="preserve">ACUMULOU!!! Estimativa de prêmio (Sena) para o próximo concurso, a ser realizado em 17/02/2007: R$20.000.000,00.</t>
  </si>
  <si>
    <t xml:space="preserve">17/02/2007</t>
  </si>
  <si>
    <t xml:space="preserve">R$19.914,21</t>
  </si>
  <si>
    <t xml:space="preserve">R$239,10</t>
  </si>
  <si>
    <t xml:space="preserve">R$18.162.628,75</t>
  </si>
  <si>
    <t xml:space="preserve">ACUMULOU!!! Estimativa de prêmio (Sena) para o próximo concurso, a ser realizado em 24/02/2007 (SÁBADO): R$21.000.000,00. Comunicamos que 4ª feira não haverá sorteio da Mega-Sena.</t>
  </si>
  <si>
    <t xml:space="preserve">24/02/2007</t>
  </si>
  <si>
    <t xml:space="preserve">R$18.846,39</t>
  </si>
  <si>
    <t xml:space="preserve">R$222,50</t>
  </si>
  <si>
    <t xml:space="preserve">R$29.460.722,37</t>
  </si>
  <si>
    <t xml:space="preserve">ACUMULOU!!! Estimativa de prêmio (Sena) para o próximo concurso, a ser realizado em 28/02/2007: R$33.000.000,00.</t>
  </si>
  <si>
    <t xml:space="preserve">28/02/2007</t>
  </si>
  <si>
    <t xml:space="preserve">R$26.277,83</t>
  </si>
  <si>
    <t xml:space="preserve">R$330,43</t>
  </si>
  <si>
    <t xml:space="preserve">R$32.541.798,04</t>
  </si>
  <si>
    <t xml:space="preserve">ACUMULOU!!! Estimativa de prêmio (Sena) para o próximo concurso, a ser realizado em 03/03/2007: R$36.000.000,00.</t>
  </si>
  <si>
    <t xml:space="preserve">03/03/2007</t>
  </si>
  <si>
    <t xml:space="preserve">R$24.621,43</t>
  </si>
  <si>
    <t xml:space="preserve">R$322,79</t>
  </si>
  <si>
    <t xml:space="preserve">R$36.074.973,92</t>
  </si>
  <si>
    <t xml:space="preserve">ACUMULOU! Estimativa de prêmio (sena) para o próximo concurso, a ser realizado em 07/03/2007: R$40.000.000,00.</t>
  </si>
  <si>
    <t xml:space="preserve">07/03/2007</t>
  </si>
  <si>
    <t xml:space="preserve">R$40.484.388,84</t>
  </si>
  <si>
    <t xml:space="preserve">R$10.411,84</t>
  </si>
  <si>
    <t xml:space="preserve">R$178,50</t>
  </si>
  <si>
    <t xml:space="preserve">Estimativa de prêmio (Sena) para o próximo concurso, a ser realizado em 10/03/2007: R$1.500.000,00.</t>
  </si>
  <si>
    <t xml:space="preserve">10/03/2007</t>
  </si>
  <si>
    <t xml:space="preserve">R$1.351.049,04</t>
  </si>
  <si>
    <t xml:space="preserve">R$8.578,09</t>
  </si>
  <si>
    <t xml:space="preserve">R$167,13</t>
  </si>
  <si>
    <t xml:space="preserve">Estimativa de prêmio (Sena) para o próximo concurso, a ser realizado em 14/03/2007: R$1.000.000,00.</t>
  </si>
  <si>
    <t xml:space="preserve">14/03/2007</t>
  </si>
  <si>
    <t xml:space="preserve">R$20.408,37</t>
  </si>
  <si>
    <t xml:space="preserve">R$303,87</t>
  </si>
  <si>
    <t xml:space="preserve">R$10.859.511,56</t>
  </si>
  <si>
    <t xml:space="preserve">ACUMULOU!!! Estimativa de prêmio (Sena) para o próximo concurso, a ser realizado em 17/03/2007: R$13.000.000,00.</t>
  </si>
  <si>
    <t xml:space="preserve">17/03/2007</t>
  </si>
  <si>
    <t xml:space="preserve">R$9.690,08</t>
  </si>
  <si>
    <t xml:space="preserve">R$173,22</t>
  </si>
  <si>
    <t xml:space="preserve">R$12.843.555,94</t>
  </si>
  <si>
    <t xml:space="preserve">ACUMULOU!!! Estimativa de prêmio (Sena) para o próximo concurso, a ser realizado em 21/03/2007: R$15.000.000,00.</t>
  </si>
  <si>
    <t xml:space="preserve">21/03/2007</t>
  </si>
  <si>
    <t xml:space="preserve">R$4.966.312,44</t>
  </si>
  <si>
    <t xml:space="preserve">R$6.635,61</t>
  </si>
  <si>
    <t xml:space="preserve">R$154,10</t>
  </si>
  <si>
    <t xml:space="preserve">Estimativa de prêmio (sena) para o próximo concurso, a ser realizado em 24/03/2007: R$ 1.000.000,00.</t>
  </si>
  <si>
    <t xml:space="preserve">24/03/2007</t>
  </si>
  <si>
    <t xml:space="preserve">R$16.051,24</t>
  </si>
  <si>
    <t xml:space="preserve">R$192,50</t>
  </si>
  <si>
    <t xml:space="preserve">R$1.179.766,12</t>
  </si>
  <si>
    <t xml:space="preserve">ACUMULOU! Estimativa de prêmio (sena) para o próximo concurso, a ser realizado em 28/03/2007: R$2.500.000,00.</t>
  </si>
  <si>
    <t xml:space="preserve">28/03/2007</t>
  </si>
  <si>
    <t xml:space="preserve">R$43.287,28</t>
  </si>
  <si>
    <t xml:space="preserve">R$500,41</t>
  </si>
  <si>
    <t xml:space="preserve">R$2.467.562,79</t>
  </si>
  <si>
    <t xml:space="preserve">ACUMULOU!!! Estimativa de prêmio (Sena) para o próximo concurso, a ser realizado em 31/03/2007: R$4.000.000,00.</t>
  </si>
  <si>
    <t xml:space="preserve">31/03/2007</t>
  </si>
  <si>
    <t xml:space="preserve">R$10.150,39</t>
  </si>
  <si>
    <t xml:space="preserve">R$126,11</t>
  </si>
  <si>
    <t xml:space="preserve">R$9.795.115,03</t>
  </si>
  <si>
    <t xml:space="preserve">ACUMULOU!!! Estimativa de prêmio (Sena) para o próximo concurso a ser realizado em 04/04/2007: R$12.000.000,00.</t>
  </si>
  <si>
    <t xml:space="preserve">04/04/2007</t>
  </si>
  <si>
    <t xml:space="preserve">R$16.966,53</t>
  </si>
  <si>
    <t xml:space="preserve">R$286,73</t>
  </si>
  <si>
    <t xml:space="preserve">R$11.546.909,14</t>
  </si>
  <si>
    <t xml:space="preserve">ACUMULOU !!! Estimativa de prêmio (SENA) para o próximo concurso ser realizado em 07/04/2007: R$14.000.000,00.</t>
  </si>
  <si>
    <t xml:space="preserve">07/04/2007</t>
  </si>
  <si>
    <t xml:space="preserve">R$25.678,52</t>
  </si>
  <si>
    <t xml:space="preserve">R$323,71</t>
  </si>
  <si>
    <t xml:space="preserve">R$13.209.593,04</t>
  </si>
  <si>
    <t xml:space="preserve">ACUMULOU!!! Estimativa de prêmio (Sena) para o próximo concurso a ser realizado em 11/04/2007: R$15.000.000,00.</t>
  </si>
  <si>
    <t xml:space="preserve">11/04/2007</t>
  </si>
  <si>
    <t xml:space="preserve">R$17.126,48</t>
  </si>
  <si>
    <t xml:space="preserve">R$256,00</t>
  </si>
  <si>
    <t xml:space="preserve">R$15.337.557,86</t>
  </si>
  <si>
    <t xml:space="preserve">ACUMULOU!!! Estimativa de prêmio (SENA) para o próximo concurso, a ser realizado em 14/04/2007: R$18.000.000,00.</t>
  </si>
  <si>
    <t xml:space="preserve">14/04/2007</t>
  </si>
  <si>
    <t xml:space="preserve">R$8.889.537,74</t>
  </si>
  <si>
    <t xml:space="preserve">R$7.541,37</t>
  </si>
  <si>
    <t xml:space="preserve">R$157,56</t>
  </si>
  <si>
    <t xml:space="preserve">Estimativa de prêmio (Sena) para o próximo concurso, a ser realizado em 18/04/2007: R$1.000.000,00.</t>
  </si>
  <si>
    <t xml:space="preserve">18/04/2007</t>
  </si>
  <si>
    <t xml:space="preserve">R$18.296,99</t>
  </si>
  <si>
    <t xml:space="preserve">R$194,80</t>
  </si>
  <si>
    <t xml:space="preserve">R$7.624.012,41</t>
  </si>
  <si>
    <t xml:space="preserve">ACUMULOU!!! Estimativa de prêmio (Sena) para o próximo concurso a ser realizado em 23/04/2007: R$9.000.000,00.</t>
  </si>
  <si>
    <t xml:space="preserve">23/04/2007</t>
  </si>
  <si>
    <t xml:space="preserve">R$8.602,66</t>
  </si>
  <si>
    <t xml:space="preserve">R$138,82</t>
  </si>
  <si>
    <t xml:space="preserve">R$9.295.079,41</t>
  </si>
  <si>
    <t xml:space="preserve">ACUMULOU!!! Estimativa de prêmio (SENA), para o próximo concurso a ser realizado em 25/04/2007: R$11.000.000,00.</t>
  </si>
  <si>
    <t xml:space="preserve">25/04/2007</t>
  </si>
  <si>
    <t xml:space="preserve">R$10.840.760,96</t>
  </si>
  <si>
    <t xml:space="preserve">R$25.977,84</t>
  </si>
  <si>
    <t xml:space="preserve">R$383,23</t>
  </si>
  <si>
    <t xml:space="preserve">Estimativa de prêmio (Sena) para o próximo concurso a ser realizado em 28/04/2007: R$1.000.000,00.</t>
  </si>
  <si>
    <t xml:space="preserve">28/04/2007</t>
  </si>
  <si>
    <t xml:space="preserve">R$1.152.211,30</t>
  </si>
  <si>
    <t xml:space="preserve">R$6.650,57</t>
  </si>
  <si>
    <t xml:space="preserve">R$116,46</t>
  </si>
  <si>
    <t xml:space="preserve">Estimativa de prêmio (Sena) para o próximo concurso a ser realizado em 02/05/2007: R$1.000.000,00.</t>
  </si>
  <si>
    <t xml:space="preserve">02/05/2007</t>
  </si>
  <si>
    <t xml:space="preserve">R$18.975,51</t>
  </si>
  <si>
    <t xml:space="preserve">R$325,04</t>
  </si>
  <si>
    <t xml:space="preserve">R$830.178,33</t>
  </si>
  <si>
    <t xml:space="preserve">ACUMULOU!!! ESTIMATIVA DE PRÊMIO (6 ACERTOS) PARA O PRÓXIMO CONCURSO A SER REALIZADO EM 05/05/2007: R$ 2.000.000,00.</t>
  </si>
  <si>
    <t xml:space="preserve">05/05/2007</t>
  </si>
  <si>
    <t xml:space="preserve">R$16.053,56</t>
  </si>
  <si>
    <t xml:space="preserve">R$256,90</t>
  </si>
  <si>
    <t xml:space="preserve">R$6.807.400,00</t>
  </si>
  <si>
    <t xml:space="preserve">ACUMULOU!!! Estimativa de prêmio (sena) para o próximo concurso, a ser realizado em 09/05/2007: R$8.000.000,00.</t>
  </si>
  <si>
    <t xml:space="preserve">09/05/2007</t>
  </si>
  <si>
    <t xml:space="preserve">R$31.424,15</t>
  </si>
  <si>
    <t xml:space="preserve">R$325,36</t>
  </si>
  <si>
    <t xml:space="preserve">R$8.347.183,58</t>
  </si>
  <si>
    <t xml:space="preserve">ACUMULOU!!! Estimativa de prêmio (6 ACERTOS) para o próximo concurso, a ser realizado em 12/05/2007: R$10.000.000,00.</t>
  </si>
  <si>
    <t xml:space="preserve">12/05/2007</t>
  </si>
  <si>
    <t xml:space="preserve">R$23.174,32</t>
  </si>
  <si>
    <t xml:space="preserve">R$286,71</t>
  </si>
  <si>
    <t xml:space="preserve">R$10.212.715,83</t>
  </si>
  <si>
    <t xml:space="preserve">ACUMULOU!!! Estimativa de prêmio (6 ACERTOS) para o próximo concurso a ser realizado em 16/05/2007: R$12.000.000,00.</t>
  </si>
  <si>
    <t xml:space="preserve">16/05/2007</t>
  </si>
  <si>
    <t xml:space="preserve">R$20.699,48</t>
  </si>
  <si>
    <t xml:space="preserve">R$240,06</t>
  </si>
  <si>
    <t xml:space="preserve">R$12.060.144,51</t>
  </si>
  <si>
    <t xml:space="preserve">ACUMULOU!!!! Estimativa de prêmio (SENA) para o próximo  concurso, a ser realizado em 19/05/2007: R$14.000.000,00.</t>
  </si>
  <si>
    <t xml:space="preserve">19/05/2007</t>
  </si>
  <si>
    <t xml:space="preserve">R$32.369,99</t>
  </si>
  <si>
    <t xml:space="preserve">R$345,54</t>
  </si>
  <si>
    <t xml:space="preserve">R$14.156.101,29</t>
  </si>
  <si>
    <t xml:space="preserve">ACUMULOU!!! Estimativa de prêmio (Sena) para o próximo concurso, a ser realizado em 23/05/2007: R$16.000.000,00.</t>
  </si>
  <si>
    <t xml:space="preserve">23/05/2007</t>
  </si>
  <si>
    <t xml:space="preserve">R$16.192.436,64</t>
  </si>
  <si>
    <t xml:space="preserve">R$20.414,39</t>
  </si>
  <si>
    <t xml:space="preserve">R$296,32</t>
  </si>
  <si>
    <t xml:space="preserve">R$9.000.000,00</t>
  </si>
  <si>
    <t xml:space="preserve">26/05/2007</t>
  </si>
  <si>
    <t xml:space="preserve">R$34.488,20</t>
  </si>
  <si>
    <t xml:space="preserve">R$305,61</t>
  </si>
  <si>
    <t xml:space="preserve">R$8.272.810,82</t>
  </si>
  <si>
    <t xml:space="preserve">R$10.000.000,00</t>
  </si>
  <si>
    <t xml:space="preserve">30/05/2007</t>
  </si>
  <si>
    <t xml:space="preserve">R$12.453,39</t>
  </si>
  <si>
    <t xml:space="preserve">R$10.016.284,93</t>
  </si>
  <si>
    <t xml:space="preserve">02/06/2007</t>
  </si>
  <si>
    <t xml:space="preserve">R$14.747,74</t>
  </si>
  <si>
    <t xml:space="preserve">R$256,70</t>
  </si>
  <si>
    <t xml:space="preserve">R$12.106.777,43</t>
  </si>
  <si>
    <t xml:space="preserve">R$14.000.000,00</t>
  </si>
  <si>
    <t xml:space="preserve">06/06/2007</t>
  </si>
  <si>
    <t xml:space="preserve">R$17.932,61</t>
  </si>
  <si>
    <t xml:space="preserve">R$247,59</t>
  </si>
  <si>
    <t xml:space="preserve">R$14.303.522,62</t>
  </si>
  <si>
    <t xml:space="preserve">R$17.000.000,00</t>
  </si>
  <si>
    <t xml:space="preserve">09/06/2007</t>
  </si>
  <si>
    <t xml:space="preserve">R$39.615,01</t>
  </si>
  <si>
    <t xml:space="preserve">R$417,62</t>
  </si>
  <si>
    <t xml:space="preserve">R$23.535.080,88</t>
  </si>
  <si>
    <t xml:space="preserve">R$26.000.000,00</t>
  </si>
  <si>
    <t xml:space="preserve">13/06/2007</t>
  </si>
  <si>
    <t xml:space="preserve">R$26.631.943,24</t>
  </si>
  <si>
    <t xml:space="preserve">R$11.566,24</t>
  </si>
  <si>
    <t xml:space="preserve">R$213,95</t>
  </si>
  <si>
    <t xml:space="preserve">R$1.500.000,00</t>
  </si>
  <si>
    <t xml:space="preserve">16/06/2007</t>
  </si>
  <si>
    <t xml:space="preserve">R$29.219,33</t>
  </si>
  <si>
    <t xml:space="preserve">R$227,00</t>
  </si>
  <si>
    <t xml:space="preserve">R$1.534.014,85</t>
  </si>
  <si>
    <t xml:space="preserve">20/06/2007</t>
  </si>
  <si>
    <t xml:space="preserve">R$14.440,64</t>
  </si>
  <si>
    <t xml:space="preserve">R$206,07</t>
  </si>
  <si>
    <t xml:space="preserve">R$3.277.722,23</t>
  </si>
  <si>
    <t xml:space="preserve">R$5.000.000,00</t>
  </si>
  <si>
    <t xml:space="preserve">23/06/2007</t>
  </si>
  <si>
    <t xml:space="preserve">R$29.970,93</t>
  </si>
  <si>
    <t xml:space="preserve">R$266,16</t>
  </si>
  <si>
    <t xml:space="preserve">R$5.008.543,30</t>
  </si>
  <si>
    <t xml:space="preserve">R$7.000.000,00</t>
  </si>
  <si>
    <t xml:space="preserve">27/06/2007</t>
  </si>
  <si>
    <t xml:space="preserve">R$21.995,08</t>
  </si>
  <si>
    <t xml:space="preserve">R$255,98</t>
  </si>
  <si>
    <t xml:space="preserve">R$13.767.454,24</t>
  </si>
  <si>
    <t xml:space="preserve">30/06/2007</t>
  </si>
  <si>
    <t xml:space="preserve">R$28.154,03</t>
  </si>
  <si>
    <t xml:space="preserve">R$299,07</t>
  </si>
  <si>
    <t xml:space="preserve">R$16.033.853,70</t>
  </si>
  <si>
    <t xml:space="preserve">R$18.000.000,00</t>
  </si>
  <si>
    <t xml:space="preserve">04/07/2007</t>
  </si>
  <si>
    <t xml:space="preserve">R$14.336,70</t>
  </si>
  <si>
    <t xml:space="preserve">R$203,19</t>
  </si>
  <si>
    <t xml:space="preserve">R$18.517.686,08</t>
  </si>
  <si>
    <t xml:space="preserve">R$22.000.000,00</t>
  </si>
  <si>
    <t xml:space="preserve">07/07/2007</t>
  </si>
  <si>
    <t xml:space="preserve">R$21.492.982,24</t>
  </si>
  <si>
    <t xml:space="preserve">R$20.989,74</t>
  </si>
  <si>
    <t xml:space="preserve">R$255,00</t>
  </si>
  <si>
    <t xml:space="preserve">R$1.300.000,00</t>
  </si>
  <si>
    <t xml:space="preserve">11/07/2007</t>
  </si>
  <si>
    <t xml:space="preserve">R$51.899,42</t>
  </si>
  <si>
    <t xml:space="preserve">R$449,89</t>
  </si>
  <si>
    <t xml:space="preserve">R$1.180.711,67</t>
  </si>
  <si>
    <t xml:space="preserve">R$2.500.000,00</t>
  </si>
  <si>
    <t xml:space="preserve">14/07/2007</t>
  </si>
  <si>
    <t xml:space="preserve">R$15.846,82</t>
  </si>
  <si>
    <t xml:space="preserve">R$186,05</t>
  </si>
  <si>
    <t xml:space="preserve">R$10.204.577,30</t>
  </si>
  <si>
    <t xml:space="preserve">18/07/2007</t>
  </si>
  <si>
    <t xml:space="preserve">R$9.254,88</t>
  </si>
  <si>
    <t xml:space="preserve">R$161,63</t>
  </si>
  <si>
    <t xml:space="preserve">R$12.050.926,17</t>
  </si>
  <si>
    <t xml:space="preserve">21/07/2007</t>
  </si>
  <si>
    <t xml:space="preserve">R$12.422,33</t>
  </si>
  <si>
    <t xml:space="preserve">R$214,70</t>
  </si>
  <si>
    <t xml:space="preserve">R$14.224.834,41</t>
  </si>
  <si>
    <t xml:space="preserve">25/07/2007</t>
  </si>
  <si>
    <t xml:space="preserve">R$15.886,22</t>
  </si>
  <si>
    <t xml:space="preserve">R$255,94</t>
  </si>
  <si>
    <t xml:space="preserve">R$16.421.104,66</t>
  </si>
  <si>
    <t xml:space="preserve">R$20.000.000,00</t>
  </si>
  <si>
    <t xml:space="preserve">28/07/2007</t>
  </si>
  <si>
    <t xml:space="preserve">R$18.947.548,96</t>
  </si>
  <si>
    <t xml:space="preserve">R$28.873,65</t>
  </si>
  <si>
    <t xml:space="preserve">R$391,67</t>
  </si>
  <si>
    <t xml:space="preserve">R$1.000.000,00</t>
  </si>
  <si>
    <t xml:space="preserve">01/08/2007</t>
  </si>
  <si>
    <t xml:space="preserve">R$30.883,09</t>
  </si>
  <si>
    <t xml:space="preserve">R$372,81</t>
  </si>
  <si>
    <t xml:space="preserve">R$8.190.614,89</t>
  </si>
  <si>
    <t xml:space="preserve">04/08/2007</t>
  </si>
  <si>
    <t xml:space="preserve">R$10.715,07</t>
  </si>
  <si>
    <t xml:space="preserve">R$160,51</t>
  </si>
  <si>
    <t xml:space="preserve">R$10.159.508,19</t>
  </si>
  <si>
    <t xml:space="preserve">08/08/2007</t>
  </si>
  <si>
    <t xml:space="preserve">R$13.781,11</t>
  </si>
  <si>
    <t xml:space="preserve">R$197,35</t>
  </si>
  <si>
    <t xml:space="preserve">R$12.378.266,60</t>
  </si>
  <si>
    <t xml:space="preserve">11/08/2007</t>
  </si>
  <si>
    <t xml:space="preserve">R$28.078,08</t>
  </si>
  <si>
    <t xml:space="preserve">R$315,87</t>
  </si>
  <si>
    <t xml:space="preserve">R$15.031.644,65</t>
  </si>
  <si>
    <t xml:space="preserve">15/08/2007</t>
  </si>
  <si>
    <t xml:space="preserve">R$14.747,51</t>
  </si>
  <si>
    <t xml:space="preserve">R$233,91</t>
  </si>
  <si>
    <t xml:space="preserve">R$17.741.499,79</t>
  </si>
  <si>
    <t xml:space="preserve">R$21.000.000,00</t>
  </si>
  <si>
    <t xml:space="preserve">18/08/2007</t>
  </si>
  <si>
    <t xml:space="preserve">R$31.502,25</t>
  </si>
  <si>
    <t xml:space="preserve">R$278,31</t>
  </si>
  <si>
    <t xml:space="preserve">R$30.139.459,45</t>
  </si>
  <si>
    <t xml:space="preserve">R$33.000.000,00</t>
  </si>
  <si>
    <t xml:space="preserve">22/08/2007</t>
  </si>
  <si>
    <t xml:space="preserve">R$29.366,19</t>
  </si>
  <si>
    <t xml:space="preserve">R$370,60</t>
  </si>
  <si>
    <t xml:space="preserve">R$34.353.506,77</t>
  </si>
  <si>
    <t xml:space="preserve">R$40.000.000,00</t>
  </si>
  <si>
    <t xml:space="preserve">25/08/2007</t>
  </si>
  <si>
    <t xml:space="preserve">R$31.002,68</t>
  </si>
  <si>
    <t xml:space="preserve">R$281,06</t>
  </si>
  <si>
    <t xml:space="preserve">R$39.670.465,09</t>
  </si>
  <si>
    <t xml:space="preserve">R$45.000.000,00</t>
  </si>
  <si>
    <t xml:space="preserve">29/08/2007</t>
  </si>
  <si>
    <t xml:space="preserve">R$18.019,32</t>
  </si>
  <si>
    <t xml:space="preserve">R$228,65</t>
  </si>
  <si>
    <t xml:space="preserve">R$46.355.633,71</t>
  </si>
  <si>
    <t xml:space="preserve">R$54.000.000,00</t>
  </si>
  <si>
    <t xml:space="preserve">01/09/2007</t>
  </si>
  <si>
    <t xml:space="preserve">RO; SC</t>
  </si>
  <si>
    <t xml:space="preserve">R$27.782.053,83</t>
  </si>
  <si>
    <t xml:space="preserve">R$8.828,84</t>
  </si>
  <si>
    <t xml:space="preserve">05/09/2007</t>
  </si>
  <si>
    <t xml:space="preserve">R$951,79</t>
  </si>
  <si>
    <t xml:space="preserve">R$252,57</t>
  </si>
  <si>
    <t xml:space="preserve">R$20.867.361,42</t>
  </si>
  <si>
    <t xml:space="preserve">R$24.000.000,00</t>
  </si>
  <si>
    <t xml:space="preserve">08/09/2007</t>
  </si>
  <si>
    <t xml:space="preserve">R$23.334.752,92</t>
  </si>
  <si>
    <t xml:space="preserve">R$15.842,00</t>
  </si>
  <si>
    <t xml:space="preserve">R$227,14</t>
  </si>
  <si>
    <t xml:space="preserve">12/09/2007</t>
  </si>
  <si>
    <t xml:space="preserve">R$9.381,13</t>
  </si>
  <si>
    <t xml:space="preserve">R$166,39</t>
  </si>
  <si>
    <t xml:space="preserve">R$1.641.698,41</t>
  </si>
  <si>
    <t xml:space="preserve">R$3.500.000,00</t>
  </si>
  <si>
    <t xml:space="preserve">15/09/2007</t>
  </si>
  <si>
    <t xml:space="preserve">R$17.237,57</t>
  </si>
  <si>
    <t xml:space="preserve">R$334,59</t>
  </si>
  <si>
    <t xml:space="preserve">R$3.692.969,85</t>
  </si>
  <si>
    <t xml:space="preserve">R$6.000.000,00</t>
  </si>
  <si>
    <t xml:space="preserve">19/09/2007</t>
  </si>
  <si>
    <t xml:space="preserve">R$19.346,40</t>
  </si>
  <si>
    <t xml:space="preserve">R$254,89</t>
  </si>
  <si>
    <t xml:space="preserve">R$5.792.054,30</t>
  </si>
  <si>
    <t xml:space="preserve">R$8.000.000,00</t>
  </si>
  <si>
    <t xml:space="preserve">22/09/2007</t>
  </si>
  <si>
    <t xml:space="preserve">R$18.874,08</t>
  </si>
  <si>
    <t xml:space="preserve">R$337,86</t>
  </si>
  <si>
    <t xml:space="preserve">R$15.768.458,93</t>
  </si>
  <si>
    <t xml:space="preserve">26/09/2007</t>
  </si>
  <si>
    <t xml:space="preserve">R$18.405.503,18</t>
  </si>
  <si>
    <t xml:space="preserve">R$16.931,26</t>
  </si>
  <si>
    <t xml:space="preserve">Ganhador da sena: São Pedro da Aldeia/RJ.</t>
  </si>
  <si>
    <t xml:space="preserve">29/09/2007</t>
  </si>
  <si>
    <t xml:space="preserve">R$1.583.115,71</t>
  </si>
  <si>
    <t xml:space="preserve">R$18.461,99</t>
  </si>
  <si>
    <t xml:space="preserve">R$212,60</t>
  </si>
  <si>
    <t xml:space="preserve">Ganhador de 6 acertos: Sorriso/MT.</t>
  </si>
  <si>
    <t xml:space="preserve">03/10/2007</t>
  </si>
  <si>
    <t xml:space="preserve">R$32.080,72</t>
  </si>
  <si>
    <t xml:space="preserve">R$356,05</t>
  </si>
  <si>
    <t xml:space="preserve">R$1.403.531,54</t>
  </si>
  <si>
    <t xml:space="preserve">06/10/2007</t>
  </si>
  <si>
    <t xml:space="preserve">R$8.660,71</t>
  </si>
  <si>
    <t xml:space="preserve">R$166,86</t>
  </si>
  <si>
    <t xml:space="preserve">R$3.222.281,26</t>
  </si>
  <si>
    <t xml:space="preserve">10/10/2007</t>
  </si>
  <si>
    <t xml:space="preserve">R$21.301,42</t>
  </si>
  <si>
    <t xml:space="preserve">R$222,11</t>
  </si>
  <si>
    <t xml:space="preserve">R$11.605.715,34</t>
  </si>
  <si>
    <t xml:space="preserve">13/10/2007</t>
  </si>
  <si>
    <t xml:space="preserve">R$10.618,33</t>
  </si>
  <si>
    <t xml:space="preserve">R$173,81</t>
  </si>
  <si>
    <t xml:space="preserve">R$13.593.997,94</t>
  </si>
  <si>
    <t xml:space="preserve">17/10/2007</t>
  </si>
  <si>
    <t xml:space="preserve">R$15.981.772,55</t>
  </si>
  <si>
    <t xml:space="preserve">R$21.657,82</t>
  </si>
  <si>
    <t xml:space="preserve">R$252,84</t>
  </si>
  <si>
    <t xml:space="preserve">Ganhador da sena: Lucas do Rio Verde/MT.</t>
  </si>
  <si>
    <t xml:space="preserve">20/10/2007</t>
  </si>
  <si>
    <t xml:space="preserve">R$13.412,10</t>
  </si>
  <si>
    <t xml:space="preserve">R$185,16</t>
  </si>
  <si>
    <t xml:space="preserve">R$1.455.212,96</t>
  </si>
  <si>
    <t xml:space="preserve">24/10/2007</t>
  </si>
  <si>
    <t xml:space="preserve">R$2.915.782,13</t>
  </si>
  <si>
    <t xml:space="preserve">R$30.911,51</t>
  </si>
  <si>
    <t xml:space="preserve">R$309,90</t>
  </si>
  <si>
    <t xml:space="preserve">R$1.200.000,00</t>
  </si>
  <si>
    <t xml:space="preserve">Ganhador de 6 acertos: Brasília/DF.</t>
  </si>
  <si>
    <t xml:space="preserve">27/10/2007</t>
  </si>
  <si>
    <t xml:space="preserve">R$12.406,06</t>
  </si>
  <si>
    <t xml:space="preserve">R$167,20</t>
  </si>
  <si>
    <t xml:space="preserve">R$7.590.419,67</t>
  </si>
  <si>
    <t xml:space="preserve">31/10/2007</t>
  </si>
  <si>
    <t xml:space="preserve">R$9.448.268,16</t>
  </si>
  <si>
    <t xml:space="preserve">R$24.127,91</t>
  </si>
  <si>
    <t xml:space="preserve">R$295,43</t>
  </si>
  <si>
    <t xml:space="preserve">Ganhador de 6 acertos: Goiânia/GO.</t>
  </si>
  <si>
    <t xml:space="preserve">03/11/2007</t>
  </si>
  <si>
    <t xml:space="preserve">R$4.648,18</t>
  </si>
  <si>
    <t xml:space="preserve">R$207,09</t>
  </si>
  <si>
    <t xml:space="preserve">R$1.171.341,29</t>
  </si>
  <si>
    <t xml:space="preserve">07/11/2007</t>
  </si>
  <si>
    <t xml:space="preserve">R$14.133,49</t>
  </si>
  <si>
    <t xml:space="preserve">R$246,03</t>
  </si>
  <si>
    <t xml:space="preserve">R$2.680.091,97</t>
  </si>
  <si>
    <t xml:space="preserve">R$4.000.000,00</t>
  </si>
  <si>
    <t xml:space="preserve">10/11/2007</t>
  </si>
  <si>
    <t xml:space="preserve">R$7.591,36</t>
  </si>
  <si>
    <t xml:space="preserve">R$148,33</t>
  </si>
  <si>
    <t xml:space="preserve">R$4.473.550,36</t>
  </si>
  <si>
    <t xml:space="preserve">14/11/2007</t>
  </si>
  <si>
    <t xml:space="preserve">R$28.441,93</t>
  </si>
  <si>
    <t xml:space="preserve">R$299,10</t>
  </si>
  <si>
    <t xml:space="preserve">R$12.153.032,42</t>
  </si>
  <si>
    <t xml:space="preserve">17/11/2007</t>
  </si>
  <si>
    <t xml:space="preserve">R$12.657,72</t>
  </si>
  <si>
    <t xml:space="preserve">R$180,04</t>
  </si>
  <si>
    <t xml:space="preserve">R$14.235.226,59</t>
  </si>
  <si>
    <t xml:space="preserve">21/11/2007</t>
  </si>
  <si>
    <t xml:space="preserve">R$21.395,20</t>
  </si>
  <si>
    <t xml:space="preserve">R$302,75</t>
  </si>
  <si>
    <t xml:space="preserve">R$16.556.605,48</t>
  </si>
  <si>
    <t xml:space="preserve">24/11/2007</t>
  </si>
  <si>
    <t xml:space="preserve">R$11.821,04</t>
  </si>
  <si>
    <t xml:space="preserve">R$183,36</t>
  </si>
  <si>
    <t xml:space="preserve">R$19.370.014,34</t>
  </si>
  <si>
    <t xml:space="preserve">28/11/2007</t>
  </si>
  <si>
    <t xml:space="preserve">R$19.370,44</t>
  </si>
  <si>
    <t xml:space="preserve">R$283,68</t>
  </si>
  <si>
    <t xml:space="preserve">R$22.420.857,89</t>
  </si>
  <si>
    <t xml:space="preserve">01/12/2007</t>
  </si>
  <si>
    <t xml:space="preserve">R$22.081,88</t>
  </si>
  <si>
    <t xml:space="preserve">R$273,61</t>
  </si>
  <si>
    <t xml:space="preserve">R$35.717.127,33</t>
  </si>
  <si>
    <t xml:space="preserve">05/12/2007</t>
  </si>
  <si>
    <t xml:space="preserve">R$40.628.613,64</t>
  </si>
  <si>
    <t xml:space="preserve">R$21.261,85</t>
  </si>
  <si>
    <t xml:space="preserve">R$273,74</t>
  </si>
  <si>
    <t xml:space="preserve">GANHADOR DA MEGA SENA: SÃO PAULO/SP.</t>
  </si>
  <si>
    <t xml:space="preserve">08/12/2007</t>
  </si>
  <si>
    <t xml:space="preserve">R$35.599,69</t>
  </si>
  <si>
    <t xml:space="preserve">R$421,58</t>
  </si>
  <si>
    <t xml:space="preserve">R$1.495.186,73</t>
  </si>
  <si>
    <t xml:space="preserve">12/12/2007</t>
  </si>
  <si>
    <t xml:space="preserve">R$20.517,91</t>
  </si>
  <si>
    <t xml:space="preserve">R$262,88</t>
  </si>
  <si>
    <t xml:space="preserve">R$3.110.971,95</t>
  </si>
  <si>
    <t xml:space="preserve">15/12/2007</t>
  </si>
  <si>
    <t xml:space="preserve">R$5.077.029,42</t>
  </si>
  <si>
    <t xml:space="preserve">R$26.127,01</t>
  </si>
  <si>
    <t xml:space="preserve">R$263,59</t>
  </si>
  <si>
    <t xml:space="preserve">R$18.230.080,50</t>
  </si>
  <si>
    <t xml:space="preserve">Ganhador da Sena: Balneário Camboriu/sc.</t>
  </si>
  <si>
    <t xml:space="preserve">19/12/2007</t>
  </si>
  <si>
    <t xml:space="preserve">R$18.094,16</t>
  </si>
  <si>
    <t xml:space="preserve">R$244,61</t>
  </si>
  <si>
    <t xml:space="preserve">R$9.414.519,05</t>
  </si>
  <si>
    <t xml:space="preserve">R$11.000.000,00</t>
  </si>
  <si>
    <t xml:space="preserve">22/12/2007</t>
  </si>
  <si>
    <t xml:space="preserve">R$18.344,90</t>
  </si>
  <si>
    <t xml:space="preserve">R$243,81</t>
  </si>
  <si>
    <t xml:space="preserve">R$11.758.079,40</t>
  </si>
  <si>
    <t xml:space="preserve">31/12/2007</t>
  </si>
  <si>
    <t xml:space="preserve">R$9.393,97</t>
  </si>
  <si>
    <t xml:space="preserve">R$157,93</t>
  </si>
  <si>
    <t xml:space="preserve">R$15.785.742,06</t>
  </si>
  <si>
    <t xml:space="preserve">05/01/2008</t>
  </si>
  <si>
    <t xml:space="preserve">R$19.685.655,01</t>
  </si>
  <si>
    <t xml:space="preserve">R$11.370,01</t>
  </si>
  <si>
    <t xml:space="preserve">R$211,94</t>
  </si>
  <si>
    <t xml:space="preserve">GANHADOR DE 6 ACERTOS: Tenente Ananias/RN.</t>
  </si>
  <si>
    <t xml:space="preserve">09/01/2008</t>
  </si>
  <si>
    <t xml:space="preserve">R$11.712,22</t>
  </si>
  <si>
    <t xml:space="preserve">R$1.352.761,06</t>
  </si>
  <si>
    <t xml:space="preserve">12/01/2008</t>
  </si>
  <si>
    <t xml:space="preserve">R$17.289,83</t>
  </si>
  <si>
    <t xml:space="preserve">R$186,42</t>
  </si>
  <si>
    <t xml:space="preserve">R$12.508.366,08</t>
  </si>
  <si>
    <t xml:space="preserve">16/01/2008</t>
  </si>
  <si>
    <t xml:space="preserve">R$5.396,61</t>
  </si>
  <si>
    <t xml:space="preserve">R$120,33</t>
  </si>
  <si>
    <t xml:space="preserve">R$14.803.274,65</t>
  </si>
  <si>
    <t xml:space="preserve">19/01/2008</t>
  </si>
  <si>
    <t xml:space="preserve">RJ; RS</t>
  </si>
  <si>
    <t xml:space="preserve">R$8.699.137,89</t>
  </si>
  <si>
    <t xml:space="preserve">R$10.297,63</t>
  </si>
  <si>
    <t xml:space="preserve">R$159,79</t>
  </si>
  <si>
    <t xml:space="preserve">Ganhadores de 6 acertos: Rio de Janeiro/RJ e Porto Alegre/RS.</t>
  </si>
  <si>
    <t xml:space="preserve">23/01/2008</t>
  </si>
  <si>
    <t xml:space="preserve">R$36.413,65</t>
  </si>
  <si>
    <t xml:space="preserve">R$413,09</t>
  </si>
  <si>
    <t xml:space="preserve">R$1.274.477,80</t>
  </si>
  <si>
    <t xml:space="preserve">26/01/2008</t>
  </si>
  <si>
    <t xml:space="preserve">R$23.406,66</t>
  </si>
  <si>
    <t xml:space="preserve">R$282,18</t>
  </si>
  <si>
    <t xml:space="preserve">R$2.871.982,33</t>
  </si>
  <si>
    <t xml:space="preserve">30/01/2008</t>
  </si>
  <si>
    <t xml:space="preserve">R$9.216,78</t>
  </si>
  <si>
    <t xml:space="preserve">R$167,43</t>
  </si>
  <si>
    <t xml:space="preserve">R$11.264.174,77</t>
  </si>
  <si>
    <t xml:space="preserve">R$13.500.000,00</t>
  </si>
  <si>
    <t xml:space="preserve">02/02/2008</t>
  </si>
  <si>
    <t xml:space="preserve">R$11.635,12</t>
  </si>
  <si>
    <t xml:space="preserve">R$182,85</t>
  </si>
  <si>
    <t xml:space="preserve">R$13.483.573,63</t>
  </si>
  <si>
    <t xml:space="preserve">06/02/2008</t>
  </si>
  <si>
    <t xml:space="preserve">R$20.206,51</t>
  </si>
  <si>
    <t xml:space="preserve">R$219,51</t>
  </si>
  <si>
    <t xml:space="preserve">R$14.791.945,07</t>
  </si>
  <si>
    <t xml:space="preserve">09/02/2008</t>
  </si>
  <si>
    <t xml:space="preserve">R$20.890,58</t>
  </si>
  <si>
    <t xml:space="preserve">R$287,20</t>
  </si>
  <si>
    <t xml:space="preserve">R$17.460.716,85</t>
  </si>
  <si>
    <t xml:space="preserve">13/02/2008</t>
  </si>
  <si>
    <t xml:space="preserve">R$20.498.366,41</t>
  </si>
  <si>
    <t xml:space="preserve">R$14.963,79</t>
  </si>
  <si>
    <t xml:space="preserve">R$223,02</t>
  </si>
  <si>
    <t xml:space="preserve">R$1.100.000,00</t>
  </si>
  <si>
    <t xml:space="preserve">Ganhador de 6 acertos: Gravataí/RS.</t>
  </si>
  <si>
    <t xml:space="preserve">16/02/2008</t>
  </si>
  <si>
    <t xml:space="preserve">R$38.432,28</t>
  </si>
  <si>
    <t xml:space="preserve">R$302,39</t>
  </si>
  <si>
    <t xml:space="preserve">R$9.017.085,00</t>
  </si>
  <si>
    <t xml:space="preserve">20/02/2008</t>
  </si>
  <si>
    <t xml:space="preserve">R$9.974,16</t>
  </si>
  <si>
    <t xml:space="preserve">R$177,92</t>
  </si>
  <si>
    <t xml:space="preserve">R$11.076.748,93</t>
  </si>
  <si>
    <t xml:space="preserve">R$13.000.000,00</t>
  </si>
  <si>
    <t xml:space="preserve">23/02/2008</t>
  </si>
  <si>
    <t xml:space="preserve">R$15.029,80</t>
  </si>
  <si>
    <t xml:space="preserve">R$216,97</t>
  </si>
  <si>
    <t xml:space="preserve">R$13.496.546,46</t>
  </si>
  <si>
    <t xml:space="preserve">27/02/2008</t>
  </si>
  <si>
    <t xml:space="preserve">R$16.035.424,27</t>
  </si>
  <si>
    <t xml:space="preserve">R$15.271,45</t>
  </si>
  <si>
    <t xml:space="preserve">R$162,01</t>
  </si>
  <si>
    <t xml:space="preserve">GANHADOR DE 6 ACERTOS: TABOÃO DA SERRA/SP.</t>
  </si>
  <si>
    <t xml:space="preserve">01/03/2008</t>
  </si>
  <si>
    <t xml:space="preserve">R$27.177,27</t>
  </si>
  <si>
    <t xml:space="preserve">R$380,81</t>
  </si>
  <si>
    <t xml:space="preserve">R$1.426.806,41</t>
  </si>
  <si>
    <t xml:space="preserve">05/03/2008</t>
  </si>
  <si>
    <t xml:space="preserve">R$31.580,90</t>
  </si>
  <si>
    <t xml:space="preserve">R$330,08</t>
  </si>
  <si>
    <t xml:space="preserve">R$10.111.849,01</t>
  </si>
  <si>
    <t xml:space="preserve">08/03/2008</t>
  </si>
  <si>
    <t xml:space="preserve">R$30.111,09</t>
  </si>
  <si>
    <t xml:space="preserve">R$327,54</t>
  </si>
  <si>
    <t xml:space="preserve">R$12.377.708,64</t>
  </si>
  <si>
    <t xml:space="preserve">12/03/2008</t>
  </si>
  <si>
    <t xml:space="preserve">R$33.969,92</t>
  </si>
  <si>
    <t xml:space="preserve">R$357,67</t>
  </si>
  <si>
    <t xml:space="preserve">R$14.815.050,33</t>
  </si>
  <si>
    <t xml:space="preserve">15/03/2008</t>
  </si>
  <si>
    <t xml:space="preserve">R$11.947,28</t>
  </si>
  <si>
    <t xml:space="preserve">R$221,31</t>
  </si>
  <si>
    <t xml:space="preserve">R$17.574.870,51</t>
  </si>
  <si>
    <t xml:space="preserve">19/03/2008</t>
  </si>
  <si>
    <t xml:space="preserve">R$20.509.951,37</t>
  </si>
  <si>
    <t xml:space="preserve">R$23.622,38</t>
  </si>
  <si>
    <t xml:space="preserve">R$331,79</t>
  </si>
  <si>
    <t xml:space="preserve">GANHADOR DA SENA: UBERLÂNDIA/MG</t>
  </si>
  <si>
    <t xml:space="preserve">22/03/2008</t>
  </si>
  <si>
    <t xml:space="preserve">R$7.848,36</t>
  </si>
  <si>
    <t xml:space="preserve">R$121,95</t>
  </si>
  <si>
    <t xml:space="preserve">R$9.334.367,34</t>
  </si>
  <si>
    <t xml:space="preserve">26/03/2008</t>
  </si>
  <si>
    <t xml:space="preserve">R$5.678.963,92</t>
  </si>
  <si>
    <t xml:space="preserve">R$12.848,01</t>
  </si>
  <si>
    <t xml:space="preserve">R$187,11</t>
  </si>
  <si>
    <t xml:space="preserve">GANHADORES DE 6 ACERTOS: SANTA LUZIA/MG e SÃO JOSÉ DO RIO PRETO/SP.</t>
  </si>
  <si>
    <t xml:space="preserve">29/03/2008</t>
  </si>
  <si>
    <t xml:space="preserve">R$1.385.109,95</t>
  </si>
  <si>
    <t xml:space="preserve">R$20.828,72</t>
  </si>
  <si>
    <t xml:space="preserve">R$320,70</t>
  </si>
  <si>
    <t xml:space="preserve">GANHADOR DE 6 ACERTOS: GUARULHOS/SP.</t>
  </si>
  <si>
    <t xml:space="preserve">02/04/2008</t>
  </si>
  <si>
    <t xml:space="preserve">R$30.247,28</t>
  </si>
  <si>
    <t xml:space="preserve">R$328,48</t>
  </si>
  <si>
    <t xml:space="preserve">R$1.270.385,50</t>
  </si>
  <si>
    <t xml:space="preserve">05/04/2008</t>
  </si>
  <si>
    <t xml:space="preserve">BA; RJ; SP</t>
  </si>
  <si>
    <t xml:space="preserve">R$978.205,14</t>
  </si>
  <si>
    <t xml:space="preserve">R$3.535,28</t>
  </si>
  <si>
    <t xml:space="preserve">R$109,09</t>
  </si>
  <si>
    <t xml:space="preserve">GANHADORES DA SENA: SÃO PAULO/SP, FEIRA DE SANTANA/BA, RIO DE JANEIRO/RJ.</t>
  </si>
  <si>
    <t xml:space="preserve">09/04/2008</t>
  </si>
  <si>
    <t xml:space="preserve">R$5.376,40</t>
  </si>
  <si>
    <t xml:space="preserve">R$103,93</t>
  </si>
  <si>
    <t xml:space="preserve">R$6.756.745,86</t>
  </si>
  <si>
    <t xml:space="preserve">R$8.500.000,00</t>
  </si>
  <si>
    <t xml:space="preserve">12/04/2008</t>
  </si>
  <si>
    <t xml:space="preserve">R$15.299,06</t>
  </si>
  <si>
    <t xml:space="preserve">R$230,18</t>
  </si>
  <si>
    <t xml:space="preserve">R$8.711.201,48</t>
  </si>
  <si>
    <t xml:space="preserve">16/04/2008</t>
  </si>
  <si>
    <t xml:space="preserve">R$15.330,15</t>
  </si>
  <si>
    <t xml:space="preserve">R$172,63</t>
  </si>
  <si>
    <t xml:space="preserve">R$10.884.250,08</t>
  </si>
  <si>
    <t xml:space="preserve">19/04/2008</t>
  </si>
  <si>
    <t xml:space="preserve">R$13.272.508,39</t>
  </si>
  <si>
    <t xml:space="preserve">R$33.285,83</t>
  </si>
  <si>
    <t xml:space="preserve">R$384,00</t>
  </si>
  <si>
    <t xml:space="preserve">GANHADOR DE 6 ACERTOS: PORTO ALEGRE/RS.</t>
  </si>
  <si>
    <t xml:space="preserve">23/04/2008</t>
  </si>
  <si>
    <t xml:space="preserve">R$20.269,81</t>
  </si>
  <si>
    <t xml:space="preserve">R$229,99</t>
  </si>
  <si>
    <t xml:space="preserve">R$1.064.165,04</t>
  </si>
  <si>
    <t xml:space="preserve">R$2.300.000,00</t>
  </si>
  <si>
    <t xml:space="preserve">26/04/2008</t>
  </si>
  <si>
    <t xml:space="preserve">R$7.097,23</t>
  </si>
  <si>
    <t xml:space="preserve">R$144,77</t>
  </si>
  <si>
    <t xml:space="preserve">R$9.139.860,10</t>
  </si>
  <si>
    <t xml:space="preserve">30/04/2008</t>
  </si>
  <si>
    <t xml:space="preserve">R$18.625,79</t>
  </si>
  <si>
    <t xml:space="preserve">R$288,81</t>
  </si>
  <si>
    <t xml:space="preserve">R$11.128.162,61</t>
  </si>
  <si>
    <t xml:space="preserve">03/05/2008</t>
  </si>
  <si>
    <t xml:space="preserve">R$21.206,52</t>
  </si>
  <si>
    <t xml:space="preserve">R$265,26</t>
  </si>
  <si>
    <t xml:space="preserve">R$13.169.290,24</t>
  </si>
  <si>
    <t xml:space="preserve">07/05/2008</t>
  </si>
  <si>
    <t xml:space="preserve">R$15.768,06</t>
  </si>
  <si>
    <t xml:space="preserve">R$192,74</t>
  </si>
  <si>
    <t xml:space="preserve">R$15.680.353,75</t>
  </si>
  <si>
    <t xml:space="preserve">10/05/2008</t>
  </si>
  <si>
    <t xml:space="preserve">R$13.308,65</t>
  </si>
  <si>
    <t xml:space="preserve">R$172,41</t>
  </si>
  <si>
    <t xml:space="preserve">R$18.568.330,65</t>
  </si>
  <si>
    <t xml:space="preserve">14/05/2008</t>
  </si>
  <si>
    <t xml:space="preserve">R$21.823.614,22</t>
  </si>
  <si>
    <t xml:space="preserve">R$22.684,90</t>
  </si>
  <si>
    <t xml:space="preserve">R$269,67</t>
  </si>
  <si>
    <t xml:space="preserve">GANHADOR DA SENA: PALMARES/PE.</t>
  </si>
  <si>
    <t xml:space="preserve">17/05/2008</t>
  </si>
  <si>
    <t xml:space="preserve">GO; PE; SP</t>
  </si>
  <si>
    <t xml:space="preserve">R$3.712.467,76</t>
  </si>
  <si>
    <t xml:space="preserve">R$10.992,48</t>
  </si>
  <si>
    <t xml:space="preserve">R$193,23</t>
  </si>
  <si>
    <t xml:space="preserve">GANHADORES DE 6 ACERTOS: CRISTALINA/GO, RECIFE/PE, SÃO PAULO/SP.</t>
  </si>
  <si>
    <t xml:space="preserve">21/05/2008</t>
  </si>
  <si>
    <t xml:space="preserve">R$11.508,75</t>
  </si>
  <si>
    <t xml:space="preserve">R$173,02</t>
  </si>
  <si>
    <t xml:space="preserve">R$1.329.260,36</t>
  </si>
  <si>
    <t xml:space="preserve">R$2.700.000,00</t>
  </si>
  <si>
    <t xml:space="preserve">24/05/2008</t>
  </si>
  <si>
    <t xml:space="preserve">PE; SC; SP</t>
  </si>
  <si>
    <t xml:space="preserve">R$912.435,75</t>
  </si>
  <si>
    <t xml:space="preserve">R$1.112,86</t>
  </si>
  <si>
    <t xml:space="preserve">R$197,11</t>
  </si>
  <si>
    <t xml:space="preserve">GANHADORES DE 6 ACERTOS: OSASCO/SP, BLUMENAU/SC E RECIFE/PE.</t>
  </si>
  <si>
    <t xml:space="preserve">28/05/2008</t>
  </si>
  <si>
    <t xml:space="preserve">R$19.679,25</t>
  </si>
  <si>
    <t xml:space="preserve">R$311,55</t>
  </si>
  <si>
    <t xml:space="preserve">R$1.239.792,94</t>
  </si>
  <si>
    <t xml:space="preserve">31/05/2008</t>
  </si>
  <si>
    <t xml:space="preserve">R$10.307,56</t>
  </si>
  <si>
    <t xml:space="preserve">R$8.440.373,33</t>
  </si>
  <si>
    <t xml:space="preserve">04/06/2008</t>
  </si>
  <si>
    <t xml:space="preserve">R$25.191,37</t>
  </si>
  <si>
    <t xml:space="preserve">R$306,26</t>
  </si>
  <si>
    <t xml:space="preserve">R$10.865.043,23</t>
  </si>
  <si>
    <t xml:space="preserve">07/06/2008</t>
  </si>
  <si>
    <t xml:space="preserve">R$21.152,88</t>
  </si>
  <si>
    <t xml:space="preserve">R$244,77</t>
  </si>
  <si>
    <t xml:space="preserve">R$13.604.340,57</t>
  </si>
  <si>
    <t xml:space="preserve">11/06/2008</t>
  </si>
  <si>
    <t xml:space="preserve">R$16.584.111,63</t>
  </si>
  <si>
    <t xml:space="preserve">R$3.767,10</t>
  </si>
  <si>
    <t xml:space="preserve">R$69,55</t>
  </si>
  <si>
    <t xml:space="preserve">Ganhador de seis acertos: São Paulo/SP.</t>
  </si>
  <si>
    <t xml:space="preserve">14/06/2008</t>
  </si>
  <si>
    <t xml:space="preserve">R$13.220,26</t>
  </si>
  <si>
    <t xml:space="preserve">R$197,61</t>
  </si>
  <si>
    <t xml:space="preserve">R$1.596.346,74</t>
  </si>
  <si>
    <t xml:space="preserve">18/06/2008</t>
  </si>
  <si>
    <t xml:space="preserve">R$23.261,38</t>
  </si>
  <si>
    <t xml:space="preserve">R$263,05</t>
  </si>
  <si>
    <t xml:space="preserve">R$11.484.484,11</t>
  </si>
  <si>
    <t xml:space="preserve">21/06/2008</t>
  </si>
  <si>
    <t xml:space="preserve">R$16.054,57</t>
  </si>
  <si>
    <t xml:space="preserve">R$206,64</t>
  </si>
  <si>
    <t xml:space="preserve">R$13.956.888,71</t>
  </si>
  <si>
    <t xml:space="preserve">25/06/2008</t>
  </si>
  <si>
    <t xml:space="preserve">R$20.200,29</t>
  </si>
  <si>
    <t xml:space="preserve">R$300,53</t>
  </si>
  <si>
    <t xml:space="preserve">R$16.572.825,97</t>
  </si>
  <si>
    <t xml:space="preserve">R$19.000.000,00</t>
  </si>
  <si>
    <t xml:space="preserve">28/06/2008</t>
  </si>
  <si>
    <t xml:space="preserve">R$14.102,62</t>
  </si>
  <si>
    <t xml:space="preserve">R$207,15</t>
  </si>
  <si>
    <t xml:space="preserve">R$19.657.775,24</t>
  </si>
  <si>
    <t xml:space="preserve">R$23.000.000,00</t>
  </si>
  <si>
    <t xml:space="preserve">02/07/2008</t>
  </si>
  <si>
    <t xml:space="preserve">R$24.038.180,79</t>
  </si>
  <si>
    <t xml:space="preserve">R$10.258,56</t>
  </si>
  <si>
    <t xml:space="preserve">R$252,07</t>
  </si>
  <si>
    <t xml:space="preserve">Ganhador de seis acertos: Ibirama/SC.</t>
  </si>
  <si>
    <t xml:space="preserve">05/07/2008</t>
  </si>
  <si>
    <t xml:space="preserve">R$26.313,69</t>
  </si>
  <si>
    <t xml:space="preserve">R$378,33</t>
  </si>
  <si>
    <t xml:space="preserve">R$11.966.686,94</t>
  </si>
  <si>
    <t xml:space="preserve">09/07/2008</t>
  </si>
  <si>
    <t xml:space="preserve">R$26.215,60</t>
  </si>
  <si>
    <t xml:space="preserve">R$297,54</t>
  </si>
  <si>
    <t xml:space="preserve">R$14.489.938,27</t>
  </si>
  <si>
    <t xml:space="preserve">12/07/2008</t>
  </si>
  <si>
    <t xml:space="preserve">R$15.043,78</t>
  </si>
  <si>
    <t xml:space="preserve">R$226,99</t>
  </si>
  <si>
    <t xml:space="preserve">R$17.649.132,28</t>
  </si>
  <si>
    <t xml:space="preserve">16/07/2008</t>
  </si>
  <si>
    <t xml:space="preserve">R$10.707,60</t>
  </si>
  <si>
    <t xml:space="preserve">R$189,19</t>
  </si>
  <si>
    <t xml:space="preserve">R$21.265.623,87</t>
  </si>
  <si>
    <t xml:space="preserve">R$25.000.000,00</t>
  </si>
  <si>
    <t xml:space="preserve">19/07/2008</t>
  </si>
  <si>
    <t xml:space="preserve">R$31.767,36</t>
  </si>
  <si>
    <t xml:space="preserve">R$337,36</t>
  </si>
  <si>
    <t xml:space="preserve">R$25.323.903,99</t>
  </si>
  <si>
    <t xml:space="preserve">23/07/2008</t>
  </si>
  <si>
    <t xml:space="preserve">R$23.437,38</t>
  </si>
  <si>
    <t xml:space="preserve">R$295,93</t>
  </si>
  <si>
    <t xml:space="preserve">R$44.005.353,43</t>
  </si>
  <si>
    <t xml:space="preserve">R$52.000.000,00</t>
  </si>
  <si>
    <t xml:space="preserve">26/07/2008</t>
  </si>
  <si>
    <t xml:space="preserve">R$26.586.140,51</t>
  </si>
  <si>
    <t xml:space="preserve">R$18.062,91</t>
  </si>
  <si>
    <t xml:space="preserve">R$251,08</t>
  </si>
  <si>
    <t xml:space="preserve">R$2.000.000,00</t>
  </si>
  <si>
    <t xml:space="preserve">Ganhadores da Sena: Belo Horizonte/MG e Ji-Paraná/RO.</t>
  </si>
  <si>
    <t xml:space="preserve">30/07/2008</t>
  </si>
  <si>
    <t xml:space="preserve">R$26.823,95</t>
  </si>
  <si>
    <t xml:space="preserve">R$318,91</t>
  </si>
  <si>
    <t xml:space="preserve">R$1.689.908,71</t>
  </si>
  <si>
    <t xml:space="preserve">02/08/2008</t>
  </si>
  <si>
    <t xml:space="preserve">R$3.731,21</t>
  </si>
  <si>
    <t xml:space="preserve">R$93,17</t>
  </si>
  <si>
    <t xml:space="preserve">R$3.844.685,43</t>
  </si>
  <si>
    <t xml:space="preserve">06/08/2008</t>
  </si>
  <si>
    <t xml:space="preserve">R$18.539,43</t>
  </si>
  <si>
    <t xml:space="preserve">R$246,18</t>
  </si>
  <si>
    <t xml:space="preserve">R$6.166.992,80</t>
  </si>
  <si>
    <t xml:space="preserve">R$331.758,21</t>
  </si>
  <si>
    <t xml:space="preserve">09/08/2008</t>
  </si>
  <si>
    <t xml:space="preserve">R$31.786,28</t>
  </si>
  <si>
    <t xml:space="preserve">R$389,25</t>
  </si>
  <si>
    <t xml:space="preserve">R$21.402.602,80</t>
  </si>
  <si>
    <t xml:space="preserve">R$0,01</t>
  </si>
  <si>
    <t xml:space="preserve">R$724.904,25</t>
  </si>
  <si>
    <t xml:space="preserve">13/08/2008</t>
  </si>
  <si>
    <t xml:space="preserve">R$24.991,48</t>
  </si>
  <si>
    <t xml:space="preserve">R$279,73</t>
  </si>
  <si>
    <t xml:space="preserve">R$24.901.410,33</t>
  </si>
  <si>
    <t xml:space="preserve">R$1.224.733,92</t>
  </si>
  <si>
    <t xml:space="preserve">16/08/2008</t>
  </si>
  <si>
    <t xml:space="preserve">SC; SP</t>
  </si>
  <si>
    <t xml:space="preserve">R$14.458.257,67</t>
  </si>
  <si>
    <t xml:space="preserve">R$13.209,87</t>
  </si>
  <si>
    <t xml:space="preserve">R$183,15</t>
  </si>
  <si>
    <t xml:space="preserve">R$1.798.320,37</t>
  </si>
  <si>
    <t xml:space="preserve">Ganhadores da Sena: Barretos/SP e Joinville/SC.</t>
  </si>
  <si>
    <t xml:space="preserve">20/08/2008</t>
  </si>
  <si>
    <t xml:space="preserve">R$22.382,42</t>
  </si>
  <si>
    <t xml:space="preserve">R$279,52</t>
  </si>
  <si>
    <t xml:space="preserve">R$1.649.230,73</t>
  </si>
  <si>
    <t xml:space="preserve">R$3.600.000,00</t>
  </si>
  <si>
    <t xml:space="preserve">R$2.033.924,78</t>
  </si>
  <si>
    <t xml:space="preserve">23/08/2008</t>
  </si>
  <si>
    <t xml:space="preserve">R$27.708,98</t>
  </si>
  <si>
    <t xml:space="preserve">R$244,89</t>
  </si>
  <si>
    <t xml:space="preserve">R$3.690.945,05</t>
  </si>
  <si>
    <t xml:space="preserve">R$2.325.598,27</t>
  </si>
  <si>
    <t xml:space="preserve">27/08/2008</t>
  </si>
  <si>
    <t xml:space="preserve">R$11.227,56</t>
  </si>
  <si>
    <t xml:space="preserve">R$173,09</t>
  </si>
  <si>
    <t xml:space="preserve">R$14.203.313,76</t>
  </si>
  <si>
    <t xml:space="preserve">R$2.629.924,18</t>
  </si>
  <si>
    <t xml:space="preserve">30/08/2008</t>
  </si>
  <si>
    <t xml:space="preserve">R$42.451,22</t>
  </si>
  <si>
    <t xml:space="preserve">R$461,55</t>
  </si>
  <si>
    <t xml:space="preserve">R$17.409.498,46</t>
  </si>
  <si>
    <t xml:space="preserve">R$3.087.950,58</t>
  </si>
  <si>
    <t xml:space="preserve">03/09/2008</t>
  </si>
  <si>
    <t xml:space="preserve">R$22.084,42</t>
  </si>
  <si>
    <t xml:space="preserve">R$271,60</t>
  </si>
  <si>
    <t xml:space="preserve">R$20.948.817,14</t>
  </si>
  <si>
    <t xml:space="preserve">R$3.593.567,54</t>
  </si>
  <si>
    <t xml:space="preserve">06/09/2008</t>
  </si>
  <si>
    <t xml:space="preserve">R$24.880.988,57</t>
  </si>
  <si>
    <t xml:space="preserve">R$12.267,86</t>
  </si>
  <si>
    <t xml:space="preserve">R$213,14</t>
  </si>
  <si>
    <t xml:space="preserve">R$4.155.306,33</t>
  </si>
  <si>
    <t xml:space="preserve">GANHADOR DE 6 ACERTOS: LAVRAS/MG.</t>
  </si>
  <si>
    <t xml:space="preserve">10/09/2008</t>
  </si>
  <si>
    <t xml:space="preserve">R$1.609.524,90</t>
  </si>
  <si>
    <t xml:space="preserve">R$10.159,79</t>
  </si>
  <si>
    <t xml:space="preserve">R$153,45</t>
  </si>
  <si>
    <t xml:space="preserve">R$4.385.238,47</t>
  </si>
  <si>
    <t xml:space="preserve">GANHADOR DE 6 ACERTOS: CABO DE SANTO AGOSTINHO/PE.</t>
  </si>
  <si>
    <t xml:space="preserve">13/09/2008</t>
  </si>
  <si>
    <t xml:space="preserve">R$27.732,08</t>
  </si>
  <si>
    <t xml:space="preserve">R$389,79</t>
  </si>
  <si>
    <t xml:space="preserve">R$10.552.054,80</t>
  </si>
  <si>
    <t xml:space="preserve">R$4.633.367,62</t>
  </si>
  <si>
    <t xml:space="preserve">17/09/2008</t>
  </si>
  <si>
    <t xml:space="preserve">R$12.989.451,54</t>
  </si>
  <si>
    <t xml:space="preserve">R$19.748,63</t>
  </si>
  <si>
    <t xml:space="preserve">R$225,37</t>
  </si>
  <si>
    <t xml:space="preserve">R$4.981.567,17</t>
  </si>
  <si>
    <t xml:space="preserve">GANHADOR DE 6 ACERTOS: RIO DE JANEIRO/RJ.</t>
  </si>
  <si>
    <t xml:space="preserve">20/09/2008</t>
  </si>
  <si>
    <t xml:space="preserve">R$1.675.260,09</t>
  </si>
  <si>
    <t xml:space="preserve">R$6.686,96</t>
  </si>
  <si>
    <t xml:space="preserve">R$153,23</t>
  </si>
  <si>
    <t xml:space="preserve">R$5.220.890,05</t>
  </si>
  <si>
    <t xml:space="preserve">GANHADOR DE 6 ACERTOS: JUIZ DE FORA/MG.</t>
  </si>
  <si>
    <t xml:space="preserve">24/09/2008</t>
  </si>
  <si>
    <t xml:space="preserve">R$17.494,40</t>
  </si>
  <si>
    <t xml:space="preserve">R$279,04</t>
  </si>
  <si>
    <t xml:space="preserve">R$1.482.420,65</t>
  </si>
  <si>
    <t xml:space="preserve">R$5.432.664,44</t>
  </si>
  <si>
    <t xml:space="preserve">27/09/2008</t>
  </si>
  <si>
    <t xml:space="preserve">R$6.334,47</t>
  </si>
  <si>
    <t xml:space="preserve">R$124,00</t>
  </si>
  <si>
    <t xml:space="preserve">R$3.337.751,69</t>
  </si>
  <si>
    <t xml:space="preserve">R$5.697.711,74</t>
  </si>
  <si>
    <t xml:space="preserve">01/10/2008</t>
  </si>
  <si>
    <t xml:space="preserve">PA; SP</t>
  </si>
  <si>
    <t xml:space="preserve">R$2.591.825,61</t>
  </si>
  <si>
    <t xml:space="preserve">R$9.027,57</t>
  </si>
  <si>
    <t xml:space="preserve">R$197,14</t>
  </si>
  <si>
    <t xml:space="preserve">R$5.961.411,68</t>
  </si>
  <si>
    <t xml:space="preserve">GANHADORES DE 6 ACERTOS: BELÉM/PA e BARUERI/SP.</t>
  </si>
  <si>
    <t xml:space="preserve">04/10/2008</t>
  </si>
  <si>
    <t xml:space="preserve">R$18.487,52</t>
  </si>
  <si>
    <t xml:space="preserve">R$241,02</t>
  </si>
  <si>
    <t xml:space="preserve">R$7.920.807,17</t>
  </si>
  <si>
    <t xml:space="preserve">R$6.258.185,06</t>
  </si>
  <si>
    <t xml:space="preserve">08/10/2008</t>
  </si>
  <si>
    <t xml:space="preserve">R$10.999,46</t>
  </si>
  <si>
    <t xml:space="preserve">R$319,60</t>
  </si>
  <si>
    <t xml:space="preserve">R$10.210.432,01</t>
  </si>
  <si>
    <t xml:space="preserve">R$12.500.000,00</t>
  </si>
  <si>
    <t xml:space="preserve">R$6.585.274,33</t>
  </si>
  <si>
    <t xml:space="preserve">11/10/2008</t>
  </si>
  <si>
    <t xml:space="preserve">R$34.250,51</t>
  </si>
  <si>
    <t xml:space="preserve">R$392,21</t>
  </si>
  <si>
    <t xml:space="preserve">R$12.923.432,48</t>
  </si>
  <si>
    <t xml:space="preserve">R$6.972.845,83</t>
  </si>
  <si>
    <t xml:space="preserve">15/10/2008</t>
  </si>
  <si>
    <t xml:space="preserve">R$15.668.367,92</t>
  </si>
  <si>
    <t xml:space="preserve">R$8.371,40</t>
  </si>
  <si>
    <t xml:space="preserve">R$147,17</t>
  </si>
  <si>
    <t xml:space="preserve">R$1.600.000,00</t>
  </si>
  <si>
    <t xml:space="preserve">R$7.364.979,48</t>
  </si>
  <si>
    <t xml:space="preserve">Ganhador de seis acertos: Bertioga/SP.</t>
  </si>
  <si>
    <t xml:space="preserve">18/10/2008</t>
  </si>
  <si>
    <t xml:space="preserve">R$13.760,77</t>
  </si>
  <si>
    <t xml:space="preserve">R$8.859.049,04</t>
  </si>
  <si>
    <t xml:space="preserve">R$7.600.361,16</t>
  </si>
  <si>
    <t xml:space="preserve">22/10/2008</t>
  </si>
  <si>
    <t xml:space="preserve">R$11.111,50</t>
  </si>
  <si>
    <t xml:space="preserve">R$150,81</t>
  </si>
  <si>
    <t xml:space="preserve">R$11.110.589,81</t>
  </si>
  <si>
    <t xml:space="preserve">R$7.922.009,86</t>
  </si>
  <si>
    <t xml:space="preserve">25/10/2008</t>
  </si>
  <si>
    <t xml:space="preserve">R$13.814.409,97</t>
  </si>
  <si>
    <t xml:space="preserve">R$8.435,56</t>
  </si>
  <si>
    <t xml:space="preserve">R$154,89</t>
  </si>
  <si>
    <t xml:space="preserve">R$8.308.269,91</t>
  </si>
  <si>
    <t xml:space="preserve">GANHADOR DE 6 ACERTOS: JOÃO PESSOA/PB.</t>
  </si>
  <si>
    <t xml:space="preserve">29/10/2008</t>
  </si>
  <si>
    <t xml:space="preserve">R$21.980,86</t>
  </si>
  <si>
    <t xml:space="preserve">R$274,29</t>
  </si>
  <si>
    <t xml:space="preserve">R$1.457.677,69</t>
  </si>
  <si>
    <t xml:space="preserve">R$8.516.509,59</t>
  </si>
  <si>
    <t xml:space="preserve">01/11/2008</t>
  </si>
  <si>
    <t xml:space="preserve">R$29.464,79</t>
  </si>
  <si>
    <t xml:space="preserve">R$247,31</t>
  </si>
  <si>
    <t xml:space="preserve">R$3.357.381,15</t>
  </si>
  <si>
    <t xml:space="preserve">R$8.787.895,81</t>
  </si>
  <si>
    <t xml:space="preserve">05/11/2008</t>
  </si>
  <si>
    <t xml:space="preserve">R$14.084,12</t>
  </si>
  <si>
    <t xml:space="preserve">R$177,09</t>
  </si>
  <si>
    <t xml:space="preserve">R$11.835.965,99</t>
  </si>
  <si>
    <t xml:space="preserve">R$9.073.284,66</t>
  </si>
  <si>
    <t xml:space="preserve">08/11/2008</t>
  </si>
  <si>
    <t xml:space="preserve">R$27.920,81</t>
  </si>
  <si>
    <t xml:space="preserve">R$336,54</t>
  </si>
  <si>
    <t xml:space="preserve">R$14.716.218,54</t>
  </si>
  <si>
    <t xml:space="preserve">R$9.484.749,33</t>
  </si>
  <si>
    <t xml:space="preserve">12/11/2008</t>
  </si>
  <si>
    <t xml:space="preserve">R$17.819.642,97</t>
  </si>
  <si>
    <t xml:space="preserve">R$36.624,26</t>
  </si>
  <si>
    <t xml:space="preserve">R$396,69</t>
  </si>
  <si>
    <t xml:space="preserve">R$9.928.095,69</t>
  </si>
  <si>
    <t xml:space="preserve">GANHADOR DE 6 ACERTOS: BELO HORIZONTE/MG.</t>
  </si>
  <si>
    <t xml:space="preserve">16/11/2008</t>
  </si>
  <si>
    <t xml:space="preserve">R$31.512,19</t>
  </si>
  <si>
    <t xml:space="preserve">R$439,70</t>
  </si>
  <si>
    <t xml:space="preserve">R$1.219.024,12</t>
  </si>
  <si>
    <t xml:space="preserve">R$10.102.242,01</t>
  </si>
  <si>
    <t xml:space="preserve">19/11/2008</t>
  </si>
  <si>
    <t xml:space="preserve">R$14.980,07</t>
  </si>
  <si>
    <t xml:space="preserve">R$197,23</t>
  </si>
  <si>
    <t xml:space="preserve">R$3.012.691,11</t>
  </si>
  <si>
    <t xml:space="preserve">R$10.358.480,18</t>
  </si>
  <si>
    <t xml:space="preserve">22/11/2008</t>
  </si>
  <si>
    <t xml:space="preserve">R$48.677,51</t>
  </si>
  <si>
    <t xml:space="preserve">R$411,31</t>
  </si>
  <si>
    <t xml:space="preserve">R$12.026.299,10</t>
  </si>
  <si>
    <t xml:space="preserve">R$10.653.107,22</t>
  </si>
  <si>
    <t xml:space="preserve">26/11/2008</t>
  </si>
  <si>
    <t xml:space="preserve">R$44.097,09</t>
  </si>
  <si>
    <t xml:space="preserve">R$404,67</t>
  </si>
  <si>
    <t xml:space="preserve">R$14.788.169,28</t>
  </si>
  <si>
    <t xml:space="preserve">R$11.047.660,11</t>
  </si>
  <si>
    <t xml:space="preserve">29/11/2008</t>
  </si>
  <si>
    <t xml:space="preserve">R$19.600,34</t>
  </si>
  <si>
    <t xml:space="preserve">R$250,73</t>
  </si>
  <si>
    <t xml:space="preserve">R$18.109.910,47</t>
  </si>
  <si>
    <t xml:space="preserve">R$11.522.194,58</t>
  </si>
  <si>
    <t xml:space="preserve">03/12/2008</t>
  </si>
  <si>
    <t xml:space="preserve">R$19.031,09</t>
  </si>
  <si>
    <t xml:space="preserve">R$304,85</t>
  </si>
  <si>
    <t xml:space="preserve">R$22.036.323,69</t>
  </si>
  <si>
    <t xml:space="preserve">R$12.083.110,77</t>
  </si>
  <si>
    <t xml:space="preserve">06/12/2008</t>
  </si>
  <si>
    <t xml:space="preserve">R$39.415,99</t>
  </si>
  <si>
    <t xml:space="preserve">R$477,07</t>
  </si>
  <si>
    <t xml:space="preserve">R$26.828.477,85</t>
  </si>
  <si>
    <t xml:space="preserve">R$32.000.000,00</t>
  </si>
  <si>
    <t xml:space="preserve">R$12.767.704,24</t>
  </si>
  <si>
    <t xml:space="preserve">10/12/2008</t>
  </si>
  <si>
    <t xml:space="preserve">R$32.271.347,11</t>
  </si>
  <si>
    <t xml:space="preserve">R$11.277,48</t>
  </si>
  <si>
    <t xml:space="preserve">R$164,34</t>
  </si>
  <si>
    <t xml:space="preserve">R$13.545.257,02</t>
  </si>
  <si>
    <t xml:space="preserve">GANHADOR DE 6 ACERTOS: DUQUE DE CAXIAS/RJ.</t>
  </si>
  <si>
    <t xml:space="preserve">13/12/2008</t>
  </si>
  <si>
    <t xml:space="preserve">R$12.938,02</t>
  </si>
  <si>
    <t xml:space="preserve">R$212,33</t>
  </si>
  <si>
    <t xml:space="preserve">R$15.656.941,29</t>
  </si>
  <si>
    <t xml:space="preserve">R$13.964.040,25</t>
  </si>
  <si>
    <t xml:space="preserve">17/12/2008</t>
  </si>
  <si>
    <t xml:space="preserve">R$19.067.463,74</t>
  </si>
  <si>
    <t xml:space="preserve">R$31.380,11</t>
  </si>
  <si>
    <t xml:space="preserve">R$336,14</t>
  </si>
  <si>
    <t xml:space="preserve">R$14.451.257,75</t>
  </si>
  <si>
    <t xml:space="preserve">Ganhador de 6 acertos: São José do Rio Preto/SP.</t>
  </si>
  <si>
    <t xml:space="preserve">20/12/2008</t>
  </si>
  <si>
    <t xml:space="preserve">R$22.063,82</t>
  </si>
  <si>
    <t xml:space="preserve">R$293,63</t>
  </si>
  <si>
    <t xml:space="preserve">R$1.991.549,91</t>
  </si>
  <si>
    <t xml:space="preserve">R$14.735.764,89</t>
  </si>
  <si>
    <t xml:space="preserve">24/12/2008</t>
  </si>
  <si>
    <t xml:space="preserve">R$13.662,29</t>
  </si>
  <si>
    <t xml:space="preserve">R$175,95</t>
  </si>
  <si>
    <t xml:space="preserve">R$4.080.441,78</t>
  </si>
  <si>
    <t xml:space="preserve">R$15.034.178,04</t>
  </si>
  <si>
    <t xml:space="preserve">27/12/2008</t>
  </si>
  <si>
    <t xml:space="preserve">R$19.548,37</t>
  </si>
  <si>
    <t xml:space="preserve">R$257,27</t>
  </si>
  <si>
    <t xml:space="preserve">R$29.557.027,04</t>
  </si>
  <si>
    <t xml:space="preserve">R$35.000.000,00</t>
  </si>
  <si>
    <t xml:space="preserve">31/12/2008</t>
  </si>
  <si>
    <t xml:space="preserve">R$14.028,04</t>
  </si>
  <si>
    <t xml:space="preserve">R$212,88</t>
  </si>
  <si>
    <t xml:space="preserve">R$37.025.110,94</t>
  </si>
  <si>
    <t xml:space="preserve">R$1.066.869,15</t>
  </si>
  <si>
    <t xml:space="preserve">03/01/2009</t>
  </si>
  <si>
    <t xml:space="preserve">R$44.550.370,27</t>
  </si>
  <si>
    <t xml:space="preserve">R$23.079,89</t>
  </si>
  <si>
    <t xml:space="preserve">R$349,07</t>
  </si>
  <si>
    <t xml:space="preserve">R$2.141.906,21</t>
  </si>
  <si>
    <t xml:space="preserve">GANHADOR DE 6 ACERTOS: SÃO JOÃO DEL REI/MG.</t>
  </si>
  <si>
    <t xml:space="preserve">07/01/2009</t>
  </si>
  <si>
    <t xml:space="preserve">R$41.327,23</t>
  </si>
  <si>
    <t xml:space="preserve">R$359,02</t>
  </si>
  <si>
    <t xml:space="preserve">R$2.055.486,11</t>
  </si>
  <si>
    <t xml:space="preserve">R$19.059.299,00</t>
  </si>
  <si>
    <t xml:space="preserve">R$4.300.000,00</t>
  </si>
  <si>
    <t xml:space="preserve">R$2.435.547,10</t>
  </si>
  <si>
    <t xml:space="preserve">10/01/2009</t>
  </si>
  <si>
    <t xml:space="preserve">R$16.894,25</t>
  </si>
  <si>
    <t xml:space="preserve">R$248,54</t>
  </si>
  <si>
    <t xml:space="preserve">R$4.545.165,59</t>
  </si>
  <si>
    <t xml:space="preserve">R$7.500.000,00</t>
  </si>
  <si>
    <t xml:space="preserve">R$2.791.215,61</t>
  </si>
  <si>
    <t xml:space="preserve">14/01/2009</t>
  </si>
  <si>
    <t xml:space="preserve">R$15.555,92</t>
  </si>
  <si>
    <t xml:space="preserve">R$225,21</t>
  </si>
  <si>
    <t xml:space="preserve">R$21.306.617,42</t>
  </si>
  <si>
    <t xml:space="preserve">R$3.184.207,15</t>
  </si>
  <si>
    <t xml:space="preserve">17/01/2009</t>
  </si>
  <si>
    <t xml:space="preserve">R$31.738,53</t>
  </si>
  <si>
    <t xml:space="preserve">R$325,73</t>
  </si>
  <si>
    <t xml:space="preserve">R$25.165.354,54</t>
  </si>
  <si>
    <t xml:space="preserve">R$3.735.455,32</t>
  </si>
  <si>
    <t xml:space="preserve">21/01/2009</t>
  </si>
  <si>
    <t xml:space="preserve">R$29.372.147,91</t>
  </si>
  <si>
    <t xml:space="preserve">R$27.849,85</t>
  </si>
  <si>
    <t xml:space="preserve">R$282,95</t>
  </si>
  <si>
    <t xml:space="preserve">R$4.336.425,82</t>
  </si>
  <si>
    <t xml:space="preserve">GANHADOR DE 6 ACERTOS: TERESÓPOLIS/RJ.</t>
  </si>
  <si>
    <t xml:space="preserve">24/01/2009</t>
  </si>
  <si>
    <t xml:space="preserve">R$13.627,16</t>
  </si>
  <si>
    <t xml:space="preserve">R$226,12</t>
  </si>
  <si>
    <t xml:space="preserve">R$1.983.110,38</t>
  </si>
  <si>
    <t xml:space="preserve">R$4.500.000,00</t>
  </si>
  <si>
    <t xml:space="preserve">R$4.619.727,32</t>
  </si>
  <si>
    <t xml:space="preserve">28/01/2009</t>
  </si>
  <si>
    <t xml:space="preserve">R$33.115,91</t>
  </si>
  <si>
    <t xml:space="preserve">R$362,55</t>
  </si>
  <si>
    <t xml:space="preserve">R$4.118.214,61</t>
  </si>
  <si>
    <t xml:space="preserve">R$4.924.742,23</t>
  </si>
  <si>
    <t xml:space="preserve">31/01/2009</t>
  </si>
  <si>
    <t xml:space="preserve">R$17.589,08</t>
  </si>
  <si>
    <t xml:space="preserve">R$218,96</t>
  </si>
  <si>
    <t xml:space="preserve">R$15.945.179,95</t>
  </si>
  <si>
    <t xml:space="preserve">R$5.290.409,89</t>
  </si>
  <si>
    <t xml:space="preserve">04/02/2009</t>
  </si>
  <si>
    <t xml:space="preserve">R$17.541,75</t>
  </si>
  <si>
    <t xml:space="preserve">R$207,50</t>
  </si>
  <si>
    <t xml:space="preserve">R$19.241.182,43</t>
  </si>
  <si>
    <t xml:space="preserve">R$5.761.267,40</t>
  </si>
  <si>
    <t xml:space="preserve">07/02/2009</t>
  </si>
  <si>
    <t xml:space="preserve">R$23.031.543,81</t>
  </si>
  <si>
    <t xml:space="preserve">R$41.992,34</t>
  </si>
  <si>
    <t xml:space="preserve">R$422,08</t>
  </si>
  <si>
    <t xml:space="preserve">R$35.145.764,50</t>
  </si>
  <si>
    <t xml:space="preserve">R$6.302.747,62</t>
  </si>
  <si>
    <t xml:space="preserve">GANHADOR DE 6 ACERTOS: ITAPOÁ/SC.</t>
  </si>
  <si>
    <t xml:space="preserve">11/02/2009</t>
  </si>
  <si>
    <t xml:space="preserve">R$6.309,40</t>
  </si>
  <si>
    <t xml:space="preserve">R$115,14</t>
  </si>
  <si>
    <t xml:space="preserve">R$1.720.141,14</t>
  </si>
  <si>
    <t xml:space="preserve">R$6.548.482,08</t>
  </si>
  <si>
    <t xml:space="preserve">14/02/2009</t>
  </si>
  <si>
    <t xml:space="preserve">R$3.901.088,76</t>
  </si>
  <si>
    <t xml:space="preserve">R$16.913,47</t>
  </si>
  <si>
    <t xml:space="preserve">R$237,26</t>
  </si>
  <si>
    <t xml:space="preserve">R$1.700.000,00</t>
  </si>
  <si>
    <t xml:space="preserve">R$6.860.046,04</t>
  </si>
  <si>
    <t xml:space="preserve">18/02/2009</t>
  </si>
  <si>
    <t xml:space="preserve">R$1.636.050,81</t>
  </si>
  <si>
    <t xml:space="preserve">R$6.210,78</t>
  </si>
  <si>
    <t xml:space="preserve">R$141,09</t>
  </si>
  <si>
    <t xml:space="preserve">R$7.093.767,61</t>
  </si>
  <si>
    <t xml:space="preserve">Ganhador de 6 acertos: São Paulo/SP.</t>
  </si>
  <si>
    <t xml:space="preserve">21/02/2009</t>
  </si>
  <si>
    <t xml:space="preserve">R$18.549,47</t>
  </si>
  <si>
    <t xml:space="preserve">R$266,73</t>
  </si>
  <si>
    <t xml:space="preserve">R$10.189.998,98</t>
  </si>
  <si>
    <t xml:space="preserve">R$7.415.942,68</t>
  </si>
  <si>
    <t xml:space="preserve">25/02/2009</t>
  </si>
  <si>
    <t xml:space="preserve">R$11.893,94</t>
  </si>
  <si>
    <t xml:space="preserve">R$148,65</t>
  </si>
  <si>
    <t xml:space="preserve">R$11.636.051,15</t>
  </si>
  <si>
    <t xml:space="preserve">R$7.622.521,57</t>
  </si>
  <si>
    <t xml:space="preserve">28/02/2009</t>
  </si>
  <si>
    <t xml:space="preserve">R$14.557.865,34</t>
  </si>
  <si>
    <t xml:space="preserve">R$20.599,07</t>
  </si>
  <si>
    <t xml:space="preserve">R$276,18</t>
  </si>
  <si>
    <t xml:space="preserve">R$27.092.243,50</t>
  </si>
  <si>
    <t xml:space="preserve">R$8.039.923,61</t>
  </si>
  <si>
    <t xml:space="preserve">04/03/2009</t>
  </si>
  <si>
    <t xml:space="preserve">R$1.629.650,34</t>
  </si>
  <si>
    <t xml:space="preserve">R$7.898,82</t>
  </si>
  <si>
    <t xml:space="preserve">R$201,75</t>
  </si>
  <si>
    <t xml:space="preserve">R$8.272.730,82</t>
  </si>
  <si>
    <t xml:space="preserve">GANHADOR DE 6 ACERTOS: CANOAS/RS.</t>
  </si>
  <si>
    <t xml:space="preserve">07/03/2009</t>
  </si>
  <si>
    <t xml:space="preserve">R$26.092,87</t>
  </si>
  <si>
    <t xml:space="preserve">R$270,66</t>
  </si>
  <si>
    <t xml:space="preserve">R$8.083.746,30</t>
  </si>
  <si>
    <t xml:space="preserve">R$8.526.792,98</t>
  </si>
  <si>
    <t xml:space="preserve">11/03/2009</t>
  </si>
  <si>
    <t xml:space="preserve">R$5.273.833,35</t>
  </si>
  <si>
    <t xml:space="preserve">R$15.552,99</t>
  </si>
  <si>
    <t xml:space="preserve">R$8.878.781,62</t>
  </si>
  <si>
    <t xml:space="preserve">GANHADORES DE 6 ACERTOS: TAUBATÉ/SP E CAPIVARI/SP.</t>
  </si>
  <si>
    <t xml:space="preserve">14/03/2009</t>
  </si>
  <si>
    <t xml:space="preserve">R$1.872.397,32</t>
  </si>
  <si>
    <t xml:space="preserve">R$44.193,23</t>
  </si>
  <si>
    <t xml:space="preserve">R$432,53</t>
  </si>
  <si>
    <t xml:space="preserve">R$9.146.266,97</t>
  </si>
  <si>
    <t xml:space="preserve">GANHADOR DE 6 ACERTOS: BRASÍLIA/DF.</t>
  </si>
  <si>
    <t xml:space="preserve">18/03/2009</t>
  </si>
  <si>
    <t xml:space="preserve">R$18.772,07</t>
  </si>
  <si>
    <t xml:space="preserve">R$220,12</t>
  </si>
  <si>
    <t xml:space="preserve">R$1.590.685,29</t>
  </si>
  <si>
    <t xml:space="preserve">R$9.373.507,73</t>
  </si>
  <si>
    <t xml:space="preserve">21/03/2009</t>
  </si>
  <si>
    <t xml:space="preserve">R$3.671.709,67</t>
  </si>
  <si>
    <t xml:space="preserve">R$22.593,98</t>
  </si>
  <si>
    <t xml:space="preserve">R$293,20</t>
  </si>
  <si>
    <t xml:space="preserve">R$1.800.000,00</t>
  </si>
  <si>
    <t xml:space="preserve">R$9.670.796,94</t>
  </si>
  <si>
    <t xml:space="preserve">GANHADOR DE 6 ACERTOS: SALVADOR/BA.</t>
  </si>
  <si>
    <t xml:space="preserve">25/03/2009</t>
  </si>
  <si>
    <t xml:space="preserve">R$1.600.783,97</t>
  </si>
  <si>
    <t xml:space="preserve">R$13.793,60</t>
  </si>
  <si>
    <t xml:space="preserve">R$212,52</t>
  </si>
  <si>
    <t xml:space="preserve">R$9.899.480,38</t>
  </si>
  <si>
    <t xml:space="preserve">GANHADOR DE 6 ACERTOS: SÃO PAULO/SP.</t>
  </si>
  <si>
    <t xml:space="preserve">28/03/2009</t>
  </si>
  <si>
    <t xml:space="preserve">R$8.287.163,48</t>
  </si>
  <si>
    <t xml:space="preserve">R$20.333,07</t>
  </si>
  <si>
    <t xml:space="preserve">R$10.220.528,85</t>
  </si>
  <si>
    <t xml:space="preserve">GANHADOR DE 6 ACERTOS: CURITIBA/PR.</t>
  </si>
  <si>
    <t xml:space="preserve">01/04/2009</t>
  </si>
  <si>
    <t xml:space="preserve">R$29.790,04</t>
  </si>
  <si>
    <t xml:space="preserve">R$334,98</t>
  </si>
  <si>
    <t xml:space="preserve">R$1.591.415,12</t>
  </si>
  <si>
    <t xml:space="preserve">R$10.447.873,88</t>
  </si>
  <si>
    <t xml:space="preserve">04/04/2009</t>
  </si>
  <si>
    <t xml:space="preserve">R$9.967,04</t>
  </si>
  <si>
    <t xml:space="preserve">R$176,38</t>
  </si>
  <si>
    <t xml:space="preserve">R$3.684.492,68</t>
  </si>
  <si>
    <t xml:space="preserve">R$10.746.884,98</t>
  </si>
  <si>
    <t xml:space="preserve">08/04/2009</t>
  </si>
  <si>
    <t xml:space="preserve">R$17.776,43</t>
  </si>
  <si>
    <t xml:space="preserve">R$287,67</t>
  </si>
  <si>
    <t xml:space="preserve">R$5.911.224,82</t>
  </si>
  <si>
    <t xml:space="preserve">R$11.064.989,58</t>
  </si>
  <si>
    <t xml:space="preserve">11/04/2009</t>
  </si>
  <si>
    <t xml:space="preserve">R$15.699,66</t>
  </si>
  <si>
    <t xml:space="preserve">R$210,58</t>
  </si>
  <si>
    <t xml:space="preserve">R$14.524.789,16</t>
  </si>
  <si>
    <t xml:space="preserve">R$11.370.719,78</t>
  </si>
  <si>
    <t xml:space="preserve">15/04/2009</t>
  </si>
  <si>
    <t xml:space="preserve">R$23.596,92</t>
  </si>
  <si>
    <t xml:space="preserve">R$261,34</t>
  </si>
  <si>
    <t xml:space="preserve">R$17.654.485,48</t>
  </si>
  <si>
    <t xml:space="preserve">R$11.817.819,26</t>
  </si>
  <si>
    <t xml:space="preserve">18/04/2009</t>
  </si>
  <si>
    <t xml:space="preserve">R$18.205,45</t>
  </si>
  <si>
    <t xml:space="preserve">R$256,79</t>
  </si>
  <si>
    <t xml:space="preserve">R$21.511.165,79</t>
  </si>
  <si>
    <t xml:space="preserve">R$12.368.773,61</t>
  </si>
  <si>
    <t xml:space="preserve">22/04/2009</t>
  </si>
  <si>
    <t xml:space="preserve">R$11.762,29</t>
  </si>
  <si>
    <t xml:space="preserve">R$267,73</t>
  </si>
  <si>
    <t xml:space="preserve">R$25.237.954,47</t>
  </si>
  <si>
    <t xml:space="preserve">R$12.901.172,01</t>
  </si>
  <si>
    <t xml:space="preserve">25/04/2009</t>
  </si>
  <si>
    <t xml:space="preserve">R$19.264,05</t>
  </si>
  <si>
    <t xml:space="preserve">R$372,20</t>
  </si>
  <si>
    <t xml:space="preserve">R$30.418.969,33</t>
  </si>
  <si>
    <t xml:space="preserve">R$36.000.000,00</t>
  </si>
  <si>
    <t xml:space="preserve">R$13.641.317,01</t>
  </si>
  <si>
    <t xml:space="preserve">29/04/2009</t>
  </si>
  <si>
    <t xml:space="preserve">R$36.400.425,15</t>
  </si>
  <si>
    <t xml:space="preserve">R$11.807,55</t>
  </si>
  <si>
    <t xml:space="preserve">R$284,80</t>
  </si>
  <si>
    <t xml:space="preserve">R$14.495.810,71</t>
  </si>
  <si>
    <t xml:space="preserve">GANHADOR DE 6 ACERTOS: NILÓPOLIS/RJ.</t>
  </si>
  <si>
    <t xml:space="preserve">02/05/2009</t>
  </si>
  <si>
    <t xml:space="preserve">R$8.120.833,45</t>
  </si>
  <si>
    <t xml:space="preserve">R$4.478,33</t>
  </si>
  <si>
    <t xml:space="preserve">R$221,34</t>
  </si>
  <si>
    <t xml:space="preserve">R$14.851.720,31</t>
  </si>
  <si>
    <t xml:space="preserve">GANHADORES DE 06 ACERTOS: BRASÍLIA/DF E SÃO BERNARDO DO CAMPO/SP.</t>
  </si>
  <si>
    <t xml:space="preserve">06/05/2009</t>
  </si>
  <si>
    <t xml:space="preserve">R$17.508,53</t>
  </si>
  <si>
    <t xml:space="preserve">R$364,19</t>
  </si>
  <si>
    <t xml:space="preserve">R$1.806.143,13</t>
  </si>
  <si>
    <t xml:space="preserve">R$15.109.740,78</t>
  </si>
  <si>
    <t xml:space="preserve">09/05/2009</t>
  </si>
  <si>
    <t xml:space="preserve">R$27.186,35</t>
  </si>
  <si>
    <t xml:space="preserve">R$371,38</t>
  </si>
  <si>
    <t xml:space="preserve">R$4.159.908,54</t>
  </si>
  <si>
    <t xml:space="preserve">R$15.445.992,99</t>
  </si>
  <si>
    <t xml:space="preserve">13/05/2009</t>
  </si>
  <si>
    <t xml:space="preserve">R$20.356,35</t>
  </si>
  <si>
    <t xml:space="preserve">R$361,79</t>
  </si>
  <si>
    <t xml:space="preserve">R$6.634.811,63</t>
  </si>
  <si>
    <t xml:space="preserve">R$15.799.550,59</t>
  </si>
  <si>
    <t xml:space="preserve">16/05/2009</t>
  </si>
  <si>
    <t xml:space="preserve">R$13.830,94</t>
  </si>
  <si>
    <t xml:space="preserve">R$308,94</t>
  </si>
  <si>
    <t xml:space="preserve">R$16.976.970,12</t>
  </si>
  <si>
    <t xml:space="preserve">R$16.203.559,66</t>
  </si>
  <si>
    <t xml:space="preserve">20/05/2009</t>
  </si>
  <si>
    <t xml:space="preserve">R$15.845,68</t>
  </si>
  <si>
    <t xml:space="preserve">R$375,22</t>
  </si>
  <si>
    <t xml:space="preserve">R$20.450.510,01</t>
  </si>
  <si>
    <t xml:space="preserve">R$16.699.779,66</t>
  </si>
  <si>
    <t xml:space="preserve">23/05/2009</t>
  </si>
  <si>
    <t xml:space="preserve">R$21.442,45</t>
  </si>
  <si>
    <t xml:space="preserve">R$360,96</t>
  </si>
  <si>
    <t xml:space="preserve">R$24.479.432,11</t>
  </si>
  <si>
    <t xml:space="preserve">R$17.275.339,96</t>
  </si>
  <si>
    <t xml:space="preserve">27/05/2009</t>
  </si>
  <si>
    <t xml:space="preserve">BELO HORIZONTE/MG; SÃO PAULO/SP</t>
  </si>
  <si>
    <t xml:space="preserve">R$14.486.088,42</t>
  </si>
  <si>
    <t xml:space="preserve">R$8.129,73</t>
  </si>
  <si>
    <t xml:space="preserve">R$181,28</t>
  </si>
  <si>
    <t xml:space="preserve">R$41.658.547,00</t>
  </si>
  <si>
    <t xml:space="preserve">R$17.917.160,64</t>
  </si>
  <si>
    <t xml:space="preserve">AS APOSTAS GANHADORAS DE 6 ACERTOS FORAM REALIZADAS EM BELO HORIZONTE/MG E SÃO PAULO/SP.</t>
  </si>
  <si>
    <t xml:space="preserve">30/05/2009</t>
  </si>
  <si>
    <t xml:space="preserve">R$22.507,73</t>
  </si>
  <si>
    <t xml:space="preserve">R$414,60</t>
  </si>
  <si>
    <t xml:space="preserve">R$1.948.695,28</t>
  </si>
  <si>
    <t xml:space="preserve">R$18.069.091,25</t>
  </si>
  <si>
    <t xml:space="preserve">R$18.195.545,69</t>
  </si>
  <si>
    <t xml:space="preserve">03/06/2009</t>
  </si>
  <si>
    <t xml:space="preserve">INDAIATUBA/SP</t>
  </si>
  <si>
    <t xml:space="preserve">R$4.033.499,58</t>
  </si>
  <si>
    <t xml:space="preserve">R$7.545,01</t>
  </si>
  <si>
    <t xml:space="preserve">R$193,88</t>
  </si>
  <si>
    <t xml:space="preserve">R$19.331.149,25</t>
  </si>
  <si>
    <t xml:space="preserve">R$18.493.374,90</t>
  </si>
  <si>
    <t xml:space="preserve">06/06/2009</t>
  </si>
  <si>
    <t xml:space="preserve">R$24.305,19</t>
  </si>
  <si>
    <t xml:space="preserve">R$493,39</t>
  </si>
  <si>
    <t xml:space="preserve">R$12.716.777,49</t>
  </si>
  <si>
    <t xml:space="preserve">R$24.493.897,75</t>
  </si>
  <si>
    <t xml:space="preserve">R$18.870.745,01</t>
  </si>
  <si>
    <t xml:space="preserve">10/06/2009</t>
  </si>
  <si>
    <t xml:space="preserve">R$16.360,33</t>
  </si>
  <si>
    <t xml:space="preserve">R$353,18</t>
  </si>
  <si>
    <t xml:space="preserve">R$16.001.758,39</t>
  </si>
  <si>
    <t xml:space="preserve">R$30.459.672,25</t>
  </si>
  <si>
    <t xml:space="preserve">R$19.340.028,00</t>
  </si>
  <si>
    <t xml:space="preserve">13/06/2009</t>
  </si>
  <si>
    <t xml:space="preserve">R$28.937,66</t>
  </si>
  <si>
    <t xml:space="preserve">R$476,99</t>
  </si>
  <si>
    <t xml:space="preserve">R$19.360.050,18</t>
  </si>
  <si>
    <t xml:space="preserve">R$31.139.440,50</t>
  </si>
  <si>
    <t xml:space="preserve">R$19.819.783,99</t>
  </si>
  <si>
    <t xml:space="preserve">17/06/2009</t>
  </si>
  <si>
    <t xml:space="preserve">R$31.956,08</t>
  </si>
  <si>
    <t xml:space="preserve">R$480,75</t>
  </si>
  <si>
    <t xml:space="preserve">R$23.480.703,04</t>
  </si>
  <si>
    <t xml:space="preserve">R$38.208.360,75</t>
  </si>
  <si>
    <t xml:space="preserve">R$28.000.000,00</t>
  </si>
  <si>
    <t xml:space="preserve">R$20.408.448,69</t>
  </si>
  <si>
    <t xml:space="preserve">20/06/2009</t>
  </si>
  <si>
    <t xml:space="preserve">R$23.240,93</t>
  </si>
  <si>
    <t xml:space="preserve">R$463,81</t>
  </si>
  <si>
    <t xml:space="preserve">R$39.437.088,95</t>
  </si>
  <si>
    <t xml:space="preserve">R$42.873.020,75</t>
  </si>
  <si>
    <t xml:space="preserve">R$21.068.980,41</t>
  </si>
  <si>
    <t xml:space="preserve">24/06/2009</t>
  </si>
  <si>
    <t xml:space="preserve">R$44.000,86</t>
  </si>
  <si>
    <t xml:space="preserve">R$663,47</t>
  </si>
  <si>
    <t xml:space="preserve">R$46.002.479,88</t>
  </si>
  <si>
    <t xml:space="preserve">R$60.876.961,25</t>
  </si>
  <si>
    <t xml:space="preserve">R$55.000.000,00</t>
  </si>
  <si>
    <t xml:space="preserve">R$22.006.893,41</t>
  </si>
  <si>
    <t xml:space="preserve">27/06/2009</t>
  </si>
  <si>
    <t xml:space="preserve">IBIRITÉ/MG; LONDRINA/PR; LEME/SP; SÃO BERNARDO DO CAMPO/SP</t>
  </si>
  <si>
    <t xml:space="preserve">R$13.904.065,20</t>
  </si>
  <si>
    <t xml:space="preserve">R$5.470,55</t>
  </si>
  <si>
    <t xml:space="preserve">R$142,93</t>
  </si>
  <si>
    <t xml:space="preserve">R$89.142.866,75</t>
  </si>
  <si>
    <t xml:space="preserve">R$23.380.290,70</t>
  </si>
  <si>
    <t xml:space="preserve">01/07/2009</t>
  </si>
  <si>
    <t xml:space="preserve">R$20.380,65</t>
  </si>
  <si>
    <t xml:space="preserve">R$381,53</t>
  </si>
  <si>
    <t xml:space="preserve">R$2.177.511,76</t>
  </si>
  <si>
    <t xml:space="preserve">R$20.190.770,25</t>
  </si>
  <si>
    <t xml:space="preserve">R$23.691.363,83</t>
  </si>
  <si>
    <t xml:space="preserve">04/07/2009</t>
  </si>
  <si>
    <t xml:space="preserve">R$19.245,30</t>
  </si>
  <si>
    <t xml:space="preserve">R$364,33</t>
  </si>
  <si>
    <t xml:space="preserve">R$4.942.757,79</t>
  </si>
  <si>
    <t xml:space="preserve">R$25.640.480,25</t>
  </si>
  <si>
    <t xml:space="preserve">R$24.086.398,99</t>
  </si>
  <si>
    <t xml:space="preserve">08/07/2009</t>
  </si>
  <si>
    <t xml:space="preserve">R$17.263,31</t>
  </si>
  <si>
    <t xml:space="preserve">R$375,93</t>
  </si>
  <si>
    <t xml:space="preserve">R$23.035.860,57</t>
  </si>
  <si>
    <t xml:space="preserve">R$27.422.916,50</t>
  </si>
  <si>
    <t xml:space="preserve">R$27.000.000,00</t>
  </si>
  <si>
    <t xml:space="preserve">R$24.508.895,60</t>
  </si>
  <si>
    <t xml:space="preserve">11/07/2009</t>
  </si>
  <si>
    <t xml:space="preserve">R$12.820,74</t>
  </si>
  <si>
    <t xml:space="preserve">R$310,42</t>
  </si>
  <si>
    <t xml:space="preserve">R$27.168.860,47</t>
  </si>
  <si>
    <t xml:space="preserve">R$38.322.847,50</t>
  </si>
  <si>
    <t xml:space="preserve">R$25.099.324,18</t>
  </si>
  <si>
    <t xml:space="preserve">15/07/2009</t>
  </si>
  <si>
    <t xml:space="preserve">R$18.821,58</t>
  </si>
  <si>
    <t xml:space="preserve">R$314,78</t>
  </si>
  <si>
    <t xml:space="preserve">R$32.230.875,61</t>
  </si>
  <si>
    <t xml:space="preserve">R$46.937.052,75</t>
  </si>
  <si>
    <t xml:space="preserve">R$38.000.000,00</t>
  </si>
  <si>
    <t xml:space="preserve">R$25.822.469,22</t>
  </si>
  <si>
    <t xml:space="preserve">18/07/2009</t>
  </si>
  <si>
    <t xml:space="preserve">R$25.322,41</t>
  </si>
  <si>
    <t xml:space="preserve">R$418,98</t>
  </si>
  <si>
    <t xml:space="preserve">R$38.294.925,87</t>
  </si>
  <si>
    <t xml:space="preserve">R$56.228.327,75</t>
  </si>
  <si>
    <t xml:space="preserve">R$26.688.762,13</t>
  </si>
  <si>
    <t xml:space="preserve">22/07/2009</t>
  </si>
  <si>
    <t xml:space="preserve">R$13.845,47</t>
  </si>
  <si>
    <t xml:space="preserve">R$320,29</t>
  </si>
  <si>
    <t xml:space="preserve">R$45.920.866,95</t>
  </si>
  <si>
    <t xml:space="preserve">R$70.710.811,50</t>
  </si>
  <si>
    <t xml:space="preserve">R$56.000.000,00</t>
  </si>
  <si>
    <t xml:space="preserve">R$27.778.182,30</t>
  </si>
  <si>
    <t xml:space="preserve">25/07/2009</t>
  </si>
  <si>
    <t xml:space="preserve">RIO DE JANEIRO/RJ</t>
  </si>
  <si>
    <t xml:space="preserve">R$55.863.193,02</t>
  </si>
  <si>
    <t xml:space="preserve">R$25.579,45</t>
  </si>
  <si>
    <t xml:space="preserve">R$416,01</t>
  </si>
  <si>
    <t xml:space="preserve">R$92.189.270,25</t>
  </si>
  <si>
    <t xml:space="preserve">R$29.198.514,62</t>
  </si>
  <si>
    <t xml:space="preserve">29/07/2009</t>
  </si>
  <si>
    <t xml:space="preserve">R$12.339,22</t>
  </si>
  <si>
    <t xml:space="preserve">R$283,06</t>
  </si>
  <si>
    <t xml:space="preserve">R$24.452.986,89</t>
  </si>
  <si>
    <t xml:space="preserve">R$35.408.194,50</t>
  </si>
  <si>
    <t xml:space="preserve">R$29.000.000,00</t>
  </si>
  <si>
    <t xml:space="preserve">R$29.744.038,01</t>
  </si>
  <si>
    <t xml:space="preserve">01/08/2009</t>
  </si>
  <si>
    <t xml:space="preserve">R$26.537,40</t>
  </si>
  <si>
    <t xml:space="preserve">R$395,95</t>
  </si>
  <si>
    <t xml:space="preserve">R$29.439.225,73</t>
  </si>
  <si>
    <t xml:space="preserve">R$46.234.424,25</t>
  </si>
  <si>
    <t xml:space="preserve">R$30.456.357,86</t>
  </si>
  <si>
    <t xml:space="preserve">05/08/2009</t>
  </si>
  <si>
    <t xml:space="preserve">SANTOS/SP</t>
  </si>
  <si>
    <t xml:space="preserve">R$34.907.671,59</t>
  </si>
  <si>
    <t xml:space="preserve">R$12.266,88</t>
  </si>
  <si>
    <t xml:space="preserve">R$323,35</t>
  </si>
  <si>
    <t xml:space="preserve">R$50.705.642,75</t>
  </si>
  <si>
    <t xml:space="preserve">R$31.237.564,43</t>
  </si>
  <si>
    <t xml:space="preserve">08/08/2009</t>
  </si>
  <si>
    <t xml:space="preserve">BELÉM/PA</t>
  </si>
  <si>
    <t xml:space="preserve">R$2.656.519,77</t>
  </si>
  <si>
    <t xml:space="preserve">R$29.430,83</t>
  </si>
  <si>
    <t xml:space="preserve">R$599,92</t>
  </si>
  <si>
    <t xml:space="preserve">R$24.632.326,25</t>
  </si>
  <si>
    <t xml:space="preserve">R$31.617.067,26</t>
  </si>
  <si>
    <t xml:space="preserve">12/08/2009</t>
  </si>
  <si>
    <t xml:space="preserve">R$30.298,50</t>
  </si>
  <si>
    <t xml:space="preserve">R$535,94</t>
  </si>
  <si>
    <t xml:space="preserve">R$14.459.242,92</t>
  </si>
  <si>
    <t xml:space="preserve">R$21.735.883,75</t>
  </si>
  <si>
    <t xml:space="preserve">R$31.951.945,49</t>
  </si>
  <si>
    <t xml:space="preserve">15/08/2009</t>
  </si>
  <si>
    <t xml:space="preserve">R$16.950,03</t>
  </si>
  <si>
    <t xml:space="preserve">R$278,32</t>
  </si>
  <si>
    <t xml:space="preserve">R$18.174.867,35</t>
  </si>
  <si>
    <t xml:space="preserve">R$34.452.773,25</t>
  </si>
  <si>
    <t xml:space="preserve">R$32.482.748,98</t>
  </si>
  <si>
    <t xml:space="preserve">19/08/2009</t>
  </si>
  <si>
    <t xml:space="preserve">GUARATINGUETA/SP</t>
  </si>
  <si>
    <t xml:space="preserve">R$22.310.116,55</t>
  </si>
  <si>
    <t xml:space="preserve">R$7.904,40</t>
  </si>
  <si>
    <t xml:space="preserve">R$179,14</t>
  </si>
  <si>
    <t xml:space="preserve">R$38.343.704,00</t>
  </si>
  <si>
    <t xml:space="preserve">R$33.073.498,88</t>
  </si>
  <si>
    <t xml:space="preserve">22/08/2009</t>
  </si>
  <si>
    <t xml:space="preserve">R$15.534,50</t>
  </si>
  <si>
    <t xml:space="preserve">R$323,43</t>
  </si>
  <si>
    <t xml:space="preserve">R$2.375.142,54</t>
  </si>
  <si>
    <t xml:space="preserve">R$22.023.282,75</t>
  </si>
  <si>
    <t xml:space="preserve">R$33.412.804,97</t>
  </si>
  <si>
    <t xml:space="preserve">26/08/2009</t>
  </si>
  <si>
    <t xml:space="preserve">R$29.544,00</t>
  </si>
  <si>
    <t xml:space="preserve">R$348,25</t>
  </si>
  <si>
    <t xml:space="preserve">R$4.933.030,92</t>
  </si>
  <si>
    <t xml:space="preserve">R$23.717.776,25</t>
  </si>
  <si>
    <t xml:space="preserve">R$33.778.217,62</t>
  </si>
  <si>
    <t xml:space="preserve">29/08/2009</t>
  </si>
  <si>
    <t xml:space="preserve">R$17.867,29</t>
  </si>
  <si>
    <t xml:space="preserve">R$347,29</t>
  </si>
  <si>
    <t xml:space="preserve">R$18.060.804,99</t>
  </si>
  <si>
    <t xml:space="preserve">R$28.992.726,00</t>
  </si>
  <si>
    <t xml:space="preserve">R$34.224.899,83</t>
  </si>
  <si>
    <t xml:space="preserve">02/09/2009</t>
  </si>
  <si>
    <t xml:space="preserve">TERRA ROXA/PR</t>
  </si>
  <si>
    <t xml:space="preserve">R$21.878.202,24</t>
  </si>
  <si>
    <t xml:space="preserve">R$15.350,38</t>
  </si>
  <si>
    <t xml:space="preserve">R$414,39</t>
  </si>
  <si>
    <t xml:space="preserve">R$35.396.452,00</t>
  </si>
  <si>
    <t xml:space="preserve">R$34.770.242,31</t>
  </si>
  <si>
    <t xml:space="preserve">05/09/2009</t>
  </si>
  <si>
    <t xml:space="preserve">R$31.924,48</t>
  </si>
  <si>
    <t xml:space="preserve">R$537,57</t>
  </si>
  <si>
    <t xml:space="preserve">R$2.175.905,27</t>
  </si>
  <si>
    <t xml:space="preserve">R$20.175.874,25</t>
  </si>
  <si>
    <t xml:space="preserve">R$35.081.085,93</t>
  </si>
  <si>
    <t xml:space="preserve">09/09/2009</t>
  </si>
  <si>
    <t xml:space="preserve">R$14.819,61</t>
  </si>
  <si>
    <t xml:space="preserve">R$285,91</t>
  </si>
  <si>
    <t xml:space="preserve">R$4.496.344,33</t>
  </si>
  <si>
    <t xml:space="preserve">R$21.516.050,00</t>
  </si>
  <si>
    <t xml:space="preserve">R$35.412.577,23</t>
  </si>
  <si>
    <t xml:space="preserve">12/09/2009</t>
  </si>
  <si>
    <t xml:space="preserve">R$24.403,73</t>
  </si>
  <si>
    <t xml:space="preserve">R$427,42</t>
  </si>
  <si>
    <t xml:space="preserve">R$7.688.095,88</t>
  </si>
  <si>
    <t xml:space="preserve">R$29.595.212,00</t>
  </si>
  <si>
    <t xml:space="preserve">R$35.868.541,75</t>
  </si>
  <si>
    <t xml:space="preserve">16/09/2009</t>
  </si>
  <si>
    <t xml:space="preserve">R$12.814,67</t>
  </si>
  <si>
    <t xml:space="preserve">R$308,35</t>
  </si>
  <si>
    <t xml:space="preserve">R$20.340.725,12</t>
  </si>
  <si>
    <t xml:space="preserve">R$30.862.658,00</t>
  </si>
  <si>
    <t xml:space="preserve">R$36.344.033,43</t>
  </si>
  <si>
    <t xml:space="preserve">COMUNICAMOS QUE OS SORTEIOS DE AMANHÃ, 17/09, SERÃO REALIZADOS EM IGREJINHA/RS.</t>
  </si>
  <si>
    <t xml:space="preserve">19/09/2009</t>
  </si>
  <si>
    <t xml:space="preserve">Curitiba/PR; PORTO ALEGRE/RS</t>
  </si>
  <si>
    <t xml:space="preserve">R$12.343.077,59</t>
  </si>
  <si>
    <t xml:space="preserve">R$10.870,72</t>
  </si>
  <si>
    <t xml:space="preserve">R$298,83</t>
  </si>
  <si>
    <t xml:space="preserve">R$40.292.586,00</t>
  </si>
  <si>
    <t xml:space="preserve">R$36.964.809,17</t>
  </si>
  <si>
    <t xml:space="preserve">23/09/2009</t>
  </si>
  <si>
    <t xml:space="preserve">SÃO CAETANO DO SUL/SP</t>
  </si>
  <si>
    <t xml:space="preserve">R$2.100.928,15</t>
  </si>
  <si>
    <t xml:space="preserve">R$21.932,77</t>
  </si>
  <si>
    <t xml:space="preserve">R$309,39</t>
  </si>
  <si>
    <t xml:space="preserve">R$19.480.656,00</t>
  </si>
  <si>
    <t xml:space="preserve">R$37.264.941,78</t>
  </si>
  <si>
    <t xml:space="preserve">26/09/2009</t>
  </si>
  <si>
    <t xml:space="preserve">R$28.083,09</t>
  </si>
  <si>
    <t xml:space="preserve">R$525,46</t>
  </si>
  <si>
    <t xml:space="preserve">R$2.224.476,04</t>
  </si>
  <si>
    <t xml:space="preserve">R$20.626.242,00</t>
  </si>
  <si>
    <t xml:space="preserve">R$37.582.724,09</t>
  </si>
  <si>
    <t xml:space="preserve">30/09/2009</t>
  </si>
  <si>
    <t xml:space="preserve">PARAUAPEBAS/PA; AMPARO/SP</t>
  </si>
  <si>
    <t xml:space="preserve">R$2.321.158,61</t>
  </si>
  <si>
    <t xml:space="preserve">R$16.006,62</t>
  </si>
  <si>
    <t xml:space="preserve">R$315,29</t>
  </si>
  <si>
    <t xml:space="preserve">R$22.419.202,00</t>
  </si>
  <si>
    <t xml:space="preserve">R$37.928.129,99</t>
  </si>
  <si>
    <t xml:space="preserve">03/10/2009</t>
  </si>
  <si>
    <t xml:space="preserve">ITUPEVA/SP</t>
  </si>
  <si>
    <t xml:space="preserve">R$2.310.563,74</t>
  </si>
  <si>
    <t xml:space="preserve">R$19.297,02</t>
  </si>
  <si>
    <t xml:space="preserve">R$354,54</t>
  </si>
  <si>
    <t xml:space="preserve">R$21.424.482,00</t>
  </si>
  <si>
    <t xml:space="preserve">R$38.258.210,54</t>
  </si>
  <si>
    <t xml:space="preserve">07/10/2009</t>
  </si>
  <si>
    <t xml:space="preserve">R$56.589,75</t>
  </si>
  <si>
    <t xml:space="preserve">R$699,46</t>
  </si>
  <si>
    <t xml:space="preserve">R$11.132.729,77</t>
  </si>
  <si>
    <t xml:space="preserve">R$25.131.470,00</t>
  </si>
  <si>
    <t xml:space="preserve">R$38.645.403,53</t>
  </si>
  <si>
    <t xml:space="preserve">10/10/2009</t>
  </si>
  <si>
    <t xml:space="preserve">Florianópolis/SC</t>
  </si>
  <si>
    <t xml:space="preserve">R$14.545.870,49</t>
  </si>
  <si>
    <t xml:space="preserve">R$7.153,85</t>
  </si>
  <si>
    <t xml:space="preserve">R$186,58</t>
  </si>
  <si>
    <t xml:space="preserve">R$31.648.022,00</t>
  </si>
  <si>
    <t xml:space="preserve">R$39.132.995,07</t>
  </si>
  <si>
    <t xml:space="preserve">14/10/2009</t>
  </si>
  <si>
    <t xml:space="preserve">R$26.269,86</t>
  </si>
  <si>
    <t xml:space="preserve">R$429,85</t>
  </si>
  <si>
    <t xml:space="preserve">R$1.742.106,23</t>
  </si>
  <si>
    <t xml:space="preserve">R$16.153.514,00</t>
  </si>
  <si>
    <t xml:space="preserve">R$39.381.867,40</t>
  </si>
  <si>
    <t xml:space="preserve">17/10/2009</t>
  </si>
  <si>
    <t xml:space="preserve">R$44.640,50</t>
  </si>
  <si>
    <t xml:space="preserve">R$645,24</t>
  </si>
  <si>
    <t xml:space="preserve">R$4.209.080,96</t>
  </si>
  <si>
    <t xml:space="preserve">R$22.874.788,00</t>
  </si>
  <si>
    <t xml:space="preserve">R$39.734.292,39</t>
  </si>
  <si>
    <t xml:space="preserve">21/10/2009</t>
  </si>
  <si>
    <t xml:space="preserve">R$61.156,09</t>
  </si>
  <si>
    <t xml:space="preserve">R$716,11</t>
  </si>
  <si>
    <t xml:space="preserve">R$14.740.142,18</t>
  </si>
  <si>
    <t xml:space="preserve">R$22.981.012,00</t>
  </si>
  <si>
    <t xml:space="preserve">R$40.088.353,92</t>
  </si>
  <si>
    <t xml:space="preserve">24/10/2009</t>
  </si>
  <si>
    <t xml:space="preserve">R$30.741,97</t>
  </si>
  <si>
    <t xml:space="preserve">R$672,20</t>
  </si>
  <si>
    <t xml:space="preserve">R$18.307.829,45</t>
  </si>
  <si>
    <t xml:space="preserve">R$33.081.040,00</t>
  </si>
  <si>
    <t xml:space="preserve">R$40.598.023,55</t>
  </si>
  <si>
    <t xml:space="preserve">28/10/2009</t>
  </si>
  <si>
    <t xml:space="preserve">SÃO PAULO/SP</t>
  </si>
  <si>
    <t xml:space="preserve">R$22.023.474,44</t>
  </si>
  <si>
    <t xml:space="preserve">R$21.458,13</t>
  </si>
  <si>
    <t xml:space="preserve">R$471,99</t>
  </si>
  <si>
    <t xml:space="preserve">R$34.452.964,00</t>
  </si>
  <si>
    <t xml:space="preserve">R$41.128.829,98</t>
  </si>
  <si>
    <t xml:space="preserve">31/10/2009</t>
  </si>
  <si>
    <t xml:space="preserve">R$56.270,34</t>
  </si>
  <si>
    <t xml:space="preserve">R$662,97</t>
  </si>
  <si>
    <t xml:space="preserve">R$2.073.117,88</t>
  </si>
  <si>
    <t xml:space="preserve">R$19.222.788,00</t>
  </si>
  <si>
    <t xml:space="preserve">R$41.424.989,69</t>
  </si>
  <si>
    <t xml:space="preserve">04/11/2009</t>
  </si>
  <si>
    <t xml:space="preserve">R$20.674,90</t>
  </si>
  <si>
    <t xml:space="preserve">R$444,86</t>
  </si>
  <si>
    <t xml:space="preserve">R$4.015.470,76</t>
  </si>
  <si>
    <t xml:space="preserve">R$18.010.282,00</t>
  </si>
  <si>
    <t xml:space="preserve">R$41.702.468,69</t>
  </si>
  <si>
    <t xml:space="preserve">07/11/2009</t>
  </si>
  <si>
    <t xml:space="preserve">R$12.110,47</t>
  </si>
  <si>
    <t xml:space="preserve">R$280,37</t>
  </si>
  <si>
    <t xml:space="preserve">R$15.550.005,71</t>
  </si>
  <si>
    <t xml:space="preserve">R$25.236.404,00</t>
  </si>
  <si>
    <t xml:space="preserve">R$42.091.278,37</t>
  </si>
  <si>
    <t xml:space="preserve">11/11/2009</t>
  </si>
  <si>
    <t xml:space="preserve">R$19.093.732,19</t>
  </si>
  <si>
    <t xml:space="preserve">R$7.314,59</t>
  </si>
  <si>
    <t xml:space="preserve">R$234,00</t>
  </si>
  <si>
    <t xml:space="preserve">R$32.858.866,00</t>
  </si>
  <si>
    <t xml:space="preserve">R$42.597.525,04</t>
  </si>
  <si>
    <t xml:space="preserve">14/11/2009</t>
  </si>
  <si>
    <t xml:space="preserve">R$55.019,03</t>
  </si>
  <si>
    <t xml:space="preserve">R$755,06</t>
  </si>
  <si>
    <t xml:space="preserve">R$2.128.367,63</t>
  </si>
  <si>
    <t xml:space="preserve">R$19.735.086,00</t>
  </si>
  <si>
    <t xml:space="preserve">R$42.901.577,57</t>
  </si>
  <si>
    <t xml:space="preserve">18/11/2009</t>
  </si>
  <si>
    <t xml:space="preserve">RIO DE JANEIRO/RJ; PORTO ALEGRE/RS; SÃO BERNARDO DO CAMPO/SP</t>
  </si>
  <si>
    <t xml:space="preserve">R$1.463.875,35</t>
  </si>
  <si>
    <t xml:space="preserve">R$8.083,07</t>
  </si>
  <si>
    <t xml:space="preserve">R$245,99</t>
  </si>
  <si>
    <t xml:space="preserve">R$20.985.848,00</t>
  </si>
  <si>
    <t xml:space="preserve">R$43.224.900,21</t>
  </si>
  <si>
    <t xml:space="preserve">21/11/2009</t>
  </si>
  <si>
    <t xml:space="preserve">SETE LAGOAS/MG</t>
  </si>
  <si>
    <t xml:space="preserve">R$1.903.809,92</t>
  </si>
  <si>
    <t xml:space="preserve">R$24.034,81</t>
  </si>
  <si>
    <t xml:space="preserve">R$435,65</t>
  </si>
  <si>
    <t xml:space="preserve">R$17.652.896,00</t>
  </si>
  <si>
    <t xml:space="preserve">R$43.496.873,07</t>
  </si>
  <si>
    <t xml:space="preserve">25/11/2009</t>
  </si>
  <si>
    <t xml:space="preserve">R$12.933,06</t>
  </si>
  <si>
    <t xml:space="preserve">R$340,63</t>
  </si>
  <si>
    <t xml:space="preserve">R$9.094.554,71</t>
  </si>
  <si>
    <t xml:space="preserve">R$16.567.972,00</t>
  </si>
  <si>
    <t xml:space="preserve">R$43.752.130,84</t>
  </si>
  <si>
    <t xml:space="preserve">28/11/2009</t>
  </si>
  <si>
    <t xml:space="preserve">R$5.751,46</t>
  </si>
  <si>
    <t xml:space="preserve">R$247,95</t>
  </si>
  <si>
    <t xml:space="preserve">R$12.050.502,92</t>
  </si>
  <si>
    <t xml:space="preserve">R$27.408.748,00</t>
  </si>
  <si>
    <t xml:space="preserve">R$44.174.409,16</t>
  </si>
  <si>
    <t xml:space="preserve">02/12/2009</t>
  </si>
  <si>
    <t xml:space="preserve">R$16.728,24</t>
  </si>
  <si>
    <t xml:space="preserve">R$366,80</t>
  </si>
  <si>
    <t xml:space="preserve">R$15.717.508,75</t>
  </si>
  <si>
    <t xml:space="preserve">R$34.001.962,00</t>
  </si>
  <si>
    <t xml:space="preserve">R$44.698.267,16</t>
  </si>
  <si>
    <t xml:space="preserve">05/12/2009</t>
  </si>
  <si>
    <t xml:space="preserve">R$21.594,12</t>
  </si>
  <si>
    <t xml:space="preserve">R$411,36</t>
  </si>
  <si>
    <t xml:space="preserve">R$19.854.486,10</t>
  </si>
  <si>
    <t xml:space="preserve">R$38.359.728,00</t>
  </si>
  <si>
    <t xml:space="preserve">R$45.289.263,93</t>
  </si>
  <si>
    <t xml:space="preserve">09/12/2009</t>
  </si>
  <si>
    <t xml:space="preserve">Montes Claros/MG</t>
  </si>
  <si>
    <t xml:space="preserve">R$23.878.446,59</t>
  </si>
  <si>
    <t xml:space="preserve">R$19.679,60</t>
  </si>
  <si>
    <t xml:space="preserve">R$360,84</t>
  </si>
  <si>
    <t xml:space="preserve">R$37.311.790,00</t>
  </si>
  <si>
    <t xml:space="preserve">R$45.864.115,44</t>
  </si>
  <si>
    <t xml:space="preserve">12/12/2009</t>
  </si>
  <si>
    <t xml:space="preserve">R$23.806,49</t>
  </si>
  <si>
    <t xml:space="preserve">R$478,11</t>
  </si>
  <si>
    <t xml:space="preserve">R$13.077.964,72</t>
  </si>
  <si>
    <t xml:space="preserve">R$21.551.532,00</t>
  </si>
  <si>
    <t xml:space="preserve">R$46.196.153,41</t>
  </si>
  <si>
    <t xml:space="preserve">16/12/2009</t>
  </si>
  <si>
    <t xml:space="preserve">VITÓRIA/ES</t>
  </si>
  <si>
    <t xml:space="preserve">R$16.270.571,71</t>
  </si>
  <si>
    <t xml:space="preserve">R$13.646,69</t>
  </si>
  <si>
    <t xml:space="preserve">R$268,15</t>
  </si>
  <si>
    <t xml:space="preserve">R$29.603.144,00</t>
  </si>
  <si>
    <t xml:space="preserve">R$46.652.240,14</t>
  </si>
  <si>
    <t xml:space="preserve">19/12/2009</t>
  </si>
  <si>
    <t xml:space="preserve">R$30.316,49</t>
  </si>
  <si>
    <t xml:space="preserve">R$418,59</t>
  </si>
  <si>
    <t xml:space="preserve">R$2.289.692,56</t>
  </si>
  <si>
    <t xml:space="preserve">R$21.230.956,00</t>
  </si>
  <si>
    <t xml:space="preserve">R$46.979.339,10</t>
  </si>
  <si>
    <t xml:space="preserve">22/12/2009</t>
  </si>
  <si>
    <t xml:space="preserve">R$25.712,12</t>
  </si>
  <si>
    <t xml:space="preserve">R$438,70</t>
  </si>
  <si>
    <t xml:space="preserve">R$3.852.718,38</t>
  </si>
  <si>
    <t xml:space="preserve">R$14.493.008,00</t>
  </si>
  <si>
    <t xml:space="preserve">R$47.202.628,51</t>
  </si>
  <si>
    <t xml:space="preserve">24/12/2009</t>
  </si>
  <si>
    <t xml:space="preserve">R$9.499,16</t>
  </si>
  <si>
    <t xml:space="preserve">R$235,62</t>
  </si>
  <si>
    <t xml:space="preserve">R$5.917.535,51</t>
  </si>
  <si>
    <t xml:space="preserve">R$19.145.820,00</t>
  </si>
  <si>
    <t xml:space="preserve">R$47.497.602,38</t>
  </si>
  <si>
    <t xml:space="preserve">26/12/2009</t>
  </si>
  <si>
    <t xml:space="preserve">R$31.748,14</t>
  </si>
  <si>
    <t xml:space="preserve">R$553,37</t>
  </si>
  <si>
    <t xml:space="preserve">R$61.731.493,11</t>
  </si>
  <si>
    <t xml:space="preserve">R$13.557.048,00</t>
  </si>
  <si>
    <t xml:space="preserve">R$120.000.000,00</t>
  </si>
  <si>
    <t xml:space="preserve">"URGENTE: O ENCERRAMENTO DAS APOSTAS PARA A MEGA-SENA DA VIRADA, CONCURSO 1140, SERÁ AS 14 HORAS, HORÁRIO DE BRASÍLIA, DO DIA 31/12/2009".</t>
  </si>
  <si>
    <t xml:space="preserve">31/12/2009</t>
  </si>
  <si>
    <t xml:space="preserve">BRASÍLIA/DF; SANTA RITA DO PASSA QUATRO/SP</t>
  </si>
  <si>
    <t xml:space="preserve">R$72.450.747,46</t>
  </si>
  <si>
    <t xml:space="preserve">R$34.724,23</t>
  </si>
  <si>
    <t xml:space="preserve">R$650,33</t>
  </si>
  <si>
    <t xml:space="preserve">R$435.346.884,00</t>
  </si>
  <si>
    <t xml:space="preserve">02/01/2010</t>
  </si>
  <si>
    <t xml:space="preserve">R$54.748,35</t>
  </si>
  <si>
    <t xml:space="preserve">R$687,07</t>
  </si>
  <si>
    <t xml:space="preserve">R$605.113,35</t>
  </si>
  <si>
    <t xml:space="preserve">R$5.610.856,00</t>
  </si>
  <si>
    <t xml:space="preserve">R$86.444,79</t>
  </si>
  <si>
    <t xml:space="preserve">06/01/2010</t>
  </si>
  <si>
    <t xml:space="preserve">R$15.347,72</t>
  </si>
  <si>
    <t xml:space="preserve">R$397,54</t>
  </si>
  <si>
    <t xml:space="preserve">R$2.471.072,68</t>
  </si>
  <si>
    <t xml:space="preserve">R$17.301.930,00</t>
  </si>
  <si>
    <t xml:space="preserve">R$353.010,42</t>
  </si>
  <si>
    <t xml:space="preserve">09/01/2010</t>
  </si>
  <si>
    <t xml:space="preserve">R$24.432,56</t>
  </si>
  <si>
    <t xml:space="preserve">R$492,40</t>
  </si>
  <si>
    <t xml:space="preserve">R$4.811.454,35</t>
  </si>
  <si>
    <t xml:space="preserve">R$21.700.966,00</t>
  </si>
  <si>
    <t xml:space="preserve">R$687.350,67</t>
  </si>
  <si>
    <t xml:space="preserve">13/01/2010</t>
  </si>
  <si>
    <t xml:space="preserve">R$14.090,42</t>
  </si>
  <si>
    <t xml:space="preserve">R$11.724.753,92</t>
  </si>
  <si>
    <t xml:space="preserve">R$22.142.094,00</t>
  </si>
  <si>
    <t xml:space="preserve">R$1.028.487,25</t>
  </si>
  <si>
    <t xml:space="preserve">16/01/2010</t>
  </si>
  <si>
    <t xml:space="preserve">BRASÍLIA/DF</t>
  </si>
  <si>
    <t xml:space="preserve">R$14.836.725,73</t>
  </si>
  <si>
    <t xml:space="preserve">R$13.095,79</t>
  </si>
  <si>
    <t xml:space="preserve">R$276,31</t>
  </si>
  <si>
    <t xml:space="preserve">R$28.855.462,00</t>
  </si>
  <si>
    <t xml:space="preserve">R$1.473.054,66</t>
  </si>
  <si>
    <t xml:space="preserve">20/01/2010</t>
  </si>
  <si>
    <t xml:space="preserve">R$18.010,80</t>
  </si>
  <si>
    <t xml:space="preserve">R$374,53</t>
  </si>
  <si>
    <t xml:space="preserve">R$1.758.423,03</t>
  </si>
  <si>
    <t xml:space="preserve">R$16.304.810,00</t>
  </si>
  <si>
    <t xml:space="preserve">R$1.724.257,97</t>
  </si>
  <si>
    <t xml:space="preserve">23/01/2010</t>
  </si>
  <si>
    <t xml:space="preserve">R$40.732,25</t>
  </si>
  <si>
    <t xml:space="preserve">R$574,23</t>
  </si>
  <si>
    <t xml:space="preserve">R$4.009.415,81</t>
  </si>
  <si>
    <t xml:space="preserve">R$20.872.116,00</t>
  </si>
  <si>
    <t xml:space="preserve">R$2.045.828,37</t>
  </si>
  <si>
    <t xml:space="preserve">27/01/2010</t>
  </si>
  <si>
    <t xml:space="preserve">R$33.116,63</t>
  </si>
  <si>
    <t xml:space="preserve">R$461,61</t>
  </si>
  <si>
    <t xml:space="preserve">R$6.266.575,92</t>
  </si>
  <si>
    <t xml:space="preserve">R$20.929.302,00</t>
  </si>
  <si>
    <t xml:space="preserve">R$2.368.279,83</t>
  </si>
  <si>
    <t xml:space="preserve">30/01/2010</t>
  </si>
  <si>
    <t xml:space="preserve">R$16.567,30</t>
  </si>
  <si>
    <t xml:space="preserve">R$307,76</t>
  </si>
  <si>
    <t xml:space="preserve">R$16.684.537,21</t>
  </si>
  <si>
    <t xml:space="preserve">R$25.751.354,00</t>
  </si>
  <si>
    <t xml:space="preserve">R$2.765.023,19</t>
  </si>
  <si>
    <t xml:space="preserve">03/02/2010</t>
  </si>
  <si>
    <t xml:space="preserve">R$30.422,46</t>
  </si>
  <si>
    <t xml:space="preserve">R$500,83</t>
  </si>
  <si>
    <t xml:space="preserve">R$19.934.936,77</t>
  </si>
  <si>
    <t xml:space="preserve">R$30.139.020,00</t>
  </si>
  <si>
    <t xml:space="preserve">R$3.229.366,00</t>
  </si>
  <si>
    <t xml:space="preserve">06/02/2010</t>
  </si>
  <si>
    <t xml:space="preserve">R$20.457,88</t>
  </si>
  <si>
    <t xml:space="preserve">R$395,94</t>
  </si>
  <si>
    <t xml:space="preserve">R$23.741.179,41</t>
  </si>
  <si>
    <t xml:space="preserve">R$35.293.022,00</t>
  </si>
  <si>
    <t xml:space="preserve">R$3.773.114,97</t>
  </si>
  <si>
    <t xml:space="preserve">10/02/2010</t>
  </si>
  <si>
    <t xml:space="preserve">R$21.940,52</t>
  </si>
  <si>
    <t xml:space="preserve">R$450,75</t>
  </si>
  <si>
    <t xml:space="preserve">R$27.742.438,13</t>
  </si>
  <si>
    <t xml:space="preserve">R$37.101.290,00</t>
  </si>
  <si>
    <t xml:space="preserve">R$4.344.723,37</t>
  </si>
  <si>
    <t xml:space="preserve">13/02/2010</t>
  </si>
  <si>
    <t xml:space="preserve">R$16.706,38</t>
  </si>
  <si>
    <t xml:space="preserve">R$365,84</t>
  </si>
  <si>
    <t xml:space="preserve">R$32.297.124,60</t>
  </si>
  <si>
    <t xml:space="preserve">R$42.232.896,00</t>
  </si>
  <si>
    <t xml:space="preserve">R$34.000.000,00</t>
  </si>
  <si>
    <t xml:space="preserve">R$4.995.392,88</t>
  </si>
  <si>
    <t xml:space="preserve">17/02/2010</t>
  </si>
  <si>
    <t xml:space="preserve">R$10.837,51</t>
  </si>
  <si>
    <t xml:space="preserve">R$266,02</t>
  </si>
  <si>
    <t xml:space="preserve">R$46.695.017,02</t>
  </si>
  <si>
    <t xml:space="preserve">R$26.100.894,00</t>
  </si>
  <si>
    <t xml:space="preserve">R$5.397.521,51</t>
  </si>
  <si>
    <t xml:space="preserve">20/02/2010</t>
  </si>
  <si>
    <t xml:space="preserve">R$47.668,53</t>
  </si>
  <si>
    <t xml:space="preserve">R$853,89</t>
  </si>
  <si>
    <t xml:space="preserve">R$53.368.610,37</t>
  </si>
  <si>
    <t xml:space="preserve">R$61.880.258,00</t>
  </si>
  <si>
    <t xml:space="preserve">R$61.000.000,00</t>
  </si>
  <si>
    <t xml:space="preserve">R$6.350.892,01</t>
  </si>
  <si>
    <t xml:space="preserve">24/02/2010</t>
  </si>
  <si>
    <t xml:space="preserve">R$21.432,57</t>
  </si>
  <si>
    <t xml:space="preserve">R$416,97</t>
  </si>
  <si>
    <t xml:space="preserve">R$61.659.631,20</t>
  </si>
  <si>
    <t xml:space="preserve">R$76.877.700,00</t>
  </si>
  <si>
    <t xml:space="preserve">R$70.000.000,00</t>
  </si>
  <si>
    <t xml:space="preserve">R$7.535.323,58</t>
  </si>
  <si>
    <t xml:space="preserve">27/02/2010</t>
  </si>
  <si>
    <t xml:space="preserve">BRASÍLIA/DF; CONSELHEIRO LAFAIETE/MG; JUNDIAÍ/SP; SÃO PAULO/SP</t>
  </si>
  <si>
    <t xml:space="preserve">R$18.179.694,01</t>
  </si>
  <si>
    <t xml:space="preserve">R$24.207,80</t>
  </si>
  <si>
    <t xml:space="preserve">R$449,52</t>
  </si>
  <si>
    <t xml:space="preserve">R$102.544.866,00</t>
  </si>
  <si>
    <t xml:space="preserve">R$9.115.201,42</t>
  </si>
  <si>
    <t xml:space="preserve">03/03/2010</t>
  </si>
  <si>
    <t xml:space="preserve">R$33.658,71</t>
  </si>
  <si>
    <t xml:space="preserve">R$748,23</t>
  </si>
  <si>
    <t xml:space="preserve">R$2.356.109,85</t>
  </si>
  <si>
    <t xml:space="preserve">R$21.846.804,00</t>
  </si>
  <si>
    <t xml:space="preserve">R$9.451.788,55</t>
  </si>
  <si>
    <t xml:space="preserve">06/03/2010</t>
  </si>
  <si>
    <t xml:space="preserve">R$23.949,93</t>
  </si>
  <si>
    <t xml:space="preserve">R$322,94</t>
  </si>
  <si>
    <t xml:space="preserve">R$25.368.068,86</t>
  </si>
  <si>
    <t xml:space="preserve">R$29.453.948,00</t>
  </si>
  <si>
    <t xml:space="preserve">R$9.905.576,66</t>
  </si>
  <si>
    <t xml:space="preserve">10/03/2010</t>
  </si>
  <si>
    <t xml:space="preserve">RECIFE/PE</t>
  </si>
  <si>
    <t xml:space="preserve">R$29.887.804,73</t>
  </si>
  <si>
    <t xml:space="preserve">R$20.792,97</t>
  </si>
  <si>
    <t xml:space="preserve">R$333,69</t>
  </si>
  <si>
    <t xml:space="preserve">R$41.908.820,00</t>
  </si>
  <si>
    <t xml:space="preserve">R$10.551.253,23</t>
  </si>
  <si>
    <t xml:space="preserve">13/03/2010</t>
  </si>
  <si>
    <t xml:space="preserve">R$30.752,91</t>
  </si>
  <si>
    <t xml:space="preserve">R$448,29</t>
  </si>
  <si>
    <t xml:space="preserve">R$2.435.954,08</t>
  </si>
  <si>
    <t xml:space="preserve">R$22.587.152,00</t>
  </si>
  <si>
    <t xml:space="preserve">R$10.899.246,69</t>
  </si>
  <si>
    <t xml:space="preserve">17/03/2010</t>
  </si>
  <si>
    <t xml:space="preserve">R$32.527,61</t>
  </si>
  <si>
    <t xml:space="preserve">R$604,02</t>
  </si>
  <si>
    <t xml:space="preserve">R$5.012.483,34</t>
  </si>
  <si>
    <t xml:space="preserve">R$23.890.622,00</t>
  </si>
  <si>
    <t xml:space="preserve">R$11.267.322,32</t>
  </si>
  <si>
    <t xml:space="preserve">20/03/2010</t>
  </si>
  <si>
    <t xml:space="preserve">R$23.479,92</t>
  </si>
  <si>
    <t xml:space="preserve">R$395,46</t>
  </si>
  <si>
    <t xml:space="preserve">R$8.126.662,78</t>
  </si>
  <si>
    <t xml:space="preserve">R$28.875.932,00</t>
  </si>
  <si>
    <t xml:space="preserve">R$11.712.205,12</t>
  </si>
  <si>
    <t xml:space="preserve">24/03/2010</t>
  </si>
  <si>
    <t xml:space="preserve">R$30.323,49</t>
  </si>
  <si>
    <t xml:space="preserve">R$471,50</t>
  </si>
  <si>
    <t xml:space="preserve">R$21.170.174,38</t>
  </si>
  <si>
    <t xml:space="preserve">R$29.005.080,00</t>
  </si>
  <si>
    <t xml:space="preserve">R$12.159.077,66</t>
  </si>
  <si>
    <t xml:space="preserve">27/03/2010</t>
  </si>
  <si>
    <t xml:space="preserve">R$31.855,07</t>
  </si>
  <si>
    <t xml:space="preserve">R$812,00</t>
  </si>
  <si>
    <t xml:space="preserve">R$25.277.800,98</t>
  </si>
  <si>
    <t xml:space="preserve">R$38.087.576,00</t>
  </si>
  <si>
    <t xml:space="preserve">R$12.745.881,47</t>
  </si>
  <si>
    <t xml:space="preserve">31/03/2010</t>
  </si>
  <si>
    <t xml:space="preserve">R$27.930,00</t>
  </si>
  <si>
    <t xml:space="preserve">R$552,47</t>
  </si>
  <si>
    <t xml:space="preserve">R$29.702.501,97</t>
  </si>
  <si>
    <t xml:space="preserve">R$41.027.618,00</t>
  </si>
  <si>
    <t xml:space="preserve">R$13.377.981,62</t>
  </si>
  <si>
    <t xml:space="preserve">03/04/2010</t>
  </si>
  <si>
    <t xml:space="preserve">R$52.834,93</t>
  </si>
  <si>
    <t xml:space="preserve">R$764,86</t>
  </si>
  <si>
    <t xml:space="preserve">R$33.984.911,71</t>
  </si>
  <si>
    <t xml:space="preserve">R$39.708.236,00</t>
  </si>
  <si>
    <t xml:space="preserve">R$39.000.000,00</t>
  </si>
  <si>
    <t xml:space="preserve">R$13.989.754,45</t>
  </si>
  <si>
    <t xml:space="preserve">07/04/2010</t>
  </si>
  <si>
    <t xml:space="preserve">R$30.457,03</t>
  </si>
  <si>
    <t xml:space="preserve">R$503,63</t>
  </si>
  <si>
    <t xml:space="preserve">R$39.427.100,86</t>
  </si>
  <si>
    <t xml:space="preserve">R$50.462.180,00</t>
  </si>
  <si>
    <t xml:space="preserve">R$47.000.000,00</t>
  </si>
  <si>
    <t xml:space="preserve">R$14.767.210,06</t>
  </si>
  <si>
    <t xml:space="preserve">10/04/2010</t>
  </si>
  <si>
    <t xml:space="preserve">TUPASSI/PR</t>
  </si>
  <si>
    <t xml:space="preserve">R$46.206.248,49</t>
  </si>
  <si>
    <t xml:space="preserve">R$20.559,27</t>
  </si>
  <si>
    <t xml:space="preserve">R$431,45</t>
  </si>
  <si>
    <t xml:space="preserve">R$62.859.000,00</t>
  </si>
  <si>
    <t xml:space="preserve">R$15.735.659,74</t>
  </si>
  <si>
    <t xml:space="preserve">14/04/2010</t>
  </si>
  <si>
    <t xml:space="preserve">R$19.095.125,12</t>
  </si>
  <si>
    <t xml:space="preserve">R$7.995,63</t>
  </si>
  <si>
    <t xml:space="preserve">R$242,34</t>
  </si>
  <si>
    <t xml:space="preserve">R$31.138.258,00</t>
  </si>
  <si>
    <t xml:space="preserve">R$16.215.397,51</t>
  </si>
  <si>
    <t xml:space="preserve">17/04/2010</t>
  </si>
  <si>
    <t xml:space="preserve">R$16.796,08</t>
  </si>
  <si>
    <t xml:space="preserve">R$337,88</t>
  </si>
  <si>
    <t xml:space="preserve">R$2.444.272,09</t>
  </si>
  <si>
    <t xml:space="preserve">R$22.664.280,00</t>
  </si>
  <si>
    <t xml:space="preserve">R$16.564.579,25</t>
  </si>
  <si>
    <t xml:space="preserve">20/04/2010</t>
  </si>
  <si>
    <t xml:space="preserve">R$12.059,64</t>
  </si>
  <si>
    <t xml:space="preserve">R$240,83</t>
  </si>
  <si>
    <t xml:space="preserve">R$4.443.633,49</t>
  </si>
  <si>
    <t xml:space="preserve">R$18.538.888,00</t>
  </si>
  <si>
    <t xml:space="preserve">R$16.850.202,32</t>
  </si>
  <si>
    <t xml:space="preserve">24/04/2010</t>
  </si>
  <si>
    <t xml:space="preserve">R$11.754,52</t>
  </si>
  <si>
    <t xml:space="preserve">R$244,40</t>
  </si>
  <si>
    <t xml:space="preserve">R$7.475.062,00</t>
  </si>
  <si>
    <t xml:space="preserve">R$28.108.632,00</t>
  </si>
  <si>
    <t xml:space="preserve">R$17.283.263,55</t>
  </si>
  <si>
    <t xml:space="preserve">28/04/2010</t>
  </si>
  <si>
    <t xml:space="preserve">R$44.358,87</t>
  </si>
  <si>
    <t xml:space="preserve">R$576,91</t>
  </si>
  <si>
    <t xml:space="preserve">R$19.341.429,43</t>
  </si>
  <si>
    <t xml:space="preserve">R$28.791.936,00</t>
  </si>
  <si>
    <t xml:space="preserve">R$17.726.852,25</t>
  </si>
  <si>
    <t xml:space="preserve">ATENÇÃO! DEVIDO AO FERIADO DE 1º DE MAIO, O CONCURSO 1175 FOI ANTECIPADO PARA SEXTA-FEIRA, DIA 30/04/2010.</t>
  </si>
  <si>
    <t xml:space="preserve">30/04/2010</t>
  </si>
  <si>
    <t xml:space="preserve">R$23.254,42</t>
  </si>
  <si>
    <t xml:space="preserve">R$367,63</t>
  </si>
  <si>
    <t xml:space="preserve">R$22.639.885,13</t>
  </si>
  <si>
    <t xml:space="preserve">R$30.584.616,00</t>
  </si>
  <si>
    <t xml:space="preserve">R$18.198.060,21</t>
  </si>
  <si>
    <t xml:space="preserve">05/05/2010</t>
  </si>
  <si>
    <t xml:space="preserve">R$23.255,21</t>
  </si>
  <si>
    <t xml:space="preserve">R$459,22</t>
  </si>
  <si>
    <t xml:space="preserve">R$27.009.415,74</t>
  </si>
  <si>
    <t xml:space="preserve">R$40.516.056,00</t>
  </si>
  <si>
    <t xml:space="preserve">R$18.822.278,89</t>
  </si>
  <si>
    <t xml:space="preserve">08/05/2010</t>
  </si>
  <si>
    <t xml:space="preserve">R$32.015.488,03</t>
  </si>
  <si>
    <t xml:space="preserve">R$34.840,80</t>
  </si>
  <si>
    <t xml:space="preserve">R$619,27</t>
  </si>
  <si>
    <t xml:space="preserve">R$46.418.328,00</t>
  </si>
  <si>
    <t xml:space="preserve">R$19.537.432,09</t>
  </si>
  <si>
    <t xml:space="preserve">12/05/2010</t>
  </si>
  <si>
    <t xml:space="preserve">R$42.621,06</t>
  </si>
  <si>
    <t xml:space="preserve">R$705,56</t>
  </si>
  <si>
    <t xml:space="preserve">R$2.119.836,94</t>
  </si>
  <si>
    <t xml:space="preserve">R$19.655.986,00</t>
  </si>
  <si>
    <t xml:space="preserve">R$19.840.265,97</t>
  </si>
  <si>
    <t xml:space="preserve">15/05/2010</t>
  </si>
  <si>
    <t xml:space="preserve">R$15.119,91</t>
  </si>
  <si>
    <t xml:space="preserve">R$370,92</t>
  </si>
  <si>
    <t xml:space="preserve">R$15.909.470,94</t>
  </si>
  <si>
    <t xml:space="preserve">R$25.567.678,00</t>
  </si>
  <si>
    <t xml:space="preserve">R$20.234.179,49</t>
  </si>
  <si>
    <t xml:space="preserve">19/05/2010</t>
  </si>
  <si>
    <t xml:space="preserve">R$27.747,38</t>
  </si>
  <si>
    <t xml:space="preserve">R$536,07</t>
  </si>
  <si>
    <t xml:space="preserve">R$19.487.422,20</t>
  </si>
  <si>
    <t xml:space="preserve">R$33.176.212,00</t>
  </si>
  <si>
    <t xml:space="preserve">R$20.745.315,40</t>
  </si>
  <si>
    <t xml:space="preserve">22/05/2010</t>
  </si>
  <si>
    <t xml:space="preserve">R$35.528,46</t>
  </si>
  <si>
    <t xml:space="preserve">R$570,18</t>
  </si>
  <si>
    <t xml:space="preserve">R$23.872.382,69</t>
  </si>
  <si>
    <t xml:space="preserve">R$40.659.128,00</t>
  </si>
  <si>
    <t xml:space="preserve">R$21.371.738,34</t>
  </si>
  <si>
    <t xml:space="preserve">26/05/2010</t>
  </si>
  <si>
    <t xml:space="preserve">R$29.243,72</t>
  </si>
  <si>
    <t xml:space="preserve">R$478,64</t>
  </si>
  <si>
    <t xml:space="preserve">R$28.289.723,98</t>
  </si>
  <si>
    <t xml:space="preserve">R$40.959.376,00</t>
  </si>
  <si>
    <t xml:space="preserve">R$22.002.787,10</t>
  </si>
  <si>
    <t xml:space="preserve">29/05/2010</t>
  </si>
  <si>
    <t xml:space="preserve">RIO DE JANEIRO/RJ; SÃO BERNARDO DO CAMPO/SP; SÃO PAULO/SP</t>
  </si>
  <si>
    <t xml:space="preserve">R$8.393.631,32</t>
  </si>
  <si>
    <t xml:space="preserve">R$5.264,03</t>
  </si>
  <si>
    <t xml:space="preserve">R$186,73</t>
  </si>
  <si>
    <t xml:space="preserve">R$49.002.816,00</t>
  </si>
  <si>
    <t xml:space="preserve">R$22.757.758,73</t>
  </si>
  <si>
    <t xml:space="preserve">02/06/2010</t>
  </si>
  <si>
    <t xml:space="preserve">R$8.850,14</t>
  </si>
  <si>
    <t xml:space="preserve">R$230,75</t>
  </si>
  <si>
    <t xml:space="preserve">R$14.661.502,87</t>
  </si>
  <si>
    <t xml:space="preserve">R$20.256.366,00</t>
  </si>
  <si>
    <t xml:space="preserve">R$23.069.842,46</t>
  </si>
  <si>
    <t xml:space="preserve">05/06/2010</t>
  </si>
  <si>
    <t xml:space="preserve">R$17.861,30</t>
  </si>
  <si>
    <t xml:space="preserve">R$439,69</t>
  </si>
  <si>
    <t xml:space="preserve">R$17.820.133,57</t>
  </si>
  <si>
    <t xml:space="preserve">R$29.288.102,00</t>
  </si>
  <si>
    <t xml:space="preserve">R$23.521.075,43</t>
  </si>
  <si>
    <t xml:space="preserve">09/06/2010</t>
  </si>
  <si>
    <t xml:space="preserve">R$21.726.964,78</t>
  </si>
  <si>
    <t xml:space="preserve">R$10.820,67</t>
  </si>
  <si>
    <t xml:space="preserve">R$249,85</t>
  </si>
  <si>
    <t xml:space="preserve">R$36.225.720,00</t>
  </si>
  <si>
    <t xml:space="preserve">R$24.079.194,19</t>
  </si>
  <si>
    <t xml:space="preserve">12/06/2010</t>
  </si>
  <si>
    <t xml:space="preserve">R$29.259,35</t>
  </si>
  <si>
    <t xml:space="preserve">R$437,46</t>
  </si>
  <si>
    <t xml:space="preserve">R$2.263.749,35</t>
  </si>
  <si>
    <t xml:space="preserve">R$20.990.400,00</t>
  </si>
  <si>
    <t xml:space="preserve">R$24.402.586,97</t>
  </si>
  <si>
    <t xml:space="preserve">16/06/2010</t>
  </si>
  <si>
    <t xml:space="preserve">R$37.874,46</t>
  </si>
  <si>
    <t xml:space="preserve">R$547,21</t>
  </si>
  <si>
    <t xml:space="preserve">R$4.496.348,84</t>
  </si>
  <si>
    <t xml:space="preserve">R$20.701.566,00</t>
  </si>
  <si>
    <t xml:space="preserve">R$24.721.529,75</t>
  </si>
  <si>
    <t xml:space="preserve">19/06/2010</t>
  </si>
  <si>
    <t xml:space="preserve">R$34.335,73</t>
  </si>
  <si>
    <t xml:space="preserve">R$531,06</t>
  </si>
  <si>
    <t xml:space="preserve">R$16.296.089,09</t>
  </si>
  <si>
    <t xml:space="preserve">R$25.805.114,00</t>
  </si>
  <si>
    <t xml:space="preserve">R$25.119.101,38</t>
  </si>
  <si>
    <t xml:space="preserve">23/06/2010</t>
  </si>
  <si>
    <t xml:space="preserve">SÃO GONÇALO DO RIO ABAIXO/MG; CARLÓPOLIS/PR</t>
  </si>
  <si>
    <t xml:space="preserve">R$9.806.336,06</t>
  </si>
  <si>
    <t xml:space="preserve">R$12.331,72</t>
  </si>
  <si>
    <t xml:space="preserve">R$354,22</t>
  </si>
  <si>
    <t xml:space="preserve">R$30.752.700,00</t>
  </si>
  <si>
    <t xml:space="preserve">R$25.592.898,97</t>
  </si>
  <si>
    <t xml:space="preserve">26/06/2010</t>
  </si>
  <si>
    <t xml:space="preserve">R$7.708,45</t>
  </si>
  <si>
    <t xml:space="preserve">R$232,89</t>
  </si>
  <si>
    <t xml:space="preserve">R$1.959.568,05</t>
  </si>
  <si>
    <t xml:space="preserve">R$18.169.908,00</t>
  </si>
  <si>
    <t xml:space="preserve">R$25.872.837,29</t>
  </si>
  <si>
    <t xml:space="preserve">30/06/2010</t>
  </si>
  <si>
    <t xml:space="preserve">R$33.493,09</t>
  </si>
  <si>
    <t xml:space="preserve">R$604,53</t>
  </si>
  <si>
    <t xml:space="preserve">R$4.057.292,71</t>
  </si>
  <si>
    <t xml:space="preserve">R$19.450.952,00</t>
  </si>
  <si>
    <t xml:space="preserve">R$6.500.000,00</t>
  </si>
  <si>
    <t xml:space="preserve">R$26.172.512,25</t>
  </si>
  <si>
    <t xml:space="preserve">03/07/2010</t>
  </si>
  <si>
    <t xml:space="preserve">R$18.268,32</t>
  </si>
  <si>
    <t xml:space="preserve">R$321,47</t>
  </si>
  <si>
    <t xml:space="preserve">R$6.480.249,51</t>
  </si>
  <si>
    <t xml:space="preserve">R$22.466.636,00</t>
  </si>
  <si>
    <t xml:space="preserve">R$26.518.648,95</t>
  </si>
  <si>
    <t xml:space="preserve">07/07/2010</t>
  </si>
  <si>
    <t xml:space="preserve">R$27.420,66</t>
  </si>
  <si>
    <t xml:space="preserve">R$468,92</t>
  </si>
  <si>
    <t xml:space="preserve">R$17.080.404,23</t>
  </si>
  <si>
    <t xml:space="preserve">R$25.291.720,00</t>
  </si>
  <si>
    <t xml:space="preserve">R$26.908.310,87</t>
  </si>
  <si>
    <t xml:space="preserve">10/07/2010</t>
  </si>
  <si>
    <t xml:space="preserve">MOMBAÇA/CE</t>
  </si>
  <si>
    <t xml:space="preserve">R$20.642.817,77</t>
  </si>
  <si>
    <t xml:space="preserve">R$30.696,54</t>
  </si>
  <si>
    <t xml:space="preserve">R$621,10</t>
  </si>
  <si>
    <t xml:space="preserve">R$33.032.140,00</t>
  </si>
  <si>
    <t xml:space="preserve">R$27.417.227,11</t>
  </si>
  <si>
    <t xml:space="preserve">14/07/2010</t>
  </si>
  <si>
    <t xml:space="preserve">R$12.208,59</t>
  </si>
  <si>
    <t xml:space="preserve">R$291,48</t>
  </si>
  <si>
    <t xml:space="preserve">R$1.911.607,90</t>
  </si>
  <si>
    <t xml:space="preserve">R$17.725.202,00</t>
  </si>
  <si>
    <t xml:space="preserve">R$27.690.313,98</t>
  </si>
  <si>
    <t xml:space="preserve">17/07/2010</t>
  </si>
  <si>
    <t xml:space="preserve">R$37.329,11</t>
  </si>
  <si>
    <t xml:space="preserve">R$701,14</t>
  </si>
  <si>
    <t xml:space="preserve">R$4.318.353,37</t>
  </si>
  <si>
    <t xml:space="preserve">R$22.316.318,00</t>
  </si>
  <si>
    <t xml:space="preserve">R$28.034.134,77</t>
  </si>
  <si>
    <t xml:space="preserve">21/07/2010</t>
  </si>
  <si>
    <t xml:space="preserve">R$26.438,48</t>
  </si>
  <si>
    <t xml:space="preserve">R$529,66</t>
  </si>
  <si>
    <t xml:space="preserve">R$6.850.881,31</t>
  </si>
  <si>
    <t xml:space="preserve">R$23.482.624,00</t>
  </si>
  <si>
    <t xml:space="preserve">R$9.500.000,00</t>
  </si>
  <si>
    <t xml:space="preserve">R$28.395.924,50</t>
  </si>
  <si>
    <t xml:space="preserve">24/07/2010</t>
  </si>
  <si>
    <t xml:space="preserve">R$22.554,66</t>
  </si>
  <si>
    <t xml:space="preserve">R$401,91</t>
  </si>
  <si>
    <t xml:space="preserve">R$18.200.523,70</t>
  </si>
  <si>
    <t xml:space="preserve">R$27.352.780,00</t>
  </si>
  <si>
    <t xml:space="preserve">R$28.817.340,54</t>
  </si>
  <si>
    <t xml:space="preserve">28/07/2010</t>
  </si>
  <si>
    <t xml:space="preserve">R$21.815.376,29</t>
  </si>
  <si>
    <t xml:space="preserve">R$21.564,27</t>
  </si>
  <si>
    <t xml:space="preserve">R$432,01</t>
  </si>
  <si>
    <t xml:space="preserve">R$33.518.376,00</t>
  </si>
  <si>
    <t xml:space="preserve">R$29.333.748,06</t>
  </si>
  <si>
    <t xml:space="preserve">31/07/2010</t>
  </si>
  <si>
    <t xml:space="preserve">R$16.653,27</t>
  </si>
  <si>
    <t xml:space="preserve">R$465,38</t>
  </si>
  <si>
    <t xml:space="preserve">R$2.055.364,13</t>
  </si>
  <si>
    <t xml:space="preserve">R$19.058.168,00</t>
  </si>
  <si>
    <t xml:space="preserve">R$29.627.371,53</t>
  </si>
  <si>
    <t xml:space="preserve">04/08/2010</t>
  </si>
  <si>
    <t xml:space="preserve">R$19.441,55</t>
  </si>
  <si>
    <t xml:space="preserve">R$417,10</t>
  </si>
  <si>
    <t xml:space="preserve">R$4.311.607,33</t>
  </si>
  <si>
    <t xml:space="preserve">R$20.920.800,00</t>
  </si>
  <si>
    <t xml:space="preserve">R$29.949.692,00</t>
  </si>
  <si>
    <t xml:space="preserve">07/08/2010</t>
  </si>
  <si>
    <t xml:space="preserve">R$14.840,80</t>
  </si>
  <si>
    <t xml:space="preserve">R$341,95</t>
  </si>
  <si>
    <t xml:space="preserve">R$7.018.099,86</t>
  </si>
  <si>
    <t xml:space="preserve">R$25.095.694,00</t>
  </si>
  <si>
    <t xml:space="preserve">R$30.336.333,81</t>
  </si>
  <si>
    <t xml:space="preserve">11/08/2010</t>
  </si>
  <si>
    <t xml:space="preserve">R$16.192,71</t>
  </si>
  <si>
    <t xml:space="preserve">R$332,31</t>
  </si>
  <si>
    <t xml:space="preserve">R$18.316.592,66</t>
  </si>
  <si>
    <t xml:space="preserve">R$26.275.440,00</t>
  </si>
  <si>
    <t xml:space="preserve">R$30.741.151,60</t>
  </si>
  <si>
    <t xml:space="preserve">14/08/2010</t>
  </si>
  <si>
    <t xml:space="preserve">R$15.034,23</t>
  </si>
  <si>
    <t xml:space="preserve">R$313,97</t>
  </si>
  <si>
    <t xml:space="preserve">R$22.221.535,91</t>
  </si>
  <si>
    <t xml:space="preserve">R$36.208.214,00</t>
  </si>
  <si>
    <t xml:space="preserve">R$31.299.000,65</t>
  </si>
  <si>
    <t xml:space="preserve">18/08/2010</t>
  </si>
  <si>
    <t xml:space="preserve">R$20.172,50</t>
  </si>
  <si>
    <t xml:space="preserve">R$378,55</t>
  </si>
  <si>
    <t xml:space="preserve">R$26.383.440,55</t>
  </si>
  <si>
    <t xml:space="preserve">R$38.590.864,00</t>
  </si>
  <si>
    <t xml:space="preserve">R$31.000.000,00</t>
  </si>
  <si>
    <t xml:space="preserve">R$31.893.558,47</t>
  </si>
  <si>
    <t xml:space="preserve">21/08/2010</t>
  </si>
  <si>
    <t xml:space="preserve">R$24.942,19</t>
  </si>
  <si>
    <t xml:space="preserve">R$459,37</t>
  </si>
  <si>
    <t xml:space="preserve">R$31.345.622,39</t>
  </si>
  <si>
    <t xml:space="preserve">R$46.011.358,00</t>
  </si>
  <si>
    <t xml:space="preserve">R$37.000.000,00</t>
  </si>
  <si>
    <t xml:space="preserve">R$32.602.441,61</t>
  </si>
  <si>
    <t xml:space="preserve">25/08/2010</t>
  </si>
  <si>
    <t xml:space="preserve">R$24.276,47</t>
  </si>
  <si>
    <t xml:space="preserve">R$458,06</t>
  </si>
  <si>
    <t xml:space="preserve">R$36.935.598,02</t>
  </si>
  <si>
    <t xml:space="preserve">R$51.832.516,00</t>
  </si>
  <si>
    <t xml:space="preserve">R$43.000.000,00</t>
  </si>
  <si>
    <t xml:space="preserve">R$33.401.009,57</t>
  </si>
  <si>
    <t xml:space="preserve">28/08/2010</t>
  </si>
  <si>
    <t xml:space="preserve">R$14.955,49</t>
  </si>
  <si>
    <t xml:space="preserve">R$332,13</t>
  </si>
  <si>
    <t xml:space="preserve">R$59.900.458,51</t>
  </si>
  <si>
    <t xml:space="preserve">R$64.118.190,00</t>
  </si>
  <si>
    <t xml:space="preserve">R$34.388.859,20</t>
  </si>
  <si>
    <t xml:space="preserve">01/09/2010</t>
  </si>
  <si>
    <t xml:space="preserve">R$7.346,20</t>
  </si>
  <si>
    <t xml:space="preserve">R$181,40</t>
  </si>
  <si>
    <t xml:space="preserve">R$73.338.200,39</t>
  </si>
  <si>
    <t xml:space="preserve">R$124.600.180,00</t>
  </si>
  <si>
    <t xml:space="preserve">R$85.000.000,00</t>
  </si>
  <si>
    <t xml:space="preserve">R$36.308.536,62</t>
  </si>
  <si>
    <t xml:space="preserve">04/09/2010</t>
  </si>
  <si>
    <t xml:space="preserve">RIO DE JANEIRO/RJ; BOTUCATU/SP; MANDURI/SP; OSASCO/SP; PRAIA GRANDE/SP; Ribeirão Preto/SP; SÃO PAULO/SP</t>
  </si>
  <si>
    <t xml:space="preserve">R$13.217.564,89</t>
  </si>
  <si>
    <t xml:space="preserve">R$10.616,29</t>
  </si>
  <si>
    <t xml:space="preserve">R$336,88</t>
  </si>
  <si>
    <t xml:space="preserve">R$177.888.800,00</t>
  </si>
  <si>
    <t xml:space="preserve">R$39.049.215,76</t>
  </si>
  <si>
    <t xml:space="preserve">08/09/2010</t>
  </si>
  <si>
    <t xml:space="preserve">R$38.564,29</t>
  </si>
  <si>
    <t xml:space="preserve">R$663,18</t>
  </si>
  <si>
    <t xml:space="preserve">R$1.989.105,38</t>
  </si>
  <si>
    <t xml:space="preserve">R$18.443.790,00</t>
  </si>
  <si>
    <t xml:space="preserve">R$39.333.373,68</t>
  </si>
  <si>
    <t xml:space="preserve">11/09/2010</t>
  </si>
  <si>
    <t xml:space="preserve">R$14.827,50</t>
  </si>
  <si>
    <t xml:space="preserve">R$381,93</t>
  </si>
  <si>
    <t xml:space="preserve">R$5.020.939,63</t>
  </si>
  <si>
    <t xml:space="preserve">R$28.112.394,00</t>
  </si>
  <si>
    <t xml:space="preserve">R$39.766.492,87</t>
  </si>
  <si>
    <t xml:space="preserve">15/09/2010</t>
  </si>
  <si>
    <t xml:space="preserve">R$20.055,78</t>
  </si>
  <si>
    <t xml:space="preserve">R$378,07</t>
  </si>
  <si>
    <t xml:space="preserve">R$33.917.085,84</t>
  </si>
  <si>
    <t xml:space="preserve">R$29.803.386,00</t>
  </si>
  <si>
    <t xml:space="preserve">R$40.225.664,67</t>
  </si>
  <si>
    <t xml:space="preserve">18/09/2010</t>
  </si>
  <si>
    <t xml:space="preserve">R$21.544,81</t>
  </si>
  <si>
    <t xml:space="preserve">R$440,91</t>
  </si>
  <si>
    <t xml:space="preserve">R$39.632.131,51</t>
  </si>
  <si>
    <t xml:space="preserve">R$52.992.216,00</t>
  </si>
  <si>
    <t xml:space="preserve">R$46.000.000,00</t>
  </si>
  <si>
    <t xml:space="preserve">R$41.042.099,78</t>
  </si>
  <si>
    <t xml:space="preserve">22/09/2010</t>
  </si>
  <si>
    <t xml:space="preserve">R$6.029,59</t>
  </si>
  <si>
    <t xml:space="preserve">R$180,23</t>
  </si>
  <si>
    <t xml:space="preserve">R$45.796.594,37</t>
  </si>
  <si>
    <t xml:space="preserve">R$57.159.394,00</t>
  </si>
  <si>
    <t xml:space="preserve">R$53.000.000,00</t>
  </si>
  <si>
    <t xml:space="preserve">R$41.922.737,34</t>
  </si>
  <si>
    <t xml:space="preserve">25/09/2010</t>
  </si>
  <si>
    <t xml:space="preserve">R$15.239,05</t>
  </si>
  <si>
    <t xml:space="preserve">R$357,81</t>
  </si>
  <si>
    <t xml:space="preserve">R$53.263.730,31</t>
  </si>
  <si>
    <t xml:space="preserve">R$69.238.306,00</t>
  </si>
  <si>
    <t xml:space="preserve">R$42.989.471,06</t>
  </si>
  <si>
    <t xml:space="preserve">29/09/2010</t>
  </si>
  <si>
    <t xml:space="preserve">R$23.992,46</t>
  </si>
  <si>
    <t xml:space="preserve">R$418,27</t>
  </si>
  <si>
    <t xml:space="preserve">R$62.589.221,31</t>
  </si>
  <si>
    <t xml:space="preserve">R$86.469.726,00</t>
  </si>
  <si>
    <t xml:space="preserve">R$75.000.000,00</t>
  </si>
  <si>
    <t xml:space="preserve">R$44.321.684,07</t>
  </si>
  <si>
    <t xml:space="preserve">02/10/2010</t>
  </si>
  <si>
    <t xml:space="preserve">R$28.644,89</t>
  </si>
  <si>
    <t xml:space="preserve">R$502,40</t>
  </si>
  <si>
    <t xml:space="preserve">R$99.517.334,59</t>
  </si>
  <si>
    <t xml:space="preserve">R$107.640.740,00</t>
  </si>
  <si>
    <t xml:space="preserve">R$115.000.000,00</t>
  </si>
  <si>
    <t xml:space="preserve">R$45.980.072,51</t>
  </si>
  <si>
    <t xml:space="preserve">06/10/2010</t>
  </si>
  <si>
    <t xml:space="preserve">FONTOURA XAVIER/RS</t>
  </si>
  <si>
    <t xml:space="preserve">R$119.142.144,27</t>
  </si>
  <si>
    <t xml:space="preserve">R$28.258,54</t>
  </si>
  <si>
    <t xml:space="preserve">R$499,35</t>
  </si>
  <si>
    <t xml:space="preserve">R$181.969.176,00</t>
  </si>
  <si>
    <t xml:space="preserve">R$48.783.616,75</t>
  </si>
  <si>
    <t xml:space="preserve">09/10/2010</t>
  </si>
  <si>
    <t xml:space="preserve">R$15.007,28</t>
  </si>
  <si>
    <t xml:space="preserve">R$372,91</t>
  </si>
  <si>
    <t xml:space="preserve">R$2.819.788,93</t>
  </si>
  <si>
    <t xml:space="preserve">R$26.146.224,00</t>
  </si>
  <si>
    <t xml:space="preserve">R$49.186.443,74</t>
  </si>
  <si>
    <t xml:space="preserve">13/10/2010</t>
  </si>
  <si>
    <t xml:space="preserve">R$11.735,29</t>
  </si>
  <si>
    <t xml:space="preserve">R$273,97</t>
  </si>
  <si>
    <t xml:space="preserve">R$5.435.524,20</t>
  </si>
  <si>
    <t xml:space="preserve">R$24.254.156,00</t>
  </si>
  <si>
    <t xml:space="preserve">R$49.560.120,23</t>
  </si>
  <si>
    <t xml:space="preserve">16/10/2010</t>
  </si>
  <si>
    <t xml:space="preserve">R$5.816,15</t>
  </si>
  <si>
    <t xml:space="preserve">R$316,07</t>
  </si>
  <si>
    <t xml:space="preserve">R$9.271.123,19</t>
  </si>
  <si>
    <t xml:space="preserve">R$35.565.226,00</t>
  </si>
  <si>
    <t xml:space="preserve">R$50.108.062,95</t>
  </si>
  <si>
    <t xml:space="preserve">20/10/2010</t>
  </si>
  <si>
    <t xml:space="preserve">CARAPICUIBA/SP</t>
  </si>
  <si>
    <t xml:space="preserve">R$13.344.577,42</t>
  </si>
  <si>
    <t xml:space="preserve">R$17.833,09</t>
  </si>
  <si>
    <t xml:space="preserve">R$460,02</t>
  </si>
  <si>
    <t xml:space="preserve">R$37.770.716,00</t>
  </si>
  <si>
    <t xml:space="preserve">R$50.689.985,00</t>
  </si>
  <si>
    <t xml:space="preserve">23/10/2010</t>
  </si>
  <si>
    <t xml:space="preserve">BELO HORIZONTE/MG</t>
  </si>
  <si>
    <t xml:space="preserve">R$24.970.852,82</t>
  </si>
  <si>
    <t xml:space="preserve">R$64.045,66</t>
  </si>
  <si>
    <t xml:space="preserve">R$861,11</t>
  </si>
  <si>
    <t xml:space="preserve">R$39.382.110,00</t>
  </si>
  <si>
    <t xml:space="preserve">R$51.296.733,30</t>
  </si>
  <si>
    <t xml:space="preserve">27/10/2010</t>
  </si>
  <si>
    <t xml:space="preserve">R$22.714,31</t>
  </si>
  <si>
    <t xml:space="preserve">R$186,50</t>
  </si>
  <si>
    <t xml:space="preserve">R$2.385.002,68</t>
  </si>
  <si>
    <t xml:space="preserve">R$22.114.710,00</t>
  </si>
  <si>
    <t xml:space="preserve">R$51.637.447,99</t>
  </si>
  <si>
    <t xml:space="preserve">30/10/2010</t>
  </si>
  <si>
    <t xml:space="preserve">FORTALEZA/CE</t>
  </si>
  <si>
    <t xml:space="preserve">R$5.445.377,96</t>
  </si>
  <si>
    <t xml:space="preserve">R$3.588,23</t>
  </si>
  <si>
    <t xml:space="preserve">R$447,71</t>
  </si>
  <si>
    <t xml:space="preserve">R$28.377.038,00</t>
  </si>
  <si>
    <t xml:space="preserve">R$52.074.644,47</t>
  </si>
  <si>
    <t xml:space="preserve">03/11/2010</t>
  </si>
  <si>
    <t xml:space="preserve">R$24.741,50</t>
  </si>
  <si>
    <t xml:space="preserve">R$498,30</t>
  </si>
  <si>
    <t xml:space="preserve">R$1.959.787,41</t>
  </si>
  <si>
    <t xml:space="preserve">R$18.171.942,00</t>
  </si>
  <si>
    <t xml:space="preserve">R$52.354.614,11</t>
  </si>
  <si>
    <t xml:space="preserve">06/11/2010</t>
  </si>
  <si>
    <t xml:space="preserve">R$38.879,24</t>
  </si>
  <si>
    <t xml:space="preserve">R$825,16</t>
  </si>
  <si>
    <t xml:space="preserve">R$14.182.939,00</t>
  </si>
  <si>
    <t xml:space="preserve">R$27.891.626,00</t>
  </si>
  <si>
    <t xml:space="preserve">R$52.784.332,00</t>
  </si>
  <si>
    <t xml:space="preserve">10/11/2010</t>
  </si>
  <si>
    <t xml:space="preserve">R$18.549,80</t>
  </si>
  <si>
    <t xml:space="preserve">R$314,38</t>
  </si>
  <si>
    <t xml:space="preserve">R$17.941.713,91</t>
  </si>
  <si>
    <t xml:space="preserve">R$34.852.882,00</t>
  </si>
  <si>
    <t xml:space="preserve">R$53.321.299,85</t>
  </si>
  <si>
    <t xml:space="preserve">13/11/2010</t>
  </si>
  <si>
    <t xml:space="preserve">R$22.383.261,66</t>
  </si>
  <si>
    <t xml:space="preserve">R$14.975,94</t>
  </si>
  <si>
    <t xml:space="preserve">R$345,79</t>
  </si>
  <si>
    <t xml:space="preserve">R$41.183.828,00</t>
  </si>
  <si>
    <t xml:space="preserve">R$53.955.806,69</t>
  </si>
  <si>
    <t xml:space="preserve">17/11/2010</t>
  </si>
  <si>
    <t xml:space="preserve">R$6.658,40</t>
  </si>
  <si>
    <t xml:space="preserve">R$207,68</t>
  </si>
  <si>
    <t xml:space="preserve">R$1.974.742,97</t>
  </si>
  <si>
    <t xml:space="preserve">R$18.310.616,00</t>
  </si>
  <si>
    <t xml:space="preserve">R$54.237.912,84</t>
  </si>
  <si>
    <t xml:space="preserve">20/11/2010</t>
  </si>
  <si>
    <t xml:space="preserve">R$43.459,53</t>
  </si>
  <si>
    <t xml:space="preserve">R$670,20</t>
  </si>
  <si>
    <t xml:space="preserve">R$4.616.624,43</t>
  </si>
  <si>
    <t xml:space="preserve">R$24.496.594,00</t>
  </si>
  <si>
    <t xml:space="preserve">R$54.615.324,50</t>
  </si>
  <si>
    <t xml:space="preserve">24/11/2010</t>
  </si>
  <si>
    <t xml:space="preserve">R$12.853,80</t>
  </si>
  <si>
    <t xml:space="preserve">R$242,09</t>
  </si>
  <si>
    <t xml:space="preserve">R$17.300.360,17</t>
  </si>
  <si>
    <t xml:space="preserve">R$26.346.304,00</t>
  </si>
  <si>
    <t xml:space="preserve">R$55.021.234,06</t>
  </si>
  <si>
    <t xml:space="preserve">27/11/2010</t>
  </si>
  <si>
    <t xml:space="preserve">R$25.186,56</t>
  </si>
  <si>
    <t xml:space="preserve">R$495,42</t>
  </si>
  <si>
    <t xml:space="preserve">R$21.151.251,64</t>
  </si>
  <si>
    <t xml:space="preserve">R$35.707.024,00</t>
  </si>
  <si>
    <t xml:space="preserve">R$55.571.361,42</t>
  </si>
  <si>
    <t xml:space="preserve">01/12/2010</t>
  </si>
  <si>
    <t xml:space="preserve">R$16.352,70</t>
  </si>
  <si>
    <t xml:space="preserve">R$342,72</t>
  </si>
  <si>
    <t xml:space="preserve">R$25.248.033,37</t>
  </si>
  <si>
    <t xml:space="preserve">R$37.987.018,00</t>
  </si>
  <si>
    <t xml:space="preserve">R$56.156.615,97</t>
  </si>
  <si>
    <t xml:space="preserve">04/12/2010</t>
  </si>
  <si>
    <t xml:space="preserve">SERINGUEIRAS/RO</t>
  </si>
  <si>
    <t xml:space="preserve">R$30.150.521,09</t>
  </si>
  <si>
    <t xml:space="preserve">R$20.161,75</t>
  </si>
  <si>
    <t xml:space="preserve">R$408,67</t>
  </si>
  <si>
    <t xml:space="preserve">R$45.457.850,00</t>
  </si>
  <si>
    <t xml:space="preserve">R$56.856.971,38</t>
  </si>
  <si>
    <t xml:space="preserve">08/12/2010</t>
  </si>
  <si>
    <t xml:space="preserve">R$28.938,22</t>
  </si>
  <si>
    <t xml:space="preserve">R$553,00</t>
  </si>
  <si>
    <t xml:space="preserve">R$2.185.597,01</t>
  </si>
  <si>
    <t xml:space="preserve">R$20.265.740,00</t>
  </si>
  <si>
    <t xml:space="preserve">R$57.169.199,54</t>
  </si>
  <si>
    <t xml:space="preserve">11/12/2010</t>
  </si>
  <si>
    <t xml:space="preserve">R$27.226,64</t>
  </si>
  <si>
    <t xml:space="preserve">R$584,35</t>
  </si>
  <si>
    <t xml:space="preserve">R$16.292.399,49</t>
  </si>
  <si>
    <t xml:space="preserve">R$26.507.920,00</t>
  </si>
  <si>
    <t xml:space="preserve">R$57.577.599,08</t>
  </si>
  <si>
    <t xml:space="preserve">15/12/2010</t>
  </si>
  <si>
    <t xml:space="preserve">R$15.840,70</t>
  </si>
  <si>
    <t xml:space="preserve">R$337,10</t>
  </si>
  <si>
    <t xml:space="preserve">R$19.881.568,56</t>
  </si>
  <si>
    <t xml:space="preserve">R$33.280.228,00</t>
  </si>
  <si>
    <t xml:space="preserve">R$58.090.337,54</t>
  </si>
  <si>
    <t xml:space="preserve">18/12/2010</t>
  </si>
  <si>
    <t xml:space="preserve">R$12.479,72</t>
  </si>
  <si>
    <t xml:space="preserve">R$257,00</t>
  </si>
  <si>
    <t xml:space="preserve">R$24.042.571,82</t>
  </si>
  <si>
    <t xml:space="preserve">R$38.582.506,00</t>
  </si>
  <si>
    <t xml:space="preserve">R$58.684.766,59</t>
  </si>
  <si>
    <t xml:space="preserve">20/12/2010</t>
  </si>
  <si>
    <t xml:space="preserve">R$46.855,32</t>
  </si>
  <si>
    <t xml:space="preserve">R$621,59</t>
  </si>
  <si>
    <t xml:space="preserve">R$25.682.508,00</t>
  </si>
  <si>
    <t xml:space="preserve">R$15.206.152,00</t>
  </si>
  <si>
    <t xml:space="preserve">R$58.919.043,21</t>
  </si>
  <si>
    <t xml:space="preserve">22/12/2010</t>
  </si>
  <si>
    <t xml:space="preserve">R$15.365,51</t>
  </si>
  <si>
    <t xml:space="preserve">R$363,18</t>
  </si>
  <si>
    <t xml:space="preserve">R$29.616.886,54</t>
  </si>
  <si>
    <t xml:space="preserve">R$36.481.150,00</t>
  </si>
  <si>
    <t xml:space="preserve">R$59.481.097,30</t>
  </si>
  <si>
    <t xml:space="preserve">24/12/2010</t>
  </si>
  <si>
    <t xml:space="preserve">R$16.432,85</t>
  </si>
  <si>
    <t xml:space="preserve">R$320,59</t>
  </si>
  <si>
    <t xml:space="preserve">R$104.122.626,00</t>
  </si>
  <si>
    <t xml:space="preserve">R$34.804.982,00</t>
  </si>
  <si>
    <t xml:space="preserve">R$200.000.000,00</t>
  </si>
  <si>
    <t xml:space="preserve">31/12/2010</t>
  </si>
  <si>
    <t xml:space="preserve">CARIACICA/ES; BELO HORIZONTE/MG; FAZENDA RIO GRANDE/PR; PINHAIS/PR</t>
  </si>
  <si>
    <t xml:space="preserve">R$48.598.800,01</t>
  </si>
  <si>
    <t xml:space="preserve">R$17.722,09</t>
  </si>
  <si>
    <t xml:space="preserve">R$416,34</t>
  </si>
  <si>
    <t xml:space="preserve">R$472.524.744,00</t>
  </si>
  <si>
    <t xml:space="preserve">05/01/2011</t>
  </si>
  <si>
    <t xml:space="preserve">R$25.351,73</t>
  </si>
  <si>
    <t xml:space="preserve">R$422,94</t>
  </si>
  <si>
    <t xml:space="preserve">R$2.148.225,48</t>
  </si>
  <si>
    <t xml:space="preserve">R$19.919.216,00</t>
  </si>
  <si>
    <t xml:space="preserve">R$4.700.000,00</t>
  </si>
  <si>
    <t xml:space="preserve">R$306.889,37</t>
  </si>
  <si>
    <t xml:space="preserve">08/01/2011</t>
  </si>
  <si>
    <t xml:space="preserve">R$9.098,41</t>
  </si>
  <si>
    <t xml:space="preserve">R$223,37</t>
  </si>
  <si>
    <t xml:space="preserve">R$4.896.902,11</t>
  </si>
  <si>
    <t xml:space="preserve">R$25.486.842,00</t>
  </si>
  <si>
    <t xml:space="preserve">R$699.557,47</t>
  </si>
  <si>
    <t xml:space="preserve">12/01/2011</t>
  </si>
  <si>
    <t xml:space="preserve">R$18.318,69</t>
  </si>
  <si>
    <t xml:space="preserve">R$587,31</t>
  </si>
  <si>
    <t xml:space="preserve">R$7.798.968,50</t>
  </si>
  <si>
    <t xml:space="preserve">R$26.909.134,00</t>
  </si>
  <si>
    <t xml:space="preserve">R$1.114.138,40</t>
  </si>
  <si>
    <t xml:space="preserve">15/01/2011</t>
  </si>
  <si>
    <t xml:space="preserve">R$11.177.972,67</t>
  </si>
  <si>
    <t xml:space="preserve">R$17.808,90</t>
  </si>
  <si>
    <t xml:space="preserve">R$445,12</t>
  </si>
  <si>
    <t xml:space="preserve">R$31.331.494,00</t>
  </si>
  <si>
    <t xml:space="preserve">R$1.596.853,29</t>
  </si>
  <si>
    <t xml:space="preserve">19/01/2011</t>
  </si>
  <si>
    <t xml:space="preserve">R$23.819,88</t>
  </si>
  <si>
    <t xml:space="preserve">R$472,40</t>
  </si>
  <si>
    <t xml:space="preserve">R$9.702.756,58</t>
  </si>
  <si>
    <t xml:space="preserve">R$24.818.540,00</t>
  </si>
  <si>
    <t xml:space="preserve">R$1.979.225,06</t>
  </si>
  <si>
    <t xml:space="preserve">22/01/2011</t>
  </si>
  <si>
    <t xml:space="preserve">R$6.814,23</t>
  </si>
  <si>
    <t xml:space="preserve">R$259,39</t>
  </si>
  <si>
    <t xml:space="preserve">R$12.978.966,70</t>
  </si>
  <si>
    <t xml:space="preserve">R$30.378.346,00</t>
  </si>
  <si>
    <t xml:space="preserve">R$2.447.255,10</t>
  </si>
  <si>
    <t xml:space="preserve">26/01/2011</t>
  </si>
  <si>
    <t xml:space="preserve">R$26.937,47</t>
  </si>
  <si>
    <t xml:space="preserve">R$518,25</t>
  </si>
  <si>
    <t xml:space="preserve">R$16.303.617,54</t>
  </si>
  <si>
    <t xml:space="preserve">R$30.827.508,00</t>
  </si>
  <si>
    <t xml:space="preserve">R$2.922.205,24</t>
  </si>
  <si>
    <t xml:space="preserve">29/01/2011</t>
  </si>
  <si>
    <t xml:space="preserve">R$19.092,84</t>
  </si>
  <si>
    <t xml:space="preserve">R$370,71</t>
  </si>
  <si>
    <t xml:space="preserve">R$19.785.548,84</t>
  </si>
  <si>
    <t xml:space="preserve">R$32.285.876,00</t>
  </si>
  <si>
    <t xml:space="preserve">R$3.419.624,01</t>
  </si>
  <si>
    <t xml:space="preserve">02/02/2011</t>
  </si>
  <si>
    <t xml:space="preserve">R$15.443,85</t>
  </si>
  <si>
    <t xml:space="preserve">R$331,38</t>
  </si>
  <si>
    <t xml:space="preserve">R$34.384.817,93</t>
  </si>
  <si>
    <t xml:space="preserve">R$37.458.520,00</t>
  </si>
  <si>
    <t xml:space="preserve">R$3.996.736,15</t>
  </si>
  <si>
    <t xml:space="preserve">05/02/2011</t>
  </si>
  <si>
    <t xml:space="preserve">R$18.671,52</t>
  </si>
  <si>
    <t xml:space="preserve">R$359,98</t>
  </si>
  <si>
    <t xml:space="preserve">R$39.716.029,61</t>
  </si>
  <si>
    <t xml:space="preserve">R$49.433.152,00</t>
  </si>
  <si>
    <t xml:space="preserve">R$4.758.337,83</t>
  </si>
  <si>
    <t xml:space="preserve">09/02/2011</t>
  </si>
  <si>
    <t xml:space="preserve">R$26.009,88</t>
  </si>
  <si>
    <t xml:space="preserve">R$508,42</t>
  </si>
  <si>
    <t xml:space="preserve">R$45.513.494,46</t>
  </si>
  <si>
    <t xml:space="preserve">R$53.756.440,00</t>
  </si>
  <si>
    <t xml:space="preserve">R$5.586.547,10</t>
  </si>
  <si>
    <t xml:space="preserve">12/02/2011</t>
  </si>
  <si>
    <t xml:space="preserve">MADALENA/CE; RIO DE JANEIRO/RJ</t>
  </si>
  <si>
    <t xml:space="preserve">R$26.211.767,61</t>
  </si>
  <si>
    <t xml:space="preserve">R$24.358,21</t>
  </si>
  <si>
    <t xml:space="preserve">R$455,48</t>
  </si>
  <si>
    <t xml:space="preserve">R$64.072.694,00</t>
  </si>
  <si>
    <t xml:space="preserve">R$6.573.695,79</t>
  </si>
  <si>
    <t xml:space="preserve">16/02/2011</t>
  </si>
  <si>
    <t xml:space="preserve">R$45.045,03</t>
  </si>
  <si>
    <t xml:space="preserve">R$646,37</t>
  </si>
  <si>
    <t xml:space="preserve">R$2.240.397,48</t>
  </si>
  <si>
    <t xml:space="preserve">R$20.773.872,00</t>
  </si>
  <si>
    <t xml:space="preserve">R$6.893.752,58</t>
  </si>
  <si>
    <t xml:space="preserve">19/02/2011</t>
  </si>
  <si>
    <t xml:space="preserve">R$21.208,42</t>
  </si>
  <si>
    <t xml:space="preserve">R$427,86</t>
  </si>
  <si>
    <t xml:space="preserve">R$19.695.537,06</t>
  </si>
  <si>
    <t xml:space="preserve">R$26.806.906,00</t>
  </si>
  <si>
    <t xml:space="preserve">R$7.306.758,51</t>
  </si>
  <si>
    <t xml:space="preserve">23/02/2011</t>
  </si>
  <si>
    <t xml:space="preserve">R$30.497,83</t>
  </si>
  <si>
    <t xml:space="preserve">R$526,00</t>
  </si>
  <si>
    <t xml:space="preserve">R$23.628.152,10</t>
  </si>
  <si>
    <t xml:space="preserve">R$36.464.798,00</t>
  </si>
  <si>
    <t xml:space="preserve">R$7.868.560,67</t>
  </si>
  <si>
    <t xml:space="preserve">26/02/2011</t>
  </si>
  <si>
    <t xml:space="preserve">R$32.348,20</t>
  </si>
  <si>
    <t xml:space="preserve">R$555,39</t>
  </si>
  <si>
    <t xml:space="preserve">R$28.276.078,02</t>
  </si>
  <si>
    <t xml:space="preserve">R$43.097.450,00</t>
  </si>
  <si>
    <t xml:space="preserve">R$8.532.550,11</t>
  </si>
  <si>
    <t xml:space="preserve">02/03/2011</t>
  </si>
  <si>
    <t xml:space="preserve">RIO DE JANEIRO/RJ; SÃO JOSÉ DOS CAMPOS/SP</t>
  </si>
  <si>
    <t xml:space="preserve">R$16.677.746,77</t>
  </si>
  <si>
    <t xml:space="preserve">R$6.266,81</t>
  </si>
  <si>
    <t xml:space="preserve">R$154,30</t>
  </si>
  <si>
    <t xml:space="preserve">R$47.098.396,00</t>
  </si>
  <si>
    <t xml:space="preserve">R$9.258.180,92</t>
  </si>
  <si>
    <t xml:space="preserve">05/03/2011</t>
  </si>
  <si>
    <t xml:space="preserve">R$17.195,98</t>
  </si>
  <si>
    <t xml:space="preserve">R$464,27</t>
  </si>
  <si>
    <t xml:space="preserve">R$2.502.467,36</t>
  </si>
  <si>
    <t xml:space="preserve">R$23.203.890,00</t>
  </si>
  <si>
    <t xml:space="preserve">R$9.615.676,26</t>
  </si>
  <si>
    <t xml:space="preserve">09/03/2011</t>
  </si>
  <si>
    <t xml:space="preserve">R$29.003,13</t>
  </si>
  <si>
    <t xml:space="preserve">R$465,17</t>
  </si>
  <si>
    <t xml:space="preserve">R$15.184.977,60</t>
  </si>
  <si>
    <t xml:space="preserve">R$14.366.458,00</t>
  </si>
  <si>
    <t xml:space="preserve">R$9.837.015,96</t>
  </si>
  <si>
    <t xml:space="preserve">12/03/2011</t>
  </si>
  <si>
    <t xml:space="preserve">R$21.519,92</t>
  </si>
  <si>
    <t xml:space="preserve">R$388,84</t>
  </si>
  <si>
    <t xml:space="preserve">R$19.030.246,79</t>
  </si>
  <si>
    <t xml:space="preserve">R$35.654.892,00</t>
  </si>
  <si>
    <t xml:space="preserve">R$10.386.340,14</t>
  </si>
  <si>
    <t xml:space="preserve">16/03/2011</t>
  </si>
  <si>
    <t xml:space="preserve">R$21.310,49</t>
  </si>
  <si>
    <t xml:space="preserve">R$402,42</t>
  </si>
  <si>
    <t xml:space="preserve">R$23.191.400,61</t>
  </si>
  <si>
    <t xml:space="preserve">R$38.583.902,00</t>
  </si>
  <si>
    <t xml:space="preserve">R$10.980.790,71</t>
  </si>
  <si>
    <t xml:space="preserve">19/03/2011</t>
  </si>
  <si>
    <t xml:space="preserve">R$45.560,13</t>
  </si>
  <si>
    <t xml:space="preserve">R$704,71</t>
  </si>
  <si>
    <t xml:space="preserve">R$27.891.287,17</t>
  </si>
  <si>
    <t xml:space="preserve">R$43.579.250,00</t>
  </si>
  <si>
    <t xml:space="preserve">R$11.652.203,09</t>
  </si>
  <si>
    <t xml:space="preserve">23/03/2011</t>
  </si>
  <si>
    <t xml:space="preserve">R$22.695,13</t>
  </si>
  <si>
    <t xml:space="preserve">R$451,31</t>
  </si>
  <si>
    <t xml:space="preserve">R$33.033.525,87</t>
  </si>
  <si>
    <t xml:space="preserve">R$47.680.918,00</t>
  </si>
  <si>
    <t xml:space="preserve">R$12.386.808,63</t>
  </si>
  <si>
    <t xml:space="preserve">26/03/2011</t>
  </si>
  <si>
    <t xml:space="preserve">GOIÂNIA/GO; SÃO PAULO/SP</t>
  </si>
  <si>
    <t xml:space="preserve">R$19.413.790,51</t>
  </si>
  <si>
    <t xml:space="preserve">R$15.726,72</t>
  </si>
  <si>
    <t xml:space="preserve">R$297,35</t>
  </si>
  <si>
    <t xml:space="preserve">R$53.724.824,00</t>
  </si>
  <si>
    <t xml:space="preserve">R$13.214.530,82</t>
  </si>
  <si>
    <t xml:space="preserve">30/03/2011</t>
  </si>
  <si>
    <t xml:space="preserve">R$12.262,67</t>
  </si>
  <si>
    <t xml:space="preserve">R$274,61</t>
  </si>
  <si>
    <t xml:space="preserve">R$18.113.899,54</t>
  </si>
  <si>
    <t xml:space="preserve">R$30.161.598,00</t>
  </si>
  <si>
    <t xml:space="preserve">R$13.679.221,48</t>
  </si>
  <si>
    <t xml:space="preserve">02/04/2011</t>
  </si>
  <si>
    <t xml:space="preserve">R$35.889,76</t>
  </si>
  <si>
    <t xml:space="preserve">R$530,58</t>
  </si>
  <si>
    <t xml:space="preserve">R$22.411.226,22</t>
  </si>
  <si>
    <t xml:space="preserve">R$39.846.552,00</t>
  </si>
  <si>
    <t xml:space="preserve">R$14.293.125,31</t>
  </si>
  <si>
    <t xml:space="preserve">06/04/2011</t>
  </si>
  <si>
    <t xml:space="preserve">R$22.189,35</t>
  </si>
  <si>
    <t xml:space="preserve">R$372,11</t>
  </si>
  <si>
    <t xml:space="preserve">R$27.030.113,51</t>
  </si>
  <si>
    <t xml:space="preserve">R$42.828.192,00</t>
  </si>
  <si>
    <t xml:space="preserve">R$14.952.966,37</t>
  </si>
  <si>
    <t xml:space="preserve">09/04/2011</t>
  </si>
  <si>
    <t xml:space="preserve">R$24.927,21</t>
  </si>
  <si>
    <t xml:space="preserve">R$471,60</t>
  </si>
  <si>
    <t xml:space="preserve">R$32.448.501,08</t>
  </si>
  <si>
    <t xml:space="preserve">R$50.241.482,00</t>
  </si>
  <si>
    <t xml:space="preserve">R$15.727.021,75</t>
  </si>
  <si>
    <t xml:space="preserve">13/04/2011</t>
  </si>
  <si>
    <t xml:space="preserve">R$19.039,00</t>
  </si>
  <si>
    <t xml:space="preserve">R$407,19</t>
  </si>
  <si>
    <t xml:space="preserve">R$52.984.883,98</t>
  </si>
  <si>
    <t xml:space="preserve">R$53.983.258,00</t>
  </si>
  <si>
    <t xml:space="preserve">R$59.000.000,00</t>
  </si>
  <si>
    <t xml:space="preserve">R$16.558.725,54</t>
  </si>
  <si>
    <t xml:space="preserve">16/04/2011</t>
  </si>
  <si>
    <t xml:space="preserve">R$38.847,41</t>
  </si>
  <si>
    <t xml:space="preserve">R$529,67</t>
  </si>
  <si>
    <t xml:space="preserve">R$60.928.157,26</t>
  </si>
  <si>
    <t xml:space="preserve">R$73.653.244,00</t>
  </si>
  <si>
    <t xml:space="preserve">R$17.693.478,88</t>
  </si>
  <si>
    <t xml:space="preserve">20/04/2011</t>
  </si>
  <si>
    <t xml:space="preserve">SÃO JOSÉ DOS PINHAIS/PR; LIMEIRA/SP</t>
  </si>
  <si>
    <t xml:space="preserve">R$35.704.303,03</t>
  </si>
  <si>
    <t xml:space="preserve">R$10.159,62</t>
  </si>
  <si>
    <t xml:space="preserve">R$267,64</t>
  </si>
  <si>
    <t xml:space="preserve">R$97.178.962,00</t>
  </si>
  <si>
    <t xml:space="preserve">R$19.190.685,85</t>
  </si>
  <si>
    <t xml:space="preserve">23/04/2011</t>
  </si>
  <si>
    <t xml:space="preserve">R$27.463,17</t>
  </si>
  <si>
    <t xml:space="preserve">R$660,11</t>
  </si>
  <si>
    <t xml:space="preserve">R$1.517.701,88</t>
  </si>
  <si>
    <t xml:space="preserve">R$14.072.746,00</t>
  </si>
  <si>
    <t xml:space="preserve">R$19.407.500,42</t>
  </si>
  <si>
    <t xml:space="preserve">27/04/2011</t>
  </si>
  <si>
    <t xml:space="preserve">R$8.408,70</t>
  </si>
  <si>
    <t xml:space="preserve">R$411,79</t>
  </si>
  <si>
    <t xml:space="preserve">R$4.414.276,70</t>
  </si>
  <si>
    <t xml:space="preserve">R$26.858.214,00</t>
  </si>
  <si>
    <t xml:space="preserve">R$19.821.296,85</t>
  </si>
  <si>
    <t xml:space="preserve">30/04/2011</t>
  </si>
  <si>
    <t xml:space="preserve">R$19.541,91</t>
  </si>
  <si>
    <t xml:space="preserve">R$465,28</t>
  </si>
  <si>
    <t xml:space="preserve">R$24.514.912,08</t>
  </si>
  <si>
    <t xml:space="preserve">R$32.711.460,00</t>
  </si>
  <si>
    <t xml:space="preserve">R$20.325.272,46</t>
  </si>
  <si>
    <t xml:space="preserve">04/05/2011</t>
  </si>
  <si>
    <t xml:space="preserve">R$26.209,43</t>
  </si>
  <si>
    <t xml:space="preserve">R$423,04</t>
  </si>
  <si>
    <t xml:space="preserve">R$29.198.123,13</t>
  </si>
  <si>
    <t xml:space="preserve">R$43.424.628,00</t>
  </si>
  <si>
    <t xml:space="preserve">R$20.994.302,63</t>
  </si>
  <si>
    <t xml:space="preserve">07/05/2011</t>
  </si>
  <si>
    <t xml:space="preserve">R$34.943.738,22</t>
  </si>
  <si>
    <t xml:space="preserve">R$15.752,77</t>
  </si>
  <si>
    <t xml:space="preserve">R$347,75</t>
  </si>
  <si>
    <t xml:space="preserve">R$53.275.668,00</t>
  </si>
  <si>
    <t xml:space="preserve">R$21.815.104,79</t>
  </si>
  <si>
    <t xml:space="preserve">11/05/2011</t>
  </si>
  <si>
    <t xml:space="preserve">R$37.341,85</t>
  </si>
  <si>
    <t xml:space="preserve">R$469,61</t>
  </si>
  <si>
    <t xml:space="preserve">R$2.545.141,94</t>
  </si>
  <si>
    <t xml:space="preserve">R$23.599.586,00</t>
  </si>
  <si>
    <t xml:space="preserve">R$22.178.696,51</t>
  </si>
  <si>
    <t xml:space="preserve">14/05/2011</t>
  </si>
  <si>
    <t xml:space="preserve">R$31.085,32</t>
  </si>
  <si>
    <t xml:space="preserve">R$584,17</t>
  </si>
  <si>
    <t xml:space="preserve">R$5.809.100,65</t>
  </si>
  <si>
    <t xml:space="preserve">R$30.264.746,00</t>
  </si>
  <si>
    <t xml:space="preserve">R$22.644.976,34</t>
  </si>
  <si>
    <t xml:space="preserve">18/05/2011</t>
  </si>
  <si>
    <t xml:space="preserve">R$39.040,47</t>
  </si>
  <si>
    <t xml:space="preserve">R$765,14</t>
  </si>
  <si>
    <t xml:space="preserve">R$21.403.382,14</t>
  </si>
  <si>
    <t xml:space="preserve">R$30.674.654,00</t>
  </si>
  <si>
    <t xml:space="preserve">R$23.117.571,51</t>
  </si>
  <si>
    <t xml:space="preserve">21/05/2011</t>
  </si>
  <si>
    <t xml:space="preserve">R$20.125,56</t>
  </si>
  <si>
    <t xml:space="preserve">R$374,72</t>
  </si>
  <si>
    <t xml:space="preserve">R$26.111.704,05</t>
  </si>
  <si>
    <t xml:space="preserve">R$43.657.466,00</t>
  </si>
  <si>
    <t xml:space="preserve">R$23.790.188,94</t>
  </si>
  <si>
    <t xml:space="preserve">25/05/2011</t>
  </si>
  <si>
    <t xml:space="preserve">R$14.780,11</t>
  </si>
  <si>
    <t xml:space="preserve">R$317,65</t>
  </si>
  <si>
    <t xml:space="preserve">R$31.148.608,26</t>
  </si>
  <si>
    <t xml:space="preserve">R$46.704.214,00</t>
  </si>
  <si>
    <t xml:space="preserve">R$24.509.746,70</t>
  </si>
  <si>
    <t xml:space="preserve">28/05/2011</t>
  </si>
  <si>
    <t xml:space="preserve">R$23.204,42</t>
  </si>
  <si>
    <t xml:space="preserve">R$37.004.670,64</t>
  </si>
  <si>
    <t xml:space="preserve">R$54.299.780,00</t>
  </si>
  <si>
    <t xml:space="preserve">R$25.346.327,05</t>
  </si>
  <si>
    <t xml:space="preserve">01/06/2011</t>
  </si>
  <si>
    <t xml:space="preserve">R$54.770,01</t>
  </si>
  <si>
    <t xml:space="preserve">R$734,52</t>
  </si>
  <si>
    <t xml:space="preserve">R$43.966.226,83</t>
  </si>
  <si>
    <t xml:space="preserve">R$64.550.366,00</t>
  </si>
  <si>
    <t xml:space="preserve">R$26.340.835,08</t>
  </si>
  <si>
    <t xml:space="preserve">04/06/2011</t>
  </si>
  <si>
    <t xml:space="preserve">ATIBAIA/SP; BEBEDOURO/SP</t>
  </si>
  <si>
    <t xml:space="preserve">R$26.440.275,46</t>
  </si>
  <si>
    <t xml:space="preserve">R$11.099,09</t>
  </si>
  <si>
    <t xml:space="preserve">R$82.657.220,00</t>
  </si>
  <si>
    <t xml:space="preserve">R$27.614.309,97</t>
  </si>
  <si>
    <t xml:space="preserve">08/06/2011</t>
  </si>
  <si>
    <t xml:space="preserve">R$24.687,30</t>
  </si>
  <si>
    <t xml:space="preserve">R$435,28</t>
  </si>
  <si>
    <t xml:space="preserve">R$24.014.974,07</t>
  </si>
  <si>
    <t xml:space="preserve">R$39.216.014,00</t>
  </si>
  <si>
    <t xml:space="preserve">R$28.218.499,29</t>
  </si>
  <si>
    <t xml:space="preserve">11/06/2011</t>
  </si>
  <si>
    <t xml:space="preserve">R$57.917,35</t>
  </si>
  <si>
    <t xml:space="preserve">R$748,56</t>
  </si>
  <si>
    <t xml:space="preserve">R$29.242.776,55</t>
  </si>
  <si>
    <t xml:space="preserve">R$48.474.300,00</t>
  </si>
  <si>
    <t xml:space="preserve">R$28.965.328,24</t>
  </si>
  <si>
    <t xml:space="preserve">15/06/2011</t>
  </si>
  <si>
    <t xml:space="preserve">R$22.773,34</t>
  </si>
  <si>
    <t xml:space="preserve">R$400,52</t>
  </si>
  <si>
    <t xml:space="preserve">R$34.612.488,92</t>
  </si>
  <si>
    <t xml:space="preserve">R$49.790.146,00</t>
  </si>
  <si>
    <t xml:space="preserve">R$29.732.430,01</t>
  </si>
  <si>
    <t xml:space="preserve">18/06/2011</t>
  </si>
  <si>
    <t xml:space="preserve">R$20.581,95</t>
  </si>
  <si>
    <t xml:space="preserve">R$428,60</t>
  </si>
  <si>
    <t xml:space="preserve">R$40.792.489,49</t>
  </si>
  <si>
    <t xml:space="preserve">R$57.303.466,00</t>
  </si>
  <si>
    <t xml:space="preserve">R$50.000.000,00</t>
  </si>
  <si>
    <t xml:space="preserve">R$30.615.287,25</t>
  </si>
  <si>
    <t xml:space="preserve">22/06/2011</t>
  </si>
  <si>
    <t xml:space="preserve">R$25.649,30</t>
  </si>
  <si>
    <t xml:space="preserve">R$521,39</t>
  </si>
  <si>
    <t xml:space="preserve">R$65.385.078,43</t>
  </si>
  <si>
    <t xml:space="preserve">R$64.840.156,00</t>
  </si>
  <si>
    <t xml:space="preserve">R$72.000.000,00</t>
  </si>
  <si>
    <t xml:space="preserve">R$31.614.260,00</t>
  </si>
  <si>
    <t xml:space="preserve">25/06/2011</t>
  </si>
  <si>
    <t xml:space="preserve">SANTO ANDRÉ/SP</t>
  </si>
  <si>
    <t xml:space="preserve">R$73.451.540,26</t>
  </si>
  <si>
    <t xml:space="preserve">R$13.945,66</t>
  </si>
  <si>
    <t xml:space="preserve">R$312,56</t>
  </si>
  <si>
    <t xml:space="preserve">R$74.795.498,00</t>
  </si>
  <si>
    <t xml:space="preserve">R$32.766.611,70</t>
  </si>
  <si>
    <t xml:space="preserve">29/06/2011</t>
  </si>
  <si>
    <t xml:space="preserve">R$27.308,81</t>
  </si>
  <si>
    <t xml:space="preserve">R$519,15</t>
  </si>
  <si>
    <t xml:space="preserve">R$2.414.673,52</t>
  </si>
  <si>
    <t xml:space="preserve">R$22.389.830,00</t>
  </si>
  <si>
    <t xml:space="preserve">R$33.111.565,08</t>
  </si>
  <si>
    <t xml:space="preserve">02/07/2011</t>
  </si>
  <si>
    <t xml:space="preserve">R$17.409,61</t>
  </si>
  <si>
    <t xml:space="preserve">R$260,75</t>
  </si>
  <si>
    <t xml:space="preserve">R$5.621.705,90</t>
  </si>
  <si>
    <t xml:space="preserve">R$29.736.902,00</t>
  </si>
  <si>
    <t xml:space="preserve">R$33.569.712,58</t>
  </si>
  <si>
    <t xml:space="preserve">06/07/2011</t>
  </si>
  <si>
    <t xml:space="preserve">MANDAGUARI/PR</t>
  </si>
  <si>
    <t xml:space="preserve">R$9.047.534,60</t>
  </si>
  <si>
    <t xml:space="preserve">R$48.940,41</t>
  </si>
  <si>
    <t xml:space="preserve">R$656,63</t>
  </si>
  <si>
    <t xml:space="preserve">R$31.765.670,00</t>
  </si>
  <si>
    <t xml:space="preserve">R$34.059.116,70</t>
  </si>
  <si>
    <t xml:space="preserve">09/07/2011</t>
  </si>
  <si>
    <t xml:space="preserve">R$40.850,42</t>
  </si>
  <si>
    <t xml:space="preserve">R$672,98</t>
  </si>
  <si>
    <t xml:space="preserve">R$15.046.663,45</t>
  </si>
  <si>
    <t xml:space="preserve">R$24.421.448,00</t>
  </si>
  <si>
    <t xml:space="preserve">R$34.435.370,58</t>
  </si>
  <si>
    <t xml:space="preserve">13/07/2011</t>
  </si>
  <si>
    <t xml:space="preserve">CODÓ/MA; DIVINÓPOLIS/MG</t>
  </si>
  <si>
    <t xml:space="preserve">R$9.484.391,42</t>
  </si>
  <si>
    <t xml:space="preserve">R$36.709,50</t>
  </si>
  <si>
    <t xml:space="preserve">R$832,87</t>
  </si>
  <si>
    <t xml:space="preserve">R$36.367.478,00</t>
  </si>
  <si>
    <t xml:space="preserve">R$34.995.673,37</t>
  </si>
  <si>
    <t xml:space="preserve">16/07/2011</t>
  </si>
  <si>
    <t xml:space="preserve">BLUMENAU/SC</t>
  </si>
  <si>
    <t xml:space="preserve">R$2.751.015,40</t>
  </si>
  <si>
    <t xml:space="preserve">R$20.181,19</t>
  </si>
  <si>
    <t xml:space="preserve">R$413,85</t>
  </si>
  <si>
    <t xml:space="preserve">R$25.508.528,00</t>
  </si>
  <si>
    <t xml:space="preserve">R$35.388.675,59</t>
  </si>
  <si>
    <t xml:space="preserve">20/07/2011</t>
  </si>
  <si>
    <t xml:space="preserve">R$20.161,47</t>
  </si>
  <si>
    <t xml:space="preserve">R$356,91</t>
  </si>
  <si>
    <t xml:space="preserve">R$2.339.791,97</t>
  </si>
  <si>
    <t xml:space="preserve">R$21.695.498,00</t>
  </si>
  <si>
    <t xml:space="preserve">R$35.722.931,60</t>
  </si>
  <si>
    <t xml:space="preserve">23/07/2011</t>
  </si>
  <si>
    <t xml:space="preserve">R$40.211,48</t>
  </si>
  <si>
    <t xml:space="preserve">R$643,10</t>
  </si>
  <si>
    <t xml:space="preserve">R$5.302.743,11</t>
  </si>
  <si>
    <t xml:space="preserve">R$27.473.682,00</t>
  </si>
  <si>
    <t xml:space="preserve">R$36.146.210,35</t>
  </si>
  <si>
    <t xml:space="preserve">27/07/2011</t>
  </si>
  <si>
    <t xml:space="preserve">R$21.229,70</t>
  </si>
  <si>
    <t xml:space="preserve">R$316,58</t>
  </si>
  <si>
    <t xml:space="preserve">R$17.861.876,13</t>
  </si>
  <si>
    <t xml:space="preserve">R$28.646.906,00</t>
  </si>
  <si>
    <t xml:space="preserve">R$36.587.564,60</t>
  </si>
  <si>
    <t xml:space="preserve">30/07/2011</t>
  </si>
  <si>
    <t xml:space="preserve">R$16.998,55</t>
  </si>
  <si>
    <t xml:space="preserve">R$330,85</t>
  </si>
  <si>
    <t xml:space="preserve">R$22.120.460,55</t>
  </si>
  <si>
    <t xml:space="preserve">R$39.487.318,00</t>
  </si>
  <si>
    <t xml:space="preserve">R$37.195.933,81</t>
  </si>
  <si>
    <t xml:space="preserve">03/08/2011</t>
  </si>
  <si>
    <t xml:space="preserve">R$14.988,50</t>
  </si>
  <si>
    <t xml:space="preserve">R$334,37</t>
  </si>
  <si>
    <t xml:space="preserve">R$26.731.395,64</t>
  </si>
  <si>
    <t xml:space="preserve">R$42.754.456,00</t>
  </si>
  <si>
    <t xml:space="preserve">R$37.854.638,84</t>
  </si>
  <si>
    <t xml:space="preserve">06/08/2011</t>
  </si>
  <si>
    <t xml:space="preserve">GUANHÃES/MG</t>
  </si>
  <si>
    <t xml:space="preserve">R$32.075.789,45</t>
  </si>
  <si>
    <t xml:space="preserve">R$18.962,37</t>
  </si>
  <si>
    <t xml:space="preserve">R$376,13</t>
  </si>
  <si>
    <t xml:space="preserve">R$49.555.382,00</t>
  </si>
  <si>
    <t xml:space="preserve">R$38.618.123,69</t>
  </si>
  <si>
    <t xml:space="preserve">Informamos que o sorteio do concurso 1308 será realizado na terça-feira, dia 09/08/2011, às 20:00.</t>
  </si>
  <si>
    <t xml:space="preserve">09/08/2011</t>
  </si>
  <si>
    <t xml:space="preserve">R$11.487,79</t>
  </si>
  <si>
    <t xml:space="preserve">R$278,65</t>
  </si>
  <si>
    <t xml:space="preserve">R$1.587.128,31</t>
  </si>
  <si>
    <t xml:space="preserve">R$14.716.496,00</t>
  </si>
  <si>
    <t xml:space="preserve">R$3.800.000,00</t>
  </si>
  <si>
    <t xml:space="preserve">R$38.844.856,31</t>
  </si>
  <si>
    <t xml:space="preserve">11/08/2011</t>
  </si>
  <si>
    <t xml:space="preserve">R$13.438,49</t>
  </si>
  <si>
    <t xml:space="preserve">R$311,50</t>
  </si>
  <si>
    <t xml:space="preserve">R$15.550.756,73</t>
  </si>
  <si>
    <t xml:space="preserve">R$22.953.932,00</t>
  </si>
  <si>
    <t xml:space="preserve">R$39.198.500,63</t>
  </si>
  <si>
    <t xml:space="preserve">13/08/2011</t>
  </si>
  <si>
    <t xml:space="preserve">R$19.392,08</t>
  </si>
  <si>
    <t xml:space="preserve">R$391,57</t>
  </si>
  <si>
    <t xml:space="preserve">R$19.373.038,14</t>
  </si>
  <si>
    <t xml:space="preserve">R$35.441.740,00</t>
  </si>
  <si>
    <t xml:space="preserve">R$39.744.540,85</t>
  </si>
  <si>
    <t xml:space="preserve">17/08/2011</t>
  </si>
  <si>
    <t xml:space="preserve">R$9.118,47</t>
  </si>
  <si>
    <t xml:space="preserve">R$242,16</t>
  </si>
  <si>
    <t xml:space="preserve">R$23.622.724,12</t>
  </si>
  <si>
    <t xml:space="preserve">R$39.404.808,00</t>
  </si>
  <si>
    <t xml:space="preserve">R$40.351.638,87</t>
  </si>
  <si>
    <t xml:space="preserve">20/08/2011</t>
  </si>
  <si>
    <t xml:space="preserve">R$13.386,76</t>
  </si>
  <si>
    <t xml:space="preserve">R$370,42</t>
  </si>
  <si>
    <t xml:space="preserve">R$28.579.345,16</t>
  </si>
  <si>
    <t xml:space="preserve">R$45.959.796,00</t>
  </si>
  <si>
    <t xml:space="preserve">R$41.059.727,61</t>
  </si>
  <si>
    <t xml:space="preserve">24/08/2011</t>
  </si>
  <si>
    <t xml:space="preserve">R$20.309,34</t>
  </si>
  <si>
    <t xml:space="preserve">R$33.817.016,06</t>
  </si>
  <si>
    <t xml:space="preserve">R$48.565.804,00</t>
  </si>
  <si>
    <t xml:space="preserve">R$41.807.966,32</t>
  </si>
  <si>
    <t xml:space="preserve">27/08/2011</t>
  </si>
  <si>
    <t xml:space="preserve">R$27.514,75</t>
  </si>
  <si>
    <t xml:space="preserve">R$615,03</t>
  </si>
  <si>
    <t xml:space="preserve">R$55.369.062,27</t>
  </si>
  <si>
    <t xml:space="preserve">R$57.336.632,00</t>
  </si>
  <si>
    <t xml:space="preserve">R$63.000.000,00</t>
  </si>
  <si>
    <t xml:space="preserve">R$42.691.334,54</t>
  </si>
  <si>
    <t xml:space="preserve">31/08/2011</t>
  </si>
  <si>
    <t xml:space="preserve">Aracaju/SE</t>
  </si>
  <si>
    <t xml:space="preserve">R$63.981.675,84</t>
  </si>
  <si>
    <t xml:space="preserve">R$43.290,92</t>
  </si>
  <si>
    <t xml:space="preserve">R$741,88</t>
  </si>
  <si>
    <t xml:space="preserve">R$79.859.638,00</t>
  </si>
  <si>
    <t xml:space="preserve">R$43.921.707,92</t>
  </si>
  <si>
    <t xml:space="preserve">03/09/2011</t>
  </si>
  <si>
    <t xml:space="preserve">VINHEDO/SP</t>
  </si>
  <si>
    <t xml:space="preserve">R$2.824.002,29</t>
  </si>
  <si>
    <t xml:space="preserve">R$6.361,12</t>
  </si>
  <si>
    <t xml:space="preserve">R$224,45</t>
  </si>
  <si>
    <t xml:space="preserve">R$26.185.292,00</t>
  </si>
  <si>
    <t xml:space="preserve">R$44.325.136,83</t>
  </si>
  <si>
    <t xml:space="preserve">08/09/2011</t>
  </si>
  <si>
    <t xml:space="preserve">R$17.952,11</t>
  </si>
  <si>
    <t xml:space="preserve">R$343,38</t>
  </si>
  <si>
    <t xml:space="preserve">R$2.215.668,61</t>
  </si>
  <si>
    <t xml:space="preserve">R$20.544.576,00</t>
  </si>
  <si>
    <t xml:space="preserve">R$44.641.660,93</t>
  </si>
  <si>
    <t xml:space="preserve">10/09/2011</t>
  </si>
  <si>
    <t xml:space="preserve">R$10.648,09</t>
  </si>
  <si>
    <t xml:space="preserve">R$305,89</t>
  </si>
  <si>
    <t xml:space="preserve">R$4.961.754,76</t>
  </si>
  <si>
    <t xml:space="preserve">R$25.462.822,00</t>
  </si>
  <si>
    <t xml:space="preserve">R$45.033.958,97</t>
  </si>
  <si>
    <t xml:space="preserve">14/09/2011</t>
  </si>
  <si>
    <t xml:space="preserve">R$17.148,38</t>
  </si>
  <si>
    <t xml:space="preserve">R$323,57</t>
  </si>
  <si>
    <t xml:space="preserve">R$20.568.151,64</t>
  </si>
  <si>
    <t xml:space="preserve">R$30.169.434,00</t>
  </si>
  <si>
    <t xml:space="preserve">R$45.498.770,35</t>
  </si>
  <si>
    <t xml:space="preserve">17/09/2011</t>
  </si>
  <si>
    <t xml:space="preserve">R$20.240,70</t>
  </si>
  <si>
    <t xml:space="preserve">R$435,63</t>
  </si>
  <si>
    <t xml:space="preserve">R$25.340.695,29</t>
  </si>
  <si>
    <t xml:space="preserve">R$44.252.956,00</t>
  </si>
  <si>
    <t xml:space="preserve">R$46.180.562,32</t>
  </si>
  <si>
    <t xml:space="preserve">21/09/2011</t>
  </si>
  <si>
    <t xml:space="preserve">PETRÓPOLIS/RJ</t>
  </si>
  <si>
    <t xml:space="preserve">R$31.071.213,53</t>
  </si>
  <si>
    <t xml:space="preserve">R$24.303,54</t>
  </si>
  <si>
    <t xml:space="preserve">R$377,41</t>
  </si>
  <si>
    <t xml:space="preserve">R$53.135.684,00</t>
  </si>
  <si>
    <t xml:space="preserve">R$46.999.207,80</t>
  </si>
  <si>
    <t xml:space="preserve">24/09/2011</t>
  </si>
  <si>
    <t xml:space="preserve">R$27.567,36</t>
  </si>
  <si>
    <t xml:space="preserve">R$568,92</t>
  </si>
  <si>
    <t xml:space="preserve">R$2.742.226,09</t>
  </si>
  <si>
    <t xml:space="preserve">R$25.427.030,00</t>
  </si>
  <si>
    <t xml:space="preserve">R$5.700.000,00</t>
  </si>
  <si>
    <t xml:space="preserve">R$47.390.954,40</t>
  </si>
  <si>
    <t xml:space="preserve">28/09/2011</t>
  </si>
  <si>
    <t xml:space="preserve">R$28.697,23</t>
  </si>
  <si>
    <t xml:space="preserve">R$441,39</t>
  </si>
  <si>
    <t xml:space="preserve">R$5.808.298,70</t>
  </si>
  <si>
    <t xml:space="preserve">R$28.429.866,00</t>
  </si>
  <si>
    <t xml:space="preserve">R$47.828.964,79</t>
  </si>
  <si>
    <t xml:space="preserve">01/10/2011</t>
  </si>
  <si>
    <t xml:space="preserve">R$23.149,62</t>
  </si>
  <si>
    <t xml:space="preserve">R$524,64</t>
  </si>
  <si>
    <t xml:space="preserve">R$22.033.754,85</t>
  </si>
  <si>
    <t xml:space="preserve">R$34.005.492,00</t>
  </si>
  <si>
    <t xml:space="preserve">R$48.352.877,16</t>
  </si>
  <si>
    <t xml:space="preserve">05/10/2011</t>
  </si>
  <si>
    <t xml:space="preserve">R$13.111,44</t>
  </si>
  <si>
    <t xml:space="preserve">R$259,22</t>
  </si>
  <si>
    <t xml:space="preserve">R$26.743.520,84</t>
  </si>
  <si>
    <t xml:space="preserve">R$43.670.856,00</t>
  </si>
  <si>
    <t xml:space="preserve">R$49.025.700,88</t>
  </si>
  <si>
    <t xml:space="preserve">08/10/2011</t>
  </si>
  <si>
    <t xml:space="preserve">R$17.249,11</t>
  </si>
  <si>
    <t xml:space="preserve">R$333,97</t>
  </si>
  <si>
    <t xml:space="preserve">R$32.431.186,77</t>
  </si>
  <si>
    <t xml:space="preserve">R$52.738.340,00</t>
  </si>
  <si>
    <t xml:space="preserve">R$49.838.224,59</t>
  </si>
  <si>
    <t xml:space="preserve">13/10/2011</t>
  </si>
  <si>
    <t xml:space="preserve">R$38.492,13</t>
  </si>
  <si>
    <t xml:space="preserve">R$682,09</t>
  </si>
  <si>
    <t xml:space="preserve">R$38.741.869,73</t>
  </si>
  <si>
    <t xml:space="preserve">R$58.515.206,00</t>
  </si>
  <si>
    <t xml:space="preserve">R$50.739.750,74</t>
  </si>
  <si>
    <t xml:space="preserve">SORTEIO REALIZADO EM ESTÚDIO DE TV.</t>
  </si>
  <si>
    <t xml:space="preserve">15/10/2011</t>
  </si>
  <si>
    <t xml:space="preserve">Teresina/PI</t>
  </si>
  <si>
    <t xml:space="preserve">R$45.390.782,32</t>
  </si>
  <si>
    <t xml:space="preserve">R$16.945,58</t>
  </si>
  <si>
    <t xml:space="preserve">R$363,65</t>
  </si>
  <si>
    <t xml:space="preserve">R$61.651.408,00</t>
  </si>
  <si>
    <t xml:space="preserve">R$51.689.595,42</t>
  </si>
  <si>
    <t xml:space="preserve">19/10/2011</t>
  </si>
  <si>
    <t xml:space="preserve">R$22.514,95</t>
  </si>
  <si>
    <t xml:space="preserve">R$404,81</t>
  </si>
  <si>
    <t xml:space="preserve">R$19.139.519,77</t>
  </si>
  <si>
    <t xml:space="preserve">R$25.381.758,00</t>
  </si>
  <si>
    <t xml:space="preserve">R$52.080.644,52</t>
  </si>
  <si>
    <t xml:space="preserve">22/10/2011</t>
  </si>
  <si>
    <t xml:space="preserve">R$34.525,57</t>
  </si>
  <si>
    <t xml:space="preserve">R$553,85</t>
  </si>
  <si>
    <t xml:space="preserve">R$23.973.099,60</t>
  </si>
  <si>
    <t xml:space="preserve">R$44.818.908,00</t>
  </si>
  <si>
    <t xml:space="preserve">R$52.771.155,94</t>
  </si>
  <si>
    <t xml:space="preserve">26/10/2011</t>
  </si>
  <si>
    <t xml:space="preserve">PEDRO CANÁRIO/ES</t>
  </si>
  <si>
    <t xml:space="preserve">R$29.215.205,37</t>
  </si>
  <si>
    <t xml:space="preserve">R$18.125,57</t>
  </si>
  <si>
    <t xml:space="preserve">R$354,70</t>
  </si>
  <si>
    <t xml:space="preserve">R$48.606.926,00</t>
  </si>
  <si>
    <t xml:space="preserve">R$53.520.028,21</t>
  </si>
  <si>
    <t xml:space="preserve">29/10/2011</t>
  </si>
  <si>
    <t xml:space="preserve">R$2.963.357,08</t>
  </si>
  <si>
    <t xml:space="preserve">R$10.724,53</t>
  </si>
  <si>
    <t xml:space="preserve">R$212,98</t>
  </si>
  <si>
    <t xml:space="preserve">R$27.477.446,00</t>
  </si>
  <si>
    <t xml:space="preserve">R$53.943.364,94</t>
  </si>
  <si>
    <t xml:space="preserve">03/11/2011</t>
  </si>
  <si>
    <t xml:space="preserve">R$25.689,91</t>
  </si>
  <si>
    <t xml:space="preserve">R$509,06</t>
  </si>
  <si>
    <t xml:space="preserve">R$2.555.470,44</t>
  </si>
  <si>
    <t xml:space="preserve">R$23.695.356,00</t>
  </si>
  <si>
    <t xml:space="preserve">R$54.308.432,16</t>
  </si>
  <si>
    <t xml:space="preserve">05/11/2011</t>
  </si>
  <si>
    <t xml:space="preserve">R$4.246,20</t>
  </si>
  <si>
    <t xml:space="preserve">R$141,59</t>
  </si>
  <si>
    <t xml:space="preserve">R$17.351.264,84</t>
  </si>
  <si>
    <t xml:space="preserve">R$28.431.066,00</t>
  </si>
  <si>
    <t xml:space="preserve">R$54.746.461,03</t>
  </si>
  <si>
    <t xml:space="preserve">09/11/2011</t>
  </si>
  <si>
    <t xml:space="preserve">GOIÂNIA/GO</t>
  </si>
  <si>
    <t xml:space="preserve">R$21.885.288,49</t>
  </si>
  <si>
    <t xml:space="preserve">R$26.184,33</t>
  </si>
  <si>
    <t xml:space="preserve">R$471,52</t>
  </si>
  <si>
    <t xml:space="preserve">R$42.041.302,00</t>
  </si>
  <si>
    <t xml:space="preserve">R$55.394.178,71</t>
  </si>
  <si>
    <t xml:space="preserve">12/11/2011</t>
  </si>
  <si>
    <t xml:space="preserve">BARBALHA/CE</t>
  </si>
  <si>
    <t xml:space="preserve">R$3.086.420,09</t>
  </si>
  <si>
    <t xml:space="preserve">R$44.091,72</t>
  </si>
  <si>
    <t xml:space="preserve">R$676,33</t>
  </si>
  <si>
    <t xml:space="preserve">R$28.618.536,00</t>
  </si>
  <si>
    <t xml:space="preserve">R$55.835.095,87</t>
  </si>
  <si>
    <t xml:space="preserve">16/11/2011</t>
  </si>
  <si>
    <t xml:space="preserve">R$39.144,08</t>
  </si>
  <si>
    <t xml:space="preserve">R$625,97</t>
  </si>
  <si>
    <t xml:space="preserve">R$2.163.225,69</t>
  </si>
  <si>
    <t xml:space="preserve">R$20.058.304,00</t>
  </si>
  <si>
    <t xml:space="preserve">R$56.144.128,12</t>
  </si>
  <si>
    <t xml:space="preserve">19/11/2011</t>
  </si>
  <si>
    <t xml:space="preserve">SALVADOR/BA</t>
  </si>
  <si>
    <t xml:space="preserve">R$5.448.452,03</t>
  </si>
  <si>
    <t xml:space="preserve">R$17.484,40</t>
  </si>
  <si>
    <t xml:space="preserve">R$402,54</t>
  </si>
  <si>
    <t xml:space="preserve">R$30.461.948,00</t>
  </si>
  <si>
    <t xml:space="preserve">R$56.613.446,19</t>
  </si>
  <si>
    <t xml:space="preserve">23/11/2011</t>
  </si>
  <si>
    <t xml:space="preserve">R$23.616,19</t>
  </si>
  <si>
    <t xml:space="preserve">R$384,66</t>
  </si>
  <si>
    <t xml:space="preserve">R$12.323.951,62</t>
  </si>
  <si>
    <t xml:space="preserve">R$23.396.164,00</t>
  </si>
  <si>
    <t xml:space="preserve">R$56.973.903,84</t>
  </si>
  <si>
    <t xml:space="preserve">26/11/2011</t>
  </si>
  <si>
    <t xml:space="preserve">R$29.502,90</t>
  </si>
  <si>
    <t xml:space="preserve">R$486,73</t>
  </si>
  <si>
    <t xml:space="preserve">R$16.182.620,14</t>
  </si>
  <si>
    <t xml:space="preserve">R$35.779.136,00</t>
  </si>
  <si>
    <t xml:space="preserve">R$57.525.142,22</t>
  </si>
  <si>
    <t xml:space="preserve">30/11/2011</t>
  </si>
  <si>
    <t xml:space="preserve">R$26.529,68</t>
  </si>
  <si>
    <t xml:space="preserve">R$519,48</t>
  </si>
  <si>
    <t xml:space="preserve">R$20.580.961,40</t>
  </si>
  <si>
    <t xml:space="preserve">R$40.783.200,00</t>
  </si>
  <si>
    <t xml:space="preserve">R$58.153.476,70</t>
  </si>
  <si>
    <t xml:space="preserve">03/12/2011</t>
  </si>
  <si>
    <t xml:space="preserve">R$27.452,98</t>
  </si>
  <si>
    <t xml:space="preserve">R$494,35</t>
  </si>
  <si>
    <t xml:space="preserve">R$25.739.230,68</t>
  </si>
  <si>
    <t xml:space="preserve">R$47.829.560,00</t>
  </si>
  <si>
    <t xml:space="preserve">R$58.890.372,31</t>
  </si>
  <si>
    <t xml:space="preserve">07/12/2011</t>
  </si>
  <si>
    <t xml:space="preserve">R$50.455,78</t>
  </si>
  <si>
    <t xml:space="preserve">R$683,89</t>
  </si>
  <si>
    <t xml:space="preserve">R$31.130.032,72</t>
  </si>
  <si>
    <t xml:space="preserve">R$49.985.698,00</t>
  </si>
  <si>
    <t xml:space="preserve">R$59.660.486,92</t>
  </si>
  <si>
    <t xml:space="preserve">10/12/2011</t>
  </si>
  <si>
    <t xml:space="preserve">ESTÂNCIA VELHA/RS; FLORIANÓPOLIS/SC; TAUBATÉ/SP</t>
  </si>
  <si>
    <t xml:space="preserve">R$12.497.169,80</t>
  </si>
  <si>
    <t xml:space="preserve">R$14.632,94</t>
  </si>
  <si>
    <t xml:space="preserve">R$368,35</t>
  </si>
  <si>
    <t xml:space="preserve">R$58.986.186,00</t>
  </si>
  <si>
    <t xml:space="preserve">R$60.569.269,32</t>
  </si>
  <si>
    <t xml:space="preserve">14/12/2011</t>
  </si>
  <si>
    <t xml:space="preserve">R$28.067,82</t>
  </si>
  <si>
    <t xml:space="preserve">R$491,00</t>
  </si>
  <si>
    <t xml:space="preserve">R$19.645.695,09</t>
  </si>
  <si>
    <t xml:space="preserve">R$35.477.030,00</t>
  </si>
  <si>
    <t xml:space="preserve">R$61.115.853,23</t>
  </si>
  <si>
    <t xml:space="preserve">17/12/2011</t>
  </si>
  <si>
    <t xml:space="preserve">CURITIBA/PR</t>
  </si>
  <si>
    <t xml:space="preserve">R$24.409.476,19</t>
  </si>
  <si>
    <t xml:space="preserve">R$45.369,34</t>
  </si>
  <si>
    <t xml:space="preserve">R$709,77</t>
  </si>
  <si>
    <t xml:space="preserve">R$44.171.706,00</t>
  </si>
  <si>
    <t xml:space="preserve">R$61.796.393,40</t>
  </si>
  <si>
    <t xml:space="preserve">20/12/2011</t>
  </si>
  <si>
    <t xml:space="preserve">R$24.020,82</t>
  </si>
  <si>
    <t xml:space="preserve">R$443,53</t>
  </si>
  <si>
    <t xml:space="preserve">R$1.681.457,45</t>
  </si>
  <si>
    <t xml:space="preserve">R$15.591.154,00</t>
  </si>
  <si>
    <t xml:space="preserve">R$62.036.601,62</t>
  </si>
  <si>
    <t xml:space="preserve">22/12/2011</t>
  </si>
  <si>
    <t xml:space="preserve">R$15.808,64</t>
  </si>
  <si>
    <t xml:space="preserve">R$401,26</t>
  </si>
  <si>
    <t xml:space="preserve">R$4.273.242,73</t>
  </si>
  <si>
    <t xml:space="preserve">R$24.032.082,00</t>
  </si>
  <si>
    <t xml:space="preserve">R$62.406.856,67</t>
  </si>
  <si>
    <t xml:space="preserve">24/12/2011</t>
  </si>
  <si>
    <t xml:space="preserve">JUIZ DE FORA/MG</t>
  </si>
  <si>
    <t xml:space="preserve">R$7.099.412,95</t>
  </si>
  <si>
    <t xml:space="preserve">R$9.132,18</t>
  </si>
  <si>
    <t xml:space="preserve">R$26.205.394,00</t>
  </si>
  <si>
    <t xml:space="preserve">R$170.000.000,00</t>
  </si>
  <si>
    <t xml:space="preserve">R$72.672.429,30</t>
  </si>
  <si>
    <t xml:space="preserve">VALOR DO PRÊMIO PRINCIPAL PARA O CONCURSO 1350 - MEGA DA VIRADA: R$ 177.617.487,62.</t>
  </si>
  <si>
    <t xml:space="preserve">31/12/2011</t>
  </si>
  <si>
    <t xml:space="preserve">RUSSAS/CE; BRASÍLIA/DF; CARMO DO CAJURU/MG; BELÉM/PA; MAUÁ/SP</t>
  </si>
  <si>
    <t xml:space="preserve">R$35.523.497,52</t>
  </si>
  <si>
    <t xml:space="preserve">R$33.711,30</t>
  </si>
  <si>
    <t xml:space="preserve">R$536,83</t>
  </si>
  <si>
    <t xml:space="preserve">R$549.326.718,00</t>
  </si>
  <si>
    <t xml:space="preserve">04/01/2012</t>
  </si>
  <si>
    <t xml:space="preserve">R$35.012,63</t>
  </si>
  <si>
    <t xml:space="preserve">R$521,02</t>
  </si>
  <si>
    <t xml:space="preserve">R$2.192.896,53</t>
  </si>
  <si>
    <t xml:space="preserve">R$20.333.424,00</t>
  </si>
  <si>
    <t xml:space="preserve">R$313.270,94</t>
  </si>
  <si>
    <t xml:space="preserve">07/01/2012</t>
  </si>
  <si>
    <t xml:space="preserve">R$21.559,89</t>
  </si>
  <si>
    <t xml:space="preserve">R$348,30</t>
  </si>
  <si>
    <t xml:space="preserve">R$5.171.565,92</t>
  </si>
  <si>
    <t xml:space="preserve">R$27.619.428,00</t>
  </si>
  <si>
    <t xml:space="preserve">R$738.795,15</t>
  </si>
  <si>
    <t xml:space="preserve">11/01/2012</t>
  </si>
  <si>
    <t xml:space="preserve">SÃO LEOPOLDO/RS</t>
  </si>
  <si>
    <t xml:space="preserve">R$8.311.160,99</t>
  </si>
  <si>
    <t xml:space="preserve">R$10.586,03</t>
  </si>
  <si>
    <t xml:space="preserve">R$236,20</t>
  </si>
  <si>
    <t xml:space="preserve">R$29.111.596,00</t>
  </si>
  <si>
    <t xml:space="preserve">R$1.187.308,75</t>
  </si>
  <si>
    <t xml:space="preserve">14/01/2012</t>
  </si>
  <si>
    <t xml:space="preserve">INDAIAL/SC</t>
  </si>
  <si>
    <t xml:space="preserve">R$2.815.977,40</t>
  </si>
  <si>
    <t xml:space="preserve">R$21.530,61</t>
  </si>
  <si>
    <t xml:space="preserve">R$451,01</t>
  </si>
  <si>
    <t xml:space="preserve">R$26.110.882,00</t>
  </si>
  <si>
    <t xml:space="preserve">R$1.589.591,26</t>
  </si>
  <si>
    <t xml:space="preserve">18/01/2012</t>
  </si>
  <si>
    <t xml:space="preserve">R$12.427,32</t>
  </si>
  <si>
    <t xml:space="preserve">R$363,81</t>
  </si>
  <si>
    <t xml:space="preserve">R$10.038.894,30</t>
  </si>
  <si>
    <t xml:space="preserve">R$28.231.626,00</t>
  </si>
  <si>
    <t xml:space="preserve">R$2.024.547,42</t>
  </si>
  <si>
    <t xml:space="preserve">21/01/2012</t>
  </si>
  <si>
    <t xml:space="preserve">R$22.697,17</t>
  </si>
  <si>
    <t xml:space="preserve">R$412,75</t>
  </si>
  <si>
    <t xml:space="preserve">R$13.801.846,13</t>
  </si>
  <si>
    <t xml:space="preserve">R$34.891.612,00</t>
  </si>
  <si>
    <t xml:space="preserve">R$2.562.111,99</t>
  </si>
  <si>
    <t xml:space="preserve">25/01/2012</t>
  </si>
  <si>
    <t xml:space="preserve">R$17.572,17</t>
  </si>
  <si>
    <t xml:space="preserve">R$419,59</t>
  </si>
  <si>
    <t xml:space="preserve">R$17.556.742,21</t>
  </si>
  <si>
    <t xml:space="preserve">R$34.816.916,00</t>
  </si>
  <si>
    <t xml:space="preserve">R$21.500.000,00</t>
  </si>
  <si>
    <t xml:space="preserve">R$3.098.525,73</t>
  </si>
  <si>
    <t xml:space="preserve">28/01/2012</t>
  </si>
  <si>
    <t xml:space="preserve">R$16.856,70</t>
  </si>
  <si>
    <t xml:space="preserve">R$334,45</t>
  </si>
  <si>
    <t xml:space="preserve">R$22.059.253,65</t>
  </si>
  <si>
    <t xml:space="preserve">R$41.749.108,00</t>
  </si>
  <si>
    <t xml:space="preserve">R$3.741.741,67</t>
  </si>
  <si>
    <t xml:space="preserve">01/02/2012</t>
  </si>
  <si>
    <t xml:space="preserve">R$10.009,69</t>
  </si>
  <si>
    <t xml:space="preserve">R$265,83</t>
  </si>
  <si>
    <t xml:space="preserve">R$39.156.095,15</t>
  </si>
  <si>
    <t xml:space="preserve">R$43.427.112,00</t>
  </si>
  <si>
    <t xml:space="preserve">R$4.410.810,11</t>
  </si>
  <si>
    <t xml:space="preserve">04/02/2012</t>
  </si>
  <si>
    <t xml:space="preserve">ARAPIRACA/AL; ITAÚNA/MG</t>
  </si>
  <si>
    <t xml:space="preserve">R$22.673.254,06</t>
  </si>
  <si>
    <t xml:space="preserve">R$30.004,55</t>
  </si>
  <si>
    <t xml:space="preserve">R$485,90</t>
  </si>
  <si>
    <t xml:space="preserve">R$57.400.014,00</t>
  </si>
  <si>
    <t xml:space="preserve">R$5.295.154,83</t>
  </si>
  <si>
    <t xml:space="preserve">08/02/2012</t>
  </si>
  <si>
    <t xml:space="preserve">R$36.490,98</t>
  </si>
  <si>
    <t xml:space="preserve">R$585,90</t>
  </si>
  <si>
    <t xml:space="preserve">R$2.554.368,24</t>
  </si>
  <si>
    <t xml:space="preserve">R$23.685.136,00</t>
  </si>
  <si>
    <t xml:space="preserve">R$5.660.064,59</t>
  </si>
  <si>
    <t xml:space="preserve">11/02/2012</t>
  </si>
  <si>
    <t xml:space="preserve">VITÓRIA/ES; AMERICANA/SP; SÃO PAULO/SP</t>
  </si>
  <si>
    <t xml:space="preserve">R$1.924.196,22</t>
  </si>
  <si>
    <t xml:space="preserve">R$13.542,90</t>
  </si>
  <si>
    <t xml:space="preserve">R$282,80</t>
  </si>
  <si>
    <t xml:space="preserve">R$29.840.642,00</t>
  </si>
  <si>
    <t xml:space="preserve">R$6.119.810,37</t>
  </si>
  <si>
    <t xml:space="preserve">15/02/2012</t>
  </si>
  <si>
    <t xml:space="preserve">R$36.166,13</t>
  </si>
  <si>
    <t xml:space="preserve">R$677,83</t>
  </si>
  <si>
    <t xml:space="preserve">R$2.398.385,40</t>
  </si>
  <si>
    <t xml:space="preserve">R$22.238.800,00</t>
  </si>
  <si>
    <t xml:space="preserve">R$6.462.436,87</t>
  </si>
  <si>
    <t xml:space="preserve">18/02/2012</t>
  </si>
  <si>
    <t xml:space="preserve">R$26.450,47</t>
  </si>
  <si>
    <t xml:space="preserve">R$511,08</t>
  </si>
  <si>
    <t xml:space="preserve">R$16.186.627,78</t>
  </si>
  <si>
    <t xml:space="preserve">R$27.107.626,00</t>
  </si>
  <si>
    <t xml:space="preserve">R$6.880.075,89</t>
  </si>
  <si>
    <t xml:space="preserve">22/02/2012</t>
  </si>
  <si>
    <t xml:space="preserve">R$23.397,34</t>
  </si>
  <si>
    <t xml:space="preserve">R$516,05</t>
  </si>
  <si>
    <t xml:space="preserve">R$18.427.847,04</t>
  </si>
  <si>
    <t xml:space="preserve">R$20.781.492,00</t>
  </si>
  <si>
    <t xml:space="preserve">R$7.200.250,08</t>
  </si>
  <si>
    <t xml:space="preserve">25/02/2012</t>
  </si>
  <si>
    <t xml:space="preserve">CUIABÁ/MT</t>
  </si>
  <si>
    <t xml:space="preserve">R$22.902.720,55</t>
  </si>
  <si>
    <t xml:space="preserve">R$19.590,46</t>
  </si>
  <si>
    <t xml:space="preserve">R$435,20</t>
  </si>
  <si>
    <t xml:space="preserve">R$41.492.838,00</t>
  </si>
  <si>
    <t xml:space="preserve">R$7.839.517,74</t>
  </si>
  <si>
    <t xml:space="preserve">01/03/2012</t>
  </si>
  <si>
    <t xml:space="preserve">R$9.193,08</t>
  </si>
  <si>
    <t xml:space="preserve">R$226,25</t>
  </si>
  <si>
    <t xml:space="preserve">R$1.879.743,88</t>
  </si>
  <si>
    <t xml:space="preserve">R$17.429.746,00</t>
  </si>
  <si>
    <t xml:space="preserve">R$8.108.052,58</t>
  </si>
  <si>
    <t xml:space="preserve">03/03/2012</t>
  </si>
  <si>
    <t xml:space="preserve">MORRETES/PR</t>
  </si>
  <si>
    <t xml:space="preserve">R$4.873.830,43</t>
  </si>
  <si>
    <t xml:space="preserve">R$47.804,75</t>
  </si>
  <si>
    <t xml:space="preserve">R$522,13</t>
  </si>
  <si>
    <t xml:space="preserve">R$27.762.382,00</t>
  </si>
  <si>
    <t xml:space="preserve">R$8.535.779,24</t>
  </si>
  <si>
    <t xml:space="preserve">07/03/2012</t>
  </si>
  <si>
    <t xml:space="preserve">R$6.509,72</t>
  </si>
  <si>
    <t xml:space="preserve">R$11.093.283,98</t>
  </si>
  <si>
    <t xml:space="preserve">R$21.682.238,00</t>
  </si>
  <si>
    <t xml:space="preserve">R$14.500.000,00</t>
  </si>
  <si>
    <t xml:space="preserve">R$8.869.830,97</t>
  </si>
  <si>
    <t xml:space="preserve">10/03/2012</t>
  </si>
  <si>
    <t xml:space="preserve">R$7.499.281,75</t>
  </si>
  <si>
    <t xml:space="preserve">R$18.434,86</t>
  </si>
  <si>
    <t xml:space="preserve">R$303,49</t>
  </si>
  <si>
    <t xml:space="preserve">R$36.211.332,00</t>
  </si>
  <si>
    <t xml:space="preserve">R$9.427.728,06</t>
  </si>
  <si>
    <t xml:space="preserve">14/03/2012</t>
  </si>
  <si>
    <t xml:space="preserve">R$12.265,25</t>
  </si>
  <si>
    <t xml:space="preserve">R$238,47</t>
  </si>
  <si>
    <t xml:space="preserve">R$2.281.981,94</t>
  </si>
  <si>
    <t xml:space="preserve">R$21.159.460,00</t>
  </si>
  <si>
    <t xml:space="preserve">R$9.753.725,50</t>
  </si>
  <si>
    <t xml:space="preserve">17/03/2012</t>
  </si>
  <si>
    <t xml:space="preserve">R$34.817,31</t>
  </si>
  <si>
    <t xml:space="preserve">R$586,74</t>
  </si>
  <si>
    <t xml:space="preserve">R$5.360.565,43</t>
  </si>
  <si>
    <t xml:space="preserve">R$28.545.872,00</t>
  </si>
  <si>
    <t xml:space="preserve">R$10.193.523,16</t>
  </si>
  <si>
    <t xml:space="preserve">21/03/2012</t>
  </si>
  <si>
    <t xml:space="preserve">IPATINGA/MG</t>
  </si>
  <si>
    <t xml:space="preserve">R$8.520.148,41</t>
  </si>
  <si>
    <t xml:space="preserve">R$23.495,92</t>
  </si>
  <si>
    <t xml:space="preserve">R$402,87</t>
  </si>
  <si>
    <t xml:space="preserve">R$29.296.932,00</t>
  </si>
  <si>
    <t xml:space="preserve">R$10.644.892,18</t>
  </si>
  <si>
    <t xml:space="preserve">24/03/2012</t>
  </si>
  <si>
    <t xml:space="preserve">R$44.298,35</t>
  </si>
  <si>
    <t xml:space="preserve">R$566,45</t>
  </si>
  <si>
    <t xml:space="preserve">R$12.062.910,42</t>
  </si>
  <si>
    <t xml:space="preserve">R$24.212.762,00</t>
  </si>
  <si>
    <t xml:space="preserve">R$11.017.930,91</t>
  </si>
  <si>
    <t xml:space="preserve">28/03/2012</t>
  </si>
  <si>
    <t xml:space="preserve">FOZ DO IGUAÇU/PR; SÃO PAULO/SP</t>
  </si>
  <si>
    <t xml:space="preserve">R$7.822.077,02</t>
  </si>
  <si>
    <t xml:space="preserve">R$16.066,97</t>
  </si>
  <si>
    <t xml:space="preserve">R$389,19</t>
  </si>
  <si>
    <t xml:space="preserve">R$33.206.740,00</t>
  </si>
  <si>
    <t xml:space="preserve">R$11.529.537,16</t>
  </si>
  <si>
    <t xml:space="preserve">31/03/2012</t>
  </si>
  <si>
    <t xml:space="preserve">R$25.317,58</t>
  </si>
  <si>
    <t xml:space="preserve">R$503,92</t>
  </si>
  <si>
    <t xml:space="preserve">R$2.658.346,01</t>
  </si>
  <si>
    <t xml:space="preserve">R$24.649.260,00</t>
  </si>
  <si>
    <t xml:space="preserve">R$5.500.000,00</t>
  </si>
  <si>
    <t xml:space="preserve">R$11.909.300,90</t>
  </si>
  <si>
    <t xml:space="preserve">04/04/2012</t>
  </si>
  <si>
    <t xml:space="preserve">R$5.600.981,17</t>
  </si>
  <si>
    <t xml:space="preserve">R$9.128,17</t>
  </si>
  <si>
    <t xml:space="preserve">R$184,75</t>
  </si>
  <si>
    <t xml:space="preserve">R$27.285.304,00</t>
  </si>
  <si>
    <t xml:space="preserve">R$12.329.677,36</t>
  </si>
  <si>
    <t xml:space="preserve">07/04/2012</t>
  </si>
  <si>
    <t xml:space="preserve">R$15.789,08</t>
  </si>
  <si>
    <t xml:space="preserve">R$297,31</t>
  </si>
  <si>
    <t xml:space="preserve">R$2.152.301,02</t>
  </si>
  <si>
    <t xml:space="preserve">R$19.957.006,00</t>
  </si>
  <si>
    <t xml:space="preserve">R$12.637.148,96</t>
  </si>
  <si>
    <t xml:space="preserve">11/04/2012</t>
  </si>
  <si>
    <t xml:space="preserve">R$24.980,79</t>
  </si>
  <si>
    <t xml:space="preserve">R$399,06</t>
  </si>
  <si>
    <t xml:space="preserve">R$13.848.344,05</t>
  </si>
  <si>
    <t xml:space="preserve">R$26.028.118,00</t>
  </si>
  <si>
    <t xml:space="preserve">R$13.038.156,32</t>
  </si>
  <si>
    <t xml:space="preserve">14/04/2012</t>
  </si>
  <si>
    <t xml:space="preserve">R$23.424,79</t>
  </si>
  <si>
    <t xml:space="preserve">R$478,46</t>
  </si>
  <si>
    <t xml:space="preserve">R$18.163.437,01</t>
  </si>
  <si>
    <t xml:space="preserve">R$40.011.288,00</t>
  </si>
  <si>
    <t xml:space="preserve">R$13.654.598,19</t>
  </si>
  <si>
    <t xml:space="preserve">18/04/2012</t>
  </si>
  <si>
    <t xml:space="preserve">R$22.817.234,34</t>
  </si>
  <si>
    <t xml:space="preserve">R$23.177,49</t>
  </si>
  <si>
    <t xml:space="preserve">R$509,25</t>
  </si>
  <si>
    <t xml:space="preserve">R$43.151.892,00</t>
  </si>
  <si>
    <t xml:space="preserve">R$14.319.426,39</t>
  </si>
  <si>
    <t xml:space="preserve">20/04/2012</t>
  </si>
  <si>
    <t xml:space="preserve">R$14.068,17</t>
  </si>
  <si>
    <t xml:space="preserve">R$229,45</t>
  </si>
  <si>
    <t xml:space="preserve">R$1.814.053,48</t>
  </si>
  <si>
    <t xml:space="preserve">R$16.820.638,00</t>
  </si>
  <si>
    <t xml:space="preserve">R$14.578.576,91</t>
  </si>
  <si>
    <t xml:space="preserve">25/04/2012</t>
  </si>
  <si>
    <t xml:space="preserve">R$14.064,76</t>
  </si>
  <si>
    <t xml:space="preserve">R$342,19</t>
  </si>
  <si>
    <t xml:space="preserve">R$4.560.383,15</t>
  </si>
  <si>
    <t xml:space="preserve">R$25.465.080,00</t>
  </si>
  <si>
    <t xml:space="preserve">R$14.970.909,73</t>
  </si>
  <si>
    <t xml:space="preserve">28/04/2012</t>
  </si>
  <si>
    <t xml:space="preserve">LONDRINA/PR; SÃO CAETANO DO SUL/SP</t>
  </si>
  <si>
    <t xml:space="preserve">R$4.030.007,03</t>
  </si>
  <si>
    <t xml:space="preserve">R$33.924,99</t>
  </si>
  <si>
    <t xml:space="preserve">R$541,71</t>
  </si>
  <si>
    <t xml:space="preserve">R$32.449.994,00</t>
  </si>
  <si>
    <t xml:space="preserve">R$15.470.857,02</t>
  </si>
  <si>
    <t xml:space="preserve">02/05/2012</t>
  </si>
  <si>
    <t xml:space="preserve">ITATIBA/SP</t>
  </si>
  <si>
    <t xml:space="preserve">R$13.402.970,05</t>
  </si>
  <si>
    <t xml:space="preserve">R$28.177,29</t>
  </si>
  <si>
    <t xml:space="preserve">R$501,95</t>
  </si>
  <si>
    <t xml:space="preserve">R$25.027.030,00</t>
  </si>
  <si>
    <t xml:space="preserve">R$15.856.440,95</t>
  </si>
  <si>
    <t xml:space="preserve">05/05/2012</t>
  </si>
  <si>
    <t xml:space="preserve">R$54.363,88</t>
  </si>
  <si>
    <t xml:space="preserve">R$605,68</t>
  </si>
  <si>
    <t xml:space="preserve">R$2.703.887,60</t>
  </si>
  <si>
    <t xml:space="preserve">R$25.071.540,00</t>
  </si>
  <si>
    <t xml:space="preserve">R$16.242.710,61</t>
  </si>
  <si>
    <t xml:space="preserve">09/05/2012</t>
  </si>
  <si>
    <t xml:space="preserve">R$34.677,09</t>
  </si>
  <si>
    <t xml:space="preserve">R$666,75</t>
  </si>
  <si>
    <t xml:space="preserve">R$5.706.194,01</t>
  </si>
  <si>
    <t xml:space="preserve">R$27.838.600,00</t>
  </si>
  <si>
    <t xml:space="preserve">R$16.671.611,54</t>
  </si>
  <si>
    <t xml:space="preserve">12/05/2012</t>
  </si>
  <si>
    <t xml:space="preserve">R$42.785,64</t>
  </si>
  <si>
    <t xml:space="preserve">R$724,95</t>
  </si>
  <si>
    <t xml:space="preserve">R$9.489.345,77</t>
  </si>
  <si>
    <t xml:space="preserve">R$35.078.914,00</t>
  </si>
  <si>
    <t xml:space="preserve">R$17.212.061,81</t>
  </si>
  <si>
    <t xml:space="preserve">16/05/2012</t>
  </si>
  <si>
    <t xml:space="preserve">CORRENTE/PI</t>
  </si>
  <si>
    <t xml:space="preserve">R$13.488.668,85</t>
  </si>
  <si>
    <t xml:space="preserve">R$14.870,28</t>
  </si>
  <si>
    <t xml:space="preserve">R$419,29</t>
  </si>
  <si>
    <t xml:space="preserve">R$37.083.342,00</t>
  </si>
  <si>
    <t xml:space="preserve">R$17.783.393,69</t>
  </si>
  <si>
    <t xml:space="preserve">19/05/2012</t>
  </si>
  <si>
    <t xml:space="preserve">FORTALEZA/CE; CORUMBÁ/MS</t>
  </si>
  <si>
    <t xml:space="preserve">R$6.920.519,93</t>
  </si>
  <si>
    <t xml:space="preserve">R$13.356,03</t>
  </si>
  <si>
    <t xml:space="preserve">R$358,77</t>
  </si>
  <si>
    <t xml:space="preserve">R$33.991.512,00</t>
  </si>
  <si>
    <t xml:space="preserve">R$18.307.090,69</t>
  </si>
  <si>
    <t xml:space="preserve">23/05/2012</t>
  </si>
  <si>
    <t xml:space="preserve">R$17.006,16</t>
  </si>
  <si>
    <t xml:space="preserve">R$339,65</t>
  </si>
  <si>
    <t xml:space="preserve">R$2.318.207,92</t>
  </si>
  <si>
    <t xml:space="preserve">R$21.495.362,00</t>
  </si>
  <si>
    <t xml:space="preserve">R$18.638.263,26</t>
  </si>
  <si>
    <t xml:space="preserve">26/05/2012</t>
  </si>
  <si>
    <t xml:space="preserve">R$14.023,20</t>
  </si>
  <si>
    <t xml:space="preserve">R$268,62</t>
  </si>
  <si>
    <t xml:space="preserve">R$5.314.742,80</t>
  </si>
  <si>
    <t xml:space="preserve">R$27.785.084,00</t>
  </si>
  <si>
    <t xml:space="preserve">R$19.066.339,69</t>
  </si>
  <si>
    <t xml:space="preserve">30/05/2012</t>
  </si>
  <si>
    <t xml:space="preserve">GOVERNADOR VALADARES/MG</t>
  </si>
  <si>
    <t xml:space="preserve">R$8.139.697,37</t>
  </si>
  <si>
    <t xml:space="preserve">R$17.831,94</t>
  </si>
  <si>
    <t xml:space="preserve">R$383,20</t>
  </si>
  <si>
    <t xml:space="preserve">R$26.194.122,00</t>
  </si>
  <si>
    <t xml:space="preserve">R$19.469.904,65</t>
  </si>
  <si>
    <t xml:space="preserve">02/06/2012</t>
  </si>
  <si>
    <t xml:space="preserve">R$45.243,54</t>
  </si>
  <si>
    <t xml:space="preserve">R$505,44</t>
  </si>
  <si>
    <t xml:space="preserve">R$11.764.027,65</t>
  </si>
  <si>
    <t xml:space="preserve">R$24.729.388,00</t>
  </si>
  <si>
    <t xml:space="preserve">R$19.850.902,89</t>
  </si>
  <si>
    <t xml:space="preserve">06/06/2012</t>
  </si>
  <si>
    <t xml:space="preserve">R$8.770,07</t>
  </si>
  <si>
    <t xml:space="preserve">R$224,75</t>
  </si>
  <si>
    <t xml:space="preserve">R$15.722.099,73</t>
  </si>
  <si>
    <t xml:space="preserve">R$36.700.846,00</t>
  </si>
  <si>
    <t xml:space="preserve">R$20.416.341,78</t>
  </si>
  <si>
    <t xml:space="preserve">09/06/2012</t>
  </si>
  <si>
    <t xml:space="preserve">R$51.823,24</t>
  </si>
  <si>
    <t xml:space="preserve">R$711,70</t>
  </si>
  <si>
    <t xml:space="preserve">R$19.922.509,60</t>
  </si>
  <si>
    <t xml:space="preserve">R$38.947.900,00</t>
  </si>
  <si>
    <t xml:space="preserve">R$21.016.400,35</t>
  </si>
  <si>
    <t xml:space="preserve">13/06/2012</t>
  </si>
  <si>
    <t xml:space="preserve">R$11.336,06</t>
  </si>
  <si>
    <t xml:space="preserve">R$222,59</t>
  </si>
  <si>
    <t xml:space="preserve">R$25.122.180,21</t>
  </si>
  <si>
    <t xml:space="preserve">R$48.213.450,00</t>
  </si>
  <si>
    <t xml:space="preserve">R$21.759.210,45</t>
  </si>
  <si>
    <t xml:space="preserve">16/06/2012</t>
  </si>
  <si>
    <t xml:space="preserve">R$43.777,11</t>
  </si>
  <si>
    <t xml:space="preserve">R$656,09</t>
  </si>
  <si>
    <t xml:space="preserve">R$31.170.332,79</t>
  </si>
  <si>
    <t xml:space="preserve">R$56.080.918,00</t>
  </si>
  <si>
    <t xml:space="preserve">R$22.623.232,27</t>
  </si>
  <si>
    <t xml:space="preserve">20/06/2012</t>
  </si>
  <si>
    <t xml:space="preserve">JARAGUÁ/GO; CURITIBA/PR</t>
  </si>
  <si>
    <t xml:space="preserve">R$19.136.470,53</t>
  </si>
  <si>
    <t xml:space="preserve">R$5.950,16</t>
  </si>
  <si>
    <t xml:space="preserve">R$560,11</t>
  </si>
  <si>
    <t xml:space="preserve">R$65.858.258,00</t>
  </si>
  <si>
    <t xml:space="preserve">R$23.637.890,60</t>
  </si>
  <si>
    <t xml:space="preserve">23/06/2012</t>
  </si>
  <si>
    <t xml:space="preserve">R$30.435,06</t>
  </si>
  <si>
    <t xml:space="preserve">R$504,26</t>
  </si>
  <si>
    <t xml:space="preserve">R$20.699.395,11</t>
  </si>
  <si>
    <t xml:space="preserve">R$37.429.448,00</t>
  </si>
  <si>
    <t xml:space="preserve">R$24.214.554,83</t>
  </si>
  <si>
    <t xml:space="preserve">27/06/2012</t>
  </si>
  <si>
    <t xml:space="preserve">NAVIRAÍ/MS</t>
  </si>
  <si>
    <t xml:space="preserve">R$25.157.779,26</t>
  </si>
  <si>
    <t xml:space="preserve">R$10.387,41</t>
  </si>
  <si>
    <t xml:space="preserve">R$288,96</t>
  </si>
  <si>
    <t xml:space="preserve">R$41.339.942,00</t>
  </si>
  <si>
    <t xml:space="preserve">R$24.851.466,86</t>
  </si>
  <si>
    <t xml:space="preserve">30/06/2012</t>
  </si>
  <si>
    <t xml:space="preserve">R$15.262,45</t>
  </si>
  <si>
    <t xml:space="preserve">R$277,73</t>
  </si>
  <si>
    <t xml:space="preserve">R$2.839.619,38</t>
  </si>
  <si>
    <t xml:space="preserve">R$26.330.100,00</t>
  </si>
  <si>
    <t xml:space="preserve">R$25.257.126,79</t>
  </si>
  <si>
    <t xml:space="preserve">04/07/2012</t>
  </si>
  <si>
    <t xml:space="preserve">R$19.010,85</t>
  </si>
  <si>
    <t xml:space="preserve">R$417,75</t>
  </si>
  <si>
    <t xml:space="preserve">R$6.166.518,19</t>
  </si>
  <si>
    <t xml:space="preserve">R$30.848.352,00</t>
  </si>
  <si>
    <t xml:space="preserve">R$25.732.398,05</t>
  </si>
  <si>
    <t xml:space="preserve">07/07/2012</t>
  </si>
  <si>
    <t xml:space="preserve">R$25.404,89</t>
  </si>
  <si>
    <t xml:space="preserve">R$427,54</t>
  </si>
  <si>
    <t xml:space="preserve">R$22.089.242,39</t>
  </si>
  <si>
    <t xml:space="preserve">R$38.186.236,00</t>
  </si>
  <si>
    <t xml:space="preserve">R$26.320.721,89</t>
  </si>
  <si>
    <t xml:space="preserve">11/07/2012</t>
  </si>
  <si>
    <t xml:space="preserve">R$27.622.910,73</t>
  </si>
  <si>
    <t xml:space="preserve">R$9.536,48</t>
  </si>
  <si>
    <t xml:space="preserve">R$276,58</t>
  </si>
  <si>
    <t xml:space="preserve">R$51.310.412,00</t>
  </si>
  <si>
    <t xml:space="preserve">R$27.111.245,95</t>
  </si>
  <si>
    <t xml:space="preserve">14/07/2012</t>
  </si>
  <si>
    <t xml:space="preserve">R$12.809,17</t>
  </si>
  <si>
    <t xml:space="preserve">R$268,48</t>
  </si>
  <si>
    <t xml:space="preserve">R$3.161.842,16</t>
  </si>
  <si>
    <t xml:space="preserve">R$29.317.880,00</t>
  </si>
  <si>
    <t xml:space="preserve">R$27.562.937,71</t>
  </si>
  <si>
    <t xml:space="preserve">18/07/2012</t>
  </si>
  <si>
    <t xml:space="preserve">R$34.598,18</t>
  </si>
  <si>
    <t xml:space="preserve">R$731,11</t>
  </si>
  <si>
    <t xml:space="preserve">R$6.539.717,17</t>
  </si>
  <si>
    <t xml:space="preserve">R$31.321.024,00</t>
  </si>
  <si>
    <t xml:space="preserve">R$28.045.491,30</t>
  </si>
  <si>
    <t xml:space="preserve">21/07/2012</t>
  </si>
  <si>
    <t xml:space="preserve">R$19.353,93</t>
  </si>
  <si>
    <t xml:space="preserve">R$404,02</t>
  </si>
  <si>
    <t xml:space="preserve">R$10.746.651,56</t>
  </si>
  <si>
    <t xml:space="preserve">R$39.008.398,00</t>
  </si>
  <si>
    <t xml:space="preserve">R$28.646.481,94</t>
  </si>
  <si>
    <t xml:space="preserve">25/07/2012</t>
  </si>
  <si>
    <t xml:space="preserve">R$25.376,40</t>
  </si>
  <si>
    <t xml:space="preserve">R$508,35</t>
  </si>
  <si>
    <t xml:space="preserve">R$28.288.400,52</t>
  </si>
  <si>
    <t xml:space="preserve">R$41.611.002,00</t>
  </si>
  <si>
    <t xml:space="preserve">R$29.287.570,12</t>
  </si>
  <si>
    <t xml:space="preserve">28/07/2012</t>
  </si>
  <si>
    <t xml:space="preserve">R$48.372,46</t>
  </si>
  <si>
    <t xml:space="preserve">R$699,32</t>
  </si>
  <si>
    <t xml:space="preserve">R$34.525.901,60</t>
  </si>
  <si>
    <t xml:space="preserve">R$57.836.634,00</t>
  </si>
  <si>
    <t xml:space="preserve">R$42.000.000,00</t>
  </si>
  <si>
    <t xml:space="preserve">R$30.178.641,72</t>
  </si>
  <si>
    <t xml:space="preserve">01/08/2012</t>
  </si>
  <si>
    <t xml:space="preserve">ARAUCÁRIA/PR; SÃO BERNARDO DO CAMPO/SP</t>
  </si>
  <si>
    <t xml:space="preserve">R$21.505.646,36</t>
  </si>
  <si>
    <t xml:space="preserve">R$12.795,43</t>
  </si>
  <si>
    <t xml:space="preserve">R$313,11</t>
  </si>
  <si>
    <t xml:space="preserve">R$78.679.980,00</t>
  </si>
  <si>
    <t xml:space="preserve">R$31.390.840,47</t>
  </si>
  <si>
    <t xml:space="preserve">04/08/2012</t>
  </si>
  <si>
    <t xml:space="preserve">COLATINA/ES</t>
  </si>
  <si>
    <t xml:space="preserve">R$3.288.513,09</t>
  </si>
  <si>
    <t xml:space="preserve">R$17.331,97</t>
  </si>
  <si>
    <t xml:space="preserve">R$369,98</t>
  </si>
  <si>
    <t xml:space="preserve">R$30.492.424,00</t>
  </si>
  <si>
    <t xml:space="preserve">R$31.860.628,06</t>
  </si>
  <si>
    <t xml:space="preserve">07/08/2012</t>
  </si>
  <si>
    <t xml:space="preserve">R$12.672,64</t>
  </si>
  <si>
    <t xml:space="preserve">R$326,02</t>
  </si>
  <si>
    <t xml:space="preserve">R$1.634.104,26</t>
  </si>
  <si>
    <t xml:space="preserve">R$15.152.076,00</t>
  </si>
  <si>
    <t xml:space="preserve">R$32.094.071,54</t>
  </si>
  <si>
    <t xml:space="preserve">09/08/2012</t>
  </si>
  <si>
    <t xml:space="preserve">R$41.848,78</t>
  </si>
  <si>
    <t xml:space="preserve">R$642,64</t>
  </si>
  <si>
    <t xml:space="preserve">R$18.502.377,63</t>
  </si>
  <si>
    <t xml:space="preserve">R$25.733.096,00</t>
  </si>
  <si>
    <t xml:space="preserve">R$32.490.533,60</t>
  </si>
  <si>
    <t xml:space="preserve">11/08/2012</t>
  </si>
  <si>
    <t xml:space="preserve">R$61.075,63</t>
  </si>
  <si>
    <t xml:space="preserve">R$903,55</t>
  </si>
  <si>
    <t xml:space="preserve">R$22.890.179,88</t>
  </si>
  <si>
    <t xml:space="preserve">R$40.685.478,00</t>
  </si>
  <si>
    <t xml:space="preserve">R$33.117.362,51</t>
  </si>
  <si>
    <t xml:space="preserve">15/08/2012</t>
  </si>
  <si>
    <t xml:space="preserve">BRASÍLIA/DF; ESTRELA DO NORTE/SP</t>
  </si>
  <si>
    <t xml:space="preserve">R$14.192.091,49</t>
  </si>
  <si>
    <t xml:space="preserve">R$14.477,96</t>
  </si>
  <si>
    <t xml:space="preserve">R$294,71</t>
  </si>
  <si>
    <t xml:space="preserve">R$50.942.620,00</t>
  </si>
  <si>
    <t xml:space="preserve">R$33.902.220,11</t>
  </si>
  <si>
    <t xml:space="preserve">18/08/2012</t>
  </si>
  <si>
    <t xml:space="preserve">NOVA GLÓRIA/GO; CORONEL FABRICIANO/MG; BOM PRINCÍPIO/RS; GUARULHOS/SP</t>
  </si>
  <si>
    <t xml:space="preserve">R$773.932,30</t>
  </si>
  <si>
    <t xml:space="preserve">R$20.247,46</t>
  </si>
  <si>
    <t xml:space="preserve">R$376,11</t>
  </si>
  <si>
    <t xml:space="preserve">R$28.704.854,00</t>
  </si>
  <si>
    <t xml:space="preserve">R$34.344.467,15</t>
  </si>
  <si>
    <t xml:space="preserve">22/08/2012</t>
  </si>
  <si>
    <t xml:space="preserve">R$7.637,07</t>
  </si>
  <si>
    <t xml:space="preserve">R$184,66</t>
  </si>
  <si>
    <t xml:space="preserve">R$2.644.837,54</t>
  </si>
  <si>
    <t xml:space="preserve">R$24.524.004,00</t>
  </si>
  <si>
    <t xml:space="preserve">R$5.600.000,00</t>
  </si>
  <si>
    <t xml:space="preserve">R$34.722.301,10</t>
  </si>
  <si>
    <t xml:space="preserve">25/08/2012</t>
  </si>
  <si>
    <t xml:space="preserve">R$32.191,40</t>
  </si>
  <si>
    <t xml:space="preserve">R$672,75</t>
  </si>
  <si>
    <t xml:space="preserve">R$17.872.769,48</t>
  </si>
  <si>
    <t xml:space="preserve">R$30.791.774,00</t>
  </si>
  <si>
    <t xml:space="preserve">R$35.196.700,69</t>
  </si>
  <si>
    <t xml:space="preserve">29/08/2012</t>
  </si>
  <si>
    <t xml:space="preserve">R$18.723,93</t>
  </si>
  <si>
    <t xml:space="preserve">R$375,50</t>
  </si>
  <si>
    <t xml:space="preserve">R$22.322.165,67</t>
  </si>
  <si>
    <t xml:space="preserve">R$41.256.602,00</t>
  </si>
  <si>
    <t xml:space="preserve">R$35.832.328,73</t>
  </si>
  <si>
    <t xml:space="preserve">01/09/2012</t>
  </si>
  <si>
    <t xml:space="preserve">R$27.700.609,77</t>
  </si>
  <si>
    <t xml:space="preserve">R$20.561,45</t>
  </si>
  <si>
    <t xml:space="preserve">R$518,39</t>
  </si>
  <si>
    <t xml:space="preserve">R$49.871.110,00</t>
  </si>
  <si>
    <t xml:space="preserve">R$36.600.677,91</t>
  </si>
  <si>
    <t xml:space="preserve">05/09/2012</t>
  </si>
  <si>
    <t xml:space="preserve">CAÇAPAVA/SP</t>
  </si>
  <si>
    <t xml:space="preserve">R$2.662.243,82</t>
  </si>
  <si>
    <t xml:space="preserve">R$5.780,87</t>
  </si>
  <si>
    <t xml:space="preserve">R$171,94</t>
  </si>
  <si>
    <t xml:space="preserve">R$24.685.402,00</t>
  </si>
  <si>
    <t xml:space="preserve">R$36.980.998,47</t>
  </si>
  <si>
    <t xml:space="preserve">08/09/2012</t>
  </si>
  <si>
    <t xml:space="preserve">MANAUS/AM; JABOATÃO DOS GUARARAPES/PE; MAUÁ/SP</t>
  </si>
  <si>
    <t xml:space="preserve">R$729.819,96</t>
  </si>
  <si>
    <t xml:space="preserve">R$6.355,96</t>
  </si>
  <si>
    <t xml:space="preserve">R$203,59</t>
  </si>
  <si>
    <t xml:space="preserve">R$20.301.558,00</t>
  </si>
  <si>
    <t xml:space="preserve">R$37.293.778,46</t>
  </si>
  <si>
    <t xml:space="preserve">12/09/2012</t>
  </si>
  <si>
    <t xml:space="preserve">R$16.458,38</t>
  </si>
  <si>
    <t xml:space="preserve">R$294,56</t>
  </si>
  <si>
    <t xml:space="preserve">R$13.325.277,46</t>
  </si>
  <si>
    <t xml:space="preserve">R$23.333.070,00</t>
  </si>
  <si>
    <t xml:space="preserve">R$37.653.264,05</t>
  </si>
  <si>
    <t xml:space="preserve">15/09/2012</t>
  </si>
  <si>
    <t xml:space="preserve">R$17.534.538,97</t>
  </si>
  <si>
    <t xml:space="preserve">R$27.866,19</t>
  </si>
  <si>
    <t xml:space="preserve">R$505,31</t>
  </si>
  <si>
    <t xml:space="preserve">R$39.029.976,00</t>
  </si>
  <si>
    <t xml:space="preserve">R$38.254.587,13</t>
  </si>
  <si>
    <t xml:space="preserve">19/09/2012</t>
  </si>
  <si>
    <t xml:space="preserve">R$19.687,18</t>
  </si>
  <si>
    <t xml:space="preserve">R$316,32</t>
  </si>
  <si>
    <t xml:space="preserve">R$2.429.813,06</t>
  </si>
  <si>
    <t xml:space="preserve">R$22.530.210,00</t>
  </si>
  <si>
    <t xml:space="preserve">R$38.601.703,29</t>
  </si>
  <si>
    <t xml:space="preserve">22/09/2012</t>
  </si>
  <si>
    <t xml:space="preserve">R$23.322,46</t>
  </si>
  <si>
    <t xml:space="preserve">R$504,18</t>
  </si>
  <si>
    <t xml:space="preserve">R$5.566.069,41</t>
  </si>
  <si>
    <t xml:space="preserve">R$29.080.638,00</t>
  </si>
  <si>
    <t xml:space="preserve">R$39.049.739,92</t>
  </si>
  <si>
    <t xml:space="preserve">26/09/2012</t>
  </si>
  <si>
    <t xml:space="preserve">R$8.826.040,59</t>
  </si>
  <si>
    <t xml:space="preserve">R$8.674,99</t>
  </si>
  <si>
    <t xml:space="preserve">R$258,58</t>
  </si>
  <si>
    <t xml:space="preserve">R$30.227.772,00</t>
  </si>
  <si>
    <t xml:space="preserve">R$39.515.450,10</t>
  </si>
  <si>
    <t xml:space="preserve">29/09/2012</t>
  </si>
  <si>
    <t xml:space="preserve">R$25.259,36</t>
  </si>
  <si>
    <t xml:space="preserve">R$443,08</t>
  </si>
  <si>
    <t xml:space="preserve">R$12.664.526,03</t>
  </si>
  <si>
    <t xml:space="preserve">R$25.455.478,00</t>
  </si>
  <si>
    <t xml:space="preserve">R$39.907.634,98</t>
  </si>
  <si>
    <t xml:space="preserve">03/10/2012</t>
  </si>
  <si>
    <t xml:space="preserve">R$26.310,37</t>
  </si>
  <si>
    <t xml:space="preserve">R$489,15</t>
  </si>
  <si>
    <t xml:space="preserve">R$16.881.109,04</t>
  </si>
  <si>
    <t xml:space="preserve">R$39.097.864,00</t>
  </si>
  <si>
    <t xml:space="preserve">R$40.510.004,01</t>
  </si>
  <si>
    <t xml:space="preserve">06/10/2012</t>
  </si>
  <si>
    <t xml:space="preserve">R$10.435,48</t>
  </si>
  <si>
    <t xml:space="preserve">R$233,86</t>
  </si>
  <si>
    <t xml:space="preserve">R$22.225.171,32</t>
  </si>
  <si>
    <t xml:space="preserve">R$49.552.308,00</t>
  </si>
  <si>
    <t xml:space="preserve">R$41.273.441,49</t>
  </si>
  <si>
    <t xml:space="preserve">10/10/2012</t>
  </si>
  <si>
    <t xml:space="preserve">R$24.792,19</t>
  </si>
  <si>
    <t xml:space="preserve">R$427,71</t>
  </si>
  <si>
    <t xml:space="preserve">R$27.888.229,83</t>
  </si>
  <si>
    <t xml:space="preserve">R$52.510.170,00</t>
  </si>
  <si>
    <t xml:space="preserve">R$42.082.449,86</t>
  </si>
  <si>
    <t xml:space="preserve">13/10/2012</t>
  </si>
  <si>
    <t xml:space="preserve">VIÇOSA DO CEARÁ/CE</t>
  </si>
  <si>
    <t xml:space="preserve">R$33.905.517,49</t>
  </si>
  <si>
    <t xml:space="preserve">R$26.342,96</t>
  </si>
  <si>
    <t xml:space="preserve">R$498,66</t>
  </si>
  <si>
    <t xml:space="preserve">R$55.794.726,00</t>
  </si>
  <si>
    <t xml:space="preserve">R$42.942.062,39</t>
  </si>
  <si>
    <t xml:space="preserve">17/10/2012</t>
  </si>
  <si>
    <t xml:space="preserve">LUIZ ALVES/SC; Ribeirão Preto/SP</t>
  </si>
  <si>
    <t xml:space="preserve">R$1.352.380,47</t>
  </si>
  <si>
    <t xml:space="preserve">R$12.657,75</t>
  </si>
  <si>
    <t xml:space="preserve">R$331,10</t>
  </si>
  <si>
    <t xml:space="preserve">R$25.079.638,00</t>
  </si>
  <si>
    <t xml:space="preserve">R$43.328.456,82</t>
  </si>
  <si>
    <t xml:space="preserve">20/10/2012</t>
  </si>
  <si>
    <t xml:space="preserve">R$26.165,43</t>
  </si>
  <si>
    <t xml:space="preserve">R$502,71</t>
  </si>
  <si>
    <t xml:space="preserve">R$19.534.166,50</t>
  </si>
  <si>
    <t xml:space="preserve">R$41.564.024,00</t>
  </si>
  <si>
    <t xml:space="preserve">R$43.968.821,22</t>
  </si>
  <si>
    <t xml:space="preserve">24/10/2012</t>
  </si>
  <si>
    <t xml:space="preserve">R$21.218,15</t>
  </si>
  <si>
    <t xml:space="preserve">R$415,04</t>
  </si>
  <si>
    <t xml:space="preserve">R$24.498.095,24</t>
  </si>
  <si>
    <t xml:space="preserve">R$46.027.556,00</t>
  </si>
  <si>
    <t xml:space="preserve">R$44.677.953,92</t>
  </si>
  <si>
    <t xml:space="preserve">27/10/2012</t>
  </si>
  <si>
    <t xml:space="preserve">R$33.311,44</t>
  </si>
  <si>
    <t xml:space="preserve">R$574,96</t>
  </si>
  <si>
    <t xml:space="preserve">R$31.063.955,59</t>
  </si>
  <si>
    <t xml:space="preserve">R$60.881.314,00</t>
  </si>
  <si>
    <t xml:space="preserve">R$45.615.933,98</t>
  </si>
  <si>
    <t xml:space="preserve">31/10/2012</t>
  </si>
  <si>
    <t xml:space="preserve">R$19.240.377,33</t>
  </si>
  <si>
    <t xml:space="preserve">R$5.654,86</t>
  </si>
  <si>
    <t xml:space="preserve">R$294,60</t>
  </si>
  <si>
    <t xml:space="preserve">R$68.771.562,00</t>
  </si>
  <si>
    <t xml:space="preserve">R$46.675.476,71</t>
  </si>
  <si>
    <t xml:space="preserve">03/11/2012</t>
  </si>
  <si>
    <t xml:space="preserve">R$32.387,25</t>
  </si>
  <si>
    <t xml:space="preserve">R$525,63</t>
  </si>
  <si>
    <t xml:space="preserve">R$19.099.165,19</t>
  </si>
  <si>
    <t xml:space="preserve">R$24.893.922,00</t>
  </si>
  <si>
    <t xml:space="preserve">R$47.059.009,86</t>
  </si>
  <si>
    <t xml:space="preserve">07/11/2012</t>
  </si>
  <si>
    <t xml:space="preserve">RIALMA/GO</t>
  </si>
  <si>
    <t xml:space="preserve">R$24.405.605,10</t>
  </si>
  <si>
    <t xml:space="preserve">R$19.463,78</t>
  </si>
  <si>
    <t xml:space="preserve">R$371,81</t>
  </si>
  <si>
    <t xml:space="preserve">R$49.203.458,00</t>
  </si>
  <si>
    <t xml:space="preserve">R$47.817.072,71</t>
  </si>
  <si>
    <t xml:space="preserve">10/11/2012</t>
  </si>
  <si>
    <t xml:space="preserve">R$26.165,75</t>
  </si>
  <si>
    <t xml:space="preserve">R$450,93</t>
  </si>
  <si>
    <t xml:space="preserve">R$3.181.203,48</t>
  </si>
  <si>
    <t xml:space="preserve">R$29.497.406,00</t>
  </si>
  <si>
    <t xml:space="preserve">R$6.700.000,00</t>
  </si>
  <si>
    <t xml:space="preserve">R$48.271.530,35</t>
  </si>
  <si>
    <t xml:space="preserve">14/11/2012</t>
  </si>
  <si>
    <t xml:space="preserve">R$25.198,19</t>
  </si>
  <si>
    <t xml:space="preserve">R$459,00</t>
  </si>
  <si>
    <t xml:space="preserve">R$6.894.620,79</t>
  </si>
  <si>
    <t xml:space="preserve">R$34.432.308,00</t>
  </si>
  <si>
    <t xml:space="preserve">R$48.802.018,55</t>
  </si>
  <si>
    <t xml:space="preserve">17/11/2012</t>
  </si>
  <si>
    <t xml:space="preserve">R$29.228,38</t>
  </si>
  <si>
    <t xml:space="preserve">R$502,39</t>
  </si>
  <si>
    <t xml:space="preserve">R$10.771.227,06</t>
  </si>
  <si>
    <t xml:space="preserve">R$35.945.462,00</t>
  </si>
  <si>
    <t xml:space="preserve">R$49.355.819,46</t>
  </si>
  <si>
    <t xml:space="preserve">21/11/2012</t>
  </si>
  <si>
    <t xml:space="preserve">R$13.021,24</t>
  </si>
  <si>
    <t xml:space="preserve">R$291,56</t>
  </si>
  <si>
    <t xml:space="preserve">R$27.713.340,32</t>
  </si>
  <si>
    <t xml:space="preserve">R$38.922.186,00</t>
  </si>
  <si>
    <t xml:space="preserve">R$49.955.481,87</t>
  </si>
  <si>
    <t xml:space="preserve">24/11/2012</t>
  </si>
  <si>
    <t xml:space="preserve">ARAXÁ/MG</t>
  </si>
  <si>
    <t xml:space="preserve">R$33.883.410,57</t>
  </si>
  <si>
    <t xml:space="preserve">R$25.183,96</t>
  </si>
  <si>
    <t xml:space="preserve">R$455,83</t>
  </si>
  <si>
    <t xml:space="preserve">R$57.211.388,00</t>
  </si>
  <si>
    <t xml:space="preserve">R$50.836.920,50</t>
  </si>
  <si>
    <t xml:space="preserve">28/11/2012</t>
  </si>
  <si>
    <t xml:space="preserve">RIBEIRÃO PIRES/SP</t>
  </si>
  <si>
    <t xml:space="preserve">R$2.639.040,77</t>
  </si>
  <si>
    <t xml:space="preserve">R$16.466,92</t>
  </si>
  <si>
    <t xml:space="preserve">R$370,69</t>
  </si>
  <si>
    <t xml:space="preserve">R$24.470.254,00</t>
  </si>
  <si>
    <t xml:space="preserve">R$51.213.926,34</t>
  </si>
  <si>
    <t xml:space="preserve">01/12/2012</t>
  </si>
  <si>
    <t xml:space="preserve">R$32.040,96</t>
  </si>
  <si>
    <t xml:space="preserve">R$538,00</t>
  </si>
  <si>
    <t xml:space="preserve">R$3.010.163,50</t>
  </si>
  <si>
    <t xml:space="preserve">R$27.911.454,00</t>
  </si>
  <si>
    <t xml:space="preserve">R$51.643.949,71</t>
  </si>
  <si>
    <t xml:space="preserve">05/12/2012</t>
  </si>
  <si>
    <t xml:space="preserve">R$21.898,01</t>
  </si>
  <si>
    <t xml:space="preserve">R$417,97</t>
  </si>
  <si>
    <t xml:space="preserve">R$6.358.254,43</t>
  </si>
  <si>
    <t xml:space="preserve">R$31.044.854,00</t>
  </si>
  <si>
    <t xml:space="preserve">R$52.122.248,43</t>
  </si>
  <si>
    <t xml:space="preserve">08/12/2012</t>
  </si>
  <si>
    <t xml:space="preserve">R$18.517,69</t>
  </si>
  <si>
    <t xml:space="preserve">R$361,82</t>
  </si>
  <si>
    <t xml:space="preserve">R$22.336.184,15</t>
  </si>
  <si>
    <t xml:space="preserve">R$36.690.336,00</t>
  </si>
  <si>
    <t xml:space="preserve">R$52.687.525,39</t>
  </si>
  <si>
    <t xml:space="preserve">12/12/2012</t>
  </si>
  <si>
    <t xml:space="preserve">R$30.888,14</t>
  </si>
  <si>
    <t xml:space="preserve">R$543,39</t>
  </si>
  <si>
    <t xml:space="preserve">R$27.343.313,77</t>
  </si>
  <si>
    <t xml:space="preserve">R$46.428.132,00</t>
  </si>
  <si>
    <t xml:space="preserve">R$53.402.829,63</t>
  </si>
  <si>
    <t xml:space="preserve">15/12/2012</t>
  </si>
  <si>
    <t xml:space="preserve">R$19.191,54</t>
  </si>
  <si>
    <t xml:space="preserve">R$349,41</t>
  </si>
  <si>
    <t xml:space="preserve">R$33.141.179,59</t>
  </si>
  <si>
    <t xml:space="preserve">R$53.760.158,00</t>
  </si>
  <si>
    <t xml:space="preserve">R$54.231.096,19</t>
  </si>
  <si>
    <t xml:space="preserve">18/12/2012</t>
  </si>
  <si>
    <t xml:space="preserve">R$36.504,89</t>
  </si>
  <si>
    <t xml:space="preserve">R$532,32</t>
  </si>
  <si>
    <t xml:space="preserve">R$37.175.930,17</t>
  </si>
  <si>
    <t xml:space="preserve">R$37.411.840,00</t>
  </si>
  <si>
    <t xml:space="preserve">R$41.000.000,00</t>
  </si>
  <si>
    <t xml:space="preserve">R$54.807.489,15</t>
  </si>
  <si>
    <t xml:space="preserve">20/12/2012</t>
  </si>
  <si>
    <t xml:space="preserve">R$10.734,25</t>
  </si>
  <si>
    <t xml:space="preserve">R$303,74</t>
  </si>
  <si>
    <t xml:space="preserve">R$42.752.088,24</t>
  </si>
  <si>
    <t xml:space="preserve">R$51.704.394,00</t>
  </si>
  <si>
    <t xml:space="preserve">R$48.000.000,00</t>
  </si>
  <si>
    <t xml:space="preserve">R$55.604.083,17</t>
  </si>
  <si>
    <t xml:space="preserve">22/12/2012</t>
  </si>
  <si>
    <t xml:space="preserve">R$23.883,32</t>
  </si>
  <si>
    <t xml:space="preserve">R$446,36</t>
  </si>
  <si>
    <t xml:space="preserve">R$122.411.671,25</t>
  </si>
  <si>
    <t xml:space="preserve">R$58.744.064,00</t>
  </si>
  <si>
    <t xml:space="preserve">R$230.000.000,00</t>
  </si>
  <si>
    <t xml:space="preserve">31/12/2012</t>
  </si>
  <si>
    <t xml:space="preserve">APARECIDA DE GOIÂNIA/GO; FRANCA/SP; SÃO PAULO/SP</t>
  </si>
  <si>
    <t xml:space="preserve">R$81.594.699,72</t>
  </si>
  <si>
    <t xml:space="preserve">R$27.413,18</t>
  </si>
  <si>
    <t xml:space="preserve">R$473,01</t>
  </si>
  <si>
    <t xml:space="preserve">R$640.548.924,00</t>
  </si>
  <si>
    <t xml:space="preserve">02/01/2013</t>
  </si>
  <si>
    <t xml:space="preserve">R$29.713,02</t>
  </si>
  <si>
    <t xml:space="preserve">R$379,41</t>
  </si>
  <si>
    <t xml:space="preserve">R$1.313.627,95</t>
  </si>
  <si>
    <t xml:space="preserve">R$12.180.490,00</t>
  </si>
  <si>
    <t xml:space="preserve">R$187.661,16</t>
  </si>
  <si>
    <t xml:space="preserve">05/01/2013</t>
  </si>
  <si>
    <t xml:space="preserve">R$18.748,79</t>
  </si>
  <si>
    <t xml:space="preserve">R$374,43</t>
  </si>
  <si>
    <t xml:space="preserve">R$4.629.202,83</t>
  </si>
  <si>
    <t xml:space="preserve">R$30.743.352,00</t>
  </si>
  <si>
    <t xml:space="preserve">R$661.314,73</t>
  </si>
  <si>
    <t xml:space="preserve">09/01/2013</t>
  </si>
  <si>
    <t xml:space="preserve">R$15.358,12</t>
  </si>
  <si>
    <t xml:space="preserve">R$308,98</t>
  </si>
  <si>
    <t xml:space="preserve">R$8.420.233,24</t>
  </si>
  <si>
    <t xml:space="preserve">R$35.151.968,00</t>
  </si>
  <si>
    <t xml:space="preserve">R$1.202.890,51</t>
  </si>
  <si>
    <t xml:space="preserve">12/01/2013</t>
  </si>
  <si>
    <t xml:space="preserve">LAGES/SC</t>
  </si>
  <si>
    <t xml:space="preserve">R$13.246.202,09</t>
  </si>
  <si>
    <t xml:space="preserve">R$17.821,85</t>
  </si>
  <si>
    <t xml:space="preserve">R$323,66</t>
  </si>
  <si>
    <t xml:space="preserve">R$44.748.336,00</t>
  </si>
  <si>
    <t xml:space="preserve">R$1.892.314,64</t>
  </si>
  <si>
    <t xml:space="preserve">16/01/2013</t>
  </si>
  <si>
    <t xml:space="preserve">R$20.925,78</t>
  </si>
  <si>
    <t xml:space="preserve">R$435,26</t>
  </si>
  <si>
    <t xml:space="preserve">R$12.296.574,51</t>
  </si>
  <si>
    <t xml:space="preserve">R$36.815.066,00</t>
  </si>
  <si>
    <t xml:space="preserve">R$2.459.513,28</t>
  </si>
  <si>
    <t xml:space="preserve">19/01/2013</t>
  </si>
  <si>
    <t xml:space="preserve">R$27.077,55</t>
  </si>
  <si>
    <t xml:space="preserve">R$573,02</t>
  </si>
  <si>
    <t xml:space="preserve">R$17.234.665,08</t>
  </si>
  <si>
    <t xml:space="preserve">R$45.787.974,00</t>
  </si>
  <si>
    <t xml:space="preserve">R$3.164.954,80</t>
  </si>
  <si>
    <t xml:space="preserve">23/01/2013</t>
  </si>
  <si>
    <t xml:space="preserve">R$22.470.803,48</t>
  </si>
  <si>
    <t xml:space="preserve">R$7.251,21</t>
  </si>
  <si>
    <t xml:space="preserve">R$48.551.594,00</t>
  </si>
  <si>
    <t xml:space="preserve">R$3.912.974,58</t>
  </si>
  <si>
    <t xml:space="preserve">26/01/2013</t>
  </si>
  <si>
    <t xml:space="preserve">R$35.283,98</t>
  </si>
  <si>
    <t xml:space="preserve">R$512,97</t>
  </si>
  <si>
    <t xml:space="preserve">R$2.989.852,91</t>
  </si>
  <si>
    <t xml:space="preserve">R$27.723.126,00</t>
  </si>
  <si>
    <t xml:space="preserve">R$4.340.096,43</t>
  </si>
  <si>
    <t xml:space="preserve">30/01/2013</t>
  </si>
  <si>
    <t xml:space="preserve">R$23.495,23</t>
  </si>
  <si>
    <t xml:space="preserve">R$457,97</t>
  </si>
  <si>
    <t xml:space="preserve">R$19.117.004,46</t>
  </si>
  <si>
    <t xml:space="preserve">R$30.500.016,00</t>
  </si>
  <si>
    <t xml:space="preserve">R$4.810.001,00</t>
  </si>
  <si>
    <t xml:space="preserve">02/02/2013</t>
  </si>
  <si>
    <t xml:space="preserve">R$23.295,61</t>
  </si>
  <si>
    <t xml:space="preserve">R$490,45</t>
  </si>
  <si>
    <t xml:space="preserve">R$24.137.821,57</t>
  </si>
  <si>
    <t xml:space="preserve">R$46.555.048,00</t>
  </si>
  <si>
    <t xml:space="preserve">R$5.527.260,60</t>
  </si>
  <si>
    <t xml:space="preserve">06/02/2013</t>
  </si>
  <si>
    <t xml:space="preserve">R$29.873.254,83</t>
  </si>
  <si>
    <t xml:space="preserve">R$14.617,47</t>
  </si>
  <si>
    <t xml:space="preserve">R$290,95</t>
  </si>
  <si>
    <t xml:space="preserve">R$53.181.258,00</t>
  </si>
  <si>
    <t xml:space="preserve">R$6.346.608,23</t>
  </si>
  <si>
    <t xml:space="preserve">09/02/2013</t>
  </si>
  <si>
    <t xml:space="preserve">CONTAGEM/MG</t>
  </si>
  <si>
    <t xml:space="preserve">R$3.097.080,96</t>
  </si>
  <si>
    <t xml:space="preserve">R$22.416,97</t>
  </si>
  <si>
    <t xml:space="preserve">R$611,92</t>
  </si>
  <si>
    <t xml:space="preserve">R$28.717.388,00</t>
  </si>
  <si>
    <t xml:space="preserve">R$6.789.048,38</t>
  </si>
  <si>
    <t xml:space="preserve">13/02/2013</t>
  </si>
  <si>
    <t xml:space="preserve">VOLTA REDONDA/RJ</t>
  </si>
  <si>
    <t xml:space="preserve">R$1.542.491,77</t>
  </si>
  <si>
    <t xml:space="preserve">R$4.677,95</t>
  </si>
  <si>
    <t xml:space="preserve">R$184,23</t>
  </si>
  <si>
    <t xml:space="preserve">R$14.302.608,00</t>
  </si>
  <si>
    <t xml:space="preserve">R$7.009.404,35</t>
  </si>
  <si>
    <t xml:space="preserve">16/02/2013</t>
  </si>
  <si>
    <t xml:space="preserve">R$15.231,81</t>
  </si>
  <si>
    <t xml:space="preserve">R$330,16</t>
  </si>
  <si>
    <t xml:space="preserve">R$14.475.394,97</t>
  </si>
  <si>
    <t xml:space="preserve">R$27.317.922,00</t>
  </si>
  <si>
    <t xml:space="preserve">R$7.430.283,35</t>
  </si>
  <si>
    <t xml:space="preserve">20/02/2013</t>
  </si>
  <si>
    <t xml:space="preserve">IÚNA/ES; CÓRREGO NOVO/MG</t>
  </si>
  <si>
    <t xml:space="preserve">R$9.438.162,39</t>
  </si>
  <si>
    <t xml:space="preserve">R$13.889,98</t>
  </si>
  <si>
    <t xml:space="preserve">R$370,85</t>
  </si>
  <si>
    <t xml:space="preserve">R$40.807.202,00</t>
  </si>
  <si>
    <t xml:space="preserve">R$8.058.987,62</t>
  </si>
  <si>
    <t xml:space="preserve">23/02/2013</t>
  </si>
  <si>
    <t xml:space="preserve">R$17.770,13</t>
  </si>
  <si>
    <t xml:space="preserve">R$452,70</t>
  </si>
  <si>
    <t xml:space="preserve">R$3.011.569,17</t>
  </si>
  <si>
    <t xml:space="preserve">R$27.924.488,00</t>
  </si>
  <si>
    <t xml:space="preserve">R$8.489.211,81</t>
  </si>
  <si>
    <t xml:space="preserve">27/02/2013</t>
  </si>
  <si>
    <t xml:space="preserve">R$13.563,89</t>
  </si>
  <si>
    <t xml:space="preserve">R$359,75</t>
  </si>
  <si>
    <t xml:space="preserve">R$6.259.763,90</t>
  </si>
  <si>
    <t xml:space="preserve">R$30.118.576,00</t>
  </si>
  <si>
    <t xml:space="preserve">R$8.953.239,64</t>
  </si>
  <si>
    <t xml:space="preserve">02/03/2013</t>
  </si>
  <si>
    <t xml:space="preserve">R$18.428,91</t>
  </si>
  <si>
    <t xml:space="preserve">R$383,80</t>
  </si>
  <si>
    <t xml:space="preserve">R$10.367.470,95</t>
  </si>
  <si>
    <t xml:space="preserve">R$38.088.322,00</t>
  </si>
  <si>
    <t xml:space="preserve">R$9.540.054,94</t>
  </si>
  <si>
    <t xml:space="preserve">06/03/2013</t>
  </si>
  <si>
    <t xml:space="preserve">ALTO PARNAÍBA/MA</t>
  </si>
  <si>
    <t xml:space="preserve">R$14.742.572,93</t>
  </si>
  <si>
    <t xml:space="preserve">R$15.031,99</t>
  </si>
  <si>
    <t xml:space="preserve">R$286,61</t>
  </si>
  <si>
    <t xml:space="preserve">R$40.567.716,00</t>
  </si>
  <si>
    <t xml:space="preserve">R$10.165.069,53</t>
  </si>
  <si>
    <t xml:space="preserve">09/03/2013</t>
  </si>
  <si>
    <t xml:space="preserve">COTIA/SP</t>
  </si>
  <si>
    <t xml:space="preserve">R$16.179.244,60</t>
  </si>
  <si>
    <t xml:space="preserve">R$20.277,36</t>
  </si>
  <si>
    <t xml:space="preserve">R$38.445.112,00</t>
  </si>
  <si>
    <t xml:space="preserve">R$10.757.381,79</t>
  </si>
  <si>
    <t xml:space="preserve">13/03/2013</t>
  </si>
  <si>
    <t xml:space="preserve">R$25.819,12</t>
  </si>
  <si>
    <t xml:space="preserve">R$457,01</t>
  </si>
  <si>
    <t xml:space="preserve">R$2.758.568,78</t>
  </si>
  <si>
    <t xml:space="preserve">R$25.578.566,00</t>
  </si>
  <si>
    <t xml:space="preserve">R$11.151.463,06</t>
  </si>
  <si>
    <t xml:space="preserve">16/03/2013</t>
  </si>
  <si>
    <t xml:space="preserve">R$33.527,40</t>
  </si>
  <si>
    <t xml:space="preserve">R$688,30</t>
  </si>
  <si>
    <t xml:space="preserve">R$6.340.706,88</t>
  </si>
  <si>
    <t xml:space="preserve">R$33.215.034,00</t>
  </si>
  <si>
    <t xml:space="preserve">R$11.663.197,09</t>
  </si>
  <si>
    <t xml:space="preserve">20/03/2013</t>
  </si>
  <si>
    <t xml:space="preserve">R$35.716,33</t>
  </si>
  <si>
    <t xml:space="preserve">R$580,28</t>
  </si>
  <si>
    <t xml:space="preserve">R$10.025.127,83</t>
  </si>
  <si>
    <t xml:space="preserve">R$34.163.442,00</t>
  </si>
  <si>
    <t xml:space="preserve">R$12.189.542,95</t>
  </si>
  <si>
    <t xml:space="preserve">23/03/2013</t>
  </si>
  <si>
    <t xml:space="preserve">R$40.564,43</t>
  </si>
  <si>
    <t xml:space="preserve">R$682,98</t>
  </si>
  <si>
    <t xml:space="preserve">R$26.112.714,84</t>
  </si>
  <si>
    <t xml:space="preserve">R$40.879.372,00</t>
  </si>
  <si>
    <t xml:space="preserve">R$12.819.359,12</t>
  </si>
  <si>
    <t xml:space="preserve">27/03/2013</t>
  </si>
  <si>
    <t xml:space="preserve">TERESÓPOLIS/RJ</t>
  </si>
  <si>
    <t xml:space="preserve">R$31.618.202,79</t>
  </si>
  <si>
    <t xml:space="preserve">R$19.792,67</t>
  </si>
  <si>
    <t xml:space="preserve">R$374,68</t>
  </si>
  <si>
    <t xml:space="preserve">R$51.049.112,00</t>
  </si>
  <si>
    <t xml:space="preserve">R$13.605.857,42</t>
  </si>
  <si>
    <t xml:space="preserve">30/03/2013</t>
  </si>
  <si>
    <t xml:space="preserve">R$28.132,97</t>
  </si>
  <si>
    <t xml:space="preserve">R$586,15</t>
  </si>
  <si>
    <t xml:space="preserve">R$2.383.898,76</t>
  </si>
  <si>
    <t xml:space="preserve">R$22.104.474,00</t>
  </si>
  <si>
    <t xml:space="preserve">R$5.200.000,00</t>
  </si>
  <si>
    <t xml:space="preserve">R$13.946.414,38</t>
  </si>
  <si>
    <t xml:space="preserve">03/04/2013</t>
  </si>
  <si>
    <t xml:space="preserve">R$20.782,22</t>
  </si>
  <si>
    <t xml:space="preserve">R$431,69</t>
  </si>
  <si>
    <t xml:space="preserve">R$5.408.258,78</t>
  </si>
  <si>
    <t xml:space="preserve">R$28.043.090,00</t>
  </si>
  <si>
    <t xml:space="preserve">R$14.378.465,82</t>
  </si>
  <si>
    <t xml:space="preserve">06/04/2013</t>
  </si>
  <si>
    <t xml:space="preserve">R$38.750,70</t>
  </si>
  <si>
    <t xml:space="preserve">R$609,08</t>
  </si>
  <si>
    <t xml:space="preserve">R$9.191.551,17</t>
  </si>
  <si>
    <t xml:space="preserve">R$35.080.218,00</t>
  </si>
  <si>
    <t xml:space="preserve">R$14.918.936,18</t>
  </si>
  <si>
    <t xml:space="preserve">10/04/2013</t>
  </si>
  <si>
    <t xml:space="preserve">R$25.680,65</t>
  </si>
  <si>
    <t xml:space="preserve">R$438,34</t>
  </si>
  <si>
    <t xml:space="preserve">R$24.978.254,24</t>
  </si>
  <si>
    <t xml:space="preserve">R$37.284.786,00</t>
  </si>
  <si>
    <t xml:space="preserve">R$15.493.371,66</t>
  </si>
  <si>
    <t xml:space="preserve">13/04/2013</t>
  </si>
  <si>
    <t xml:space="preserve">R$14.575,86</t>
  </si>
  <si>
    <t xml:space="preserve">R$355,77</t>
  </si>
  <si>
    <t xml:space="preserve">R$30.670.509,92</t>
  </si>
  <si>
    <t xml:space="preserve">R$52.780.898,00</t>
  </si>
  <si>
    <t xml:space="preserve">R$16.306.551,06</t>
  </si>
  <si>
    <t xml:space="preserve">17/04/2013</t>
  </si>
  <si>
    <t xml:space="preserve">LONDRINA/PR</t>
  </si>
  <si>
    <t xml:space="preserve">R$37.137.524,71</t>
  </si>
  <si>
    <t xml:space="preserve">R$20.176,24</t>
  </si>
  <si>
    <t xml:space="preserve">R$413,52</t>
  </si>
  <si>
    <t xml:space="preserve">R$59.964.778,00</t>
  </si>
  <si>
    <t xml:space="preserve">R$17.230.410,34</t>
  </si>
  <si>
    <t xml:space="preserve">20/04/2013</t>
  </si>
  <si>
    <t xml:space="preserve">R$8.062,23</t>
  </si>
  <si>
    <t xml:space="preserve">R$237,72</t>
  </si>
  <si>
    <t xml:space="preserve">R$2.940.589,52</t>
  </si>
  <si>
    <t xml:space="preserve">R$27.266.336,00</t>
  </si>
  <si>
    <t xml:space="preserve">R$17.650.494,57</t>
  </si>
  <si>
    <t xml:space="preserve">24/04/2013</t>
  </si>
  <si>
    <t xml:space="preserve">HORTOLÂNDIA/SP</t>
  </si>
  <si>
    <t xml:space="preserve">R$6.092.267,98</t>
  </si>
  <si>
    <t xml:space="preserve">R$11.881,33</t>
  </si>
  <si>
    <t xml:space="preserve">R$344,00</t>
  </si>
  <si>
    <t xml:space="preserve">R$29.223.638,00</t>
  </si>
  <si>
    <t xml:space="preserve">R$2.800.000,00</t>
  </si>
  <si>
    <t xml:space="preserve">R$18.100.734,36</t>
  </si>
  <si>
    <t xml:space="preserve">Sorteio realizado em Estúdio de TV.</t>
  </si>
  <si>
    <t xml:space="preserve">27/04/2013</t>
  </si>
  <si>
    <t xml:space="preserve">CAMPO GRANDE/MS</t>
  </si>
  <si>
    <t xml:space="preserve">R$2.867.241,35</t>
  </si>
  <si>
    <t xml:space="preserve">R$18.098,87</t>
  </si>
  <si>
    <t xml:space="preserve">R$407,09</t>
  </si>
  <si>
    <t xml:space="preserve">R$26.586.222,00</t>
  </si>
  <si>
    <t xml:space="preserve">R$18.510.340,29</t>
  </si>
  <si>
    <t xml:space="preserve">02/05/2013</t>
  </si>
  <si>
    <t xml:space="preserve">R$26.934,64</t>
  </si>
  <si>
    <t xml:space="preserve">R$573,01</t>
  </si>
  <si>
    <t xml:space="preserve">R$16.896.662,04</t>
  </si>
  <si>
    <t xml:space="preserve">R$33.584.654,00</t>
  </si>
  <si>
    <t xml:space="preserve">R$20.500.000,00</t>
  </si>
  <si>
    <t xml:space="preserve">R$19.027.768,93</t>
  </si>
  <si>
    <t xml:space="preserve">04/05/2013</t>
  </si>
  <si>
    <t xml:space="preserve">R$31.442,92</t>
  </si>
  <si>
    <t xml:space="preserve">R$609,90</t>
  </si>
  <si>
    <t xml:space="preserve">R$21.182.827,87</t>
  </si>
  <si>
    <t xml:space="preserve">R$39.743.064,00</t>
  </si>
  <si>
    <t xml:space="preserve">R$19.640.078,34</t>
  </si>
  <si>
    <t xml:space="preserve">08/05/2013</t>
  </si>
  <si>
    <t xml:space="preserve">NEPOMUCENO/MG</t>
  </si>
  <si>
    <t xml:space="preserve">R$26.460.707,33</t>
  </si>
  <si>
    <t xml:space="preserve">R$12.349,72</t>
  </si>
  <si>
    <t xml:space="preserve">R$321,80</t>
  </si>
  <si>
    <t xml:space="preserve">R$48.938.634,00</t>
  </si>
  <si>
    <t xml:space="preserve">R$2.400.000,00</t>
  </si>
  <si>
    <t xml:space="preserve">R$20.394.061,14</t>
  </si>
  <si>
    <t xml:space="preserve">11/05/2013</t>
  </si>
  <si>
    <t xml:space="preserve">SALVADOR/BA; CAMPINAS/SP</t>
  </si>
  <si>
    <t xml:space="preserve">R$1.471.764,39</t>
  </si>
  <si>
    <t xml:space="preserve">R$11.663,62</t>
  </si>
  <si>
    <t xml:space="preserve">R$251,54</t>
  </si>
  <si>
    <t xml:space="preserve">R$27.293.590,00</t>
  </si>
  <si>
    <t xml:space="preserve">R$20.814.565,27</t>
  </si>
  <si>
    <t xml:space="preserve">15/05/2013</t>
  </si>
  <si>
    <t xml:space="preserve">R$20.542,92</t>
  </si>
  <si>
    <t xml:space="preserve">R$347,30</t>
  </si>
  <si>
    <t xml:space="preserve">R$14.329.345,31</t>
  </si>
  <si>
    <t xml:space="preserve">R$23.860.410,00</t>
  </si>
  <si>
    <t xml:space="preserve">R$21.182.175,42</t>
  </si>
  <si>
    <t xml:space="preserve">18/05/2013</t>
  </si>
  <si>
    <t xml:space="preserve">R$16.899,84</t>
  </si>
  <si>
    <t xml:space="preserve">R$343,91</t>
  </si>
  <si>
    <t xml:space="preserve">R$18.687.724,13</t>
  </si>
  <si>
    <t xml:space="preserve">R$40.412.652,00</t>
  </si>
  <si>
    <t xml:space="preserve">R$21.804.800,99</t>
  </si>
  <si>
    <t xml:space="preserve">22/05/2013</t>
  </si>
  <si>
    <t xml:space="preserve">R$25.446,39</t>
  </si>
  <si>
    <t xml:space="preserve">R$462,19</t>
  </si>
  <si>
    <t xml:space="preserve">R$23.656.465,87</t>
  </si>
  <si>
    <t xml:space="preserve">R$46.072.184,00</t>
  </si>
  <si>
    <t xml:space="preserve">R$22.514.621,25</t>
  </si>
  <si>
    <t xml:space="preserve">25/05/2013</t>
  </si>
  <si>
    <t xml:space="preserve">R$11.685,01</t>
  </si>
  <si>
    <t xml:space="preserve">R$239,82</t>
  </si>
  <si>
    <t xml:space="preserve">R$29.080.768,61</t>
  </si>
  <si>
    <t xml:space="preserve">R$50.296.330,00</t>
  </si>
  <si>
    <t xml:space="preserve">R$34.500.000,00</t>
  </si>
  <si>
    <t xml:space="preserve">R$23.289.521,66</t>
  </si>
  <si>
    <t xml:space="preserve">29/05/2013</t>
  </si>
  <si>
    <t xml:space="preserve">R$14.636,95</t>
  </si>
  <si>
    <t xml:space="preserve">R$334,38</t>
  </si>
  <si>
    <t xml:space="preserve">R$35.470.952,42</t>
  </si>
  <si>
    <t xml:space="preserve">R$59.252.370,00</t>
  </si>
  <si>
    <t xml:space="preserve">R$24.202.405,07</t>
  </si>
  <si>
    <t xml:space="preserve">01/06/2013</t>
  </si>
  <si>
    <t xml:space="preserve">PEDRA PRETA/MT</t>
  </si>
  <si>
    <t xml:space="preserve">R$43.036.617,07</t>
  </si>
  <si>
    <t xml:space="preserve">R$13.922,29</t>
  </si>
  <si>
    <t xml:space="preserve">R$321,03</t>
  </si>
  <si>
    <t xml:space="preserve">R$70.151.904,00</t>
  </si>
  <si>
    <t xml:space="preserve">R$25.283.214,32</t>
  </si>
  <si>
    <t xml:space="preserve">05/06/2013</t>
  </si>
  <si>
    <t xml:space="preserve">MIRANTE DO PARANAPANEMA/SP</t>
  </si>
  <si>
    <t xml:space="preserve">R$22.610.179,37</t>
  </si>
  <si>
    <t xml:space="preserve">R$30.598,43</t>
  </si>
  <si>
    <t xml:space="preserve">R$501,86</t>
  </si>
  <si>
    <t xml:space="preserve">R$42.334.170,00</t>
  </si>
  <si>
    <t xml:space="preserve">R$25.935.444,12</t>
  </si>
  <si>
    <t xml:space="preserve">08/06/2013</t>
  </si>
  <si>
    <t xml:space="preserve">Uruara/PA</t>
  </si>
  <si>
    <t xml:space="preserve">R$3.144.718,24</t>
  </si>
  <si>
    <t xml:space="preserve">R$7.172,83</t>
  </si>
  <si>
    <t xml:space="preserve">R$217,55</t>
  </si>
  <si>
    <t xml:space="preserve">R$29.159.100,00</t>
  </si>
  <si>
    <t xml:space="preserve">R$26.384.689,60</t>
  </si>
  <si>
    <t xml:space="preserve">12/06/2013</t>
  </si>
  <si>
    <t xml:space="preserve">R$31.688,04</t>
  </si>
  <si>
    <t xml:space="preserve">R$606,95</t>
  </si>
  <si>
    <t xml:space="preserve">R$2.801.889,58</t>
  </si>
  <si>
    <t xml:space="preserve">R$25.980.254,00</t>
  </si>
  <si>
    <t xml:space="preserve">R$26.784.959,56</t>
  </si>
  <si>
    <t xml:space="preserve">15/06/2013</t>
  </si>
  <si>
    <t xml:space="preserve">R$16.427,17</t>
  </si>
  <si>
    <t xml:space="preserve">R$308,34</t>
  </si>
  <si>
    <t xml:space="preserve">R$6.160.813,94</t>
  </si>
  <si>
    <t xml:space="preserve">R$31.145.306,00</t>
  </si>
  <si>
    <t xml:space="preserve">R$27.264.805,91</t>
  </si>
  <si>
    <t xml:space="preserve">19/06/2013</t>
  </si>
  <si>
    <t xml:space="preserve">R$25.045,42</t>
  </si>
  <si>
    <t xml:space="preserve">R$444,46</t>
  </si>
  <si>
    <t xml:space="preserve">R$20.439.900,82</t>
  </si>
  <si>
    <t xml:space="preserve">R$31.656.794,00</t>
  </si>
  <si>
    <t xml:space="preserve">R$27.752.532,60</t>
  </si>
  <si>
    <t xml:space="preserve">22/06/2013</t>
  </si>
  <si>
    <t xml:space="preserve">R$9.151,90</t>
  </si>
  <si>
    <t xml:space="preserve">R$226,23</t>
  </si>
  <si>
    <t xml:space="preserve">R$24.873.756,07</t>
  </si>
  <si>
    <t xml:space="preserve">R$41.112.500,00</t>
  </si>
  <si>
    <t xml:space="preserve">R$29.500.000,00</t>
  </si>
  <si>
    <t xml:space="preserve">R$28.385.940,50</t>
  </si>
  <si>
    <t xml:space="preserve">26/06/2013</t>
  </si>
  <si>
    <t xml:space="preserve">R$13.681,20</t>
  </si>
  <si>
    <t xml:space="preserve">R$326,58</t>
  </si>
  <si>
    <t xml:space="preserve">R$29.460.557,82</t>
  </si>
  <si>
    <t xml:space="preserve">R$42.530.682,00</t>
  </si>
  <si>
    <t xml:space="preserve">R$29.041.197,91</t>
  </si>
  <si>
    <t xml:space="preserve">29/06/2013</t>
  </si>
  <si>
    <t xml:space="preserve">R$34.293,63</t>
  </si>
  <si>
    <t xml:space="preserve">R$648,93</t>
  </si>
  <si>
    <t xml:space="preserve">R$35.335.598,46</t>
  </si>
  <si>
    <t xml:space="preserve">R$54.475.754,00</t>
  </si>
  <si>
    <t xml:space="preserve">R$29.880.489,43</t>
  </si>
  <si>
    <t xml:space="preserve">03/07/2013</t>
  </si>
  <si>
    <t xml:space="preserve">TERESÓPOLIS/RJ; SÃO PAULO/SP</t>
  </si>
  <si>
    <t xml:space="preserve">R$21.168.975,92</t>
  </si>
  <si>
    <t xml:space="preserve">R$33.054,59</t>
  </si>
  <si>
    <t xml:space="preserve">R$528,45</t>
  </si>
  <si>
    <t xml:space="preserve">R$64.928.654,00</t>
  </si>
  <si>
    <t xml:space="preserve">R$30.880.825,64</t>
  </si>
  <si>
    <t xml:space="preserve">06/07/2013</t>
  </si>
  <si>
    <t xml:space="preserve">R$22.607,95</t>
  </si>
  <si>
    <t xml:space="preserve">R$407,08</t>
  </si>
  <si>
    <t xml:space="preserve">R$18.579.983,72</t>
  </si>
  <si>
    <t xml:space="preserve">R$27.417.412,00</t>
  </si>
  <si>
    <t xml:space="preserve">R$31.303.237,45</t>
  </si>
  <si>
    <t xml:space="preserve">10/07/2013</t>
  </si>
  <si>
    <t xml:space="preserve">PONTA GROSSA/PR</t>
  </si>
  <si>
    <t xml:space="preserve">R$22.933.056,04</t>
  </si>
  <si>
    <t xml:space="preserve">R$24.874,70</t>
  </si>
  <si>
    <t xml:space="preserve">R$370,93</t>
  </si>
  <si>
    <t xml:space="preserve">R$40.363.448,00</t>
  </si>
  <si>
    <t xml:space="preserve">R$31.925.104,94</t>
  </si>
  <si>
    <t xml:space="preserve">13/07/2013</t>
  </si>
  <si>
    <t xml:space="preserve">R$11.883,51</t>
  </si>
  <si>
    <t xml:space="preserve">R$305,92</t>
  </si>
  <si>
    <t xml:space="preserve">R$3.020.912,81</t>
  </si>
  <si>
    <t xml:space="preserve">R$28.011.126,00</t>
  </si>
  <si>
    <t xml:space="preserve">R$32.356.663,93</t>
  </si>
  <si>
    <t xml:space="preserve">17/07/2013</t>
  </si>
  <si>
    <t xml:space="preserve">R$19.009,23</t>
  </si>
  <si>
    <t xml:space="preserve">R$434,57</t>
  </si>
  <si>
    <t xml:space="preserve">R$6.312.511,60</t>
  </si>
  <si>
    <t xml:space="preserve">R$30.521.036,00</t>
  </si>
  <si>
    <t xml:space="preserve">R$32.826.892,34</t>
  </si>
  <si>
    <t xml:space="preserve">Sorteio realizado em estúdio de TV.</t>
  </si>
  <si>
    <t xml:space="preserve">20/07/2013</t>
  </si>
  <si>
    <t xml:space="preserve">R$47.603,75</t>
  </si>
  <si>
    <t xml:space="preserve">R$618,61</t>
  </si>
  <si>
    <t xml:space="preserve">R$10.170.920,65</t>
  </si>
  <si>
    <t xml:space="preserve">R$35.776.730,00</t>
  </si>
  <si>
    <t xml:space="preserve">R$33.378.093,65</t>
  </si>
  <si>
    <t xml:space="preserve">24/07/2013</t>
  </si>
  <si>
    <t xml:space="preserve">TOLEDO/PR</t>
  </si>
  <si>
    <t xml:space="preserve">R$14.061.405,08</t>
  </si>
  <si>
    <t xml:space="preserve">R$31.999,66</t>
  </si>
  <si>
    <t xml:space="preserve">R$485,14</t>
  </si>
  <si>
    <t xml:space="preserve">R$36.074.146,00</t>
  </si>
  <si>
    <t xml:space="preserve">R$33.933.877,16</t>
  </si>
  <si>
    <t xml:space="preserve">27/07/2013</t>
  </si>
  <si>
    <t xml:space="preserve">SAPUCAIA DO SUL/RS</t>
  </si>
  <si>
    <t xml:space="preserve">R$15.200.594,63</t>
  </si>
  <si>
    <t xml:space="preserve">R$17.732,26</t>
  </si>
  <si>
    <t xml:space="preserve">R$328,21</t>
  </si>
  <si>
    <t xml:space="preserve">R$33.619.702,00</t>
  </si>
  <si>
    <t xml:space="preserve">R$34.451.845,80</t>
  </si>
  <si>
    <t xml:space="preserve">31/07/2013</t>
  </si>
  <si>
    <t xml:space="preserve">NOVO PROGRESSO/PA</t>
  </si>
  <si>
    <t xml:space="preserve">R$2.581.185,45</t>
  </si>
  <si>
    <t xml:space="preserve">R$25.021,69</t>
  </si>
  <si>
    <t xml:space="preserve">R$507,28</t>
  </si>
  <si>
    <t xml:space="preserve">R$23.933.796,00</t>
  </si>
  <si>
    <t xml:space="preserve">R$34.820.586,59</t>
  </si>
  <si>
    <t xml:space="preserve">03/08/2013</t>
  </si>
  <si>
    <t xml:space="preserve">R$25.710,14</t>
  </si>
  <si>
    <t xml:space="preserve">R$410,68</t>
  </si>
  <si>
    <t xml:space="preserve">R$2.841.647,55</t>
  </si>
  <si>
    <t xml:space="preserve">R$26.348.906,00</t>
  </si>
  <si>
    <t xml:space="preserve">R$35.226.536,24</t>
  </si>
  <si>
    <t xml:space="preserve">06/08/2013</t>
  </si>
  <si>
    <t xml:space="preserve">R$36.256,85</t>
  </si>
  <si>
    <t xml:space="preserve">R$501,47</t>
  </si>
  <si>
    <t xml:space="preserve">R$4.711.737,63</t>
  </si>
  <si>
    <t xml:space="preserve">R$17.340.232,00</t>
  </si>
  <si>
    <t xml:space="preserve">R$35.493.691,99</t>
  </si>
  <si>
    <t xml:space="preserve">08/08/2013</t>
  </si>
  <si>
    <t xml:space="preserve">R$21.543,33</t>
  </si>
  <si>
    <t xml:space="preserve">R$376,46</t>
  </si>
  <si>
    <t xml:space="preserve">R$16.228.282,25</t>
  </si>
  <si>
    <t xml:space="preserve">R$26.494.284,00</t>
  </si>
  <si>
    <t xml:space="preserve">R$35.901.881,44</t>
  </si>
  <si>
    <t xml:space="preserve">10/08/2013</t>
  </si>
  <si>
    <t xml:space="preserve">R$53.442,81</t>
  </si>
  <si>
    <t xml:space="preserve">R$557,74</t>
  </si>
  <si>
    <t xml:space="preserve">R$20.461.515,75</t>
  </si>
  <si>
    <t xml:space="preserve">R$39.252.254,00</t>
  </si>
  <si>
    <t xml:space="preserve">R$36.506.629,10</t>
  </si>
  <si>
    <t xml:space="preserve">14/08/2013</t>
  </si>
  <si>
    <t xml:space="preserve">NOVA IGUAÇU/RJ</t>
  </si>
  <si>
    <t xml:space="preserve">R$25.313.774,00</t>
  </si>
  <si>
    <t xml:space="preserve">R$19.657,33</t>
  </si>
  <si>
    <t xml:space="preserve">R$406,10</t>
  </si>
  <si>
    <t xml:space="preserve">R$44.992.102,00</t>
  </si>
  <si>
    <t xml:space="preserve">R$37.199.808,87</t>
  </si>
  <si>
    <t xml:space="preserve">17/08/2013</t>
  </si>
  <si>
    <t xml:space="preserve">R$16.446,20</t>
  </si>
  <si>
    <t xml:space="preserve">R$322,98</t>
  </si>
  <si>
    <t xml:space="preserve">R$2.817.494,59</t>
  </si>
  <si>
    <t xml:space="preserve">R$26.124.950,00</t>
  </si>
  <si>
    <t xml:space="preserve">R$37.602.308,11</t>
  </si>
  <si>
    <t xml:space="preserve">21/08/2013</t>
  </si>
  <si>
    <t xml:space="preserve">R$27.846,83</t>
  </si>
  <si>
    <t xml:space="preserve">R$570,44</t>
  </si>
  <si>
    <t xml:space="preserve">R$5.946.598,97</t>
  </si>
  <si>
    <t xml:space="preserve">R$29.014.322,00</t>
  </si>
  <si>
    <t xml:space="preserve">R$38.049.323,03</t>
  </si>
  <si>
    <t xml:space="preserve">24/08/2013</t>
  </si>
  <si>
    <t xml:space="preserve">R$38.596,27</t>
  </si>
  <si>
    <t xml:space="preserve">R$630,21</t>
  </si>
  <si>
    <t xml:space="preserve">R$21.532.147,87</t>
  </si>
  <si>
    <t xml:space="preserve">R$34.940.408,00</t>
  </si>
  <si>
    <t xml:space="preserve">R$38.587.639,37</t>
  </si>
  <si>
    <t xml:space="preserve">28/08/2013</t>
  </si>
  <si>
    <t xml:space="preserve">R$36.863,34</t>
  </si>
  <si>
    <t xml:space="preserve">R$563,63</t>
  </si>
  <si>
    <t xml:space="preserve">R$26.081.860,01</t>
  </si>
  <si>
    <t xml:space="preserve">R$42.186.772,00</t>
  </si>
  <si>
    <t xml:space="preserve">R$39.237.598,27</t>
  </si>
  <si>
    <t xml:space="preserve">31/08/2013</t>
  </si>
  <si>
    <t xml:space="preserve">R$31.746.274,15</t>
  </si>
  <si>
    <t xml:space="preserve">R$20.637,37</t>
  </si>
  <si>
    <t xml:space="preserve">R$409,20</t>
  </si>
  <si>
    <t xml:space="preserve">R$52.522.740,00</t>
  </si>
  <si>
    <t xml:space="preserve">R$40.046.800,31</t>
  </si>
  <si>
    <t xml:space="preserve">04/09/2013</t>
  </si>
  <si>
    <t xml:space="preserve">R$14.866,46</t>
  </si>
  <si>
    <t xml:space="preserve">R$359,23</t>
  </si>
  <si>
    <t xml:space="preserve">R$2.519.473,73</t>
  </si>
  <si>
    <t xml:space="preserve">R$23.361.580,00</t>
  </si>
  <si>
    <t xml:space="preserve">R$40.406.725,15</t>
  </si>
  <si>
    <t xml:space="preserve">06/09/2013</t>
  </si>
  <si>
    <t xml:space="preserve">R$12.591,67</t>
  </si>
  <si>
    <t xml:space="preserve">R$247,28</t>
  </si>
  <si>
    <t xml:space="preserve">R$4.862.186,40</t>
  </si>
  <si>
    <t xml:space="preserve">R$21.722.580,00</t>
  </si>
  <si>
    <t xml:space="preserve">R$40.741.398,40</t>
  </si>
  <si>
    <t xml:space="preserve">11/09/2013</t>
  </si>
  <si>
    <t xml:space="preserve">CAMPINA GRANDE DO SUL/PR</t>
  </si>
  <si>
    <t xml:space="preserve">R$8.144.582,40</t>
  </si>
  <si>
    <t xml:space="preserve">R$23.758,30</t>
  </si>
  <si>
    <t xml:space="preserve">R$384,40</t>
  </si>
  <si>
    <t xml:space="preserve">R$30.435.704,00</t>
  </si>
  <si>
    <t xml:space="preserve">R$41.210.312,13</t>
  </si>
  <si>
    <t xml:space="preserve">14/09/2013</t>
  </si>
  <si>
    <t xml:space="preserve">GUARULHOS/SP; Ribeirão Preto/SP</t>
  </si>
  <si>
    <t xml:space="preserve">R$7.800.140,92</t>
  </si>
  <si>
    <t xml:space="preserve">R$15.973,07</t>
  </si>
  <si>
    <t xml:space="preserve">R$326,52</t>
  </si>
  <si>
    <t xml:space="preserve">R$37.650.804,00</t>
  </si>
  <si>
    <t xml:space="preserve">R$41.790.386,73</t>
  </si>
  <si>
    <t xml:space="preserve">18/09/2013</t>
  </si>
  <si>
    <t xml:space="preserve">R$12.777,02</t>
  </si>
  <si>
    <t xml:space="preserve">R$331,64</t>
  </si>
  <si>
    <t xml:space="preserve">R$2.541.953,77</t>
  </si>
  <si>
    <t xml:space="preserve">R$23.570.024,00</t>
  </si>
  <si>
    <t xml:space="preserve">R$42.153.523,00</t>
  </si>
  <si>
    <t xml:space="preserve">21/09/2013</t>
  </si>
  <si>
    <t xml:space="preserve">PONTA PORÃ/MS; SÃO PAULO/SP</t>
  </si>
  <si>
    <t xml:space="preserve">R$1.934.416,36</t>
  </si>
  <si>
    <t xml:space="preserve">R$19.455,14</t>
  </si>
  <si>
    <t xml:space="preserve">R$445,58</t>
  </si>
  <si>
    <t xml:space="preserve">R$30.240.050,00</t>
  </si>
  <si>
    <t xml:space="preserve">R$42.619.422,34</t>
  </si>
  <si>
    <t xml:space="preserve">25/09/2013</t>
  </si>
  <si>
    <t xml:space="preserve">R$15.085,80</t>
  </si>
  <si>
    <t xml:space="preserve">R$338,93</t>
  </si>
  <si>
    <t xml:space="preserve">R$2.473.276,87</t>
  </si>
  <si>
    <t xml:space="preserve">R$22.933.224,00</t>
  </si>
  <si>
    <t xml:space="preserve">R$42.972.747,62</t>
  </si>
  <si>
    <t xml:space="preserve">28/09/2013</t>
  </si>
  <si>
    <t xml:space="preserve">ITALVA/RJ</t>
  </si>
  <si>
    <t xml:space="preserve">R$5.734.618,57</t>
  </si>
  <si>
    <t xml:space="preserve">R$19.892,61</t>
  </si>
  <si>
    <t xml:space="preserve">R$408,19</t>
  </si>
  <si>
    <t xml:space="preserve">R$30.240.480,00</t>
  </si>
  <si>
    <t xml:space="preserve">R$12.300.000,00</t>
  </si>
  <si>
    <t xml:space="preserve">R$43.438.653,59</t>
  </si>
  <si>
    <t xml:space="preserve">02/10/2013</t>
  </si>
  <si>
    <t xml:space="preserve">R$30.780,52</t>
  </si>
  <si>
    <t xml:space="preserve">R$457,28</t>
  </si>
  <si>
    <t xml:space="preserve">R$13.376.862,66</t>
  </si>
  <si>
    <t xml:space="preserve">R$33.122.518,00</t>
  </si>
  <si>
    <t xml:space="preserve">R$43.948.962,26</t>
  </si>
  <si>
    <t xml:space="preserve">05/10/2013</t>
  </si>
  <si>
    <t xml:space="preserve">R$27.340,47</t>
  </si>
  <si>
    <t xml:space="preserve">R$469,24</t>
  </si>
  <si>
    <t xml:space="preserve">R$17.859.260,43</t>
  </si>
  <si>
    <t xml:space="preserve">R$41.562.606,00</t>
  </si>
  <si>
    <t xml:space="preserve">R$44.589.304,81</t>
  </si>
  <si>
    <t xml:space="preserve">09/10/2013</t>
  </si>
  <si>
    <t xml:space="preserve">R$23.232.379,04</t>
  </si>
  <si>
    <t xml:space="preserve">R$13.956,16</t>
  </si>
  <si>
    <t xml:space="preserve">R$351,04</t>
  </si>
  <si>
    <t xml:space="preserve">R$49.821.730,00</t>
  </si>
  <si>
    <t xml:space="preserve">R$45.356.893,20</t>
  </si>
  <si>
    <t xml:space="preserve">11/10/2013</t>
  </si>
  <si>
    <t xml:space="preserve">RIBEIRÃOZINHO/MT</t>
  </si>
  <si>
    <t xml:space="preserve">R$2.163.459,28</t>
  </si>
  <si>
    <t xml:space="preserve">R$8.897,35</t>
  </si>
  <si>
    <t xml:space="preserve">R$320,31</t>
  </si>
  <si>
    <t xml:space="preserve">R$20.060.470,00</t>
  </si>
  <si>
    <t xml:space="preserve">R$45.665.958,83</t>
  </si>
  <si>
    <t xml:space="preserve">16/10/2013</t>
  </si>
  <si>
    <t xml:space="preserve">R$27.254,69</t>
  </si>
  <si>
    <t xml:space="preserve">R$472,64</t>
  </si>
  <si>
    <t xml:space="preserve">R$14.133.639,10</t>
  </si>
  <si>
    <t xml:space="preserve">R$24.673.116,00</t>
  </si>
  <si>
    <t xml:space="preserve">R$17.500.000,00</t>
  </si>
  <si>
    <t xml:space="preserve">R$46.046.090,11</t>
  </si>
  <si>
    <t xml:space="preserve">SORTEIO REALIZADO EM ESTÚDIO DE TV</t>
  </si>
  <si>
    <t xml:space="preserve">19/10/2013</t>
  </si>
  <si>
    <t xml:space="preserve">R$8.340,81</t>
  </si>
  <si>
    <t xml:space="preserve">R$246,91</t>
  </si>
  <si>
    <t xml:space="preserve">R$18.727.668,11</t>
  </si>
  <si>
    <t xml:space="preserve">R$42.597.696,00</t>
  </si>
  <si>
    <t xml:space="preserve">R$46.702.379,98</t>
  </si>
  <si>
    <t xml:space="preserve">23/10/2013</t>
  </si>
  <si>
    <t xml:space="preserve">R$13.154,60</t>
  </si>
  <si>
    <t xml:space="preserve">R$320,34</t>
  </si>
  <si>
    <t xml:space="preserve">R$23.695.260,85</t>
  </si>
  <si>
    <t xml:space="preserve">R$46.061.530,00</t>
  </si>
  <si>
    <t xml:space="preserve">R$47.412.036,10</t>
  </si>
  <si>
    <t xml:space="preserve">26/10/2013</t>
  </si>
  <si>
    <t xml:space="preserve">R$20.868,02</t>
  </si>
  <si>
    <t xml:space="preserve">R$389,62</t>
  </si>
  <si>
    <t xml:space="preserve">R$29.615.187,77</t>
  </si>
  <si>
    <t xml:space="preserve">R$54.891.958,00</t>
  </si>
  <si>
    <t xml:space="preserve">R$48.257.739,96</t>
  </si>
  <si>
    <t xml:space="preserve">30/10/2013</t>
  </si>
  <si>
    <t xml:space="preserve">R$21.370,06</t>
  </si>
  <si>
    <t xml:space="preserve">R$422,91</t>
  </si>
  <si>
    <t xml:space="preserve">R$36.779.781,70</t>
  </si>
  <si>
    <t xml:space="preserve">R$66.433.014,00</t>
  </si>
  <si>
    <t xml:space="preserve">R$49.281.253,40</t>
  </si>
  <si>
    <t xml:space="preserve">01/11/2013</t>
  </si>
  <si>
    <t xml:space="preserve">R$26.624,88</t>
  </si>
  <si>
    <t xml:space="preserve">R$556,70</t>
  </si>
  <si>
    <t xml:space="preserve">R$63.155.442,89</t>
  </si>
  <si>
    <t xml:space="preserve">R$69.125.452,00</t>
  </si>
  <si>
    <t xml:space="preserve">R$50.346.248,42</t>
  </si>
  <si>
    <t xml:space="preserve">06/11/2013</t>
  </si>
  <si>
    <t xml:space="preserve">MAUÁ/SP</t>
  </si>
  <si>
    <t xml:space="preserve">R$80.499.108,16</t>
  </si>
  <si>
    <t xml:space="preserve">R$13.845,79</t>
  </si>
  <si>
    <t xml:space="preserve">R$296,19</t>
  </si>
  <si>
    <t xml:space="preserve">R$160.817.482,00</t>
  </si>
  <si>
    <t xml:space="preserve">R$52.823.914,90</t>
  </si>
  <si>
    <t xml:space="preserve">09/11/2013</t>
  </si>
  <si>
    <t xml:space="preserve">R$17.358,44</t>
  </si>
  <si>
    <t xml:space="preserve">R$371,61</t>
  </si>
  <si>
    <t xml:space="preserve">R$3.197.606,56</t>
  </si>
  <si>
    <t xml:space="preserve">R$29.649.502,00</t>
  </si>
  <si>
    <t xml:space="preserve">R$53.280.715,85</t>
  </si>
  <si>
    <t xml:space="preserve">13/11/2013</t>
  </si>
  <si>
    <t xml:space="preserve">R$6.867.422,89</t>
  </si>
  <si>
    <t xml:space="preserve">R$8.776,15</t>
  </si>
  <si>
    <t xml:space="preserve">R$246,21</t>
  </si>
  <si>
    <t xml:space="preserve">R$34.028.022,00</t>
  </si>
  <si>
    <t xml:space="preserve">R$53.804.975,33</t>
  </si>
  <si>
    <t xml:space="preserve">16/11/2013</t>
  </si>
  <si>
    <t xml:space="preserve">R$31.037,69</t>
  </si>
  <si>
    <t xml:space="preserve">R$581,88</t>
  </si>
  <si>
    <t xml:space="preserve">R$2.572.861,18</t>
  </si>
  <si>
    <t xml:space="preserve">R$23.856.610,00</t>
  </si>
  <si>
    <t xml:space="preserve">R$54.172.526,94</t>
  </si>
  <si>
    <t xml:space="preserve">20/11/2013</t>
  </si>
  <si>
    <t xml:space="preserve">R$5.772.796,80</t>
  </si>
  <si>
    <t xml:space="preserve">R$26.319,82</t>
  </si>
  <si>
    <t xml:space="preserve">R$378,05</t>
  </si>
  <si>
    <t xml:space="preserve">R$29.671.098,00</t>
  </si>
  <si>
    <t xml:space="preserve">R$54.629.660,61</t>
  </si>
  <si>
    <t xml:space="preserve">23/11/2013</t>
  </si>
  <si>
    <t xml:space="preserve">MONTANHA/ES</t>
  </si>
  <si>
    <t xml:space="preserve">R$23.634.735,21</t>
  </si>
  <si>
    <t xml:space="preserve">R$11.349,56</t>
  </si>
  <si>
    <t xml:space="preserve">R$263,16</t>
  </si>
  <si>
    <t xml:space="preserve">R$44.393.694,00</t>
  </si>
  <si>
    <t xml:space="preserve">R$55.313.620,88</t>
  </si>
  <si>
    <t xml:space="preserve">27/11/2013</t>
  </si>
  <si>
    <t xml:space="preserve">BOA VISTA/RR</t>
  </si>
  <si>
    <t xml:space="preserve">R$2.820.316,51</t>
  </si>
  <si>
    <t xml:space="preserve">R$11.687,25</t>
  </si>
  <si>
    <t xml:space="preserve">R$26.151.116,00</t>
  </si>
  <si>
    <t xml:space="preserve">R$55.716.523,25</t>
  </si>
  <si>
    <t xml:space="preserve">30/11/2013</t>
  </si>
  <si>
    <t xml:space="preserve">R$13.693,19</t>
  </si>
  <si>
    <t xml:space="preserve">R$304,44</t>
  </si>
  <si>
    <t xml:space="preserve">R$3.077.362,89</t>
  </si>
  <si>
    <t xml:space="preserve">R$28.534.554,00</t>
  </si>
  <si>
    <t xml:space="preserve">R$56.156.146,53</t>
  </si>
  <si>
    <t xml:space="preserve">04/12/2013</t>
  </si>
  <si>
    <t xml:space="preserve">R$39.092,63</t>
  </si>
  <si>
    <t xml:space="preserve">R$707,66</t>
  </si>
  <si>
    <t xml:space="preserve">R$6.533.974,54</t>
  </si>
  <si>
    <t xml:space="preserve">R$32.051.102,00</t>
  </si>
  <si>
    <t xml:space="preserve">R$56.649.948,22</t>
  </si>
  <si>
    <t xml:space="preserve">07/12/2013</t>
  </si>
  <si>
    <t xml:space="preserve">R$37.772,91</t>
  </si>
  <si>
    <t xml:space="preserve">R$790,06</t>
  </si>
  <si>
    <t xml:space="preserve">R$22.222.363,27</t>
  </si>
  <si>
    <t xml:space="preserve">R$38.711.366,00</t>
  </si>
  <si>
    <t xml:space="preserve">R$27.500.000,00</t>
  </si>
  <si>
    <t xml:space="preserve">R$57.246.362,58</t>
  </si>
  <si>
    <t xml:space="preserve">11/12/2013</t>
  </si>
  <si>
    <t xml:space="preserve">R$16.791,74</t>
  </si>
  <si>
    <t xml:space="preserve">R$307,37</t>
  </si>
  <si>
    <t xml:space="preserve">R$27.388.034,29</t>
  </si>
  <si>
    <t xml:space="preserve">R$47.898.192,00</t>
  </si>
  <si>
    <t xml:space="preserve">R$57.984.315,60</t>
  </si>
  <si>
    <t xml:space="preserve">14/12/2013</t>
  </si>
  <si>
    <t xml:space="preserve">R$6.125,83</t>
  </si>
  <si>
    <t xml:space="preserve">R$33.583.180,67</t>
  </si>
  <si>
    <t xml:space="preserve">R$57.443.904,00</t>
  </si>
  <si>
    <t xml:space="preserve">R$58.869.336,52</t>
  </si>
  <si>
    <t xml:space="preserve">17/12/2013</t>
  </si>
  <si>
    <t xml:space="preserve">R$20.612,58</t>
  </si>
  <si>
    <t xml:space="preserve">R$414,21</t>
  </si>
  <si>
    <t xml:space="preserve">R$38.253.558,38</t>
  </si>
  <si>
    <t xml:space="preserve">R$43.305.632,00</t>
  </si>
  <si>
    <t xml:space="preserve">R$44.000.000,00</t>
  </si>
  <si>
    <t xml:space="preserve">R$59.536.533,35</t>
  </si>
  <si>
    <t xml:space="preserve">19/12/2013</t>
  </si>
  <si>
    <t xml:space="preserve">R$18.644,94</t>
  </si>
  <si>
    <t xml:space="preserve">R$429,38</t>
  </si>
  <si>
    <t xml:space="preserve">R$44.641.902,75</t>
  </si>
  <si>
    <t xml:space="preserve">R$59.235.314,00</t>
  </si>
  <si>
    <t xml:space="preserve">R$60.449.153,98</t>
  </si>
  <si>
    <t xml:space="preserve">21/12/2013</t>
  </si>
  <si>
    <t xml:space="preserve">OLÍMPIA/SP</t>
  </si>
  <si>
    <t xml:space="preserve">R$51.491.466,00</t>
  </si>
  <si>
    <t xml:space="preserve">R$11.729,76</t>
  </si>
  <si>
    <t xml:space="preserve">R$323,28</t>
  </si>
  <si>
    <t xml:space="preserve">R$63.511.922,00</t>
  </si>
  <si>
    <t xml:space="preserve">R$79.825.384,73</t>
  </si>
  <si>
    <t xml:space="preserve">31/12/2013</t>
  </si>
  <si>
    <t xml:space="preserve">MACEIÓ/AL; TEOFILÂNDIA/BA; CURITIBA/PR; PALOTINA/PR</t>
  </si>
  <si>
    <t xml:space="preserve">R$56.169.465,02</t>
  </si>
  <si>
    <t xml:space="preserve">R$38.701,20</t>
  </si>
  <si>
    <t xml:space="preserve">R$701,67</t>
  </si>
  <si>
    <t xml:space="preserve">R$758.218.978,00</t>
  </si>
  <si>
    <t xml:space="preserve">02/01/2014</t>
  </si>
  <si>
    <t xml:space="preserve">R$25.914,28</t>
  </si>
  <si>
    <t xml:space="preserve">R$443,62</t>
  </si>
  <si>
    <t xml:space="preserve">R$954.736,58</t>
  </si>
  <si>
    <t xml:space="preserve">R$8.852.704,00</t>
  </si>
  <si>
    <t xml:space="preserve">R$136.390,97</t>
  </si>
  <si>
    <t xml:space="preserve">04/01/2014</t>
  </si>
  <si>
    <t xml:space="preserve">R$22.007,62</t>
  </si>
  <si>
    <t xml:space="preserve">R$423,11</t>
  </si>
  <si>
    <t xml:space="preserve">R$3.346.617,51</t>
  </si>
  <si>
    <t xml:space="preserve">R$22.178.488,00</t>
  </si>
  <si>
    <t xml:space="preserve">R$5.800.000,00</t>
  </si>
  <si>
    <t xml:space="preserve">R$478.088,26</t>
  </si>
  <si>
    <t xml:space="preserve">09/01/2014</t>
  </si>
  <si>
    <t xml:space="preserve">ARROIO GRANDE/RS</t>
  </si>
  <si>
    <t xml:space="preserve">R$6.872.625,83</t>
  </si>
  <si>
    <t xml:space="preserve">R$9.475,83</t>
  </si>
  <si>
    <t xml:space="preserve">R$32.694.576,00</t>
  </si>
  <si>
    <t xml:space="preserve">R$981.803,74</t>
  </si>
  <si>
    <t xml:space="preserve">11/01/2014</t>
  </si>
  <si>
    <t xml:space="preserve">R$3.219.906,28</t>
  </si>
  <si>
    <t xml:space="preserve">R$24.619,00</t>
  </si>
  <si>
    <t xml:space="preserve">R$445,74</t>
  </si>
  <si>
    <t xml:space="preserve">R$29.856.274,00</t>
  </si>
  <si>
    <t xml:space="preserve">R$1.441.790,38</t>
  </si>
  <si>
    <t xml:space="preserve">15/01/2014</t>
  </si>
  <si>
    <t xml:space="preserve">R$38.754,07</t>
  </si>
  <si>
    <t xml:space="preserve">R$558,24</t>
  </si>
  <si>
    <t xml:space="preserve">R$10.056.109,18</t>
  </si>
  <si>
    <t xml:space="preserve">R$34.421.316,00</t>
  </si>
  <si>
    <t xml:space="preserve">R$1.972.109,22</t>
  </si>
  <si>
    <t xml:space="preserve">18/01/2014</t>
  </si>
  <si>
    <t xml:space="preserve">ITAGUAÍ/RJ</t>
  </si>
  <si>
    <t xml:space="preserve">R$14.791.263,61</t>
  </si>
  <si>
    <t xml:space="preserve">R$19.327,16</t>
  </si>
  <si>
    <t xml:space="preserve">R$417,43</t>
  </si>
  <si>
    <t xml:space="preserve">R$43.906.268,00</t>
  </si>
  <si>
    <t xml:space="preserve">R$2.648.559,87</t>
  </si>
  <si>
    <t xml:space="preserve">22/01/2014</t>
  </si>
  <si>
    <t xml:space="preserve">R$25.222,12</t>
  </si>
  <si>
    <t xml:space="preserve">R$476,33</t>
  </si>
  <si>
    <t xml:space="preserve">R$2.741.246,19</t>
  </si>
  <si>
    <t xml:space="preserve">R$25.417.944,00</t>
  </si>
  <si>
    <t xml:space="preserve">R$3.040.166,48</t>
  </si>
  <si>
    <t xml:space="preserve">25/01/2014</t>
  </si>
  <si>
    <t xml:space="preserve">R$18.255,37</t>
  </si>
  <si>
    <t xml:space="preserve">R$373,49</t>
  </si>
  <si>
    <t xml:space="preserve">R$6.204.962,36</t>
  </si>
  <si>
    <t xml:space="preserve">R$32.116.978,00</t>
  </si>
  <si>
    <t xml:space="preserve">R$3.534.983,09</t>
  </si>
  <si>
    <t xml:space="preserve">29/01/2014</t>
  </si>
  <si>
    <t xml:space="preserve">R$25.568,62</t>
  </si>
  <si>
    <t xml:space="preserve">R$440,40</t>
  </si>
  <si>
    <t xml:space="preserve">R$21.628.185,40</t>
  </si>
  <si>
    <t xml:space="preserve">R$35.375.222,00</t>
  </si>
  <si>
    <t xml:space="preserve">R$4.079.998,49</t>
  </si>
  <si>
    <t xml:space="preserve">01/02/2014</t>
  </si>
  <si>
    <t xml:space="preserve">R$13.231,54</t>
  </si>
  <si>
    <t xml:space="preserve">R$357,30</t>
  </si>
  <si>
    <t xml:space="preserve">R$27.112.310,39</t>
  </si>
  <si>
    <t xml:space="preserve">R$50.851.026,00</t>
  </si>
  <si>
    <t xml:space="preserve">R$4.863.444,93</t>
  </si>
  <si>
    <t xml:space="preserve">05/02/2014</t>
  </si>
  <si>
    <t xml:space="preserve">R$20.467,75</t>
  </si>
  <si>
    <t xml:space="preserve">R$434,02</t>
  </si>
  <si>
    <t xml:space="preserve">R$33.748.171,78</t>
  </si>
  <si>
    <t xml:space="preserve">R$61.530.392,00</t>
  </si>
  <si>
    <t xml:space="preserve">R$5.811.425,14</t>
  </si>
  <si>
    <t xml:space="preserve">08/02/2014</t>
  </si>
  <si>
    <t xml:space="preserve">R$46.724,09</t>
  </si>
  <si>
    <t xml:space="preserve">R$534,54</t>
  </si>
  <si>
    <t xml:space="preserve">R$41.752.746,75</t>
  </si>
  <si>
    <t xml:space="preserve">R$74.221.658,00</t>
  </si>
  <si>
    <t xml:space="preserve">R$6.954.935,86</t>
  </si>
  <si>
    <t xml:space="preserve">12/02/2014</t>
  </si>
  <si>
    <t xml:space="preserve">R$23.076,78</t>
  </si>
  <si>
    <t xml:space="preserve">R$398,75</t>
  </si>
  <si>
    <t xml:space="preserve">R$51.530.013,98</t>
  </si>
  <si>
    <t xml:space="preserve">R$90.658.778,00</t>
  </si>
  <si>
    <t xml:space="preserve">R$62.000.000,00</t>
  </si>
  <si>
    <t xml:space="preserve">R$8.351.688,34</t>
  </si>
  <si>
    <t xml:space="preserve">15/02/2014</t>
  </si>
  <si>
    <t xml:space="preserve">R$14.318,71</t>
  </si>
  <si>
    <t xml:space="preserve">R$315,12</t>
  </si>
  <si>
    <t xml:space="preserve">R$90.042.313,82</t>
  </si>
  <si>
    <t xml:space="preserve">R$112.259.582,00</t>
  </si>
  <si>
    <t xml:space="preserve">R$105.000.000,00</t>
  </si>
  <si>
    <t xml:space="preserve">R$10.081.237,88</t>
  </si>
  <si>
    <t xml:space="preserve">19/02/2014</t>
  </si>
  <si>
    <t xml:space="preserve">SANTA BÁRBARA DOESTE/SP</t>
  </si>
  <si>
    <t xml:space="preserve">R$111.503.902,49</t>
  </si>
  <si>
    <t xml:space="preserve">R$16.432,41</t>
  </si>
  <si>
    <t xml:space="preserve">R$390,78</t>
  </si>
  <si>
    <t xml:space="preserve">R$199.000.534,00</t>
  </si>
  <si>
    <t xml:space="preserve">R$13.147.179,13</t>
  </si>
  <si>
    <t xml:space="preserve">22/02/2014</t>
  </si>
  <si>
    <t xml:space="preserve">R$21.264,00</t>
  </si>
  <si>
    <t xml:space="preserve">R$454,16</t>
  </si>
  <si>
    <t xml:space="preserve">R$3.447.005,08</t>
  </si>
  <si>
    <t xml:space="preserve">R$31.962.026,00</t>
  </si>
  <si>
    <t xml:space="preserve">R$13.639.608,44</t>
  </si>
  <si>
    <t xml:space="preserve">26/02/2014</t>
  </si>
  <si>
    <t xml:space="preserve">R$7.599.721,82</t>
  </si>
  <si>
    <t xml:space="preserve">R$26.213,16</t>
  </si>
  <si>
    <t xml:space="preserve">R$536,38</t>
  </si>
  <si>
    <t xml:space="preserve">R$38.505.670,00</t>
  </si>
  <si>
    <t xml:space="preserve">R$14.232.853,70</t>
  </si>
  <si>
    <t xml:space="preserve">01/03/2014</t>
  </si>
  <si>
    <t xml:space="preserve">R$16.801,81</t>
  </si>
  <si>
    <t xml:space="preserve">R$404,64</t>
  </si>
  <si>
    <t xml:space="preserve">R$3.311.724,97</t>
  </si>
  <si>
    <t xml:space="preserve">R$30.707.654,00</t>
  </si>
  <si>
    <t xml:space="preserve">R$14.705.957,28</t>
  </si>
  <si>
    <t xml:space="preserve">05/03/2014</t>
  </si>
  <si>
    <t xml:space="preserve">R$47.748,72</t>
  </si>
  <si>
    <t xml:space="preserve">R$719,67</t>
  </si>
  <si>
    <t xml:space="preserve">R$26.955.151,45</t>
  </si>
  <si>
    <t xml:space="preserve">R$18.758.424,00</t>
  </si>
  <si>
    <t xml:space="preserve">R$14.994.962,69</t>
  </si>
  <si>
    <t xml:space="preserve">08/03/2014</t>
  </si>
  <si>
    <t xml:space="preserve">RIO DE JANEIRO/RJ; SÃO PAULO/SP</t>
  </si>
  <si>
    <t xml:space="preserve">R$16.776.243,36</t>
  </si>
  <si>
    <t xml:space="preserve">R$9.474,63</t>
  </si>
  <si>
    <t xml:space="preserve">R$250,79</t>
  </si>
  <si>
    <t xml:space="preserve">R$61.173.162,00</t>
  </si>
  <si>
    <t xml:space="preserve">R$15.937.439,15</t>
  </si>
  <si>
    <t xml:space="preserve">12/03/2014</t>
  </si>
  <si>
    <t xml:space="preserve">R$41.234,00</t>
  </si>
  <si>
    <t xml:space="preserve">R$574,75</t>
  </si>
  <si>
    <t xml:space="preserve">R$3.114.252,13</t>
  </si>
  <si>
    <t xml:space="preserve">R$28.876.606,00</t>
  </si>
  <si>
    <t xml:space="preserve">R$16.382.332,33</t>
  </si>
  <si>
    <t xml:space="preserve">SORTEIO REALIZADO EM ESTUDIO DE TV</t>
  </si>
  <si>
    <t xml:space="preserve">15/03/2014</t>
  </si>
  <si>
    <t xml:space="preserve">R$7.343.875,35</t>
  </si>
  <si>
    <t xml:space="preserve">R$18.368,65</t>
  </si>
  <si>
    <t xml:space="preserve">R$303,51</t>
  </si>
  <si>
    <t xml:space="preserve">R$39.218.778,00</t>
  </si>
  <si>
    <t xml:space="preserve">R$16.986.564,23</t>
  </si>
  <si>
    <t xml:space="preserve">19/03/2014</t>
  </si>
  <si>
    <t xml:space="preserve">R$12.721,86</t>
  </si>
  <si>
    <t xml:space="preserve">R$298,80</t>
  </si>
  <si>
    <t xml:space="preserve">R$3.046.550,39</t>
  </si>
  <si>
    <t xml:space="preserve">R$28.248.848,00</t>
  </si>
  <si>
    <t xml:space="preserve">R$17.421.785,73</t>
  </si>
  <si>
    <t xml:space="preserve">22/03/2014</t>
  </si>
  <si>
    <t xml:space="preserve">R$22.466,84</t>
  </si>
  <si>
    <t xml:space="preserve">R$421,90</t>
  </si>
  <si>
    <t xml:space="preserve">R$20.262.421,25</t>
  </si>
  <si>
    <t xml:space="preserve">R$37.223.782,00</t>
  </si>
  <si>
    <t xml:space="preserve">R$17.995.281,33</t>
  </si>
  <si>
    <t xml:space="preserve">26/03/2014</t>
  </si>
  <si>
    <t xml:space="preserve">R$28.656,30</t>
  </si>
  <si>
    <t xml:space="preserve">R$512,03</t>
  </si>
  <si>
    <t xml:space="preserve">R$25.699.576,97</t>
  </si>
  <si>
    <t xml:space="preserve">R$50.415.508,00</t>
  </si>
  <si>
    <t xml:space="preserve">R$18.772.017,88</t>
  </si>
  <si>
    <t xml:space="preserve">29/03/2014</t>
  </si>
  <si>
    <t xml:space="preserve">R$25.052,84</t>
  </si>
  <si>
    <t xml:space="preserve">R$508,57</t>
  </si>
  <si>
    <t xml:space="preserve">R$32.622.073,40</t>
  </si>
  <si>
    <t xml:space="preserve">R$64.188.188,00</t>
  </si>
  <si>
    <t xml:space="preserve">R$19.760.945,96</t>
  </si>
  <si>
    <t xml:space="preserve">02/04/2014</t>
  </si>
  <si>
    <t xml:space="preserve">R$25.221,63</t>
  </si>
  <si>
    <t xml:space="preserve">R$518,45</t>
  </si>
  <si>
    <t xml:space="preserve">R$40.938.574,57</t>
  </si>
  <si>
    <t xml:space="preserve">R$77.113.964,00</t>
  </si>
  <si>
    <t xml:space="preserve">R$20.949.017,56</t>
  </si>
  <si>
    <t xml:space="preserve">05/04/2014</t>
  </si>
  <si>
    <t xml:space="preserve">UBERLÂNDIA/MG; SÃO PAULO/SP</t>
  </si>
  <si>
    <t xml:space="preserve">R$25.541.942,10</t>
  </si>
  <si>
    <t xml:space="preserve">R$15.601,86</t>
  </si>
  <si>
    <t xml:space="preserve">R$370,84</t>
  </si>
  <si>
    <t xml:space="preserve">R$94.071.416,00</t>
  </si>
  <si>
    <t xml:space="preserve">R$22.398.347,52</t>
  </si>
  <si>
    <t xml:space="preserve">09/04/2014</t>
  </si>
  <si>
    <t xml:space="preserve">R$19.464,78</t>
  </si>
  <si>
    <t xml:space="preserve">R$309,55</t>
  </si>
  <si>
    <t xml:space="preserve">R$24.453.798,07</t>
  </si>
  <si>
    <t xml:space="preserve">R$28.925.144,00</t>
  </si>
  <si>
    <t xml:space="preserve">R$22.843.988,51</t>
  </si>
  <si>
    <t xml:space="preserve">12/04/2014</t>
  </si>
  <si>
    <t xml:space="preserve">R$37.931,98</t>
  </si>
  <si>
    <t xml:space="preserve">R$599,10</t>
  </si>
  <si>
    <t xml:space="preserve">R$30.672.645,09</t>
  </si>
  <si>
    <t xml:space="preserve">R$57.663.666,00</t>
  </si>
  <si>
    <t xml:space="preserve">R$23.732.395,24</t>
  </si>
  <si>
    <t xml:space="preserve">16/04/2014</t>
  </si>
  <si>
    <t xml:space="preserve">FIGUEIRÃO/MS</t>
  </si>
  <si>
    <t xml:space="preserve">R$37.626.306,90</t>
  </si>
  <si>
    <t xml:space="preserve">R$13.578,58</t>
  </si>
  <si>
    <t xml:space="preserve">R$333,29</t>
  </si>
  <si>
    <t xml:space="preserve">R$64.477.166,00</t>
  </si>
  <si>
    <t xml:space="preserve">R$24.725.775,52</t>
  </si>
  <si>
    <t xml:space="preserve">19/04/2014</t>
  </si>
  <si>
    <t xml:space="preserve">R$57.425,97</t>
  </si>
  <si>
    <t xml:space="preserve">R$806,00</t>
  </si>
  <si>
    <t xml:space="preserve">R$2.433.047,61</t>
  </si>
  <si>
    <t xml:space="preserve">R$22.560.202,00</t>
  </si>
  <si>
    <t xml:space="preserve">R$25.073.353,76</t>
  </si>
  <si>
    <t xml:space="preserve">23/04/2014</t>
  </si>
  <si>
    <t xml:space="preserve">RESTINGA/SP</t>
  </si>
  <si>
    <t xml:space="preserve">R$5.259.292,04</t>
  </si>
  <si>
    <t xml:space="preserve">R$11.281,23</t>
  </si>
  <si>
    <t xml:space="preserve">R$252,24</t>
  </si>
  <si>
    <t xml:space="preserve">R$26.206.082,00</t>
  </si>
  <si>
    <t xml:space="preserve">R$25.477.102,98</t>
  </si>
  <si>
    <t xml:space="preserve">26/04/2014</t>
  </si>
  <si>
    <t xml:space="preserve">R$24.708,01</t>
  </si>
  <si>
    <t xml:space="preserve">R$395,22</t>
  </si>
  <si>
    <t xml:space="preserve">R$16.848.508,95</t>
  </si>
  <si>
    <t xml:space="preserve">R$29.964.214,00</t>
  </si>
  <si>
    <t xml:space="preserve">R$25.938.752,61</t>
  </si>
  <si>
    <t xml:space="preserve">30/04/2014</t>
  </si>
  <si>
    <t xml:space="preserve">RIBEIRÃO PRETO/SP</t>
  </si>
  <si>
    <t xml:space="preserve">R$10.975.751,52</t>
  </si>
  <si>
    <t xml:space="preserve">R$11.738,12</t>
  </si>
  <si>
    <t xml:space="preserve">R$319,48</t>
  </si>
  <si>
    <t xml:space="preserve">R$47.317.026,00</t>
  </si>
  <si>
    <t xml:space="preserve">R$26.667.751,78</t>
  </si>
  <si>
    <t xml:space="preserve">03/05/2014</t>
  </si>
  <si>
    <t xml:space="preserve">Curitiba/PR</t>
  </si>
  <si>
    <t xml:space="preserve">R$2.826.993,10</t>
  </si>
  <si>
    <t xml:space="preserve">R$4.038,56</t>
  </si>
  <si>
    <t xml:space="preserve">R$129,19</t>
  </si>
  <si>
    <t xml:space="preserve">R$26.213.024,00</t>
  </si>
  <si>
    <t xml:space="preserve">R$27.071.607,95</t>
  </si>
  <si>
    <t xml:space="preserve">07/05/2014</t>
  </si>
  <si>
    <t xml:space="preserve">R$28.914,82</t>
  </si>
  <si>
    <t xml:space="preserve">R$417,61</t>
  </si>
  <si>
    <t xml:space="preserve">R$3.036.056,24</t>
  </si>
  <si>
    <t xml:space="preserve">R$28.151.542,00</t>
  </si>
  <si>
    <t xml:space="preserve">R$27.505.330,29</t>
  </si>
  <si>
    <t xml:space="preserve">10/05/2014</t>
  </si>
  <si>
    <t xml:space="preserve">R$17.829,91</t>
  </si>
  <si>
    <t xml:space="preserve">R$454,84</t>
  </si>
  <si>
    <t xml:space="preserve">R$7.010.250,78</t>
  </si>
  <si>
    <t xml:space="preserve">R$36.850.340,00</t>
  </si>
  <si>
    <t xml:space="preserve">R$28.073.072,37</t>
  </si>
  <si>
    <t xml:space="preserve">14/05/2014</t>
  </si>
  <si>
    <t xml:space="preserve">LOANDA/PR</t>
  </si>
  <si>
    <t xml:space="preserve">R$11.882.469,39</t>
  </si>
  <si>
    <t xml:space="preserve">R$19.591,99</t>
  </si>
  <si>
    <t xml:space="preserve">R$423,49</t>
  </si>
  <si>
    <t xml:space="preserve">R$45.177.182,50</t>
  </si>
  <si>
    <t xml:space="preserve">R$28.769.103,61</t>
  </si>
  <si>
    <t xml:space="preserve">17/05/2014</t>
  </si>
  <si>
    <t xml:space="preserve">R$17.751.928,34</t>
  </si>
  <si>
    <t xml:space="preserve">R$26.147,87</t>
  </si>
  <si>
    <t xml:space="preserve">R$486,66</t>
  </si>
  <si>
    <t xml:space="preserve">R$49.128.762,50</t>
  </si>
  <si>
    <t xml:space="preserve">R$29.526.015,66</t>
  </si>
  <si>
    <t xml:space="preserve">.</t>
  </si>
  <si>
    <t xml:space="preserve">21/05/2014</t>
  </si>
  <si>
    <t xml:space="preserve">R$19.047,65</t>
  </si>
  <si>
    <t xml:space="preserve">R$455,79</t>
  </si>
  <si>
    <t xml:space="preserve">R$3.157.899,01</t>
  </si>
  <si>
    <t xml:space="preserve">R$29.281.317,50</t>
  </si>
  <si>
    <t xml:space="preserve">R$29.977.144,11</t>
  </si>
  <si>
    <t xml:space="preserve">SORTEIO REALIZADO EM ESTUDIO DE TV.</t>
  </si>
  <si>
    <t xml:space="preserve">24/05/2014</t>
  </si>
  <si>
    <t xml:space="preserve">R$7.222.388,90</t>
  </si>
  <si>
    <t xml:space="preserve">R$31.977,36</t>
  </si>
  <si>
    <t xml:space="preserve">R$521,94</t>
  </si>
  <si>
    <t xml:space="preserve">R$37.687.595,00</t>
  </si>
  <si>
    <t xml:space="preserve">R$30.557.785,55</t>
  </si>
  <si>
    <t xml:space="preserve">28/05/2014</t>
  </si>
  <si>
    <t xml:space="preserve">R$25.486,21</t>
  </si>
  <si>
    <t xml:space="preserve">R$500,89</t>
  </si>
  <si>
    <t xml:space="preserve">R$3.004.689,56</t>
  </si>
  <si>
    <t xml:space="preserve">R$27.860.697,50</t>
  </si>
  <si>
    <t xml:space="preserve">R$30.987.026,93</t>
  </si>
  <si>
    <t xml:space="preserve">31/05/2014</t>
  </si>
  <si>
    <t xml:space="preserve">R$35.017,62</t>
  </si>
  <si>
    <t xml:space="preserve">R$581,57</t>
  </si>
  <si>
    <t xml:space="preserve">R$19.276.829,60</t>
  </si>
  <si>
    <t xml:space="preserve">R$37.083.880,00</t>
  </si>
  <si>
    <t xml:space="preserve">R$31.558.367,10</t>
  </si>
  <si>
    <t xml:space="preserve">04/06/2014</t>
  </si>
  <si>
    <t xml:space="preserve">R$34.579,33</t>
  </si>
  <si>
    <t xml:space="preserve">R$642,02</t>
  </si>
  <si>
    <t xml:space="preserve">R$24.818.622,91</t>
  </si>
  <si>
    <t xml:space="preserve">R$51.385.750,00</t>
  </si>
  <si>
    <t xml:space="preserve">R$32.350.051,87</t>
  </si>
  <si>
    <t xml:space="preserve">07/06/2014</t>
  </si>
  <si>
    <t xml:space="preserve">MACAÍBA/RN</t>
  </si>
  <si>
    <t xml:space="preserve">R$31.599.293,88</t>
  </si>
  <si>
    <t xml:space="preserve">R$36.444,91</t>
  </si>
  <si>
    <t xml:space="preserve">R$563,79</t>
  </si>
  <si>
    <t xml:space="preserve">R$62.873.125,00</t>
  </si>
  <si>
    <t xml:space="preserve">R$33.318.719,17</t>
  </si>
  <si>
    <t xml:space="preserve">11/06/2014</t>
  </si>
  <si>
    <t xml:space="preserve">R$18.299,40</t>
  </si>
  <si>
    <t xml:space="preserve">R$843,58</t>
  </si>
  <si>
    <t xml:space="preserve">R$3.067.558,10</t>
  </si>
  <si>
    <t xml:space="preserve">R$28.443.640,00</t>
  </si>
  <si>
    <t xml:space="preserve">R$33.756.941,77</t>
  </si>
  <si>
    <t xml:space="preserve">14/06/2014</t>
  </si>
  <si>
    <t xml:space="preserve">R$25.432,55</t>
  </si>
  <si>
    <t xml:space="preserve">R$478,53</t>
  </si>
  <si>
    <t xml:space="preserve">R$6.768.663,83</t>
  </si>
  <si>
    <t xml:space="preserve">R$34.318.150,00</t>
  </si>
  <si>
    <t xml:space="preserve">R$34.285.671,16</t>
  </si>
  <si>
    <t xml:space="preserve">18/06/2014</t>
  </si>
  <si>
    <t xml:space="preserve">R$14.826,54</t>
  </si>
  <si>
    <t xml:space="preserve">R$345,88</t>
  </si>
  <si>
    <t xml:space="preserve">R$24.995.950,53</t>
  </si>
  <si>
    <t xml:space="preserve">R$35.454.782,50</t>
  </si>
  <si>
    <t xml:space="preserve">R$34.831.912,32</t>
  </si>
  <si>
    <t xml:space="preserve">21/06/2014</t>
  </si>
  <si>
    <t xml:space="preserve">R$15.606,46</t>
  </si>
  <si>
    <t xml:space="preserve">R$400,68</t>
  </si>
  <si>
    <t xml:space="preserve">R$29.969.484,28</t>
  </si>
  <si>
    <t xml:space="preserve">R$46.116.617,50</t>
  </si>
  <si>
    <t xml:space="preserve">R$35.542.417,17</t>
  </si>
  <si>
    <t xml:space="preserve">25/06/2014</t>
  </si>
  <si>
    <t xml:space="preserve">R$32.077,50</t>
  </si>
  <si>
    <t xml:space="preserve">R$698,13</t>
  </si>
  <si>
    <t xml:space="preserve">R$35.701.227,50</t>
  </si>
  <si>
    <t xml:space="preserve">R$53.147.042,50</t>
  </si>
  <si>
    <t xml:space="preserve">R$36.361.237,63</t>
  </si>
  <si>
    <t xml:space="preserve">28/06/2014</t>
  </si>
  <si>
    <t xml:space="preserve">FEIRA DE SANTANA/BA; RIO DE JANEIRO/RJ</t>
  </si>
  <si>
    <t xml:space="preserve">R$21.337.822,84</t>
  </si>
  <si>
    <t xml:space="preserve">R$14.506,18</t>
  </si>
  <si>
    <t xml:space="preserve">R$321,52</t>
  </si>
  <si>
    <t xml:space="preserve">R$64.669.627,50</t>
  </si>
  <si>
    <t xml:space="preserve">R$37.357.583,11</t>
  </si>
  <si>
    <t xml:space="preserve">02/07/2014</t>
  </si>
  <si>
    <t xml:space="preserve">R$16.406,04</t>
  </si>
  <si>
    <t xml:space="preserve">R$416,14</t>
  </si>
  <si>
    <t xml:space="preserve">R$3.112.828,98</t>
  </si>
  <si>
    <t xml:space="preserve">R$28.863.410,00</t>
  </si>
  <si>
    <t xml:space="preserve">R$37.802.272,98</t>
  </si>
  <si>
    <t xml:space="preserve">05/07/2014</t>
  </si>
  <si>
    <t xml:space="preserve">R$6.912.438,29</t>
  </si>
  <si>
    <t xml:space="preserve">R$13.843,25</t>
  </si>
  <si>
    <t xml:space="preserve">R$395,09</t>
  </si>
  <si>
    <t xml:space="preserve">R$35.231.515,00</t>
  </si>
  <si>
    <t xml:space="preserve">R$38.345.074,33</t>
  </si>
  <si>
    <t xml:space="preserve">09/07/2014</t>
  </si>
  <si>
    <t xml:space="preserve">R$30.288,72</t>
  </si>
  <si>
    <t xml:space="preserve">R$538,87</t>
  </si>
  <si>
    <t xml:space="preserve">R$19.419.358,68</t>
  </si>
  <si>
    <t xml:space="preserve">R$36.732.132,50</t>
  </si>
  <si>
    <t xml:space="preserve">R$38.910.995,23</t>
  </si>
  <si>
    <t xml:space="preserve">12/07/2014</t>
  </si>
  <si>
    <t xml:space="preserve">R$17.075,01</t>
  </si>
  <si>
    <t xml:space="preserve">R$696,93</t>
  </si>
  <si>
    <t xml:space="preserve">R$25.238.343,30</t>
  </si>
  <si>
    <t xml:space="preserve">R$53.955.980,00</t>
  </si>
  <si>
    <t xml:space="preserve">R$39.742.278,76</t>
  </si>
  <si>
    <t xml:space="preserve">16/07/2014</t>
  </si>
  <si>
    <t xml:space="preserve">UBERLÂNDIA/MG; SANTO ANDRÉ/SP</t>
  </si>
  <si>
    <t xml:space="preserve">R$16.075.904,16</t>
  </si>
  <si>
    <t xml:space="preserve">R$14.162,36</t>
  </si>
  <si>
    <t xml:space="preserve">R$408,77</t>
  </si>
  <si>
    <t xml:space="preserve">R$64.104.445,00</t>
  </si>
  <si>
    <t xml:space="preserve">R$40.729.916,63</t>
  </si>
  <si>
    <t xml:space="preserve">19/07/2014</t>
  </si>
  <si>
    <t xml:space="preserve">FLORESTA/PR</t>
  </si>
  <si>
    <t xml:space="preserve">R$3.400.793,67</t>
  </si>
  <si>
    <t xml:space="preserve">R$57.692,04</t>
  </si>
  <si>
    <t xml:space="preserve">R$834,34</t>
  </si>
  <si>
    <t xml:space="preserve">R$31.533.535,00</t>
  </si>
  <si>
    <t xml:space="preserve">R$41.215.744,32</t>
  </si>
  <si>
    <t xml:space="preserve">23/07/2014</t>
  </si>
  <si>
    <t xml:space="preserve">R$18.392,04</t>
  </si>
  <si>
    <t xml:space="preserve">R$324,98</t>
  </si>
  <si>
    <t xml:space="preserve">R$17.707.151,21</t>
  </si>
  <si>
    <t xml:space="preserve">R$28.901.780,00</t>
  </si>
  <si>
    <t xml:space="preserve">R$41.661.025,35</t>
  </si>
  <si>
    <t xml:space="preserve">26/07/2014</t>
  </si>
  <si>
    <t xml:space="preserve">R$21.094,54</t>
  </si>
  <si>
    <t xml:space="preserve">R$429,64</t>
  </si>
  <si>
    <t xml:space="preserve">R$22.991.887,94</t>
  </si>
  <si>
    <t xml:space="preserve">R$49.002.217,50</t>
  </si>
  <si>
    <t xml:space="preserve">R$42.415.987,76</t>
  </si>
  <si>
    <t xml:space="preserve">30/07/2014</t>
  </si>
  <si>
    <t xml:space="preserve">PORTO ALEGRE/RS</t>
  </si>
  <si>
    <t xml:space="preserve">R$29.279.523,38</t>
  </si>
  <si>
    <t xml:space="preserve">R$42.139,35</t>
  </si>
  <si>
    <t xml:space="preserve">R$714,66</t>
  </si>
  <si>
    <t xml:space="preserve">R$58.301.500,00</t>
  </si>
  <si>
    <t xml:space="preserve">R$43.314.221,40</t>
  </si>
  <si>
    <t xml:space="preserve">02/08/2014</t>
  </si>
  <si>
    <t xml:space="preserve">R$17.975,91</t>
  </si>
  <si>
    <t xml:space="preserve">R$350,79</t>
  </si>
  <si>
    <t xml:space="preserve">R$3.543.145,63</t>
  </si>
  <si>
    <t xml:space="preserve">R$32.853.480,00</t>
  </si>
  <si>
    <t xml:space="preserve">R$43.820.385,08</t>
  </si>
  <si>
    <t xml:space="preserve">05/08/2014</t>
  </si>
  <si>
    <t xml:space="preserve">R$45.968,32</t>
  </si>
  <si>
    <t xml:space="preserve">R$1.007,52</t>
  </si>
  <si>
    <t xml:space="preserve">R$5.914.143,04</t>
  </si>
  <si>
    <t xml:space="preserve">R$21.984.847,50</t>
  </si>
  <si>
    <t xml:space="preserve">R$44.159.099,02</t>
  </si>
  <si>
    <t xml:space="preserve">07/08/2014</t>
  </si>
  <si>
    <t xml:space="preserve">R$27.192,42</t>
  </si>
  <si>
    <t xml:space="preserve">R$645,17</t>
  </si>
  <si>
    <t xml:space="preserve">R$23.105.539,15</t>
  </si>
  <si>
    <t xml:space="preserve">R$35.299.480,00</t>
  </si>
  <si>
    <t xml:space="preserve">R$44.702.947,47</t>
  </si>
  <si>
    <t xml:space="preserve">09/08/2014</t>
  </si>
  <si>
    <t xml:space="preserve">R$38.667,21</t>
  </si>
  <si>
    <t xml:space="preserve">R$662,62</t>
  </si>
  <si>
    <t xml:space="preserve">R$28.590.177,11</t>
  </si>
  <si>
    <t xml:space="preserve">R$50.855.782,50</t>
  </si>
  <si>
    <t xml:space="preserve">R$45.486.467,18</t>
  </si>
  <si>
    <t xml:space="preserve">13/08/2014</t>
  </si>
  <si>
    <t xml:space="preserve">R$24.628,84</t>
  </si>
  <si>
    <t xml:space="preserve">R$446,47</t>
  </si>
  <si>
    <t xml:space="preserve">R$35.758.465,17</t>
  </si>
  <si>
    <t xml:space="preserve">R$66.467.267,50</t>
  </si>
  <si>
    <t xml:space="preserve">R$46.510.508,34</t>
  </si>
  <si>
    <t xml:space="preserve">16/08/2014</t>
  </si>
  <si>
    <t xml:space="preserve">DORES DO INDAIÁ/MG</t>
  </si>
  <si>
    <t xml:space="preserve">R$44.340.626,24</t>
  </si>
  <si>
    <t xml:space="preserve">R$35.837,60</t>
  </si>
  <si>
    <t xml:space="preserve">R$715,18</t>
  </si>
  <si>
    <t xml:space="preserve">R$79.577.270,00</t>
  </si>
  <si>
    <t xml:space="preserve">R$47.736.531,37</t>
  </si>
  <si>
    <t xml:space="preserve">20/08/2014</t>
  </si>
  <si>
    <t xml:space="preserve">R$48.159,74</t>
  </si>
  <si>
    <t xml:space="preserve">R$886,14</t>
  </si>
  <si>
    <t xml:space="preserve">R$3.193.751,09</t>
  </si>
  <si>
    <t xml:space="preserve">R$29.613.752,50</t>
  </si>
  <si>
    <t xml:space="preserve">R$6.600.000,00</t>
  </si>
  <si>
    <t xml:space="preserve">R$48.192.781,54</t>
  </si>
  <si>
    <t xml:space="preserve">23/08/2014</t>
  </si>
  <si>
    <t xml:space="preserve">R$24.320,52</t>
  </si>
  <si>
    <t xml:space="preserve">R$560,67</t>
  </si>
  <si>
    <t xml:space="preserve">R$25.261.484,27</t>
  </si>
  <si>
    <t xml:space="preserve">R$38.217.960,00</t>
  </si>
  <si>
    <t xml:space="preserve">R$48.781.594,15</t>
  </si>
  <si>
    <t xml:space="preserve">27/08/2014</t>
  </si>
  <si>
    <t xml:space="preserve">R$39.324,58</t>
  </si>
  <si>
    <t xml:space="preserve">R$709,67</t>
  </si>
  <si>
    <t xml:space="preserve">R$31.129.126,44</t>
  </si>
  <si>
    <t xml:space="preserve">R$54.407.152,50</t>
  </si>
  <si>
    <t xml:space="preserve">R$49.619.828,76</t>
  </si>
  <si>
    <t xml:space="preserve">30/08/2014</t>
  </si>
  <si>
    <t xml:space="preserve">R$26.864,44</t>
  </si>
  <si>
    <t xml:space="preserve">R$556,25</t>
  </si>
  <si>
    <t xml:space="preserve">R$38.057.323,60</t>
  </si>
  <si>
    <t xml:space="preserve">R$64.241.047,50</t>
  </si>
  <si>
    <t xml:space="preserve">R$50.609.571,23</t>
  </si>
  <si>
    <t xml:space="preserve">03/09/2014</t>
  </si>
  <si>
    <t xml:space="preserve">Ribeirão Preto/SP</t>
  </si>
  <si>
    <t xml:space="preserve">R$46.770.615,69</t>
  </si>
  <si>
    <t xml:space="preserve">R$19.385,55</t>
  </si>
  <si>
    <t xml:space="preserve">R$413,56</t>
  </si>
  <si>
    <t xml:space="preserve">R$80.793.170,00</t>
  </si>
  <si>
    <t xml:space="preserve">R$51.854.327,26</t>
  </si>
  <si>
    <t xml:space="preserve">06/09/2014</t>
  </si>
  <si>
    <t xml:space="preserve">R$18.634,31</t>
  </si>
  <si>
    <t xml:space="preserve">R$3.398.309,14</t>
  </si>
  <si>
    <t xml:space="preserve">R$31.510.497,50</t>
  </si>
  <si>
    <t xml:space="preserve">R$52.339.800,01</t>
  </si>
  <si>
    <t xml:space="preserve">10/09/2014</t>
  </si>
  <si>
    <t xml:space="preserve">R$7.065.301,82</t>
  </si>
  <si>
    <t xml:space="preserve">R$18.096,85</t>
  </si>
  <si>
    <t xml:space="preserve">R$454,49</t>
  </si>
  <si>
    <t xml:space="preserve">R$34.001.840,00</t>
  </si>
  <si>
    <t xml:space="preserve">R$52.863.656,12</t>
  </si>
  <si>
    <t xml:space="preserve">13/09/2014</t>
  </si>
  <si>
    <t xml:space="preserve">R$25.026,29</t>
  </si>
  <si>
    <t xml:space="preserve">R$582,51</t>
  </si>
  <si>
    <t xml:space="preserve">R$23.124.391,25</t>
  </si>
  <si>
    <t xml:space="preserve">R$47.876.382,50</t>
  </si>
  <si>
    <t xml:space="preserve">R$53.601.273,12</t>
  </si>
  <si>
    <t xml:space="preserve">17/09/2014</t>
  </si>
  <si>
    <t xml:space="preserve">R$38.637,27</t>
  </si>
  <si>
    <t xml:space="preserve">R$586,22</t>
  </si>
  <si>
    <t xml:space="preserve">R$29.530.043,53</t>
  </si>
  <si>
    <t xml:space="preserve">R$59.395.800,00</t>
  </si>
  <si>
    <t xml:space="preserve">R$54.516.366,32</t>
  </si>
  <si>
    <t xml:space="preserve">20/09/2014</t>
  </si>
  <si>
    <t xml:space="preserve">R$28.113,34</t>
  </si>
  <si>
    <t xml:space="preserve">R$503,37</t>
  </si>
  <si>
    <t xml:space="preserve">R$36.987.476,12</t>
  </si>
  <si>
    <t xml:space="preserve">R$69.148.332,50</t>
  </si>
  <si>
    <t xml:space="preserve">R$55.581.713,86</t>
  </si>
  <si>
    <t xml:space="preserve">24/09/2014</t>
  </si>
  <si>
    <t xml:space="preserve">R$34.576,39</t>
  </si>
  <si>
    <t xml:space="preserve">R$754,40</t>
  </si>
  <si>
    <t xml:space="preserve">R$46.095.623,18</t>
  </si>
  <si>
    <t xml:space="preserve">R$84.454.425,00</t>
  </si>
  <si>
    <t xml:space="preserve">R$56.882.877,73</t>
  </si>
  <si>
    <t xml:space="preserve">27/09/2014</t>
  </si>
  <si>
    <t xml:space="preserve">COLATINA/ES; CAMPO GRANDE/MS</t>
  </si>
  <si>
    <t xml:space="preserve">R$28.473.749,18</t>
  </si>
  <si>
    <t xml:space="preserve">R$25.837,80</t>
  </si>
  <si>
    <t xml:space="preserve">R$631,76</t>
  </si>
  <si>
    <t xml:space="preserve">R$100.622.977,50</t>
  </si>
  <si>
    <t xml:space="preserve">R$58.433.145,63</t>
  </si>
  <si>
    <t xml:space="preserve">01/10/2014</t>
  </si>
  <si>
    <t xml:space="preserve">BARRA DO PIRAÍ/RJ; SÃO PAULO/SP</t>
  </si>
  <si>
    <t xml:space="preserve">R$15.134.013,55</t>
  </si>
  <si>
    <t xml:space="preserve">R$12.364,00</t>
  </si>
  <si>
    <t xml:space="preserve">R$348,87</t>
  </si>
  <si>
    <t xml:space="preserve">R$53.430.132,50</t>
  </si>
  <si>
    <t xml:space="preserve">R$59.256.327,59</t>
  </si>
  <si>
    <t xml:space="preserve">04/10/2014</t>
  </si>
  <si>
    <t xml:space="preserve">R$42.522,20</t>
  </si>
  <si>
    <t xml:space="preserve">R$576,66</t>
  </si>
  <si>
    <t xml:space="preserve">R$3.681.526,94</t>
  </si>
  <si>
    <t xml:space="preserve">R$34.136.607,50</t>
  </si>
  <si>
    <t xml:space="preserve">R$59.782.260,02</t>
  </si>
  <si>
    <t xml:space="preserve">08/10/2014</t>
  </si>
  <si>
    <t xml:space="preserve">R$41.286,03</t>
  </si>
  <si>
    <t xml:space="preserve">R$583,74</t>
  </si>
  <si>
    <t xml:space="preserve">R$7.712.347,30</t>
  </si>
  <si>
    <t xml:space="preserve">R$37.375.397,50</t>
  </si>
  <si>
    <t xml:space="preserve">R$60.358.091,51</t>
  </si>
  <si>
    <t xml:space="preserve">11/10/2014</t>
  </si>
  <si>
    <t xml:space="preserve">R$45.113,02</t>
  </si>
  <si>
    <t xml:space="preserve">R$750,54</t>
  </si>
  <si>
    <t xml:space="preserve">R$12.698.523,41</t>
  </si>
  <si>
    <t xml:space="preserve">R$46.233.842,50</t>
  </si>
  <si>
    <t xml:space="preserve">R$18.500.000,00</t>
  </si>
  <si>
    <t xml:space="preserve">R$61.070.402,39</t>
  </si>
  <si>
    <t xml:space="preserve">15/10/2014</t>
  </si>
  <si>
    <t xml:space="preserve">R$30.918,20</t>
  </si>
  <si>
    <t xml:space="preserve">R$457,39</t>
  </si>
  <si>
    <t xml:space="preserve">R$32.835.875,18</t>
  </si>
  <si>
    <t xml:space="preserve">R$48.585.737,50</t>
  </si>
  <si>
    <t xml:space="preserve">R$61.818.948,22</t>
  </si>
  <si>
    <t xml:space="preserve">18/10/2014</t>
  </si>
  <si>
    <t xml:space="preserve">R$29.198,03</t>
  </si>
  <si>
    <t xml:space="preserve">R$680,29</t>
  </si>
  <si>
    <t xml:space="preserve">R$40.204.537,38</t>
  </si>
  <si>
    <t xml:space="preserve">R$68.325.217,50</t>
  </si>
  <si>
    <t xml:space="preserve">R$62.871.614,25</t>
  </si>
  <si>
    <t xml:space="preserve">22/10/2014</t>
  </si>
  <si>
    <t xml:space="preserve">R$39.714,43</t>
  </si>
  <si>
    <t xml:space="preserve">R$668,09</t>
  </si>
  <si>
    <t xml:space="preserve">R$49.422.466,37</t>
  </si>
  <si>
    <t xml:space="preserve">R$85.472.367,50</t>
  </si>
  <si>
    <t xml:space="preserve">R$60.000.000,00</t>
  </si>
  <si>
    <t xml:space="preserve">R$64.188.461,26</t>
  </si>
  <si>
    <t xml:space="preserve">25/10/2014</t>
  </si>
  <si>
    <t xml:space="preserve">TOBIAS BARRETO/SE</t>
  </si>
  <si>
    <t xml:space="preserve">R$61.050.152,43</t>
  </si>
  <si>
    <t xml:space="preserve">R$24.371,32</t>
  </si>
  <si>
    <t xml:space="preserve">R$436,57</t>
  </si>
  <si>
    <t xml:space="preserve">R$107.816.610,00</t>
  </si>
  <si>
    <t xml:space="preserve">R$65.849.559,29</t>
  </si>
  <si>
    <t xml:space="preserve">29/10/2014</t>
  </si>
  <si>
    <t xml:space="preserve">R$17.711,66</t>
  </si>
  <si>
    <t xml:space="preserve">R$447,18</t>
  </si>
  <si>
    <t xml:space="preserve">R$3.197.419,78</t>
  </si>
  <si>
    <t xml:space="preserve">R$29.647.770,00</t>
  </si>
  <si>
    <t xml:space="preserve">R$66.306.333,55</t>
  </si>
  <si>
    <t xml:space="preserve">01/11/2014</t>
  </si>
  <si>
    <t xml:space="preserve">R$23.864,71</t>
  </si>
  <si>
    <t xml:space="preserve">R$448,70</t>
  </si>
  <si>
    <t xml:space="preserve">R$30.029.733,19</t>
  </si>
  <si>
    <t xml:space="preserve">R$40.355.072,50</t>
  </si>
  <si>
    <t xml:space="preserve">R$66.928.072,00</t>
  </si>
  <si>
    <t xml:space="preserve">05/11/2014</t>
  </si>
  <si>
    <t xml:space="preserve">R$28.160,94</t>
  </si>
  <si>
    <t xml:space="preserve">R$488,10</t>
  </si>
  <si>
    <t xml:space="preserve">R$36.929.164,09</t>
  </si>
  <si>
    <t xml:space="preserve">R$63.974.315,00</t>
  </si>
  <si>
    <t xml:space="preserve">R$67.913.704,99</t>
  </si>
  <si>
    <t xml:space="preserve">08/11/2014</t>
  </si>
  <si>
    <t xml:space="preserve">R$31.866,30</t>
  </si>
  <si>
    <t xml:space="preserve">R$548,97</t>
  </si>
  <si>
    <t xml:space="preserve">R$45.440.820,51</t>
  </si>
  <si>
    <t xml:space="preserve">R$78.923.522,50</t>
  </si>
  <si>
    <t xml:space="preserve">R$69.129.655,92</t>
  </si>
  <si>
    <t xml:space="preserve">12/11/2014</t>
  </si>
  <si>
    <t xml:space="preserve">R$14.612,95</t>
  </si>
  <si>
    <t xml:space="preserve">R$367,42</t>
  </si>
  <si>
    <t xml:space="preserve">R$55.965.989,43</t>
  </si>
  <si>
    <t xml:space="preserve">R$97.593.625,00</t>
  </si>
  <si>
    <t xml:space="preserve">R$67.000.000,00</t>
  </si>
  <si>
    <t xml:space="preserve">R$70.633.251,50</t>
  </si>
  <si>
    <t xml:space="preserve">14/11/2014</t>
  </si>
  <si>
    <t xml:space="preserve">R$39.421,72</t>
  </si>
  <si>
    <t xml:space="preserve">R$625,17</t>
  </si>
  <si>
    <t xml:space="preserve">R$65.696.928,82</t>
  </si>
  <si>
    <t xml:space="preserve">R$90.229.207,50</t>
  </si>
  <si>
    <t xml:space="preserve">R$80.000.000,00</t>
  </si>
  <si>
    <t xml:space="preserve">R$72.023.385,71</t>
  </si>
  <si>
    <t xml:space="preserve">19/11/2014</t>
  </si>
  <si>
    <t xml:space="preserve">R$34.739,50</t>
  </si>
  <si>
    <t xml:space="preserve">R$630,73</t>
  </si>
  <si>
    <t xml:space="preserve">R$114.066.712,47</t>
  </si>
  <si>
    <t xml:space="preserve">R$147.750.745,00</t>
  </si>
  <si>
    <t xml:space="preserve">R$135.000.000,00</t>
  </si>
  <si>
    <t xml:space="preserve">R$74.299.736,91</t>
  </si>
  <si>
    <t xml:space="preserve">22/11/2014</t>
  </si>
  <si>
    <t xml:space="preserve">CIANORTE/PR; RIO DE JANEIRO/RJ</t>
  </si>
  <si>
    <t xml:space="preserve">R$67.657.559,48</t>
  </si>
  <si>
    <t xml:space="preserve">R$16.384,73</t>
  </si>
  <si>
    <t xml:space="preserve">R$415,95</t>
  </si>
  <si>
    <t xml:space="preserve">R$197.023.822,50</t>
  </si>
  <si>
    <t xml:space="preserve">R$77.335.223,56</t>
  </si>
  <si>
    <t xml:space="preserve">26/11/2014</t>
  </si>
  <si>
    <t xml:space="preserve">R$34.902,47</t>
  </si>
  <si>
    <t xml:space="preserve">R$544,43</t>
  </si>
  <si>
    <t xml:space="preserve">R$3.536.171,17</t>
  </si>
  <si>
    <t xml:space="preserve">R$32.788.810,00</t>
  </si>
  <si>
    <t xml:space="preserve">R$77.840.390,89</t>
  </si>
  <si>
    <t xml:space="preserve">29/11/2014</t>
  </si>
  <si>
    <t xml:space="preserve">BURITAMA/SP</t>
  </si>
  <si>
    <t xml:space="preserve">R$8.336.476,39</t>
  </si>
  <si>
    <t xml:space="preserve">R$15.328,71</t>
  </si>
  <si>
    <t xml:space="preserve">R$373,42</t>
  </si>
  <si>
    <t xml:space="preserve">R$44.510.372,50</t>
  </si>
  <si>
    <t xml:space="preserve">R$78.526.148,80</t>
  </si>
  <si>
    <t xml:space="preserve">03/12/2014</t>
  </si>
  <si>
    <t xml:space="preserve">R$3.748.248,31</t>
  </si>
  <si>
    <t xml:space="preserve">R$18.497,85</t>
  </si>
  <si>
    <t xml:space="preserve">R$34.755.275,00</t>
  </si>
  <si>
    <t xml:space="preserve">R$79.061.612,86</t>
  </si>
  <si>
    <t xml:space="preserve">06/12/2014</t>
  </si>
  <si>
    <t xml:space="preserve">R$22.938,69</t>
  </si>
  <si>
    <t xml:space="preserve">R$457,13</t>
  </si>
  <si>
    <t xml:space="preserve">R$27.489.780,03</t>
  </si>
  <si>
    <t xml:space="preserve">R$37.221.940,00</t>
  </si>
  <si>
    <t xml:space="preserve">R$79.635.080,08</t>
  </si>
  <si>
    <t xml:space="preserve">10/12/2014</t>
  </si>
  <si>
    <t xml:space="preserve">BARRA DO PIRAÍ/RJ</t>
  </si>
  <si>
    <t xml:space="preserve">R$33.639.041,43</t>
  </si>
  <si>
    <t xml:space="preserve">R$15.312,71</t>
  </si>
  <si>
    <t xml:space="preserve">R$413,74</t>
  </si>
  <si>
    <t xml:space="preserve">R$57.018.440,00</t>
  </si>
  <si>
    <t xml:space="preserve">R$80.513.546,01</t>
  </si>
  <si>
    <t xml:space="preserve">13/12/2014</t>
  </si>
  <si>
    <t xml:space="preserve">R$30.074,43</t>
  </si>
  <si>
    <t xml:space="preserve">R$448,06</t>
  </si>
  <si>
    <t xml:space="preserve">R$3.878.017,77</t>
  </si>
  <si>
    <t xml:space="preserve">R$35.958.550,00</t>
  </si>
  <si>
    <t xml:space="preserve">R$81.067.548,55</t>
  </si>
  <si>
    <t xml:space="preserve">17/12/2014</t>
  </si>
  <si>
    <t xml:space="preserve">BRASÍLIA/DF; GUARANIAÇU/PR</t>
  </si>
  <si>
    <t xml:space="preserve">R$4.077.429,91</t>
  </si>
  <si>
    <t xml:space="preserve">R$14.510,72</t>
  </si>
  <si>
    <t xml:space="preserve">R$383,83</t>
  </si>
  <si>
    <t xml:space="preserve">R$39.656.610,00</t>
  </si>
  <si>
    <t xml:space="preserve">R$81.678.526,00</t>
  </si>
  <si>
    <t xml:space="preserve">20/12/2014</t>
  </si>
  <si>
    <t xml:space="preserve">R$73.129,68</t>
  </si>
  <si>
    <t xml:space="preserve">R$830,07</t>
  </si>
  <si>
    <t xml:space="preserve">R$3.771.951,70</t>
  </si>
  <si>
    <t xml:space="preserve">R$34.975.062,50</t>
  </si>
  <si>
    <t xml:space="preserve">R$82.217.376,25</t>
  </si>
  <si>
    <t xml:space="preserve">24/12/2014</t>
  </si>
  <si>
    <t xml:space="preserve">R$7.993.708,78</t>
  </si>
  <si>
    <t xml:space="preserve">R$17.494,74</t>
  </si>
  <si>
    <t xml:space="preserve">R$398,73</t>
  </si>
  <si>
    <t xml:space="preserve">R$39.145.840,00</t>
  </si>
  <si>
    <t xml:space="preserve">R$240.000.000,00</t>
  </si>
  <si>
    <t xml:space="preserve">31/12/2014</t>
  </si>
  <si>
    <t xml:space="preserve">BRASÍLIA/DF; SANTA RITA DO TRIVELATO/MT; SÃO PAULO/SP</t>
  </si>
  <si>
    <t xml:space="preserve">R$65.823.888,16</t>
  </si>
  <si>
    <t xml:space="preserve">R$19.764,32</t>
  </si>
  <si>
    <t xml:space="preserve">R$432,36</t>
  </si>
  <si>
    <t xml:space="preserve">R$871.318.160,00</t>
  </si>
  <si>
    <t xml:space="preserve">03/01/2015</t>
  </si>
  <si>
    <t xml:space="preserve">R$15.191,80</t>
  </si>
  <si>
    <t xml:space="preserve">R$352,95</t>
  </si>
  <si>
    <t xml:space="preserve">R$2.294.760,72</t>
  </si>
  <si>
    <t xml:space="preserve">R$21.277.950,00</t>
  </si>
  <si>
    <t xml:space="preserve">R$327.822,98</t>
  </si>
  <si>
    <t xml:space="preserve">07/01/2015</t>
  </si>
  <si>
    <t xml:space="preserve">VILA VELHA/ES</t>
  </si>
  <si>
    <t xml:space="preserve">R$5.862.774,49</t>
  </si>
  <si>
    <t xml:space="preserve">R$13.544,91</t>
  </si>
  <si>
    <t xml:space="preserve">R$348,75</t>
  </si>
  <si>
    <t xml:space="preserve">R$33.084.067,50</t>
  </si>
  <si>
    <t xml:space="preserve">R$837.539,25</t>
  </si>
  <si>
    <t xml:space="preserve">10/01/2015</t>
  </si>
  <si>
    <t xml:space="preserve">R$44.770,97</t>
  </si>
  <si>
    <t xml:space="preserve">R$847,13</t>
  </si>
  <si>
    <t xml:space="preserve">R$3.463.859,02</t>
  </si>
  <si>
    <t xml:space="preserve">R$32.118.302,50</t>
  </si>
  <si>
    <t xml:space="preserve">R$1.332.376,26</t>
  </si>
  <si>
    <t xml:space="preserve">14/01/2015</t>
  </si>
  <si>
    <t xml:space="preserve">R$39.170,42</t>
  </si>
  <si>
    <t xml:space="preserve">R$766,73</t>
  </si>
  <si>
    <t xml:space="preserve">R$15.671.923,10</t>
  </si>
  <si>
    <t xml:space="preserve">R$36.129.242,50</t>
  </si>
  <si>
    <t xml:space="preserve">R$1.889.008,61</t>
  </si>
  <si>
    <t xml:space="preserve">17/01/2015</t>
  </si>
  <si>
    <t xml:space="preserve">R$22.296,52</t>
  </si>
  <si>
    <t xml:space="preserve">R$414,56</t>
  </si>
  <si>
    <t xml:space="preserve">R$21.093.498,13</t>
  </si>
  <si>
    <t xml:space="preserve">R$50.271.037,50</t>
  </si>
  <si>
    <t xml:space="preserve">R$2.663.519,33</t>
  </si>
  <si>
    <t xml:space="preserve">21/01/2015</t>
  </si>
  <si>
    <t xml:space="preserve">R$43.701,29</t>
  </si>
  <si>
    <t xml:space="preserve">R$829,60</t>
  </si>
  <si>
    <t xml:space="preserve">R$26.809.167,31</t>
  </si>
  <si>
    <t xml:space="preserve">R$52.997.997,50</t>
  </si>
  <si>
    <t xml:space="preserve">R$3.480.043,52</t>
  </si>
  <si>
    <t xml:space="preserve">24/01/2015</t>
  </si>
  <si>
    <t xml:space="preserve">SOROCABA/SP</t>
  </si>
  <si>
    <t xml:space="preserve">R$33.471.002,88</t>
  </si>
  <si>
    <t xml:space="preserve">R$6.389,44</t>
  </si>
  <si>
    <t xml:space="preserve">R$181,65</t>
  </si>
  <si>
    <t xml:space="preserve">R$61.771.235,00</t>
  </si>
  <si>
    <t xml:space="preserve">R$4.431.734,33</t>
  </si>
  <si>
    <t xml:space="preserve">28/01/2015</t>
  </si>
  <si>
    <t xml:space="preserve">R$17.944,76</t>
  </si>
  <si>
    <t xml:space="preserve">R$326,62</t>
  </si>
  <si>
    <t xml:space="preserve">R$3.206.444,40</t>
  </si>
  <si>
    <t xml:space="preserve">R$29.731.450,00</t>
  </si>
  <si>
    <t xml:space="preserve">R$4.889.797,83</t>
  </si>
  <si>
    <t xml:space="preserve">31/01/2015</t>
  </si>
  <si>
    <t xml:space="preserve">R$47.493,31</t>
  </si>
  <si>
    <t xml:space="preserve">R$1.110,39</t>
  </si>
  <si>
    <t xml:space="preserve">R$23.391.433,62</t>
  </si>
  <si>
    <t xml:space="preserve">R$39.749.837,50</t>
  </si>
  <si>
    <t xml:space="preserve">R$5.502.211,59</t>
  </si>
  <si>
    <t xml:space="preserve">04/02/2015</t>
  </si>
  <si>
    <t xml:space="preserve">JUNDIAÍ/SP</t>
  </si>
  <si>
    <t xml:space="preserve">R$29.353.109,38</t>
  </si>
  <si>
    <t xml:space="preserve">R$23.283,01</t>
  </si>
  <si>
    <t xml:space="preserve">R$424,04</t>
  </si>
  <si>
    <t xml:space="preserve">R$55.279.070,00</t>
  </si>
  <si>
    <t xml:space="preserve">R$6.353.879,57</t>
  </si>
  <si>
    <t xml:space="preserve">07/02/2015</t>
  </si>
  <si>
    <t xml:space="preserve">R$40.843,61</t>
  </si>
  <si>
    <t xml:space="preserve">R$609,17</t>
  </si>
  <si>
    <t xml:space="preserve">R$3.460.958,48</t>
  </si>
  <si>
    <t xml:space="preserve">R$32.091.407,50</t>
  </si>
  <si>
    <t xml:space="preserve">R$6.848.302,23</t>
  </si>
  <si>
    <t xml:space="preserve">11/02/2015</t>
  </si>
  <si>
    <t xml:space="preserve">PARÁ DE MINAS/MG; SÃO PAULO/SP</t>
  </si>
  <si>
    <t xml:space="preserve">R$3.678.088,24</t>
  </si>
  <si>
    <t xml:space="preserve">R$13.730,83</t>
  </si>
  <si>
    <t xml:space="preserve">R$397,62</t>
  </si>
  <si>
    <t xml:space="preserve">R$36.118.037,50</t>
  </si>
  <si>
    <t xml:space="preserve">R$7.404.761,96</t>
  </si>
  <si>
    <t xml:space="preserve">14/02/2015</t>
  </si>
  <si>
    <t xml:space="preserve">R$16.634,25</t>
  </si>
  <si>
    <t xml:space="preserve">R$379,25</t>
  </si>
  <si>
    <t xml:space="preserve">R$3.401.266,30</t>
  </si>
  <si>
    <t xml:space="preserve">R$31.537.917,50</t>
  </si>
  <si>
    <t xml:space="preserve">R$7.890.657,16</t>
  </si>
  <si>
    <t xml:space="preserve">18/02/2015</t>
  </si>
  <si>
    <t xml:space="preserve">R$5.548.048,14</t>
  </si>
  <si>
    <t xml:space="preserve">R$33.297,02</t>
  </si>
  <si>
    <t xml:space="preserve">R$506,18</t>
  </si>
  <si>
    <t xml:space="preserve">R$19.905.830,00</t>
  </si>
  <si>
    <t xml:space="preserve">R$8.197.340,29</t>
  </si>
  <si>
    <t xml:space="preserve">21/02/2015</t>
  </si>
  <si>
    <t xml:space="preserve">R$16.547.485,01</t>
  </si>
  <si>
    <t xml:space="preserve">R$8.541,66</t>
  </si>
  <si>
    <t xml:space="preserve">R$624,68</t>
  </si>
  <si>
    <t xml:space="preserve">R$43.477.555,00</t>
  </si>
  <si>
    <t xml:space="preserve">R$8.867.185,88</t>
  </si>
  <si>
    <t xml:space="preserve">25/02/2015</t>
  </si>
  <si>
    <t xml:space="preserve">R$3.031.830,86</t>
  </si>
  <si>
    <t xml:space="preserve">R$18.287,23</t>
  </si>
  <si>
    <t xml:space="preserve">R$352,87</t>
  </si>
  <si>
    <t xml:space="preserve">R$28.112.362,50</t>
  </si>
  <si>
    <t xml:space="preserve">R$9.300.304,58</t>
  </si>
  <si>
    <t xml:space="preserve">28/02/2015</t>
  </si>
  <si>
    <t xml:space="preserve">R$8.894,93</t>
  </si>
  <si>
    <t xml:space="preserve">R$291,53</t>
  </si>
  <si>
    <t xml:space="preserve">R$3.293.462,01</t>
  </si>
  <si>
    <t xml:space="preserve">R$30.538.312,50</t>
  </si>
  <si>
    <t xml:space="preserve">R$9.770.799,18</t>
  </si>
  <si>
    <t xml:space="preserve">04/03/2015</t>
  </si>
  <si>
    <t xml:space="preserve">R$7.199.799,02</t>
  </si>
  <si>
    <t xml:space="preserve">R$26.507,29</t>
  </si>
  <si>
    <t xml:space="preserve">R$437,45</t>
  </si>
  <si>
    <t xml:space="preserve">R$36.221.137,50</t>
  </si>
  <si>
    <t xml:space="preserve">R$10.328.847,34</t>
  </si>
  <si>
    <t xml:space="preserve">07/03/2015</t>
  </si>
  <si>
    <t xml:space="preserve">R$38.803,85</t>
  </si>
  <si>
    <t xml:space="preserve">R$655,62</t>
  </si>
  <si>
    <t xml:space="preserve">R$15.082.796,62</t>
  </si>
  <si>
    <t xml:space="preserve">R$32.477.135,00</t>
  </si>
  <si>
    <t xml:space="preserve">R$10.829.212,77</t>
  </si>
  <si>
    <t xml:space="preserve">11/03/2015</t>
  </si>
  <si>
    <t xml:space="preserve">R$21.565,46</t>
  </si>
  <si>
    <t xml:space="preserve">R$544,33</t>
  </si>
  <si>
    <t xml:space="preserve">R$20.406.061,12</t>
  </si>
  <si>
    <t xml:space="preserve">R$49.359.462,50</t>
  </si>
  <si>
    <t xml:space="preserve">R$11.589.679,15</t>
  </si>
  <si>
    <t xml:space="preserve">14/03/2015</t>
  </si>
  <si>
    <t xml:space="preserve">SANTA TERESA/ES; IBIUNA/SP; SERTÃOZINHO/SP</t>
  </si>
  <si>
    <t xml:space="preserve">R$8.927.028,65</t>
  </si>
  <si>
    <t xml:space="preserve">R$29.578,87</t>
  </si>
  <si>
    <t xml:space="preserve">R$549,38</t>
  </si>
  <si>
    <t xml:space="preserve">R$59.111.810,00</t>
  </si>
  <si>
    <t xml:space="preserve">R$12.500.397,00</t>
  </si>
  <si>
    <t xml:space="preserve">18/03/2015</t>
  </si>
  <si>
    <t xml:space="preserve">R$3.174.732,56</t>
  </si>
  <si>
    <t xml:space="preserve">R$22.979,02</t>
  </si>
  <si>
    <t xml:space="preserve">R$544,45</t>
  </si>
  <si>
    <t xml:space="preserve">R$29.437.405,00</t>
  </si>
  <si>
    <t xml:space="preserve">R$12.953.930,24</t>
  </si>
  <si>
    <t xml:space="preserve">21/03/2015</t>
  </si>
  <si>
    <t xml:space="preserve">R$39.205,52</t>
  </si>
  <si>
    <t xml:space="preserve">R$604,44</t>
  </si>
  <si>
    <t xml:space="preserve">R$3.394.372,46</t>
  </si>
  <si>
    <t xml:space="preserve">R$31.473.995,00</t>
  </si>
  <si>
    <t xml:space="preserve">R$13.438.840,61</t>
  </si>
  <si>
    <t xml:space="preserve">25/03/2015</t>
  </si>
  <si>
    <t xml:space="preserve">REDENÇÃO/PA; SÃO PAULO/SP</t>
  </si>
  <si>
    <t xml:space="preserve">R$3.610.233,13</t>
  </si>
  <si>
    <t xml:space="preserve">R$11.227,15</t>
  </si>
  <si>
    <t xml:space="preserve">R$307,98</t>
  </si>
  <si>
    <t xml:space="preserve">R$35.477.090,00</t>
  </si>
  <si>
    <t xml:space="preserve">R$13.985.425,45</t>
  </si>
  <si>
    <t xml:space="preserve">28/03/2015</t>
  </si>
  <si>
    <t xml:space="preserve">R$42.636,38</t>
  </si>
  <si>
    <t xml:space="preserve">R$672,26</t>
  </si>
  <si>
    <t xml:space="preserve">R$18.835.399,50</t>
  </si>
  <si>
    <t xml:space="preserve">R$45.880.452,50</t>
  </si>
  <si>
    <t xml:space="preserve">R$14.692.291,77</t>
  </si>
  <si>
    <t xml:space="preserve">01/04/2015</t>
  </si>
  <si>
    <t xml:space="preserve">R$21.660,17</t>
  </si>
  <si>
    <t xml:space="preserve">R$477,97</t>
  </si>
  <si>
    <t xml:space="preserve">R$24.620.945,12</t>
  </si>
  <si>
    <t xml:space="preserve">R$53.645.920,00</t>
  </si>
  <si>
    <t xml:space="preserve">R$15.518.798,30</t>
  </si>
  <si>
    <t xml:space="preserve">04/04/2015</t>
  </si>
  <si>
    <t xml:space="preserve">R$17.116,48</t>
  </si>
  <si>
    <t xml:space="preserve">R$353,60</t>
  </si>
  <si>
    <t xml:space="preserve">R$30.296.410,60</t>
  </si>
  <si>
    <t xml:space="preserve">R$52.625.212,50</t>
  </si>
  <si>
    <t xml:space="preserve">R$16.329.579,10</t>
  </si>
  <si>
    <t xml:space="preserve">08/04/2015</t>
  </si>
  <si>
    <t xml:space="preserve">R$22.383,35</t>
  </si>
  <si>
    <t xml:space="preserve">R$406,64</t>
  </si>
  <si>
    <t xml:space="preserve">R$37.635.793,70</t>
  </si>
  <si>
    <t xml:space="preserve">R$68.053.730,00</t>
  </si>
  <si>
    <t xml:space="preserve">R$17.378.062,41</t>
  </si>
  <si>
    <t xml:space="preserve">11/04/2015</t>
  </si>
  <si>
    <t xml:space="preserve">R$46.904.093,93</t>
  </si>
  <si>
    <t xml:space="preserve">R$14.457,94</t>
  </si>
  <si>
    <t xml:space="preserve">R$662,21</t>
  </si>
  <si>
    <t xml:space="preserve">R$85.939.430,00</t>
  </si>
  <si>
    <t xml:space="preserve">R$18.702.105,32</t>
  </si>
  <si>
    <t xml:space="preserve">15/04/2015</t>
  </si>
  <si>
    <t xml:space="preserve">R$22.201,93</t>
  </si>
  <si>
    <t xml:space="preserve">R$455,64</t>
  </si>
  <si>
    <t xml:space="preserve">R$25.988.372,92</t>
  </si>
  <si>
    <t xml:space="preserve">R$48.540.870,00</t>
  </si>
  <si>
    <t xml:space="preserve">R$19.449.959,88</t>
  </si>
  <si>
    <t xml:space="preserve">18/04/2015</t>
  </si>
  <si>
    <t xml:space="preserve">DIAMANTINA/MG</t>
  </si>
  <si>
    <t xml:space="preserve">R$32.909.935,88</t>
  </si>
  <si>
    <t xml:space="preserve">R$27.832,74</t>
  </si>
  <si>
    <t xml:space="preserve">R$546,39</t>
  </si>
  <si>
    <t xml:space="preserve">R$64.179.532,50</t>
  </si>
  <si>
    <t xml:space="preserve">R$20.438.754,61</t>
  </si>
  <si>
    <t xml:space="preserve">22/04/2015</t>
  </si>
  <si>
    <t xml:space="preserve">R$23.627,94</t>
  </si>
  <si>
    <t xml:space="preserve">R$582,45</t>
  </si>
  <si>
    <t xml:space="preserve">R$2.698.560,23</t>
  </si>
  <si>
    <t xml:space="preserve">R$25.022.142,50</t>
  </si>
  <si>
    <t xml:space="preserve">R$20.824.263,23</t>
  </si>
  <si>
    <t xml:space="preserve">25/04/2015</t>
  </si>
  <si>
    <t xml:space="preserve">R$16.764,14</t>
  </si>
  <si>
    <t xml:space="preserve">R$356,43</t>
  </si>
  <si>
    <t xml:space="preserve">R$6.774.893,33</t>
  </si>
  <si>
    <t xml:space="preserve">R$37.797.410,00</t>
  </si>
  <si>
    <t xml:space="preserve">R$21.406.596,54</t>
  </si>
  <si>
    <t xml:space="preserve">29/04/2015</t>
  </si>
  <si>
    <t xml:space="preserve">R$12.999,07</t>
  </si>
  <si>
    <t xml:space="preserve">R$372,42</t>
  </si>
  <si>
    <t xml:space="preserve">R$26.045.125,94</t>
  </si>
  <si>
    <t xml:space="preserve">R$41.964.382,50</t>
  </si>
  <si>
    <t xml:space="preserve">R$22.053.129,14</t>
  </si>
  <si>
    <t xml:space="preserve">02/05/2015</t>
  </si>
  <si>
    <t xml:space="preserve">CAMBUCI/RJ</t>
  </si>
  <si>
    <t xml:space="preserve">R$31.494.038,01</t>
  </si>
  <si>
    <t xml:space="preserve">R$45.507,40</t>
  </si>
  <si>
    <t xml:space="preserve">R$785,44</t>
  </si>
  <si>
    <t xml:space="preserve">R$50.524.517,50</t>
  </si>
  <si>
    <t xml:space="preserve">R$22.831.545,17</t>
  </si>
  <si>
    <t xml:space="preserve">05/05/2015</t>
  </si>
  <si>
    <t xml:space="preserve">RIBEIRA DO POMBAL/BA</t>
  </si>
  <si>
    <t xml:space="preserve">R$2.018.423,55</t>
  </si>
  <si>
    <t xml:space="preserve">R$18.571,45</t>
  </si>
  <si>
    <t xml:space="preserve">R$470,34</t>
  </si>
  <si>
    <t xml:space="preserve">R$18.715.640,00</t>
  </si>
  <si>
    <t xml:space="preserve">R$23.119.891,41</t>
  </si>
  <si>
    <t xml:space="preserve">07/05/2015</t>
  </si>
  <si>
    <t xml:space="preserve">ARAPIRACA/AL</t>
  </si>
  <si>
    <t xml:space="preserve">R$2.757.367,25</t>
  </si>
  <si>
    <t xml:space="preserve">R$10.768,76</t>
  </si>
  <si>
    <t xml:space="preserve">R$358,60</t>
  </si>
  <si>
    <t xml:space="preserve">R$25.567.425,00</t>
  </si>
  <si>
    <t xml:space="preserve">R$23.513.801,04</t>
  </si>
  <si>
    <t xml:space="preserve">09/05/2015</t>
  </si>
  <si>
    <t xml:space="preserve">R$23.062,69</t>
  </si>
  <si>
    <t xml:space="preserve">R$555,15</t>
  </si>
  <si>
    <t xml:space="preserve">R$3.186.292,13</t>
  </si>
  <si>
    <t xml:space="preserve">R$29.544.590,00</t>
  </si>
  <si>
    <t xml:space="preserve">R$23.968.985,63</t>
  </si>
  <si>
    <t xml:space="preserve">13/05/2015</t>
  </si>
  <si>
    <t xml:space="preserve">R$28.153,70</t>
  </si>
  <si>
    <t xml:space="preserve">R$465,11</t>
  </si>
  <si>
    <t xml:space="preserve">R$17.866.181,80</t>
  </si>
  <si>
    <t xml:space="preserve">R$35.585.577,50</t>
  </si>
  <si>
    <t xml:space="preserve">R$24.517.241,91</t>
  </si>
  <si>
    <t xml:space="preserve">16/05/2015</t>
  </si>
  <si>
    <t xml:space="preserve">R$52.107,79</t>
  </si>
  <si>
    <t xml:space="preserve">R$732,79</t>
  </si>
  <si>
    <t xml:space="preserve">R$23.625.464,27</t>
  </si>
  <si>
    <t xml:space="preserve">R$53.402.397,50</t>
  </si>
  <si>
    <t xml:space="preserve">R$25.339.996,57</t>
  </si>
  <si>
    <t xml:space="preserve">20/05/2015</t>
  </si>
  <si>
    <t xml:space="preserve">R$29.938.493,60</t>
  </si>
  <si>
    <t xml:space="preserve">R$25.199,07</t>
  </si>
  <si>
    <t xml:space="preserve">R$455,17</t>
  </si>
  <si>
    <t xml:space="preserve">R$58.536.962,50</t>
  </si>
  <si>
    <t xml:space="preserve">R$26.241.857,93</t>
  </si>
  <si>
    <t xml:space="preserve">23/05/2015</t>
  </si>
  <si>
    <t xml:space="preserve">R$26.797,28</t>
  </si>
  <si>
    <t xml:space="preserve">R$614,70</t>
  </si>
  <si>
    <t xml:space="preserve">R$3.208.621,29</t>
  </si>
  <si>
    <t xml:space="preserve">R$29.751.635,00</t>
  </si>
  <si>
    <t xml:space="preserve">R$26.700.232,41</t>
  </si>
  <si>
    <t xml:space="preserve">27/05/2015</t>
  </si>
  <si>
    <t xml:space="preserve">R$30.205,91</t>
  </si>
  <si>
    <t xml:space="preserve">R$744,34</t>
  </si>
  <si>
    <t xml:space="preserve">R$7.214.878,56</t>
  </si>
  <si>
    <t xml:space="preserve">R$37.147.638,50</t>
  </si>
  <si>
    <t xml:space="preserve">R$27.272.554,89</t>
  </si>
  <si>
    <t xml:space="preserve">30/05/2015</t>
  </si>
  <si>
    <t xml:space="preserve">R$26.620,03</t>
  </si>
  <si>
    <t xml:space="preserve">R$596,84</t>
  </si>
  <si>
    <t xml:space="preserve">R$27.483.984,27</t>
  </si>
  <si>
    <t xml:space="preserve">R$46.378.374,00</t>
  </si>
  <si>
    <t xml:space="preserve">R$27.987.092,53</t>
  </si>
  <si>
    <t xml:space="preserve">03/06/2015</t>
  </si>
  <si>
    <t xml:space="preserve">R$39.936,87</t>
  </si>
  <si>
    <t xml:space="preserve">R$750,14</t>
  </si>
  <si>
    <t xml:space="preserve">R$34.105.096,25</t>
  </si>
  <si>
    <t xml:space="preserve">R$61.393.629,50</t>
  </si>
  <si>
    <t xml:space="preserve">R$28.932.965,69</t>
  </si>
  <si>
    <t xml:space="preserve">06/06/2015</t>
  </si>
  <si>
    <t xml:space="preserve">R$44.885,37</t>
  </si>
  <si>
    <t xml:space="preserve">R$891,74</t>
  </si>
  <si>
    <t xml:space="preserve">R$41.133.200,24</t>
  </si>
  <si>
    <t xml:space="preserve">R$65.167.424,00</t>
  </si>
  <si>
    <t xml:space="preserve">R$29.936.980,56</t>
  </si>
  <si>
    <t xml:space="preserve">10/06/2015</t>
  </si>
  <si>
    <t xml:space="preserve">R$31.683,66</t>
  </si>
  <si>
    <t xml:space="preserve">R$810,05</t>
  </si>
  <si>
    <t xml:space="preserve">R$50.996.825,22</t>
  </si>
  <si>
    <t xml:space="preserve">R$91.459.522,00</t>
  </si>
  <si>
    <t xml:space="preserve">R$65.000.000,00</t>
  </si>
  <si>
    <t xml:space="preserve">R$31.346.069,86</t>
  </si>
  <si>
    <t xml:space="preserve">13/06/2015</t>
  </si>
  <si>
    <t xml:space="preserve">MARINGÁ/PR; RIO DE JANEIRO/RJ</t>
  </si>
  <si>
    <t xml:space="preserve">R$31.598.692,07</t>
  </si>
  <si>
    <t xml:space="preserve">R$17.070,00</t>
  </si>
  <si>
    <t xml:space="preserve">R$440,56</t>
  </si>
  <si>
    <t xml:space="preserve">R$113.128.519,00</t>
  </si>
  <si>
    <t xml:space="preserve">R$33.089.006,85</t>
  </si>
  <si>
    <t xml:space="preserve">17/06/2015</t>
  </si>
  <si>
    <t xml:space="preserve">R$17.471,23</t>
  </si>
  <si>
    <t xml:space="preserve">R$488,03</t>
  </si>
  <si>
    <t xml:space="preserve">R$28.004.271,91</t>
  </si>
  <si>
    <t xml:space="preserve">R$31.632.681,50</t>
  </si>
  <si>
    <t xml:space="preserve">R$33.576.362,05</t>
  </si>
  <si>
    <t xml:space="preserve">20/06/2015</t>
  </si>
  <si>
    <t xml:space="preserve">R$54.443,91</t>
  </si>
  <si>
    <t xml:space="preserve">R$970,33</t>
  </si>
  <si>
    <t xml:space="preserve">R$33.821.173,57</t>
  </si>
  <si>
    <t xml:space="preserve">R$53.936.666,00</t>
  </si>
  <si>
    <t xml:space="preserve">R$34.407.348,01</t>
  </si>
  <si>
    <t xml:space="preserve">24/06/2015</t>
  </si>
  <si>
    <t xml:space="preserve">R$40.781.877,95</t>
  </si>
  <si>
    <t xml:space="preserve">R$60.946,26</t>
  </si>
  <si>
    <t xml:space="preserve">R$915,55</t>
  </si>
  <si>
    <t xml:space="preserve">R$64.542.467,50</t>
  </si>
  <si>
    <t xml:space="preserve">R$35.401.734,37</t>
  </si>
  <si>
    <t xml:space="preserve">27/06/2015</t>
  </si>
  <si>
    <t xml:space="preserve">R$14.665,09</t>
  </si>
  <si>
    <t xml:space="preserve">R$518,02</t>
  </si>
  <si>
    <t xml:space="preserve">R$3.295.785,25</t>
  </si>
  <si>
    <t xml:space="preserve">R$30.559.854,50</t>
  </si>
  <si>
    <t xml:space="preserve">R$6.800.000,00</t>
  </si>
  <si>
    <t xml:space="preserve">R$35.872.560,83</t>
  </si>
  <si>
    <t xml:space="preserve">01/07/2015</t>
  </si>
  <si>
    <t xml:space="preserve">R$41.257,55</t>
  </si>
  <si>
    <t xml:space="preserve">R$903,35</t>
  </si>
  <si>
    <t xml:space="preserve">R$7.019.821,66</t>
  </si>
  <si>
    <t xml:space="preserve">R$34.530.772,50</t>
  </si>
  <si>
    <t xml:space="preserve">R$11.500.000,00</t>
  </si>
  <si>
    <t xml:space="preserve">R$36.404.566,04</t>
  </si>
  <si>
    <t xml:space="preserve">04/07/2015</t>
  </si>
  <si>
    <t xml:space="preserve">R$57.989,50</t>
  </si>
  <si>
    <t xml:space="preserve">R$1.238,91</t>
  </si>
  <si>
    <t xml:space="preserve">R$27.292.500,36</t>
  </si>
  <si>
    <t xml:space="preserve">R$44.572.668,00</t>
  </si>
  <si>
    <t xml:space="preserve">R$37.091.283,72</t>
  </si>
  <si>
    <t xml:space="preserve">07/07/2015</t>
  </si>
  <si>
    <t xml:space="preserve">R$44.551,33</t>
  </si>
  <si>
    <t xml:space="preserve">R$877,21</t>
  </si>
  <si>
    <t xml:space="preserve">R$31.149.707,61</t>
  </si>
  <si>
    <t xml:space="preserve">R$35.765.586,50</t>
  </si>
  <si>
    <t xml:space="preserve">R$37.642.313,34</t>
  </si>
  <si>
    <t xml:space="preserve">09/07/2015</t>
  </si>
  <si>
    <t xml:space="preserve">ITAPEVI/SP</t>
  </si>
  <si>
    <t xml:space="preserve">R$36.404.331,56</t>
  </si>
  <si>
    <t xml:space="preserve">R$15.172,92</t>
  </si>
  <si>
    <t xml:space="preserve">R$421,49</t>
  </si>
  <si>
    <t xml:space="preserve">R$48.722.999,50</t>
  </si>
  <si>
    <t xml:space="preserve">R$38.392.973,91</t>
  </si>
  <si>
    <t xml:space="preserve">11/07/2015</t>
  </si>
  <si>
    <t xml:space="preserve">R$52.798,49</t>
  </si>
  <si>
    <t xml:space="preserve">R$942,83</t>
  </si>
  <si>
    <t xml:space="preserve">R$3.209.592,45</t>
  </si>
  <si>
    <t xml:space="preserve">R$29.760.640,00</t>
  </si>
  <si>
    <t xml:space="preserve">R$38.851.487,13</t>
  </si>
  <si>
    <t xml:space="preserve">15/07/2015</t>
  </si>
  <si>
    <t xml:space="preserve">R$38.128,57</t>
  </si>
  <si>
    <t xml:space="preserve">R$928,16</t>
  </si>
  <si>
    <t xml:space="preserve">R$7.002.382,06</t>
  </si>
  <si>
    <t xml:space="preserve">R$35.168.280,00</t>
  </si>
  <si>
    <t xml:space="preserve">R$39.393.314,24</t>
  </si>
  <si>
    <t xml:space="preserve">18/07/2015</t>
  </si>
  <si>
    <t xml:space="preserve">R$48.154,01</t>
  </si>
  <si>
    <t xml:space="preserve">R$851,65</t>
  </si>
  <si>
    <t xml:space="preserve">R$24.787.802,64</t>
  </si>
  <si>
    <t xml:space="preserve">R$43.592.832,50</t>
  </si>
  <si>
    <t xml:space="preserve">R$40.064.935,88</t>
  </si>
  <si>
    <t xml:space="preserve">22/07/2015</t>
  </si>
  <si>
    <t xml:space="preserve">R$66.070,32</t>
  </si>
  <si>
    <t xml:space="preserve">R$952,45</t>
  </si>
  <si>
    <t xml:space="preserve">R$30.994.934,63</t>
  </si>
  <si>
    <t xml:space="preserve">R$57.555.039,50</t>
  </si>
  <si>
    <t xml:space="preserve">R$37.500.000,00</t>
  </si>
  <si>
    <t xml:space="preserve">R$40.951.669,04</t>
  </si>
  <si>
    <t xml:space="preserve">25/07/2015</t>
  </si>
  <si>
    <t xml:space="preserve">R$34.383,16</t>
  </si>
  <si>
    <t xml:space="preserve">R$719,19</t>
  </si>
  <si>
    <t xml:space="preserve">R$38.025.386,82</t>
  </si>
  <si>
    <t xml:space="preserve">R$65.189.197,50</t>
  </si>
  <si>
    <t xml:space="preserve">R$41.956.019,37</t>
  </si>
  <si>
    <t xml:space="preserve">29/07/2015</t>
  </si>
  <si>
    <t xml:space="preserve">R$46.391.009,23</t>
  </si>
  <si>
    <t xml:space="preserve">R$37.224,08</t>
  </si>
  <si>
    <t xml:space="preserve">R$736,05</t>
  </si>
  <si>
    <t xml:space="preserve">R$77.569.436,00</t>
  </si>
  <si>
    <t xml:space="preserve">R$43.151.108,29</t>
  </si>
  <si>
    <t xml:space="preserve">01/08/2015</t>
  </si>
  <si>
    <t xml:space="preserve">R$42.525,31</t>
  </si>
  <si>
    <t xml:space="preserve">R$755,81</t>
  </si>
  <si>
    <t xml:space="preserve">R$3.525.124,52</t>
  </si>
  <si>
    <t xml:space="preserve">R$32.686.381,00</t>
  </si>
  <si>
    <t xml:space="preserve">R$43.654.697,52</t>
  </si>
  <si>
    <t xml:space="preserve">04/08/2015</t>
  </si>
  <si>
    <t xml:space="preserve">R$33.293,47</t>
  </si>
  <si>
    <t xml:space="preserve">R$726,56</t>
  </si>
  <si>
    <t xml:space="preserve">R$23.215.411,62</t>
  </si>
  <si>
    <t xml:space="preserve">R$22.178.415,00</t>
  </si>
  <si>
    <t xml:space="preserve">R$43.996.393,70</t>
  </si>
  <si>
    <t xml:space="preserve">06/08/2015</t>
  </si>
  <si>
    <t xml:space="preserve">PORTO ALEGRE/RS; SANTA MARIA/RS</t>
  </si>
  <si>
    <t xml:space="preserve">R$13.940.874,15</t>
  </si>
  <si>
    <t xml:space="preserve">R$12.990,53</t>
  </si>
  <si>
    <t xml:space="preserve">R$358,68</t>
  </si>
  <si>
    <t xml:space="preserve">R$43.268.162,00</t>
  </si>
  <si>
    <t xml:space="preserve">R$44.663.013,24</t>
  </si>
  <si>
    <t xml:space="preserve">08/08/2015</t>
  </si>
  <si>
    <t xml:space="preserve">R$25.764,20</t>
  </si>
  <si>
    <t xml:space="preserve">R$601,63</t>
  </si>
  <si>
    <t xml:space="preserve">R$3.227.305,34</t>
  </si>
  <si>
    <t xml:space="preserve">R$29.924.881,00</t>
  </si>
  <si>
    <t xml:space="preserve">R$45.124.056,87</t>
  </si>
  <si>
    <t xml:space="preserve">12/08/2015</t>
  </si>
  <si>
    <t xml:space="preserve">R$7.041.557,17</t>
  </si>
  <si>
    <t xml:space="preserve">R$28.364,30</t>
  </si>
  <si>
    <t xml:space="preserve">R$931,06</t>
  </si>
  <si>
    <t xml:space="preserve">R$35.367.286,50</t>
  </si>
  <si>
    <t xml:space="preserve">R$45.668.950,00</t>
  </si>
  <si>
    <t xml:space="preserve">15/08/2015</t>
  </si>
  <si>
    <t xml:space="preserve">BAIXO GUANDÚ/ES</t>
  </si>
  <si>
    <t xml:space="preserve">R$3.330.428,53</t>
  </si>
  <si>
    <t xml:space="preserve">R$28.697,57</t>
  </si>
  <si>
    <t xml:space="preserve">R$536,06</t>
  </si>
  <si>
    <t xml:space="preserve">R$30.881.081,00</t>
  </si>
  <si>
    <t xml:space="preserve">R$46.144.725,52</t>
  </si>
  <si>
    <t xml:space="preserve">19/08/2015</t>
  </si>
  <si>
    <t xml:space="preserve">R$25.676,61</t>
  </si>
  <si>
    <t xml:space="preserve">R$708,16</t>
  </si>
  <si>
    <t xml:space="preserve">R$14.382.569,60</t>
  </si>
  <si>
    <t xml:space="preserve">R$28.068.845,00</t>
  </si>
  <si>
    <t xml:space="preserve">R$46.577.173,77</t>
  </si>
  <si>
    <t xml:space="preserve">22/08/2015</t>
  </si>
  <si>
    <t xml:space="preserve">R$30.816,66</t>
  </si>
  <si>
    <t xml:space="preserve">R$792,22</t>
  </si>
  <si>
    <t xml:space="preserve">R$19.264.577,58</t>
  </si>
  <si>
    <t xml:space="preserve">R$45.267.953,50</t>
  </si>
  <si>
    <t xml:space="preserve">R$47.274.603,49</t>
  </si>
  <si>
    <t xml:space="preserve">26/08/2015</t>
  </si>
  <si>
    <t xml:space="preserve">R$28.735,58</t>
  </si>
  <si>
    <t xml:space="preserve">R$654,96</t>
  </si>
  <si>
    <t xml:space="preserve">R$24.822.643,42</t>
  </si>
  <si>
    <t xml:space="preserve">R$51.536.635,50</t>
  </si>
  <si>
    <t xml:space="preserve">R$48.068.612,91</t>
  </si>
  <si>
    <t xml:space="preserve">29/08/2015</t>
  </si>
  <si>
    <t xml:space="preserve">R$49.031,90</t>
  </si>
  <si>
    <t xml:space="preserve">R$886,19</t>
  </si>
  <si>
    <t xml:space="preserve">R$31.416.142,77</t>
  </si>
  <si>
    <t xml:space="preserve">R$61.137.594,00</t>
  </si>
  <si>
    <t xml:space="preserve">R$49.010.541,40</t>
  </si>
  <si>
    <t xml:space="preserve">02/09/2015</t>
  </si>
  <si>
    <t xml:space="preserve">GUAÍRA/PR</t>
  </si>
  <si>
    <t xml:space="preserve">R$38.615.395,78</t>
  </si>
  <si>
    <t xml:space="preserve">R$40.710,07</t>
  </si>
  <si>
    <t xml:space="preserve">R$810,43</t>
  </si>
  <si>
    <t xml:space="preserve">R$66.754.387,00</t>
  </si>
  <si>
    <t xml:space="preserve">R$50.039.006,13</t>
  </si>
  <si>
    <t xml:space="preserve">05/09/2015</t>
  </si>
  <si>
    <t xml:space="preserve">R$35.501,76</t>
  </si>
  <si>
    <t xml:space="preserve">R$643,42</t>
  </si>
  <si>
    <t xml:space="preserve">R$20.663.830,42</t>
  </si>
  <si>
    <t xml:space="preserve">R$30.926.217,00</t>
  </si>
  <si>
    <t xml:space="preserve">R$50.515.477,06</t>
  </si>
  <si>
    <t xml:space="preserve">09/09/2015</t>
  </si>
  <si>
    <t xml:space="preserve">R$36.321,35</t>
  </si>
  <si>
    <t xml:space="preserve">R$699,50</t>
  </si>
  <si>
    <t xml:space="preserve">R$24.812.110,45</t>
  </si>
  <si>
    <t xml:space="preserve">R$38.464.531,00</t>
  </si>
  <si>
    <t xml:space="preserve">R$51.108.088,51</t>
  </si>
  <si>
    <t xml:space="preserve">12/09/2015</t>
  </si>
  <si>
    <t xml:space="preserve">R$31.114.779,74</t>
  </si>
  <si>
    <t xml:space="preserve">R$41.724,99</t>
  </si>
  <si>
    <t xml:space="preserve">R$758,03</t>
  </si>
  <si>
    <t xml:space="preserve">R$58.440.900,00</t>
  </si>
  <si>
    <t xml:space="preserve">R$52.008.469,85</t>
  </si>
  <si>
    <t xml:space="preserve">16/09/2015</t>
  </si>
  <si>
    <t xml:space="preserve">R$20.114,88</t>
  </si>
  <si>
    <t xml:space="preserve">R$532,02</t>
  </si>
  <si>
    <t xml:space="preserve">R$3.075.458,31</t>
  </si>
  <si>
    <t xml:space="preserve">R$28.516.894,00</t>
  </si>
  <si>
    <t xml:space="preserve">R$52.447.821,04</t>
  </si>
  <si>
    <t xml:space="preserve">19/09/2015</t>
  </si>
  <si>
    <t xml:space="preserve">R$52.243,33</t>
  </si>
  <si>
    <t xml:space="preserve">R$754,82</t>
  </si>
  <si>
    <t xml:space="preserve">R$6.924.966,43</t>
  </si>
  <si>
    <t xml:space="preserve">R$35.694.197,00</t>
  </si>
  <si>
    <t xml:space="preserve">R$52.997.750,79</t>
  </si>
  <si>
    <t xml:space="preserve">23/09/2015</t>
  </si>
  <si>
    <t xml:space="preserve">R$23.463,68</t>
  </si>
  <si>
    <t xml:space="preserve">R$610,37</t>
  </si>
  <si>
    <t xml:space="preserve">R$24.604.511,33</t>
  </si>
  <si>
    <t xml:space="preserve">R$38.474.611,00</t>
  </si>
  <si>
    <t xml:space="preserve">R$53.590.517,52</t>
  </si>
  <si>
    <t xml:space="preserve">26/09/2015</t>
  </si>
  <si>
    <t xml:space="preserve">R$24.987,82</t>
  </si>
  <si>
    <t xml:space="preserve">R$654,98</t>
  </si>
  <si>
    <t xml:space="preserve">R$30.496.376,24</t>
  </si>
  <si>
    <t xml:space="preserve">R$54.631.755,50</t>
  </si>
  <si>
    <t xml:space="preserve">R$38.500.000,00</t>
  </si>
  <si>
    <t xml:space="preserve">R$54.432.212,52</t>
  </si>
  <si>
    <t xml:space="preserve">30/09/2015</t>
  </si>
  <si>
    <t xml:space="preserve">R$36.347,41</t>
  </si>
  <si>
    <t xml:space="preserve">R$941,02</t>
  </si>
  <si>
    <t xml:space="preserve">R$37.593.686,76</t>
  </si>
  <si>
    <t xml:space="preserve">R$65.809.135,00</t>
  </si>
  <si>
    <t xml:space="preserve">R$55.446.114,04</t>
  </si>
  <si>
    <t xml:space="preserve">03/10/2015</t>
  </si>
  <si>
    <t xml:space="preserve">ITAÍ/SP; SÃO PAULO/SP</t>
  </si>
  <si>
    <t xml:space="preserve">R$23.221.167,26</t>
  </si>
  <si>
    <t xml:space="preserve">R$51.651,09</t>
  </si>
  <si>
    <t xml:space="preserve">R$788,76</t>
  </si>
  <si>
    <t xml:space="preserve">R$82.048.242,50</t>
  </si>
  <si>
    <t xml:space="preserve">R$56.710.206,59</t>
  </si>
  <si>
    <t xml:space="preserve">07/10/2015</t>
  </si>
  <si>
    <t xml:space="preserve">R$22.602,38</t>
  </si>
  <si>
    <t xml:space="preserve">R$657,72</t>
  </si>
  <si>
    <t xml:space="preserve">R$3.164.333,37</t>
  </si>
  <si>
    <t xml:space="preserve">R$29.340.979,50</t>
  </si>
  <si>
    <t xml:space="preserve">R$57.162.254,23</t>
  </si>
  <si>
    <t xml:space="preserve">10/10/2015</t>
  </si>
  <si>
    <t xml:space="preserve">R$28.649,13</t>
  </si>
  <si>
    <t xml:space="preserve">R$449,56</t>
  </si>
  <si>
    <t xml:space="preserve">R$25.583.870,58</t>
  </si>
  <si>
    <t xml:space="preserve">R$38.169.180,00</t>
  </si>
  <si>
    <t xml:space="preserve">R$57.750.315,28</t>
  </si>
  <si>
    <t xml:space="preserve">13/10/2015</t>
  </si>
  <si>
    <t xml:space="preserve">R$51.788,31</t>
  </si>
  <si>
    <t xml:space="preserve">R$912,39</t>
  </si>
  <si>
    <t xml:space="preserve">R$27.778.059,26</t>
  </si>
  <si>
    <t xml:space="preserve">R$20.345.405,50</t>
  </si>
  <si>
    <t xml:space="preserve">R$58.063.770,83</t>
  </si>
  <si>
    <t xml:space="preserve">15/10/2015</t>
  </si>
  <si>
    <t xml:space="preserve">R$56.298,89</t>
  </si>
  <si>
    <t xml:space="preserve">R$825,34</t>
  </si>
  <si>
    <t xml:space="preserve">R$32.652.357,92</t>
  </si>
  <si>
    <t xml:space="preserve">R$45.196.469,50</t>
  </si>
  <si>
    <t xml:space="preserve">R$58.760.099,22</t>
  </si>
  <si>
    <t xml:space="preserve">17/10/2015</t>
  </si>
  <si>
    <t xml:space="preserve">R$49.588,74</t>
  </si>
  <si>
    <t xml:space="preserve">R$874,88</t>
  </si>
  <si>
    <t xml:space="preserve">R$39.046.695,13</t>
  </si>
  <si>
    <t xml:space="preserve">R$59.290.882,00</t>
  </si>
  <si>
    <t xml:space="preserve">R$59.673.575,98</t>
  </si>
  <si>
    <t xml:space="preserve">21/10/2015</t>
  </si>
  <si>
    <t xml:space="preserve">R$47.335.685,52</t>
  </si>
  <si>
    <t xml:space="preserve">R$30.199,58</t>
  </si>
  <si>
    <t xml:space="preserve">R$719,92</t>
  </si>
  <si>
    <t xml:space="preserve">R$76.858.873,00</t>
  </si>
  <si>
    <t xml:space="preserve">R$60.857.717,48</t>
  </si>
  <si>
    <t xml:space="preserve">24/10/2015</t>
  </si>
  <si>
    <t xml:space="preserve">R$79.256,27</t>
  </si>
  <si>
    <t xml:space="preserve">R$1.272,17</t>
  </si>
  <si>
    <t xml:space="preserve">R$18.903.483,52</t>
  </si>
  <si>
    <t xml:space="preserve">R$29.782.637,50</t>
  </si>
  <si>
    <t xml:space="preserve">R$61.316.569,61</t>
  </si>
  <si>
    <t xml:space="preserve">28/10/2015</t>
  </si>
  <si>
    <t xml:space="preserve">R$23.130,69</t>
  </si>
  <si>
    <t xml:space="preserve">R$462,70</t>
  </si>
  <si>
    <t xml:space="preserve">R$24.144.408,92</t>
  </si>
  <si>
    <t xml:space="preserve">R$48.595.981,00</t>
  </si>
  <si>
    <t xml:space="preserve">R$62.065.273,25</t>
  </si>
  <si>
    <t xml:space="preserve">31/10/2015</t>
  </si>
  <si>
    <t xml:space="preserve">R$26.039,14</t>
  </si>
  <si>
    <t xml:space="preserve">R$483,47</t>
  </si>
  <si>
    <t xml:space="preserve">R$30.571.964,48</t>
  </si>
  <si>
    <t xml:space="preserve">R$59.598.896,00</t>
  </si>
  <si>
    <t xml:space="preserve">R$62.983.495,49</t>
  </si>
  <si>
    <t xml:space="preserve">04/11/2015</t>
  </si>
  <si>
    <t xml:space="preserve">R$11.158,23</t>
  </si>
  <si>
    <t xml:space="preserve">R$442,78</t>
  </si>
  <si>
    <t xml:space="preserve">R$36.964.453,62</t>
  </si>
  <si>
    <t xml:space="preserve">R$59.273.746,00</t>
  </si>
  <si>
    <t xml:space="preserve">R$63.896.708,23</t>
  </si>
  <si>
    <t xml:space="preserve">07/11/2015</t>
  </si>
  <si>
    <t xml:space="preserve">R$21.071,57</t>
  </si>
  <si>
    <t xml:space="preserve">R$501,70</t>
  </si>
  <si>
    <t xml:space="preserve">R$45.892.144,25</t>
  </si>
  <si>
    <t xml:space="preserve">R$82.781.160,00</t>
  </si>
  <si>
    <t xml:space="preserve">R$65.172.092,63</t>
  </si>
  <si>
    <t xml:space="preserve">10/11/2015</t>
  </si>
  <si>
    <t xml:space="preserve">R$50.966,89</t>
  </si>
  <si>
    <t xml:space="preserve">R$855,57</t>
  </si>
  <si>
    <t xml:space="preserve">R$73.559.490,68</t>
  </si>
  <si>
    <t xml:space="preserve">R$60.938.664,50</t>
  </si>
  <si>
    <t xml:space="preserve">R$66.110.956,27</t>
  </si>
  <si>
    <t xml:space="preserve">13/11/2015</t>
  </si>
  <si>
    <t xml:space="preserve">R$34.046,20</t>
  </si>
  <si>
    <t xml:space="preserve">R$86.479.127,04</t>
  </si>
  <si>
    <t xml:space="preserve">R$119.796.096,00</t>
  </si>
  <si>
    <t xml:space="preserve">R$110.000.000,00</t>
  </si>
  <si>
    <t xml:space="preserve">R$67.956.618,62</t>
  </si>
  <si>
    <t xml:space="preserve">14/11/2015</t>
  </si>
  <si>
    <t xml:space="preserve">R$55.056,18</t>
  </si>
  <si>
    <t xml:space="preserve">R$776,76</t>
  </si>
  <si>
    <t xml:space="preserve">R$104.328.919,97</t>
  </si>
  <si>
    <t xml:space="preserve">R$165.510.502,50</t>
  </si>
  <si>
    <t xml:space="preserve">R$130.000.000,00</t>
  </si>
  <si>
    <t xml:space="preserve">R$70.506.589,05</t>
  </si>
  <si>
    <t xml:space="preserve">18/11/2015</t>
  </si>
  <si>
    <t xml:space="preserve">R$63.520,19</t>
  </si>
  <si>
    <t xml:space="preserve">R$1.068,71</t>
  </si>
  <si>
    <t xml:space="preserve">R$129.954.301,54</t>
  </si>
  <si>
    <t xml:space="preserve">R$237.608.906,50</t>
  </si>
  <si>
    <t xml:space="preserve">R$74.167.357,86</t>
  </si>
  <si>
    <t xml:space="preserve">21/11/2015</t>
  </si>
  <si>
    <t xml:space="preserve">R$25.269,18</t>
  </si>
  <si>
    <t xml:space="preserve">R$575,95</t>
  </si>
  <si>
    <t xml:space="preserve">R$162.026.211,93</t>
  </si>
  <si>
    <t xml:space="preserve">R$297.383.730,00</t>
  </si>
  <si>
    <t xml:space="preserve">R$78.749.059,37</t>
  </si>
  <si>
    <t xml:space="preserve">25/11/2015</t>
  </si>
  <si>
    <t xml:space="preserve">R$205.329.753,89</t>
  </si>
  <si>
    <t xml:space="preserve">R$58.622,54</t>
  </si>
  <si>
    <t xml:space="preserve">R$992,09</t>
  </si>
  <si>
    <t xml:space="preserve">R$401.527.962,50</t>
  </si>
  <si>
    <t xml:space="preserve">R$100.000.000,00</t>
  </si>
  <si>
    <t xml:space="preserve">R$84.935.279,66</t>
  </si>
  <si>
    <t xml:space="preserve">28/11/2015</t>
  </si>
  <si>
    <t xml:space="preserve">R$28.048,25</t>
  </si>
  <si>
    <t xml:space="preserve">R$811,20</t>
  </si>
  <si>
    <t xml:space="preserve">R$92.385.569,00</t>
  </si>
  <si>
    <t xml:space="preserve">R$88.630.710,00</t>
  </si>
  <si>
    <t xml:space="preserve">R$86.300.786,31</t>
  </si>
  <si>
    <t xml:space="preserve">02/12/2015</t>
  </si>
  <si>
    <t xml:space="preserve">R$75.974,54</t>
  </si>
  <si>
    <t xml:space="preserve">R$1.071,87</t>
  </si>
  <si>
    <t xml:space="preserve">R$102.182.286,21</t>
  </si>
  <si>
    <t xml:space="preserve">R$90.839.126,00</t>
  </si>
  <si>
    <t xml:space="preserve">R$87.700.317,35</t>
  </si>
  <si>
    <t xml:space="preserve">05/12/2015</t>
  </si>
  <si>
    <t xml:space="preserve">R$65.866,39</t>
  </si>
  <si>
    <t xml:space="preserve">R$1.038,90</t>
  </si>
  <si>
    <t xml:space="preserve">R$112.374.242,31</t>
  </si>
  <si>
    <t xml:space="preserve">R$94.503.941,00</t>
  </si>
  <si>
    <t xml:space="preserve">R$125.000.000,00</t>
  </si>
  <si>
    <t xml:space="preserve">R$89.156.311,09</t>
  </si>
  <si>
    <t xml:space="preserve">09/12/2015</t>
  </si>
  <si>
    <t xml:space="preserve">R$35.476,07</t>
  </si>
  <si>
    <t xml:space="preserve">R$637,48</t>
  </si>
  <si>
    <t xml:space="preserve">R$122.568.943,34</t>
  </si>
  <si>
    <t xml:space="preserve">R$94.529.393,00</t>
  </si>
  <si>
    <t xml:space="preserve">R$90.612.696,97</t>
  </si>
  <si>
    <t xml:space="preserve">12/12/2015</t>
  </si>
  <si>
    <t xml:space="preserve">R$54.460,29</t>
  </si>
  <si>
    <t xml:space="preserve">R$1.049,73</t>
  </si>
  <si>
    <t xml:space="preserve">R$164.704.569,73</t>
  </si>
  <si>
    <t xml:space="preserve">R$97.673.341,50</t>
  </si>
  <si>
    <t xml:space="preserve">R$175.000.000,00</t>
  </si>
  <si>
    <t xml:space="preserve">R$92.117.520,71</t>
  </si>
  <si>
    <t xml:space="preserve">16/12/2015</t>
  </si>
  <si>
    <t xml:space="preserve">R$55.796,09</t>
  </si>
  <si>
    <t xml:space="preserve">R$989,49</t>
  </si>
  <si>
    <t xml:space="preserve">R$176.010.619,85</t>
  </si>
  <si>
    <t xml:space="preserve">R$104.834.271,50</t>
  </si>
  <si>
    <t xml:space="preserve">R$187.000.000,00</t>
  </si>
  <si>
    <t xml:space="preserve">R$93.732.670,74</t>
  </si>
  <si>
    <t xml:space="preserve">19/12/2015</t>
  </si>
  <si>
    <t xml:space="preserve">R$51.896,21</t>
  </si>
  <si>
    <t xml:space="preserve">R$882,75</t>
  </si>
  <si>
    <t xml:space="preserve">R$187.769.207,55</t>
  </si>
  <si>
    <t xml:space="preserve">R$109.030.383,00</t>
  </si>
  <si>
    <t xml:space="preserve">R$195.000.000,00</t>
  </si>
  <si>
    <t xml:space="preserve">R$95.412.469,00</t>
  </si>
  <si>
    <t xml:space="preserve">22/12/2015</t>
  </si>
  <si>
    <t xml:space="preserve">CAMPOS BELOS/GO; SANTOS/SP</t>
  </si>
  <si>
    <t xml:space="preserve">R$98.688.974,76</t>
  </si>
  <si>
    <t xml:space="preserve">R$21.377,77</t>
  </si>
  <si>
    <t xml:space="preserve">R$568,30</t>
  </si>
  <si>
    <t xml:space="preserve">R$89.096.143,50</t>
  </si>
  <si>
    <t xml:space="preserve">R$96.785.146,44</t>
  </si>
  <si>
    <t xml:space="preserve">24/12/2015</t>
  </si>
  <si>
    <t xml:space="preserve">R$55.113,48</t>
  </si>
  <si>
    <t xml:space="preserve">R$1.225,95</t>
  </si>
  <si>
    <t xml:space="preserve">R$3.654.894,04</t>
  </si>
  <si>
    <t xml:space="preserve">R$33.889.656,50</t>
  </si>
  <si>
    <t xml:space="preserve">R$97.307.274,17</t>
  </si>
  <si>
    <t xml:space="preserve">26/12/2015</t>
  </si>
  <si>
    <t xml:space="preserve">R$35.035,75</t>
  </si>
  <si>
    <t xml:space="preserve">R$684,11</t>
  </si>
  <si>
    <t xml:space="preserve">R$128.027.188,92</t>
  </si>
  <si>
    <t xml:space="preserve">R$22.142.158,50</t>
  </si>
  <si>
    <t xml:space="preserve">R$280.000.000,00</t>
  </si>
  <si>
    <t xml:space="preserve">31/12/2015</t>
  </si>
  <si>
    <t xml:space="preserve">Água Branca/AL; Cerquilho/ES; Guaçuí/ES; Vila Velha/ES; Vitória/ES</t>
  </si>
  <si>
    <t xml:space="preserve">R$41.088.919,05</t>
  </si>
  <si>
    <t xml:space="preserve">R$43.913,49</t>
  </si>
  <si>
    <t xml:space="preserve">R$826,55</t>
  </si>
  <si>
    <t xml:space="preserve">R$620.312.112,00</t>
  </si>
  <si>
    <t xml:space="preserve">02/01/2016</t>
  </si>
  <si>
    <t xml:space="preserve">R$27.190,70</t>
  </si>
  <si>
    <t xml:space="preserve">R$628,30</t>
  </si>
  <si>
    <t xml:space="preserve">R$851.498,25</t>
  </si>
  <si>
    <t xml:space="preserve">R$7.895.436,50</t>
  </si>
  <si>
    <t xml:space="preserve">R$121.642,63</t>
  </si>
  <si>
    <t xml:space="preserve">06/01/2016</t>
  </si>
  <si>
    <t xml:space="preserve">R$28.129,17</t>
  </si>
  <si>
    <t xml:space="preserve">R$715,10</t>
  </si>
  <si>
    <t xml:space="preserve">R$4.064.145,66</t>
  </si>
  <si>
    <t xml:space="preserve">R$30.249.282,00</t>
  </si>
  <si>
    <t xml:space="preserve">R$580.592,28</t>
  </si>
  <si>
    <t xml:space="preserve">09/01/2016</t>
  </si>
  <si>
    <t xml:space="preserve">R$56.503,91</t>
  </si>
  <si>
    <t xml:space="preserve">R$863,93</t>
  </si>
  <si>
    <t xml:space="preserve">R$7.915.332,73</t>
  </si>
  <si>
    <t xml:space="preserve">R$36.261.571,50</t>
  </si>
  <si>
    <t xml:space="preserve">R$1.130.761,88</t>
  </si>
  <si>
    <t xml:space="preserve">12/01/2016</t>
  </si>
  <si>
    <t xml:space="preserve">R$44.777,18</t>
  </si>
  <si>
    <t xml:space="preserve">R$887,61</t>
  </si>
  <si>
    <t xml:space="preserve">R$16.920.630,96</t>
  </si>
  <si>
    <t xml:space="preserve">R$23.299.384,50</t>
  </si>
  <si>
    <t xml:space="preserve">R$1.484.265,96</t>
  </si>
  <si>
    <t xml:space="preserve">14/01/2016</t>
  </si>
  <si>
    <t xml:space="preserve">R$70.266,06</t>
  </si>
  <si>
    <t xml:space="preserve">R$972,98</t>
  </si>
  <si>
    <t xml:space="preserve">R$20.803.755,49</t>
  </si>
  <si>
    <t xml:space="preserve">R$36.562.284,50</t>
  </si>
  <si>
    <t xml:space="preserve">R$2.038.998,04</t>
  </si>
  <si>
    <t xml:space="preserve">16/01/2016</t>
  </si>
  <si>
    <t xml:space="preserve">MANAUS/AM; PRATA/MG</t>
  </si>
  <si>
    <t xml:space="preserve">R$12.626.122,54</t>
  </si>
  <si>
    <t xml:space="preserve">R$44.720,27</t>
  </si>
  <si>
    <t xml:space="preserve">R$875,37</t>
  </si>
  <si>
    <t xml:space="preserve">R$41.885.585,00</t>
  </si>
  <si>
    <t xml:space="preserve">R$2.674.496,57</t>
  </si>
  <si>
    <t xml:space="preserve">20/01/2016</t>
  </si>
  <si>
    <t xml:space="preserve">R$13.771,92</t>
  </si>
  <si>
    <t xml:space="preserve">R$630,94</t>
  </si>
  <si>
    <t xml:space="preserve">R$2.790.624,67</t>
  </si>
  <si>
    <t xml:space="preserve">R$26.275.648,00</t>
  </si>
  <si>
    <t xml:space="preserve">R$3.073.157,25</t>
  </si>
  <si>
    <t xml:space="preserve">23/01/2016</t>
  </si>
  <si>
    <t xml:space="preserve">R$29.033,90</t>
  </si>
  <si>
    <t xml:space="preserve">R$568,75</t>
  </si>
  <si>
    <t xml:space="preserve">R$6.374.019,75</t>
  </si>
  <si>
    <t xml:space="preserve">R$33.740.126,00</t>
  </si>
  <si>
    <t xml:space="preserve">R$3.585.070,85</t>
  </si>
  <si>
    <t xml:space="preserve">27/01/2016</t>
  </si>
  <si>
    <t xml:space="preserve">R$60.305,07</t>
  </si>
  <si>
    <t xml:space="preserve">R$951,93</t>
  </si>
  <si>
    <t xml:space="preserve">R$21.406.847,55</t>
  </si>
  <si>
    <t xml:space="preserve">R$33.471.119,50</t>
  </si>
  <si>
    <t xml:space="preserve">R$4.092.903,00</t>
  </si>
  <si>
    <t xml:space="preserve">30/01/2016</t>
  </si>
  <si>
    <t xml:space="preserve">R$29.194,90</t>
  </si>
  <si>
    <t xml:space="preserve">R$592,09</t>
  </si>
  <si>
    <t xml:space="preserve">R$26.300.833,65</t>
  </si>
  <si>
    <t xml:space="preserve">R$46.080.240,50</t>
  </si>
  <si>
    <t xml:space="preserve">R$4.792.043,88</t>
  </si>
  <si>
    <t xml:space="preserve">02/02/2016</t>
  </si>
  <si>
    <t xml:space="preserve">R$22.419,77</t>
  </si>
  <si>
    <t xml:space="preserve">R$480,58</t>
  </si>
  <si>
    <t xml:space="preserve">R$29.439.600,20</t>
  </si>
  <si>
    <t xml:space="preserve">R$29.553.643,00</t>
  </si>
  <si>
    <t xml:space="preserve">R$5.240.439,12</t>
  </si>
  <si>
    <t xml:space="preserve">04/02/2016</t>
  </si>
  <si>
    <t xml:space="preserve">JUNDIAÍ/SP; SÃO CAETANO DO SUL/SP</t>
  </si>
  <si>
    <t xml:space="preserve">R$17.008.680,52</t>
  </si>
  <si>
    <t xml:space="preserve">R$14.880,66</t>
  </si>
  <si>
    <t xml:space="preserve">R$399,02</t>
  </si>
  <si>
    <t xml:space="preserve">R$43.102.762,50</t>
  </si>
  <si>
    <t xml:space="preserve">R$5.894.404,97</t>
  </si>
  <si>
    <t xml:space="preserve">06/02/2016</t>
  </si>
  <si>
    <t xml:space="preserve">R$35.064,86</t>
  </si>
  <si>
    <t xml:space="preserve">R$585,46</t>
  </si>
  <si>
    <t xml:space="preserve">R$2.648.319,80</t>
  </si>
  <si>
    <t xml:space="preserve">R$24.935.750,00</t>
  </si>
  <si>
    <t xml:space="preserve">R$6.272.736,38</t>
  </si>
  <si>
    <t xml:space="preserve">10/02/2016</t>
  </si>
  <si>
    <t xml:space="preserve">R$55.476,51</t>
  </si>
  <si>
    <t xml:space="preserve">R$805,61</t>
  </si>
  <si>
    <t xml:space="preserve">R$14.902.458,79</t>
  </si>
  <si>
    <t xml:space="preserve">R$15.395.562,00</t>
  </si>
  <si>
    <t xml:space="preserve">R$6.506.321,70</t>
  </si>
  <si>
    <t xml:space="preserve">13/02/2016</t>
  </si>
  <si>
    <t xml:space="preserve">R$34.557,38</t>
  </si>
  <si>
    <t xml:space="preserve">R$626,67</t>
  </si>
  <si>
    <t xml:space="preserve">R$19.485.858,98</t>
  </si>
  <si>
    <t xml:space="preserve">R$43.155.861,00</t>
  </si>
  <si>
    <t xml:space="preserve">R$7.161.093,17</t>
  </si>
  <si>
    <t xml:space="preserve">17/02/2016</t>
  </si>
  <si>
    <t xml:space="preserve">R$71.567,53</t>
  </si>
  <si>
    <t xml:space="preserve">R$993,95</t>
  </si>
  <si>
    <t xml:space="preserve">R$24.231.916,09</t>
  </si>
  <si>
    <t xml:space="preserve">R$44.687.387,50</t>
  </si>
  <si>
    <t xml:space="preserve">R$7.839.101,36</t>
  </si>
  <si>
    <t xml:space="preserve">20/02/2016</t>
  </si>
  <si>
    <t xml:space="preserve">R$34.568,92</t>
  </si>
  <si>
    <t xml:space="preserve">R$636,68</t>
  </si>
  <si>
    <t xml:space="preserve">R$29.644.681,07</t>
  </si>
  <si>
    <t xml:space="preserve">R$50.964.900,00</t>
  </si>
  <si>
    <t xml:space="preserve">R$8.612.353,52</t>
  </si>
  <si>
    <t xml:space="preserve">24/02/2016</t>
  </si>
  <si>
    <t xml:space="preserve">IPUIUNA/MG</t>
  </si>
  <si>
    <t xml:space="preserve">R$35.196.529,96</t>
  </si>
  <si>
    <t xml:space="preserve">R$37.673,26</t>
  </si>
  <si>
    <t xml:space="preserve">R$834,72</t>
  </si>
  <si>
    <t xml:space="preserve">R$52.274.470,50</t>
  </si>
  <si>
    <t xml:space="preserve">R$9.405.474,81</t>
  </si>
  <si>
    <t xml:space="preserve">27/02/2016</t>
  </si>
  <si>
    <t xml:space="preserve">R$2.942.618,04</t>
  </si>
  <si>
    <t xml:space="preserve">R$24.959,71</t>
  </si>
  <si>
    <t xml:space="preserve">R$639,58</t>
  </si>
  <si>
    <t xml:space="preserve">R$27.706.770,00</t>
  </si>
  <si>
    <t xml:space="preserve">R$9.825.848,83</t>
  </si>
  <si>
    <t xml:space="preserve">02/03/2016</t>
  </si>
  <si>
    <t xml:space="preserve">R$45.797,11</t>
  </si>
  <si>
    <t xml:space="preserve">R$1.232,00</t>
  </si>
  <si>
    <t xml:space="preserve">R$18.655.346,92</t>
  </si>
  <si>
    <t xml:space="preserve">R$38.128.146,00</t>
  </si>
  <si>
    <t xml:space="preserve">R$10.404.338,57</t>
  </si>
  <si>
    <t xml:space="preserve">05/03/2016</t>
  </si>
  <si>
    <t xml:space="preserve">R$23.818.040,93</t>
  </si>
  <si>
    <t xml:space="preserve">R$58.387,61</t>
  </si>
  <si>
    <t xml:space="preserve">R$837,07</t>
  </si>
  <si>
    <t xml:space="preserve">R$48.610.310,00</t>
  </si>
  <si>
    <t xml:space="preserve">R$11.141.866,30</t>
  </si>
  <si>
    <t xml:space="preserve">08/03/2016</t>
  </si>
  <si>
    <t xml:space="preserve">R$27.759,94</t>
  </si>
  <si>
    <t xml:space="preserve">R$504,38</t>
  </si>
  <si>
    <t xml:space="preserve">R$1.636.375,41</t>
  </si>
  <si>
    <t xml:space="preserve">R$15.407.598,50</t>
  </si>
  <si>
    <t xml:space="preserve">R$11.375.634,23</t>
  </si>
  <si>
    <t xml:space="preserve">10/03/2016</t>
  </si>
  <si>
    <t xml:space="preserve">R$15.418,93</t>
  </si>
  <si>
    <t xml:space="preserve">R$449,21</t>
  </si>
  <si>
    <t xml:space="preserve">R$4.135.864,44</t>
  </si>
  <si>
    <t xml:space="preserve">R$23.534.406,00</t>
  </si>
  <si>
    <t xml:space="preserve">R$11.732.704,11</t>
  </si>
  <si>
    <t xml:space="preserve">12/03/2016</t>
  </si>
  <si>
    <t xml:space="preserve">R$43.908,54</t>
  </si>
  <si>
    <t xml:space="preserve">R$788,63</t>
  </si>
  <si>
    <t xml:space="preserve">R$17.663.326,20</t>
  </si>
  <si>
    <t xml:space="preserve">R$29.701.612,50</t>
  </si>
  <si>
    <t xml:space="preserve">R$12.183.344,37</t>
  </si>
  <si>
    <t xml:space="preserve">16/03/2016</t>
  </si>
  <si>
    <t xml:space="preserve">R$22.054.205,88</t>
  </si>
  <si>
    <t xml:space="preserve">R$24.829,38</t>
  </si>
  <si>
    <t xml:space="preserve">R$596,35</t>
  </si>
  <si>
    <t xml:space="preserve">R$41.343.148,00</t>
  </si>
  <si>
    <t xml:space="preserve">R$12.810.612,92</t>
  </si>
  <si>
    <t xml:space="preserve">19/03/2016</t>
  </si>
  <si>
    <t xml:space="preserve">R$19.244,71</t>
  </si>
  <si>
    <t xml:space="preserve">R$690,46</t>
  </si>
  <si>
    <t xml:space="preserve">R$2.906.964,51</t>
  </si>
  <si>
    <t xml:space="preserve">R$27.371.067,50</t>
  </si>
  <si>
    <t xml:space="preserve">R$13.225.893,58</t>
  </si>
  <si>
    <t xml:space="preserve">23/03/2016</t>
  </si>
  <si>
    <t xml:space="preserve">R$17.256,89</t>
  </si>
  <si>
    <t xml:space="preserve">R$391,81</t>
  </si>
  <si>
    <t xml:space="preserve">R$6.054.076,93</t>
  </si>
  <si>
    <t xml:space="preserve">R$29.632.225,00</t>
  </si>
  <si>
    <t xml:space="preserve">R$13.675.481,08</t>
  </si>
  <si>
    <t xml:space="preserve">26/03/2016</t>
  </si>
  <si>
    <t xml:space="preserve">R$46.830,05</t>
  </si>
  <si>
    <t xml:space="preserve">R$886,59</t>
  </si>
  <si>
    <t xml:space="preserve">R$9.073.383,05</t>
  </si>
  <si>
    <t xml:space="preserve">R$28.428.841,00</t>
  </si>
  <si>
    <t xml:space="preserve">R$14.106.810,53</t>
  </si>
  <si>
    <t xml:space="preserve">30/03/2016</t>
  </si>
  <si>
    <t xml:space="preserve">R$86.611,40</t>
  </si>
  <si>
    <t xml:space="preserve">R$1.362,93</t>
  </si>
  <si>
    <t xml:space="preserve">R$23.512.820,15</t>
  </si>
  <si>
    <t xml:space="preserve">R$34.551.692,00</t>
  </si>
  <si>
    <t xml:space="preserve">R$14.631.037,41</t>
  </si>
  <si>
    <t xml:space="preserve">02/04/2016</t>
  </si>
  <si>
    <t xml:space="preserve">R$52.834,14</t>
  </si>
  <si>
    <t xml:space="preserve">R$852,39</t>
  </si>
  <si>
    <t xml:space="preserve">R$28.671.099,98</t>
  </si>
  <si>
    <t xml:space="preserve">R$48.568.747,50</t>
  </si>
  <si>
    <t xml:space="preserve">R$15.367.934,54</t>
  </si>
  <si>
    <t xml:space="preserve">06/04/2016</t>
  </si>
  <si>
    <t xml:space="preserve">R$37.310,94</t>
  </si>
  <si>
    <t xml:space="preserve">R$908,24</t>
  </si>
  <si>
    <t xml:space="preserve">R$34.581.937,55</t>
  </si>
  <si>
    <t xml:space="preserve">R$55.654.595,50</t>
  </si>
  <si>
    <t xml:space="preserve">R$16.212.339,92</t>
  </si>
  <si>
    <t xml:space="preserve">09/04/2016</t>
  </si>
  <si>
    <t xml:space="preserve">R$41.428,63</t>
  </si>
  <si>
    <t xml:space="preserve">R$731,14</t>
  </si>
  <si>
    <t xml:space="preserve">R$41.755.631,70</t>
  </si>
  <si>
    <t xml:space="preserve">R$67.545.257,50</t>
  </si>
  <si>
    <t xml:space="preserve">R$17.237.153,39</t>
  </si>
  <si>
    <t xml:space="preserve">13/04/2016</t>
  </si>
  <si>
    <t xml:space="preserve">R$31.327,32</t>
  </si>
  <si>
    <t xml:space="preserve">R$685,29</t>
  </si>
  <si>
    <t xml:space="preserve">R$49.892.491,27</t>
  </si>
  <si>
    <t xml:space="preserve">R$76.614.121,50</t>
  </si>
  <si>
    <t xml:space="preserve">R$18.399.561,91</t>
  </si>
  <si>
    <t xml:space="preserve">16/04/2016</t>
  </si>
  <si>
    <t xml:space="preserve">R$26.361,78</t>
  </si>
  <si>
    <t xml:space="preserve">R$516,63</t>
  </si>
  <si>
    <t xml:space="preserve">R$81.342.042,56</t>
  </si>
  <si>
    <t xml:space="preserve">R$85.960.518,00</t>
  </si>
  <si>
    <t xml:space="preserve">R$90.000.000,00</t>
  </si>
  <si>
    <t xml:space="preserve">R$19.703.776,29</t>
  </si>
  <si>
    <t xml:space="preserve">20/04/2016</t>
  </si>
  <si>
    <t xml:space="preserve">CABROBÓ/PE</t>
  </si>
  <si>
    <t xml:space="preserve">R$92.303.225,84</t>
  </si>
  <si>
    <t xml:space="preserve">R$22.369,76</t>
  </si>
  <si>
    <t xml:space="preserve">R$593,44</t>
  </si>
  <si>
    <t xml:space="preserve">R$103.207.069,00</t>
  </si>
  <si>
    <t xml:space="preserve">R$21.269.659,63</t>
  </si>
  <si>
    <t xml:space="preserve">23/04/2016</t>
  </si>
  <si>
    <t xml:space="preserve">R$17.291,66</t>
  </si>
  <si>
    <t xml:space="preserve">R$470,08</t>
  </si>
  <si>
    <t xml:space="preserve">R$2.611.949,97</t>
  </si>
  <si>
    <t xml:space="preserve">R$24.593.303,00</t>
  </si>
  <si>
    <t xml:space="preserve">R$21.642.795,35</t>
  </si>
  <si>
    <t xml:space="preserve">27/04/2016</t>
  </si>
  <si>
    <t xml:space="preserve">R$39.907,56</t>
  </si>
  <si>
    <t xml:space="preserve">R$823,74</t>
  </si>
  <si>
    <t xml:space="preserve">R$5.773.048,72</t>
  </si>
  <si>
    <t xml:space="preserve">R$29.763.916,00</t>
  </si>
  <si>
    <t xml:space="preserve">R$22.094.380,90</t>
  </si>
  <si>
    <t xml:space="preserve">30/04/2016</t>
  </si>
  <si>
    <t xml:space="preserve">R$10.804,08</t>
  </si>
  <si>
    <t xml:space="preserve">R$345,15</t>
  </si>
  <si>
    <t xml:space="preserve">R$9.932.617,01</t>
  </si>
  <si>
    <t xml:space="preserve">R$39.165.192,50</t>
  </si>
  <si>
    <t xml:space="preserve">R$22.688.604,95</t>
  </si>
  <si>
    <t xml:space="preserve">03/05/2016</t>
  </si>
  <si>
    <t xml:space="preserve">R$30.125,16</t>
  </si>
  <si>
    <t xml:space="preserve">R$631,97</t>
  </si>
  <si>
    <t xml:space="preserve">R$27.675.011,61</t>
  </si>
  <si>
    <t xml:space="preserve">R$26.648.079,50</t>
  </si>
  <si>
    <t xml:space="preserve">R$31.500.000,00</t>
  </si>
  <si>
    <t xml:space="preserve">R$23.092.916,26</t>
  </si>
  <si>
    <t xml:space="preserve">05/05/2016</t>
  </si>
  <si>
    <t xml:space="preserve">CUIABÁ/MT; BELÉM/PA; SANTO ANDRÉ/SP</t>
  </si>
  <si>
    <t xml:space="preserve">R$10.829.320,16</t>
  </si>
  <si>
    <t xml:space="preserve">R$31.104,09</t>
  </si>
  <si>
    <t xml:space="preserve">R$819,78</t>
  </si>
  <si>
    <t xml:space="preserve">R$45.317.219,50</t>
  </si>
  <si>
    <t xml:space="preserve">R$23.780.480,40</t>
  </si>
  <si>
    <t xml:space="preserve">07/05/2016</t>
  </si>
  <si>
    <t xml:space="preserve">R$14.062,28</t>
  </si>
  <si>
    <t xml:space="preserve">R$369,75</t>
  </si>
  <si>
    <t xml:space="preserve">R$2.901.270,13</t>
  </si>
  <si>
    <t xml:space="preserve">R$27.317.451,00</t>
  </si>
  <si>
    <t xml:space="preserve">R$24.194.947,58</t>
  </si>
  <si>
    <t xml:space="preserve">11/05/2016</t>
  </si>
  <si>
    <t xml:space="preserve">R$37.500,89</t>
  </si>
  <si>
    <t xml:space="preserve">R$725,15</t>
  </si>
  <si>
    <t xml:space="preserve">R$6.286.219,10</t>
  </si>
  <si>
    <t xml:space="preserve">R$31.871.619,50</t>
  </si>
  <si>
    <t xml:space="preserve">R$24.678.511,74</t>
  </si>
  <si>
    <t xml:space="preserve">14/05/2016</t>
  </si>
  <si>
    <t xml:space="preserve">R$23.523,73</t>
  </si>
  <si>
    <t xml:space="preserve">R$515,06</t>
  </si>
  <si>
    <t xml:space="preserve">R$10.532.870,63</t>
  </si>
  <si>
    <t xml:space="preserve">R$39.985.141,00</t>
  </si>
  <si>
    <t xml:space="preserve">R$25.285.176,26</t>
  </si>
  <si>
    <t xml:space="preserve">18/05/2016</t>
  </si>
  <si>
    <t xml:space="preserve">R$80.841,77</t>
  </si>
  <si>
    <t xml:space="preserve">R$846,68</t>
  </si>
  <si>
    <t xml:space="preserve">R$27.454.572,98</t>
  </si>
  <si>
    <t xml:space="preserve">R$42.065.250,50</t>
  </si>
  <si>
    <t xml:space="preserve">R$25.923.400,72</t>
  </si>
  <si>
    <t xml:space="preserve">21/05/2016</t>
  </si>
  <si>
    <t xml:space="preserve">R$17.522,94</t>
  </si>
  <si>
    <t xml:space="preserve">R$488,15</t>
  </si>
  <si>
    <t xml:space="preserve">R$33.329.366,70</t>
  </si>
  <si>
    <t xml:space="preserve">R$55.315.218,00</t>
  </si>
  <si>
    <t xml:space="preserve">R$26.762.656,99</t>
  </si>
  <si>
    <t xml:space="preserve">25/05/2016</t>
  </si>
  <si>
    <t xml:space="preserve">SALVADOR/BA; BELÉM/PA</t>
  </si>
  <si>
    <t xml:space="preserve">R$19.896.531,79</t>
  </si>
  <si>
    <t xml:space="preserve">R$41.772,19</t>
  </si>
  <si>
    <t xml:space="preserve">R$815,73</t>
  </si>
  <si>
    <t xml:space="preserve">R$60.860.145,50</t>
  </si>
  <si>
    <t xml:space="preserve">R$27.686.042,28</t>
  </si>
  <si>
    <t xml:space="preserve">28/05/2016</t>
  </si>
  <si>
    <t xml:space="preserve">R$61.876,99</t>
  </si>
  <si>
    <t xml:space="preserve">R$1.078,56</t>
  </si>
  <si>
    <t xml:space="preserve">R$2.621.630,30</t>
  </si>
  <si>
    <t xml:space="preserve">R$24.684.450,00</t>
  </si>
  <si>
    <t xml:space="preserve">R$28.060.560,90</t>
  </si>
  <si>
    <t xml:space="preserve">01/06/2016</t>
  </si>
  <si>
    <t xml:space="preserve">R$25.579,78</t>
  </si>
  <si>
    <t xml:space="preserve">R$622,37</t>
  </si>
  <si>
    <t xml:space="preserve">R$5.920.075,17</t>
  </si>
  <si>
    <t xml:space="preserve">R$31.057.124,00</t>
  </si>
  <si>
    <t xml:space="preserve">R$28.531.767,32</t>
  </si>
  <si>
    <t xml:space="preserve">04/06/2016</t>
  </si>
  <si>
    <t xml:space="preserve">R$14.170,67</t>
  </si>
  <si>
    <t xml:space="preserve">R$387,97</t>
  </si>
  <si>
    <t xml:space="preserve">R$24.071.272,35</t>
  </si>
  <si>
    <t xml:space="preserve">R$38.588.368,00</t>
  </si>
  <si>
    <t xml:space="preserve">R$28.500.000,00</t>
  </si>
  <si>
    <t xml:space="preserve">R$29.117.239,65</t>
  </si>
  <si>
    <t xml:space="preserve">07/06/2016</t>
  </si>
  <si>
    <t xml:space="preserve">R$27.333.858,49</t>
  </si>
  <si>
    <t xml:space="preserve">R$43.198,01</t>
  </si>
  <si>
    <t xml:space="preserve">R$796,65</t>
  </si>
  <si>
    <t xml:space="preserve">R$30.719.489,50</t>
  </si>
  <si>
    <t xml:space="preserve">R$2.200.000,00</t>
  </si>
  <si>
    <t xml:space="preserve">R$29.583.323,40</t>
  </si>
  <si>
    <t xml:space="preserve">09/06/2016</t>
  </si>
  <si>
    <t xml:space="preserve">R$32.630,91</t>
  </si>
  <si>
    <t xml:space="preserve">R$790,73</t>
  </si>
  <si>
    <t xml:space="preserve">R$2.524.601,69</t>
  </si>
  <si>
    <t xml:space="preserve">R$23.770.859,00</t>
  </si>
  <si>
    <t xml:space="preserve">R$29.943.980,80</t>
  </si>
  <si>
    <t xml:space="preserve">11/06/2016</t>
  </si>
  <si>
    <t xml:space="preserve">R$34.950,81</t>
  </si>
  <si>
    <t xml:space="preserve">R$883,35</t>
  </si>
  <si>
    <t xml:space="preserve">R$5.357.456,36</t>
  </si>
  <si>
    <t xml:space="preserve">R$26.673.272,50</t>
  </si>
  <si>
    <t xml:space="preserve">R$30.348.674,34</t>
  </si>
  <si>
    <t xml:space="preserve">15/06/2016</t>
  </si>
  <si>
    <t xml:space="preserve">R$52.197,16</t>
  </si>
  <si>
    <t xml:space="preserve">R$1.072,91</t>
  </si>
  <si>
    <t xml:space="preserve">R$8.818.952,53</t>
  </si>
  <si>
    <t xml:space="preserve">R$32.592.364,00</t>
  </si>
  <si>
    <t xml:space="preserve">R$30.843.173,81</t>
  </si>
  <si>
    <t xml:space="preserve">18/06/2016</t>
  </si>
  <si>
    <t xml:space="preserve">R$21.224,08</t>
  </si>
  <si>
    <t xml:space="preserve">R$22.971.302,58</t>
  </si>
  <si>
    <t xml:space="preserve">R$37.916.872,00</t>
  </si>
  <si>
    <t xml:space="preserve">R$31.418.458,03</t>
  </si>
  <si>
    <t xml:space="preserve">22/06/2016</t>
  </si>
  <si>
    <t xml:space="preserve">R$27.488.182,36</t>
  </si>
  <si>
    <t xml:space="preserve">R$24.520,21</t>
  </si>
  <si>
    <t xml:space="preserve">R$527,54</t>
  </si>
  <si>
    <t xml:space="preserve">R$42.529.525,50</t>
  </si>
  <si>
    <t xml:space="preserve">R$32.063.726,57</t>
  </si>
  <si>
    <t xml:space="preserve">25/06/2016</t>
  </si>
  <si>
    <t xml:space="preserve">ITABORAI/RJ</t>
  </si>
  <si>
    <t xml:space="preserve">R$2.615.804,34</t>
  </si>
  <si>
    <t xml:space="preserve">R$20.000,12</t>
  </si>
  <si>
    <t xml:space="preserve">R$640,33</t>
  </si>
  <si>
    <t xml:space="preserve">R$24.629.594,50</t>
  </si>
  <si>
    <t xml:space="preserve">R$32.437.412,92</t>
  </si>
  <si>
    <t xml:space="preserve">29/06/2016</t>
  </si>
  <si>
    <t xml:space="preserve">R$41.849,62</t>
  </si>
  <si>
    <t xml:space="preserve">R$1.037,70</t>
  </si>
  <si>
    <t xml:space="preserve">R$2.389.833,83</t>
  </si>
  <si>
    <t xml:space="preserve">R$22.501.927,00</t>
  </si>
  <si>
    <t xml:space="preserve">R$32.778.817,76</t>
  </si>
  <si>
    <t xml:space="preserve">02/07/2016</t>
  </si>
  <si>
    <t xml:space="preserve">R$16.702,91</t>
  </si>
  <si>
    <t xml:space="preserve">R$361,53</t>
  </si>
  <si>
    <t xml:space="preserve">R$5.620.528,25</t>
  </si>
  <si>
    <t xml:space="preserve">R$30.419.207,00</t>
  </si>
  <si>
    <t xml:space="preserve">R$33.240.345,55</t>
  </si>
  <si>
    <t xml:space="preserve">06/07/2016</t>
  </si>
  <si>
    <t xml:space="preserve">CAPITÓLIO/MG</t>
  </si>
  <si>
    <t xml:space="preserve">R$9.144.980,42</t>
  </si>
  <si>
    <t xml:space="preserve">R$19.132,74</t>
  </si>
  <si>
    <t xml:space="preserve">R$532,58</t>
  </si>
  <si>
    <t xml:space="preserve">R$33.185.138,00</t>
  </si>
  <si>
    <t xml:space="preserve">R$33.743.838,73</t>
  </si>
  <si>
    <t xml:space="preserve">09/07/2016</t>
  </si>
  <si>
    <t xml:space="preserve">R$49.808,69</t>
  </si>
  <si>
    <t xml:space="preserve">R$931,17</t>
  </si>
  <si>
    <t xml:space="preserve">R$13.993.542,04</t>
  </si>
  <si>
    <t xml:space="preserve">R$35.420.563,50</t>
  </si>
  <si>
    <t xml:space="preserve">R$34.281.248,36</t>
  </si>
  <si>
    <t xml:space="preserve">12/07/2016</t>
  </si>
  <si>
    <t xml:space="preserve">R$34.131,37</t>
  </si>
  <si>
    <t xml:space="preserve">R$760,82</t>
  </si>
  <si>
    <t xml:space="preserve">R$16.885.726,58</t>
  </si>
  <si>
    <t xml:space="preserve">R$27.231.904,00</t>
  </si>
  <si>
    <t xml:space="preserve">R$34.694.417,59</t>
  </si>
  <si>
    <t xml:space="preserve">14/07/2016</t>
  </si>
  <si>
    <t xml:space="preserve">R$66.740,59</t>
  </si>
  <si>
    <t xml:space="preserve">R$1.300,51</t>
  </si>
  <si>
    <t xml:space="preserve">R$20.819.909,09</t>
  </si>
  <si>
    <t xml:space="preserve">R$37.043.030,50</t>
  </si>
  <si>
    <t xml:space="preserve">R$35.256.443,67</t>
  </si>
  <si>
    <t xml:space="preserve">16/07/2016</t>
  </si>
  <si>
    <t xml:space="preserve">R$25.207.139,21</t>
  </si>
  <si>
    <t xml:space="preserve">R$20.709,91</t>
  </si>
  <si>
    <t xml:space="preserve">R$642,80</t>
  </si>
  <si>
    <t xml:space="preserve">R$41.308.785,00</t>
  </si>
  <si>
    <t xml:space="preserve">R$35.883.190,85</t>
  </si>
  <si>
    <t xml:space="preserve">20/07/2016</t>
  </si>
  <si>
    <t xml:space="preserve">R$46.444,42</t>
  </si>
  <si>
    <t xml:space="preserve">R$678,64</t>
  </si>
  <si>
    <t xml:space="preserve">R$13.593.147,19</t>
  </si>
  <si>
    <t xml:space="preserve">R$24.166.919,00</t>
  </si>
  <si>
    <t xml:space="preserve">R$36.249.857,37</t>
  </si>
  <si>
    <t xml:space="preserve">23/07/2016</t>
  </si>
  <si>
    <t xml:space="preserve">R$38.676,34</t>
  </si>
  <si>
    <t xml:space="preserve">R$668,14</t>
  </si>
  <si>
    <t xml:space="preserve">R$17.796.654,66</t>
  </si>
  <si>
    <t xml:space="preserve">R$39.578.910,00</t>
  </si>
  <si>
    <t xml:space="preserve">R$22.500.000,00</t>
  </si>
  <si>
    <t xml:space="preserve">R$36.850.358,45</t>
  </si>
  <si>
    <t xml:space="preserve">27/07/2016</t>
  </si>
  <si>
    <t xml:space="preserve">R$31.142,44</t>
  </si>
  <si>
    <t xml:space="preserve">R$584,05</t>
  </si>
  <si>
    <t xml:space="preserve">R$22.443.433,51</t>
  </si>
  <si>
    <t xml:space="preserve">R$43.752.614,50</t>
  </si>
  <si>
    <t xml:space="preserve">R$37.514.184,01</t>
  </si>
  <si>
    <t xml:space="preserve">30/07/2016</t>
  </si>
  <si>
    <t xml:space="preserve">ALEGRETE/RS</t>
  </si>
  <si>
    <t xml:space="preserve">R$27.801.637,78</t>
  </si>
  <si>
    <t xml:space="preserve">R$29.087,40</t>
  </si>
  <si>
    <t xml:space="preserve">R$618,17</t>
  </si>
  <si>
    <t xml:space="preserve">R$50.451.173,50</t>
  </si>
  <si>
    <t xml:space="preserve">R$38.279.641,78</t>
  </si>
  <si>
    <t xml:space="preserve">03/08/2016</t>
  </si>
  <si>
    <t xml:space="preserve">LAGARTO/SE</t>
  </si>
  <si>
    <t xml:space="preserve">R$2.685.394,05</t>
  </si>
  <si>
    <t xml:space="preserve">R$28.584,03</t>
  </si>
  <si>
    <t xml:space="preserve">R$683,70</t>
  </si>
  <si>
    <t xml:space="preserve">R$25.284.829,50</t>
  </si>
  <si>
    <t xml:space="preserve">R$38.663.269,52</t>
  </si>
  <si>
    <t xml:space="preserve">06/08/2016</t>
  </si>
  <si>
    <t xml:space="preserve">R$73.375,18</t>
  </si>
  <si>
    <t xml:space="preserve">R$1.037,83</t>
  </si>
  <si>
    <t xml:space="preserve">R$15.241.649,60</t>
  </si>
  <si>
    <t xml:space="preserve">R$26.726.059,50</t>
  </si>
  <si>
    <t xml:space="preserve">R$39.068.763,96</t>
  </si>
  <si>
    <t xml:space="preserve">09/08/2016</t>
  </si>
  <si>
    <t xml:space="preserve">R$19.728,10</t>
  </si>
  <si>
    <t xml:space="preserve">R$490,19</t>
  </si>
  <si>
    <t xml:space="preserve">R$17.967.242,21</t>
  </si>
  <si>
    <t xml:space="preserve">R$25.663.326,50</t>
  </si>
  <si>
    <t xml:space="preserve">R$39.458.134,34</t>
  </si>
  <si>
    <t xml:space="preserve">11/08/2016</t>
  </si>
  <si>
    <t xml:space="preserve">R$42.962,92</t>
  </si>
  <si>
    <t xml:space="preserve">R$943,05</t>
  </si>
  <si>
    <t xml:space="preserve">R$21.845.210,59</t>
  </si>
  <si>
    <t xml:space="preserve">R$36.513.736,00</t>
  </si>
  <si>
    <t xml:space="preserve">R$40.012.129,85</t>
  </si>
  <si>
    <t xml:space="preserve">13/08/2016</t>
  </si>
  <si>
    <t xml:space="preserve">R$56.494,85</t>
  </si>
  <si>
    <t xml:space="preserve">R$965,49</t>
  </si>
  <si>
    <t xml:space="preserve">R$26.424.266,87</t>
  </si>
  <si>
    <t xml:space="preserve">R$43.114.960,00</t>
  </si>
  <si>
    <t xml:space="preserve">R$40.666.280,75</t>
  </si>
  <si>
    <t xml:space="preserve">17/08/2016</t>
  </si>
  <si>
    <t xml:space="preserve">R$61.215,95</t>
  </si>
  <si>
    <t xml:space="preserve">R$1.208,03</t>
  </si>
  <si>
    <t xml:space="preserve">R$31.611.512,99</t>
  </si>
  <si>
    <t xml:space="preserve">R$48.841.485,00</t>
  </si>
  <si>
    <t xml:space="preserve">R$41.407.315,92</t>
  </si>
  <si>
    <t xml:space="preserve">20/08/2016</t>
  </si>
  <si>
    <t xml:space="preserve">R$16.355,46</t>
  </si>
  <si>
    <t xml:space="preserve">R$399,68</t>
  </si>
  <si>
    <t xml:space="preserve">R$51.420.014,28</t>
  </si>
  <si>
    <t xml:space="preserve">R$55.033.954,50</t>
  </si>
  <si>
    <t xml:space="preserve">R$58.000.000,00</t>
  </si>
  <si>
    <t xml:space="preserve">R$42.242.304,77</t>
  </si>
  <si>
    <t xml:space="preserve">24/08/2016</t>
  </si>
  <si>
    <t xml:space="preserve">R$58.632.725,66</t>
  </si>
  <si>
    <t xml:space="preserve">R$48.339,16</t>
  </si>
  <si>
    <t xml:space="preserve">R$942,46</t>
  </si>
  <si>
    <t xml:space="preserve">R$67.912.631,50</t>
  </si>
  <si>
    <t xml:space="preserve">R$43.272.692,12</t>
  </si>
  <si>
    <t xml:space="preserve">27/08/2016</t>
  </si>
  <si>
    <t xml:space="preserve">R$37.468,65</t>
  </si>
  <si>
    <t xml:space="preserve">R$680,56</t>
  </si>
  <si>
    <t xml:space="preserve">R$2.760.847,66</t>
  </si>
  <si>
    <t xml:space="preserve">R$25.995.277,00</t>
  </si>
  <si>
    <t xml:space="preserve">R$5.100.000,00</t>
  </si>
  <si>
    <t xml:space="preserve">R$43.667.098,94</t>
  </si>
  <si>
    <t xml:space="preserve">31/08/2016</t>
  </si>
  <si>
    <t xml:space="preserve">R$19.320,44</t>
  </si>
  <si>
    <t xml:space="preserve">R$547,13</t>
  </si>
  <si>
    <t xml:space="preserve">R$5.714.840,70</t>
  </si>
  <si>
    <t xml:space="preserve">R$27.813.873,50</t>
  </si>
  <si>
    <t xml:space="preserve">R$44.089.097,96</t>
  </si>
  <si>
    <t xml:space="preserve">03/09/2016</t>
  </si>
  <si>
    <t xml:space="preserve">R$9.543.014,95</t>
  </si>
  <si>
    <t xml:space="preserve">R$74.219,70</t>
  </si>
  <si>
    <t xml:space="preserve">R$1.067,90</t>
  </si>
  <si>
    <t xml:space="preserve">R$36.044.890,00</t>
  </si>
  <si>
    <t xml:space="preserve">R$44.635.980,02</t>
  </si>
  <si>
    <t xml:space="preserve">08/09/2016</t>
  </si>
  <si>
    <t xml:space="preserve">R$70.893,89</t>
  </si>
  <si>
    <t xml:space="preserve">R$1.177,63</t>
  </si>
  <si>
    <t xml:space="preserve">R$14.360.440,78</t>
  </si>
  <si>
    <t xml:space="preserve">R$22.133.380,50</t>
  </si>
  <si>
    <t xml:space="preserve">R$44.971.793,18</t>
  </si>
  <si>
    <t xml:space="preserve">10/09/2016</t>
  </si>
  <si>
    <t xml:space="preserve">R$33.818,44</t>
  </si>
  <si>
    <t xml:space="preserve">R$652,22</t>
  </si>
  <si>
    <t xml:space="preserve">R$17.786.782,63</t>
  </si>
  <si>
    <t xml:space="preserve">R$32.261.362,00</t>
  </si>
  <si>
    <t xml:space="preserve">R$45.461.270,60</t>
  </si>
  <si>
    <t xml:space="preserve">14/09/2016</t>
  </si>
  <si>
    <t xml:space="preserve">R$20.190,03</t>
  </si>
  <si>
    <t xml:space="preserve">R$488,79</t>
  </si>
  <si>
    <t xml:space="preserve">R$22.324.226,34</t>
  </si>
  <si>
    <t xml:space="preserve">R$42.723.149,00</t>
  </si>
  <si>
    <t xml:space="preserve">R$46.109.476,86</t>
  </si>
  <si>
    <t xml:space="preserve">17/09/2016</t>
  </si>
  <si>
    <t xml:space="preserve">R$14.706,29</t>
  </si>
  <si>
    <t xml:space="preserve">R$742,81</t>
  </si>
  <si>
    <t xml:space="preserve">R$27.688.151,39</t>
  </si>
  <si>
    <t xml:space="preserve">R$50.505.038,50</t>
  </si>
  <si>
    <t xml:space="preserve">R$46.875.751,88</t>
  </si>
  <si>
    <t xml:space="preserve">20/09/2016</t>
  </si>
  <si>
    <t xml:space="preserve">R$38.788,97</t>
  </si>
  <si>
    <t xml:space="preserve">R$773,06</t>
  </si>
  <si>
    <t xml:space="preserve">R$31.475.179,58</t>
  </si>
  <si>
    <t xml:space="preserve">R$35.657.471,50</t>
  </si>
  <si>
    <t xml:space="preserve">R$47.416.755,92</t>
  </si>
  <si>
    <t xml:space="preserve">22/09/2016</t>
  </si>
  <si>
    <t xml:space="preserve">R$32.842,30</t>
  </si>
  <si>
    <t xml:space="preserve">R$682,55</t>
  </si>
  <si>
    <t xml:space="preserve">R$50.903.383,91</t>
  </si>
  <si>
    <t xml:space="preserve">R$50.128.274,00</t>
  </si>
  <si>
    <t xml:space="preserve">R$57.000.000,00</t>
  </si>
  <si>
    <t xml:space="preserve">R$48.177.314,58</t>
  </si>
  <si>
    <t xml:space="preserve">24/09/2016</t>
  </si>
  <si>
    <t xml:space="preserve">R$57.628.178,83</t>
  </si>
  <si>
    <t xml:space="preserve">R$33.491,77</t>
  </si>
  <si>
    <t xml:space="preserve">R$457,79</t>
  </si>
  <si>
    <t xml:space="preserve">R$63.318.563,00</t>
  </si>
  <si>
    <t xml:space="preserve">R$49.137.999,58</t>
  </si>
  <si>
    <t xml:space="preserve">28/09/2016</t>
  </si>
  <si>
    <t xml:space="preserve">R$33.009,81</t>
  </si>
  <si>
    <t xml:space="preserve">R$607,80</t>
  </si>
  <si>
    <t xml:space="preserve">R$2.493.108,83</t>
  </si>
  <si>
    <t xml:space="preserve">R$23.474.332,00</t>
  </si>
  <si>
    <t xml:space="preserve">R$49.494.157,99</t>
  </si>
  <si>
    <t xml:space="preserve">01/10/2016</t>
  </si>
  <si>
    <t xml:space="preserve">R$2.915.182,12</t>
  </si>
  <si>
    <t xml:space="preserve">R$18.299,52</t>
  </si>
  <si>
    <t xml:space="preserve">R$568,93</t>
  </si>
  <si>
    <t xml:space="preserve">R$31.422.552,00</t>
  </si>
  <si>
    <t xml:space="preserve">R$49.970.908,78</t>
  </si>
  <si>
    <t xml:space="preserve">05/10/2016</t>
  </si>
  <si>
    <t xml:space="preserve">R$45.038,97</t>
  </si>
  <si>
    <t xml:space="preserve">R$784,65</t>
  </si>
  <si>
    <t xml:space="preserve">R$2.571.962,18</t>
  </si>
  <si>
    <t xml:space="preserve">R$24.216.790,50</t>
  </si>
  <si>
    <t xml:space="preserve">R$50.338.331,96</t>
  </si>
  <si>
    <t xml:space="preserve">08/10/2016</t>
  </si>
  <si>
    <t xml:space="preserve">R$44.370,39</t>
  </si>
  <si>
    <t xml:space="preserve">R$772,12</t>
  </si>
  <si>
    <t xml:space="preserve">R$17.804.218,79</t>
  </si>
  <si>
    <t xml:space="preserve">R$33.092.391,50</t>
  </si>
  <si>
    <t xml:space="preserve">R$50.840.417,97</t>
  </si>
  <si>
    <t xml:space="preserve">13/10/2016</t>
  </si>
  <si>
    <t xml:space="preserve">R$65.074,31</t>
  </si>
  <si>
    <t xml:space="preserve">R$897,51</t>
  </si>
  <si>
    <t xml:space="preserve">R$22.359.420,30</t>
  </si>
  <si>
    <t xml:space="preserve">R$42.890.351,00</t>
  </si>
  <si>
    <t xml:space="preserve">R$51.491.161,05</t>
  </si>
  <si>
    <t xml:space="preserve">15/10/2016</t>
  </si>
  <si>
    <t xml:space="preserve">R$20.175,94</t>
  </si>
  <si>
    <t xml:space="preserve">R$601,15</t>
  </si>
  <si>
    <t xml:space="preserve">R$27.153.861,24</t>
  </si>
  <si>
    <t xml:space="preserve">R$45.142.954,50</t>
  </si>
  <si>
    <t xml:space="preserve">R$52.176.081,21</t>
  </si>
  <si>
    <t xml:space="preserve">18/10/2016</t>
  </si>
  <si>
    <t xml:space="preserve">R$21.908,52</t>
  </si>
  <si>
    <t xml:space="preserve">R$487,91</t>
  </si>
  <si>
    <t xml:space="preserve">R$31.028.209,82</t>
  </si>
  <si>
    <t xml:space="preserve">R$36.479.653,00</t>
  </si>
  <si>
    <t xml:space="preserve">R$52.729.559,60</t>
  </si>
  <si>
    <t xml:space="preserve">20/10/2016</t>
  </si>
  <si>
    <t xml:space="preserve">R$14.723,32</t>
  </si>
  <si>
    <t xml:space="preserve">R$485,21</t>
  </si>
  <si>
    <t xml:space="preserve">R$35.937.274,74</t>
  </si>
  <si>
    <t xml:space="preserve">R$46.222.218,00</t>
  </si>
  <si>
    <t xml:space="preserve">R$53.430.854,59</t>
  </si>
  <si>
    <t xml:space="preserve">22/10/2016</t>
  </si>
  <si>
    <t xml:space="preserve">R$49.705,43</t>
  </si>
  <si>
    <t xml:space="preserve">R$970,89</t>
  </si>
  <si>
    <t xml:space="preserve">R$57.176.870,77</t>
  </si>
  <si>
    <t xml:space="preserve">R$56.900.256,00</t>
  </si>
  <si>
    <t xml:space="preserve">R$64.000.000,00</t>
  </si>
  <si>
    <t xml:space="preserve">R$54.294.159,45</t>
  </si>
  <si>
    <t xml:space="preserve">26/10/2016</t>
  </si>
  <si>
    <t xml:space="preserve">R$48.674,10</t>
  </si>
  <si>
    <t xml:space="preserve">R$967,95</t>
  </si>
  <si>
    <t xml:space="preserve">R$65.963.826,04</t>
  </si>
  <si>
    <t xml:space="preserve">R$82.735.219,00</t>
  </si>
  <si>
    <t xml:space="preserve">R$55.549.438,80</t>
  </si>
  <si>
    <t xml:space="preserve">29/10/2016</t>
  </si>
  <si>
    <t xml:space="preserve">VARGINHA/MG</t>
  </si>
  <si>
    <t xml:space="preserve">R$76.548.193,31</t>
  </si>
  <si>
    <t xml:space="preserve">R$20.893,81</t>
  </si>
  <si>
    <t xml:space="preserve">R$527,52</t>
  </si>
  <si>
    <t xml:space="preserve">R$99.659.087,50</t>
  </si>
  <si>
    <t xml:space="preserve">R$57.061.491,27</t>
  </si>
  <si>
    <t xml:space="preserve">03/11/2016</t>
  </si>
  <si>
    <t xml:space="preserve">R$55.160,14</t>
  </si>
  <si>
    <t xml:space="preserve">R$706,09</t>
  </si>
  <si>
    <t xml:space="preserve">R$2.540.269,69</t>
  </si>
  <si>
    <t xml:space="preserve">R$23.918.384,00</t>
  </si>
  <si>
    <t xml:space="preserve">R$57.424.386,96</t>
  </si>
  <si>
    <t xml:space="preserve">05/11/2016</t>
  </si>
  <si>
    <t xml:space="preserve">R$61.995,05</t>
  </si>
  <si>
    <t xml:space="preserve">R$758,64</t>
  </si>
  <si>
    <t xml:space="preserve">R$5.623.707,57</t>
  </si>
  <si>
    <t xml:space="preserve">R$29.032.685,50</t>
  </si>
  <si>
    <t xml:space="preserve">R$57.864.878,10</t>
  </si>
  <si>
    <t xml:space="preserve">08/11/2016</t>
  </si>
  <si>
    <t xml:space="preserve">R$85.109,69</t>
  </si>
  <si>
    <t xml:space="preserve">R$1.006,39</t>
  </si>
  <si>
    <t xml:space="preserve">R$25.420.134,55</t>
  </si>
  <si>
    <t xml:space="preserve">R$23.619.214,50</t>
  </si>
  <si>
    <t xml:space="preserve">R$58.223.234,72</t>
  </si>
  <si>
    <t xml:space="preserve">10/11/2016</t>
  </si>
  <si>
    <t xml:space="preserve">APARECIDA DE GOIÂNIA/GO</t>
  </si>
  <si>
    <t xml:space="preserve">R$29.697.112,87</t>
  </si>
  <si>
    <t xml:space="preserve">R$51.595,30</t>
  </si>
  <si>
    <t xml:space="preserve">R$1.172,85</t>
  </si>
  <si>
    <t xml:space="preserve">R$40.270.688,50</t>
  </si>
  <si>
    <t xml:space="preserve">R$58.834.231,63</t>
  </si>
  <si>
    <t xml:space="preserve">12/11/2016</t>
  </si>
  <si>
    <t xml:space="preserve">R$62.070,94</t>
  </si>
  <si>
    <t xml:space="preserve">R$883,65</t>
  </si>
  <si>
    <t xml:space="preserve">R$2.629.847,55</t>
  </si>
  <si>
    <t xml:space="preserve">R$24.761.821,00</t>
  </si>
  <si>
    <t xml:space="preserve">R$59.209.924,16</t>
  </si>
  <si>
    <t xml:space="preserve">16/11/2016</t>
  </si>
  <si>
    <t xml:space="preserve">R$15.617,00</t>
  </si>
  <si>
    <t xml:space="preserve">R$466,30</t>
  </si>
  <si>
    <t xml:space="preserve">R$5.218.982,82</t>
  </si>
  <si>
    <t xml:space="preserve">R$24.378.487,00</t>
  </si>
  <si>
    <t xml:space="preserve">R$8.400.000,00</t>
  </si>
  <si>
    <t xml:space="preserve">R$59.579.800,64</t>
  </si>
  <si>
    <t xml:space="preserve">19/11/2016</t>
  </si>
  <si>
    <t xml:space="preserve">R$58.126,73</t>
  </si>
  <si>
    <t xml:space="preserve">R$1.002,80</t>
  </si>
  <si>
    <t xml:space="preserve">R$9.073.702,73</t>
  </si>
  <si>
    <t xml:space="preserve">R$36.294.835,50</t>
  </si>
  <si>
    <t xml:space="preserve">R$13.400.000,00</t>
  </si>
  <si>
    <t xml:space="preserve">R$60.130.474,92</t>
  </si>
  <si>
    <t xml:space="preserve">23/11/2016</t>
  </si>
  <si>
    <t xml:space="preserve">R$12.957.556,93</t>
  </si>
  <si>
    <t xml:space="preserve">R$20.469,69</t>
  </si>
  <si>
    <t xml:space="preserve">R$653,35</t>
  </si>
  <si>
    <t xml:space="preserve">R$36.569.155,00</t>
  </si>
  <si>
    <t xml:space="preserve">R$60.685.311,25</t>
  </si>
  <si>
    <t xml:space="preserve">26/11/2016</t>
  </si>
  <si>
    <t xml:space="preserve">R$33.082,62</t>
  </si>
  <si>
    <t xml:space="preserve">R$608,91</t>
  </si>
  <si>
    <t xml:space="preserve">R$14.794.344,48</t>
  </si>
  <si>
    <t xml:space="preserve">R$37.297.494,50</t>
  </si>
  <si>
    <t xml:space="preserve">R$61.251.198,12</t>
  </si>
  <si>
    <t xml:space="preserve">30/11/2016</t>
  </si>
  <si>
    <t xml:space="preserve">R$18.918.141,78</t>
  </si>
  <si>
    <t xml:space="preserve">R$50.878,02</t>
  </si>
  <si>
    <t xml:space="preserve">R$794,74</t>
  </si>
  <si>
    <t xml:space="preserve">R$38.828.384,00</t>
  </si>
  <si>
    <t xml:space="preserve">R$61.840.312,04</t>
  </si>
  <si>
    <t xml:space="preserve">03/12/2016</t>
  </si>
  <si>
    <t xml:space="preserve">R$64.051,30</t>
  </si>
  <si>
    <t xml:space="preserve">R$749,03</t>
  </si>
  <si>
    <t xml:space="preserve">R$2.949.730,90</t>
  </si>
  <si>
    <t xml:space="preserve">R$27.773.742,50</t>
  </si>
  <si>
    <t xml:space="preserve">R$62.261.702,19</t>
  </si>
  <si>
    <t xml:space="preserve">07/12/2016</t>
  </si>
  <si>
    <t xml:space="preserve">R$56.930,77</t>
  </si>
  <si>
    <t xml:space="preserve">R$842,50</t>
  </si>
  <si>
    <t xml:space="preserve">R$6.095.905,09</t>
  </si>
  <si>
    <t xml:space="preserve">R$29.623.391,00</t>
  </si>
  <si>
    <t xml:space="preserve">R$9.600.000,00</t>
  </si>
  <si>
    <t xml:space="preserve">R$62.711.155,64</t>
  </si>
  <si>
    <t xml:space="preserve">10/12/2016</t>
  </si>
  <si>
    <t xml:space="preserve">R$43.216,38</t>
  </si>
  <si>
    <t xml:space="preserve">R$755,84</t>
  </si>
  <si>
    <t xml:space="preserve">R$21.103.130,14</t>
  </si>
  <si>
    <t xml:space="preserve">R$35.230.006,00</t>
  </si>
  <si>
    <t xml:space="preserve">R$63.245.674,06</t>
  </si>
  <si>
    <t xml:space="preserve">14/12/2016</t>
  </si>
  <si>
    <t xml:space="preserve">R$27.665,59</t>
  </si>
  <si>
    <t xml:space="preserve">R$563,68</t>
  </si>
  <si>
    <t xml:space="preserve">R$25.587.867,65</t>
  </si>
  <si>
    <t xml:space="preserve">R$42.226.884,00</t>
  </si>
  <si>
    <t xml:space="preserve">R$63.886.350,87</t>
  </si>
  <si>
    <t xml:space="preserve">17/12/2016</t>
  </si>
  <si>
    <t xml:space="preserve">R$39.561,62</t>
  </si>
  <si>
    <t xml:space="preserve">R$584,48</t>
  </si>
  <si>
    <t xml:space="preserve">R$30.834.987,47</t>
  </si>
  <si>
    <t xml:space="preserve">R$49.405.237,00</t>
  </si>
  <si>
    <t xml:space="preserve">R$64.635.939,43</t>
  </si>
  <si>
    <t xml:space="preserve">20/12/2016</t>
  </si>
  <si>
    <t xml:space="preserve">R$40.268,09</t>
  </si>
  <si>
    <t xml:space="preserve">R$888,55</t>
  </si>
  <si>
    <t xml:space="preserve">R$34.840.603,05</t>
  </si>
  <si>
    <t xml:space="preserve">R$37.715.622,00</t>
  </si>
  <si>
    <t xml:space="preserve">R$65.208.170,24</t>
  </si>
  <si>
    <t xml:space="preserve">22/12/2016</t>
  </si>
  <si>
    <t xml:space="preserve">CAMPINAS/SP</t>
  </si>
  <si>
    <t xml:space="preserve">R$20.091.578,77</t>
  </si>
  <si>
    <t xml:space="preserve">R$25.665,88</t>
  </si>
  <si>
    <t xml:space="preserve">R$575,84</t>
  </si>
  <si>
    <t xml:space="preserve">R$50.303.820,00</t>
  </si>
  <si>
    <t xml:space="preserve">R$65.971.392,33</t>
  </si>
  <si>
    <t xml:space="preserve">24/12/2016</t>
  </si>
  <si>
    <t xml:space="preserve">R$28.397,25</t>
  </si>
  <si>
    <t xml:space="preserve">R$633,46</t>
  </si>
  <si>
    <t xml:space="preserve">R$82.505.122,23</t>
  </si>
  <si>
    <t xml:space="preserve">R$24.134.523,00</t>
  </si>
  <si>
    <t xml:space="preserve">R$225.000.000,00</t>
  </si>
  <si>
    <t xml:space="preserve">31/12/2016</t>
  </si>
  <si>
    <t xml:space="preserve">SALVADOR/BA; FORTALEZA/CE; TRIZIDELA DO VALE/MA; BELO HORIZONTE/MG; CAMPO GRANDE/MS; FAZENDA VILANOVA/RS</t>
  </si>
  <si>
    <t xml:space="preserve">R$36.824.758,22</t>
  </si>
  <si>
    <t xml:space="preserve">R$25.481,21</t>
  </si>
  <si>
    <t xml:space="preserve">R$485,30</t>
  </si>
  <si>
    <t xml:space="preserve">R$735.869.326,50</t>
  </si>
  <si>
    <t xml:space="preserve">04/01/2017</t>
  </si>
  <si>
    <t xml:space="preserve">R$26.153,43</t>
  </si>
  <si>
    <t xml:space="preserve">R$492,73</t>
  </si>
  <si>
    <t xml:space="preserve">R$2.216.159,14</t>
  </si>
  <si>
    <t xml:space="preserve">R$20.866.660,50</t>
  </si>
  <si>
    <t xml:space="preserve">R$316.594,18</t>
  </si>
  <si>
    <t xml:space="preserve">07/01/2017</t>
  </si>
  <si>
    <t xml:space="preserve">R$52.421,85</t>
  </si>
  <si>
    <t xml:space="preserve">R$885,07</t>
  </si>
  <si>
    <t xml:space="preserve">R$5.209.722,53</t>
  </si>
  <si>
    <t xml:space="preserve">R$28.186.455,50</t>
  </si>
  <si>
    <t xml:space="preserve">R$744.246,11</t>
  </si>
  <si>
    <t xml:space="preserve">11/01/2017</t>
  </si>
  <si>
    <t xml:space="preserve">R$37.826,41</t>
  </si>
  <si>
    <t xml:space="preserve">R$751,94</t>
  </si>
  <si>
    <t xml:space="preserve">R$8.275.652,39</t>
  </si>
  <si>
    <t xml:space="preserve">R$28.867.835,50</t>
  </si>
  <si>
    <t xml:space="preserve">R$1.182.236,10</t>
  </si>
  <si>
    <t xml:space="preserve">14/01/2017</t>
  </si>
  <si>
    <t xml:space="preserve">R$56.148,15</t>
  </si>
  <si>
    <t xml:space="preserve">R$1.074,91</t>
  </si>
  <si>
    <t xml:space="preserve">R$19.709.935,80</t>
  </si>
  <si>
    <t xml:space="preserve">R$36.033.266,50</t>
  </si>
  <si>
    <t xml:space="preserve">R$1.728.941,80</t>
  </si>
  <si>
    <t xml:space="preserve">18/01/2017</t>
  </si>
  <si>
    <t xml:space="preserve">R$13.303,72</t>
  </si>
  <si>
    <t xml:space="preserve">R$326,10</t>
  </si>
  <si>
    <t xml:space="preserve">R$23.998.634,45</t>
  </si>
  <si>
    <t xml:space="preserve">R$40.381.043,50</t>
  </si>
  <si>
    <t xml:space="preserve">R$2.341.613,05</t>
  </si>
  <si>
    <t xml:space="preserve">21/01/2017</t>
  </si>
  <si>
    <t xml:space="preserve">ITANHAÉM/SP</t>
  </si>
  <si>
    <t xml:space="preserve">R$28.783.383,17</t>
  </si>
  <si>
    <t xml:space="preserve">R$19.529,58</t>
  </si>
  <si>
    <t xml:space="preserve">R$482,40</t>
  </si>
  <si>
    <t xml:space="preserve">R$45.051.695,50</t>
  </si>
  <si>
    <t xml:space="preserve">R$3.025.148,59</t>
  </si>
  <si>
    <t xml:space="preserve">25/01/2017</t>
  </si>
  <si>
    <t xml:space="preserve">R$28.168,68</t>
  </si>
  <si>
    <t xml:space="preserve">R$644,30</t>
  </si>
  <si>
    <t xml:space="preserve">R$2.386.925,50</t>
  </si>
  <si>
    <t xml:space="preserve">R$22.474.543,00</t>
  </si>
  <si>
    <t xml:space="preserve">R$3.366.137,96</t>
  </si>
  <si>
    <t xml:space="preserve">28/01/2017</t>
  </si>
  <si>
    <t xml:space="preserve">R$51.269,12</t>
  </si>
  <si>
    <t xml:space="preserve">R$861,03</t>
  </si>
  <si>
    <t xml:space="preserve">R$5.409.105,01</t>
  </si>
  <si>
    <t xml:space="preserve">R$28.455.896,00</t>
  </si>
  <si>
    <t xml:space="preserve">R$3.797.877,91</t>
  </si>
  <si>
    <t xml:space="preserve">01/02/2017</t>
  </si>
  <si>
    <t xml:space="preserve">R$45.462,41</t>
  </si>
  <si>
    <t xml:space="preserve">R$837,87</t>
  </si>
  <si>
    <t xml:space="preserve">R$19.831.525,03</t>
  </si>
  <si>
    <t xml:space="preserve">R$30.752.715,00</t>
  </si>
  <si>
    <t xml:space="preserve">R$4.264.465,77</t>
  </si>
  <si>
    <t xml:space="preserve">04/02/2017</t>
  </si>
  <si>
    <t xml:space="preserve">R$29.411,18</t>
  </si>
  <si>
    <t xml:space="preserve">R$655,91</t>
  </si>
  <si>
    <t xml:space="preserve">R$24.545.054,40</t>
  </si>
  <si>
    <t xml:space="preserve">R$44.381.116,50</t>
  </si>
  <si>
    <t xml:space="preserve">R$4.937.827,12</t>
  </si>
  <si>
    <t xml:space="preserve">08/02/2017</t>
  </si>
  <si>
    <t xml:space="preserve">R$46.078,62</t>
  </si>
  <si>
    <t xml:space="preserve">R$850,28</t>
  </si>
  <si>
    <t xml:space="preserve">R$29.637.954,24</t>
  </si>
  <si>
    <t xml:space="preserve">R$47.953.150,00</t>
  </si>
  <si>
    <t xml:space="preserve">R$5.665.384,27</t>
  </si>
  <si>
    <t xml:space="preserve">11/02/2017</t>
  </si>
  <si>
    <t xml:space="preserve">IPATINGA/MG; ITU/SP; SANTA CRUZ DA CONCEIÇÃO/SP</t>
  </si>
  <si>
    <t xml:space="preserve">R$11.813.566,31</t>
  </si>
  <si>
    <t xml:space="preserve">R$8.583,27</t>
  </si>
  <si>
    <t xml:space="preserve">R$326,94</t>
  </si>
  <si>
    <t xml:space="preserve">R$54.636.827,00</t>
  </si>
  <si>
    <t xml:space="preserve">R$6.494.347,82</t>
  </si>
  <si>
    <t xml:space="preserve">15/02/2017</t>
  </si>
  <si>
    <t xml:space="preserve">R$33.533,69</t>
  </si>
  <si>
    <t xml:space="preserve">R$612,82</t>
  </si>
  <si>
    <t xml:space="preserve">R$2.532.676,20</t>
  </si>
  <si>
    <t xml:space="preserve">R$23.846.886,00</t>
  </si>
  <si>
    <t xml:space="preserve">R$6.856.158,71</t>
  </si>
  <si>
    <t xml:space="preserve">18/02/2017</t>
  </si>
  <si>
    <t xml:space="preserve">R$20.742,50</t>
  </si>
  <si>
    <t xml:space="preserve">R$607,00</t>
  </si>
  <si>
    <t xml:space="preserve">R$19.038.780,05</t>
  </si>
  <si>
    <t xml:space="preserve">R$29.501.318,00</t>
  </si>
  <si>
    <t xml:space="preserve">R$7.303.760,06</t>
  </si>
  <si>
    <t xml:space="preserve">21/02/2017</t>
  </si>
  <si>
    <t xml:space="preserve">R$70.438,67</t>
  </si>
  <si>
    <t xml:space="preserve">R$941,63</t>
  </si>
  <si>
    <t xml:space="preserve">R$21.893.399,68</t>
  </si>
  <si>
    <t xml:space="preserve">R$26.878.204,50</t>
  </si>
  <si>
    <t xml:space="preserve">R$7.711.562,87</t>
  </si>
  <si>
    <t xml:space="preserve">23/02/2017</t>
  </si>
  <si>
    <t xml:space="preserve">R$38.424,36</t>
  </si>
  <si>
    <t xml:space="preserve">R$773,32</t>
  </si>
  <si>
    <t xml:space="preserve">R$25.715.612,29</t>
  </si>
  <si>
    <t xml:space="preserve">R$35.988.757,00</t>
  </si>
  <si>
    <t xml:space="preserve">R$8.257.593,26</t>
  </si>
  <si>
    <t xml:space="preserve">25/02/2017</t>
  </si>
  <si>
    <t xml:space="preserve">R$42.855,91</t>
  </si>
  <si>
    <t xml:space="preserve">R$773,54</t>
  </si>
  <si>
    <t xml:space="preserve">R$30.057.592,56</t>
  </si>
  <si>
    <t xml:space="preserve">R$40.882.726,50</t>
  </si>
  <si>
    <t xml:space="preserve">R$8.877.876,17</t>
  </si>
  <si>
    <t xml:space="preserve">01/03/2017</t>
  </si>
  <si>
    <t xml:space="preserve">R$17.555,12</t>
  </si>
  <si>
    <t xml:space="preserve">R$408,02</t>
  </si>
  <si>
    <t xml:space="preserve">R$33.129.739,06</t>
  </si>
  <si>
    <t xml:space="preserve">R$28.926.369,50</t>
  </si>
  <si>
    <t xml:space="preserve">R$9.316.754,26</t>
  </si>
  <si>
    <t xml:space="preserve">04/03/2017</t>
  </si>
  <si>
    <t xml:space="preserve">R$122.896,60</t>
  </si>
  <si>
    <t xml:space="preserve">R$1.071,73</t>
  </si>
  <si>
    <t xml:space="preserve">R$51.941.537,67</t>
  </si>
  <si>
    <t xml:space="preserve">R$57.553.279,00</t>
  </si>
  <si>
    <t xml:space="preserve">R$10.189.966,95</t>
  </si>
  <si>
    <t xml:space="preserve">08/03/2017</t>
  </si>
  <si>
    <t xml:space="preserve">CONCEIÇÃO DO PARÁ/MG</t>
  </si>
  <si>
    <t xml:space="preserve">R$59.741.202,88</t>
  </si>
  <si>
    <t xml:space="preserve">R$19.333,81</t>
  </si>
  <si>
    <t xml:space="preserve">R$559,23</t>
  </si>
  <si>
    <t xml:space="preserve">R$73.439.205,00</t>
  </si>
  <si>
    <t xml:space="preserve">R$11.304.204,85</t>
  </si>
  <si>
    <t xml:space="preserve">11/03/2017</t>
  </si>
  <si>
    <t xml:space="preserve">R$36.634,43</t>
  </si>
  <si>
    <t xml:space="preserve">R$780,28</t>
  </si>
  <si>
    <t xml:space="preserve">R$2.834.348,24</t>
  </si>
  <si>
    <t xml:space="preserve">R$26.687.335,50</t>
  </si>
  <si>
    <t xml:space="preserve">R$11.709.111,76</t>
  </si>
  <si>
    <t xml:space="preserve">15/03/2017</t>
  </si>
  <si>
    <t xml:space="preserve">CAMPINA GRANDE/PB</t>
  </si>
  <si>
    <t xml:space="preserve">R$5.848.882,96</t>
  </si>
  <si>
    <t xml:space="preserve">R$38.057,25</t>
  </si>
  <si>
    <t xml:space="preserve">R$513,12</t>
  </si>
  <si>
    <t xml:space="preserve">R$28.383.915,00</t>
  </si>
  <si>
    <t xml:space="preserve">R$12.139.759,59</t>
  </si>
  <si>
    <t xml:space="preserve">18/03/2017</t>
  </si>
  <si>
    <t xml:space="preserve">R$35.274,91</t>
  </si>
  <si>
    <t xml:space="preserve">R$732,05</t>
  </si>
  <si>
    <t xml:space="preserve">R$2.794.143,74</t>
  </si>
  <si>
    <t xml:space="preserve">R$26.308.782,50</t>
  </si>
  <si>
    <t xml:space="preserve">R$12.538.922,98</t>
  </si>
  <si>
    <t xml:space="preserve">22/03/2017</t>
  </si>
  <si>
    <t xml:space="preserve">VITORIA DE SANTO ANTÃO/PE</t>
  </si>
  <si>
    <t xml:space="preserve">R$5.805.678,69</t>
  </si>
  <si>
    <t xml:space="preserve">R$60.549,38</t>
  </si>
  <si>
    <t xml:space="preserve">R$971,90</t>
  </si>
  <si>
    <t xml:space="preserve">R$28.355.670,00</t>
  </si>
  <si>
    <t xml:space="preserve">R$12.969.142,27</t>
  </si>
  <si>
    <t xml:space="preserve">25/03/2017</t>
  </si>
  <si>
    <t xml:space="preserve">R$53.170,03</t>
  </si>
  <si>
    <t xml:space="preserve">R$863,90</t>
  </si>
  <si>
    <t xml:space="preserve">R$16.048.217,78</t>
  </si>
  <si>
    <t xml:space="preserve">R$35.966.479,50</t>
  </si>
  <si>
    <t xml:space="preserve">R$13.514.834,66</t>
  </si>
  <si>
    <t xml:space="preserve">29/03/2017</t>
  </si>
  <si>
    <t xml:space="preserve">R$23.094,50</t>
  </si>
  <si>
    <t xml:space="preserve">R$602,26</t>
  </si>
  <si>
    <t xml:space="preserve">R$20.302.466,15</t>
  </si>
  <si>
    <t xml:space="preserve">R$40.056.670,50</t>
  </si>
  <si>
    <t xml:space="preserve">R$14.122.584,45</t>
  </si>
  <si>
    <t xml:space="preserve">01/04/2017</t>
  </si>
  <si>
    <t xml:space="preserve">R$38.222,98</t>
  </si>
  <si>
    <t xml:space="preserve">R$706,26</t>
  </si>
  <si>
    <t xml:space="preserve">R$25.231.218,49</t>
  </si>
  <si>
    <t xml:space="preserve">R$46.407.588,50</t>
  </si>
  <si>
    <t xml:space="preserve">R$14.826.691,93</t>
  </si>
  <si>
    <t xml:space="preserve">05/04/2017</t>
  </si>
  <si>
    <t xml:space="preserve">R$44.701,88</t>
  </si>
  <si>
    <t xml:space="preserve">R$812,03</t>
  </si>
  <si>
    <t xml:space="preserve">R$30.748.371,01</t>
  </si>
  <si>
    <t xml:space="preserve">R$51.947.780,50</t>
  </si>
  <si>
    <t xml:space="preserve">R$15.614.856,60</t>
  </si>
  <si>
    <t xml:space="preserve">08/04/2017</t>
  </si>
  <si>
    <t xml:space="preserve">R$50.218,80</t>
  </si>
  <si>
    <t xml:space="preserve">R$820,52</t>
  </si>
  <si>
    <t xml:space="preserve">R$52.483.493,14</t>
  </si>
  <si>
    <t xml:space="preserve">R$58.358.968,50</t>
  </si>
  <si>
    <t xml:space="preserve">R$16.500.293,42</t>
  </si>
  <si>
    <t xml:space="preserve">12/04/2017</t>
  </si>
  <si>
    <t xml:space="preserve">R$45.091,85</t>
  </si>
  <si>
    <t xml:space="preserve">R$880,27</t>
  </si>
  <si>
    <t xml:space="preserve">R$59.959.246,30</t>
  </si>
  <si>
    <t xml:space="preserve">R$70.389.350,50</t>
  </si>
  <si>
    <t xml:space="preserve">R$17.568.258,17</t>
  </si>
  <si>
    <t xml:space="preserve">15/04/2017</t>
  </si>
  <si>
    <t xml:space="preserve">R$30.856,70</t>
  </si>
  <si>
    <t xml:space="preserve">R$603,45</t>
  </si>
  <si>
    <t xml:space="preserve">R$67.178.091,05</t>
  </si>
  <si>
    <t xml:space="preserve">R$67.970.381,50</t>
  </si>
  <si>
    <t xml:space="preserve">R$18.599.521,71</t>
  </si>
  <si>
    <t xml:space="preserve">19/04/2017</t>
  </si>
  <si>
    <t xml:space="preserve">R$43.174,39</t>
  </si>
  <si>
    <t xml:space="preserve">R$867,41</t>
  </si>
  <si>
    <t xml:space="preserve">R$77.040.029,99</t>
  </si>
  <si>
    <t xml:space="preserve">R$92.856.928,50</t>
  </si>
  <si>
    <t xml:space="preserve">R$88.000.000,00</t>
  </si>
  <si>
    <t xml:space="preserve">R$20.008.370,14</t>
  </si>
  <si>
    <t xml:space="preserve">22/04/2017</t>
  </si>
  <si>
    <t xml:space="preserve">R$50.376,11</t>
  </si>
  <si>
    <t xml:space="preserve">R$846,56</t>
  </si>
  <si>
    <t xml:space="preserve">R$87.247.820,27</t>
  </si>
  <si>
    <t xml:space="preserve">R$96.113.356,50</t>
  </si>
  <si>
    <t xml:space="preserve">R$97.000.000,00</t>
  </si>
  <si>
    <t xml:space="preserve">R$21.466.625,91</t>
  </si>
  <si>
    <t xml:space="preserve">26/04/2017</t>
  </si>
  <si>
    <t xml:space="preserve">JACIARA/MT</t>
  </si>
  <si>
    <t xml:space="preserve">R$101.484.527,44</t>
  </si>
  <si>
    <t xml:space="preserve">R$41.109,03</t>
  </si>
  <si>
    <t xml:space="preserve">R$970,01</t>
  </si>
  <si>
    <t xml:space="preserve">R$134.048.376,00</t>
  </si>
  <si>
    <t xml:space="preserve">R$23.500.441,23</t>
  </si>
  <si>
    <t xml:space="preserve">29/04/2017</t>
  </si>
  <si>
    <t xml:space="preserve">R$53.604,54</t>
  </si>
  <si>
    <t xml:space="preserve">R$728,20</t>
  </si>
  <si>
    <t xml:space="preserve">R$35.737.910,39</t>
  </si>
  <si>
    <t xml:space="preserve">R$46.487.696,50</t>
  </si>
  <si>
    <t xml:space="preserve">R$24.205.764,14</t>
  </si>
  <si>
    <t xml:space="preserve">03/05/2017</t>
  </si>
  <si>
    <t xml:space="preserve">R$41.318.205,91</t>
  </si>
  <si>
    <t xml:space="preserve">R$31.887,41</t>
  </si>
  <si>
    <t xml:space="preserve">R$641,97</t>
  </si>
  <si>
    <t xml:space="preserve">R$52.542.315,00</t>
  </si>
  <si>
    <t xml:space="preserve">R$25.002.949,22</t>
  </si>
  <si>
    <t xml:space="preserve">06/05/2017</t>
  </si>
  <si>
    <t xml:space="preserve">R$3.343.108,90</t>
  </si>
  <si>
    <t xml:space="preserve">R$12.963,07</t>
  </si>
  <si>
    <t xml:space="preserve">R$351,06</t>
  </si>
  <si>
    <t xml:space="preserve">R$31.477.666,50</t>
  </si>
  <si>
    <t xml:space="preserve">R$25.480.536,22</t>
  </si>
  <si>
    <t xml:space="preserve">09/05/2017</t>
  </si>
  <si>
    <t xml:space="preserve">R$31.886,89</t>
  </si>
  <si>
    <t xml:space="preserve">R$782,50</t>
  </si>
  <si>
    <t xml:space="preserve">R$1.644.692,28</t>
  </si>
  <si>
    <t xml:space="preserve">R$15.485.907,50</t>
  </si>
  <si>
    <t xml:space="preserve">R$25.715.492,26</t>
  </si>
  <si>
    <t xml:space="preserve">11/05/2017</t>
  </si>
  <si>
    <t xml:space="preserve">R$29.973,67</t>
  </si>
  <si>
    <t xml:space="preserve">R$597,48</t>
  </si>
  <si>
    <t xml:space="preserve">R$15.437.361,69</t>
  </si>
  <si>
    <t xml:space="preserve">R$23.394.773,50</t>
  </si>
  <si>
    <t xml:space="preserve">R$26.070.443,60</t>
  </si>
  <si>
    <t xml:space="preserve">13/05/2017</t>
  </si>
  <si>
    <t xml:space="preserve">R$41.471,66</t>
  </si>
  <si>
    <t xml:space="preserve">R$628,66</t>
  </si>
  <si>
    <t xml:space="preserve">R$19.257.119,83</t>
  </si>
  <si>
    <t xml:space="preserve">R$35.965.646,50</t>
  </si>
  <si>
    <t xml:space="preserve">R$26.616.123,36</t>
  </si>
  <si>
    <t xml:space="preserve">17/05/2017</t>
  </si>
  <si>
    <t xml:space="preserve">R$19.252,27</t>
  </si>
  <si>
    <t xml:space="preserve">R$404,00</t>
  </si>
  <si>
    <t xml:space="preserve">R$23.902.997,26</t>
  </si>
  <si>
    <t xml:space="preserve">R$43.744.127,00</t>
  </si>
  <si>
    <t xml:space="preserve">R$27.279.820,15</t>
  </si>
  <si>
    <t xml:space="preserve">20/05/2017</t>
  </si>
  <si>
    <t xml:space="preserve">R$38.379,16</t>
  </si>
  <si>
    <t xml:space="preserve">R$724,45</t>
  </si>
  <si>
    <t xml:space="preserve">R$28.993.285,02</t>
  </si>
  <si>
    <t xml:space="preserve">R$47.928.555,50</t>
  </si>
  <si>
    <t xml:space="preserve">R$28.007.004,13</t>
  </si>
  <si>
    <t xml:space="preserve">24/05/2017</t>
  </si>
  <si>
    <t xml:space="preserve">R$32.514,14</t>
  </si>
  <si>
    <t xml:space="preserve">R$622,50</t>
  </si>
  <si>
    <t xml:space="preserve">R$34.144.209,63</t>
  </si>
  <si>
    <t xml:space="preserve">R$48.499.493,00</t>
  </si>
  <si>
    <t xml:space="preserve">R$28.742.850,52</t>
  </si>
  <si>
    <t xml:space="preserve">27/05/2017</t>
  </si>
  <si>
    <t xml:space="preserve">R$30.987,58</t>
  </si>
  <si>
    <t xml:space="preserve">R$693,85</t>
  </si>
  <si>
    <t xml:space="preserve">R$55.663.885,26</t>
  </si>
  <si>
    <t xml:space="preserve">R$56.434.322,00</t>
  </si>
  <si>
    <t xml:space="preserve">R$29.599.086,10</t>
  </si>
  <si>
    <t xml:space="preserve">31/05/2017</t>
  </si>
  <si>
    <t xml:space="preserve">CONTAGEM/MG; BOA ESPERANÇA/PR; RIO DE JANEIRO/RJ</t>
  </si>
  <si>
    <t xml:space="preserve">R$20.928.347,70</t>
  </si>
  <si>
    <t xml:space="preserve">R$7.778,22</t>
  </si>
  <si>
    <t xml:space="preserve">R$291,21</t>
  </si>
  <si>
    <t xml:space="preserve">R$67.050.592,00</t>
  </si>
  <si>
    <t xml:space="preserve">R$30.616.394,37</t>
  </si>
  <si>
    <t xml:space="preserve">03/06/2017</t>
  </si>
  <si>
    <t xml:space="preserve">R$38.440,62</t>
  </si>
  <si>
    <t xml:space="preserve">R$879,13</t>
  </si>
  <si>
    <t xml:space="preserve">R$3.044.902,03</t>
  </si>
  <si>
    <t xml:space="preserve">R$28.669.844,00</t>
  </si>
  <si>
    <t xml:space="preserve">R$31.051.380,39</t>
  </si>
  <si>
    <t xml:space="preserve">07/06/2017</t>
  </si>
  <si>
    <t xml:space="preserve">R$6.310.224,41</t>
  </si>
  <si>
    <t xml:space="preserve">R$24.966,25</t>
  </si>
  <si>
    <t xml:space="preserve">R$624,48</t>
  </si>
  <si>
    <t xml:space="preserve">R$30.745.253,00</t>
  </si>
  <si>
    <t xml:space="preserve">R$31.517.855,04</t>
  </si>
  <si>
    <t xml:space="preserve">10/06/2017</t>
  </si>
  <si>
    <t xml:space="preserve">R$65.892,57</t>
  </si>
  <si>
    <t xml:space="preserve">R$1.017,64</t>
  </si>
  <si>
    <t xml:space="preserve">R$2.913.145,10</t>
  </si>
  <si>
    <t xml:space="preserve">R$27.429.262,00</t>
  </si>
  <si>
    <t xml:space="preserve">R$31.934.018,64</t>
  </si>
  <si>
    <t xml:space="preserve">14/06/2017</t>
  </si>
  <si>
    <t xml:space="preserve">R$28.676,64</t>
  </si>
  <si>
    <t xml:space="preserve">R$667,68</t>
  </si>
  <si>
    <t xml:space="preserve">R$18.262.613,14</t>
  </si>
  <si>
    <t xml:space="preserve">R$29.345.851,50</t>
  </si>
  <si>
    <t xml:space="preserve">R$32.379.261,21</t>
  </si>
  <si>
    <t xml:space="preserve">17/06/2017</t>
  </si>
  <si>
    <t xml:space="preserve">R$22.002,44</t>
  </si>
  <si>
    <t xml:space="preserve">R$461,66</t>
  </si>
  <si>
    <t xml:space="preserve">R$22.113.040,42</t>
  </si>
  <si>
    <t xml:space="preserve">R$36.254.417,50</t>
  </si>
  <si>
    <t xml:space="preserve">R$26.700.000,00</t>
  </si>
  <si>
    <t xml:space="preserve">R$32.929.322,27</t>
  </si>
  <si>
    <t xml:space="preserve">21/06/2017</t>
  </si>
  <si>
    <t xml:space="preserve">PERUÍBE/SP</t>
  </si>
  <si>
    <t xml:space="preserve">R$26.572.503,56</t>
  </si>
  <si>
    <t xml:space="preserve">R$38.426,22</t>
  </si>
  <si>
    <t xml:space="preserve">R$801,84</t>
  </si>
  <si>
    <t xml:space="preserve">R$41.988.908,50</t>
  </si>
  <si>
    <t xml:space="preserve">R$33.566.388,45</t>
  </si>
  <si>
    <t xml:space="preserve">24/06/2017</t>
  </si>
  <si>
    <t xml:space="preserve">R$24.941,71</t>
  </si>
  <si>
    <t xml:space="preserve">R$483,60</t>
  </si>
  <si>
    <t xml:space="preserve">R$2.572.934,23</t>
  </si>
  <si>
    <t xml:space="preserve">R$24.225.943,00</t>
  </si>
  <si>
    <t xml:space="preserve">R$33.933.950,50</t>
  </si>
  <si>
    <t xml:space="preserve">28/06/2017</t>
  </si>
  <si>
    <t xml:space="preserve">R$66.077,13</t>
  </si>
  <si>
    <t xml:space="preserve">R$756,48</t>
  </si>
  <si>
    <t xml:space="preserve">R$5.372.518,09</t>
  </si>
  <si>
    <t xml:space="preserve">R$26.360.005,00</t>
  </si>
  <si>
    <t xml:space="preserve">R$34.333.891,06</t>
  </si>
  <si>
    <t xml:space="preserve">01/07/2017</t>
  </si>
  <si>
    <t xml:space="preserve">R$46.673,04</t>
  </si>
  <si>
    <t xml:space="preserve">R$949,53</t>
  </si>
  <si>
    <t xml:space="preserve">R$19.713.673,80</t>
  </si>
  <si>
    <t xml:space="preserve">R$33.190.703,00</t>
  </si>
  <si>
    <t xml:space="preserve">R$34.837.468,68</t>
  </si>
  <si>
    <t xml:space="preserve">04/07/2017</t>
  </si>
  <si>
    <t xml:space="preserve">R$30.735,95</t>
  </si>
  <si>
    <t xml:space="preserve">R$515,59</t>
  </si>
  <si>
    <t xml:space="preserve">R$22.544.615,97</t>
  </si>
  <si>
    <t xml:space="preserve">R$26.655.265,00</t>
  </si>
  <si>
    <t xml:space="preserve">R$35.241.888,99</t>
  </si>
  <si>
    <t xml:space="preserve">06/07/2017</t>
  </si>
  <si>
    <t xml:space="preserve">R$56.855,82</t>
  </si>
  <si>
    <t xml:space="preserve">R$871,25</t>
  </si>
  <si>
    <t xml:space="preserve">R$26.733.992,14</t>
  </si>
  <si>
    <t xml:space="preserve">R$39.445.854,00</t>
  </si>
  <si>
    <t xml:space="preserve">R$35.840.371,31</t>
  </si>
  <si>
    <t xml:space="preserve">08/07/2017</t>
  </si>
  <si>
    <t xml:space="preserve">R$41.438,63</t>
  </si>
  <si>
    <t xml:space="preserve">R$877,52</t>
  </si>
  <si>
    <t xml:space="preserve">R$31.543.054,69</t>
  </si>
  <si>
    <t xml:space="preserve">R$45.280.627,00</t>
  </si>
  <si>
    <t xml:space="preserve">R$36.527.380,26</t>
  </si>
  <si>
    <t xml:space="preserve">12/07/2017</t>
  </si>
  <si>
    <t xml:space="preserve">R$31.746,05</t>
  </si>
  <si>
    <t xml:space="preserve">R$629,96</t>
  </si>
  <si>
    <t xml:space="preserve">R$37.391.010,97</t>
  </si>
  <si>
    <t xml:space="preserve">R$55.062.525,00</t>
  </si>
  <si>
    <t xml:space="preserve">R$37.362.802,61</t>
  </si>
  <si>
    <t xml:space="preserve">15/07/2017</t>
  </si>
  <si>
    <t xml:space="preserve">R$29.304,32</t>
  </si>
  <si>
    <t xml:space="preserve">R$643,67</t>
  </si>
  <si>
    <t xml:space="preserve">R$59.931.164,62</t>
  </si>
  <si>
    <t xml:space="preserve">R$66.075.649,50</t>
  </si>
  <si>
    <t xml:space="preserve">R$68.000.000,00</t>
  </si>
  <si>
    <t xml:space="preserve">R$38.365.318,81</t>
  </si>
  <si>
    <t xml:space="preserve">19/07/2017</t>
  </si>
  <si>
    <t xml:space="preserve">R$52.163,05</t>
  </si>
  <si>
    <t xml:space="preserve">R$908,88</t>
  </si>
  <si>
    <t xml:space="preserve">R$68.387.070,06</t>
  </si>
  <si>
    <t xml:space="preserve">R$79.618.157,50</t>
  </si>
  <si>
    <t xml:space="preserve">R$78.000.000,00</t>
  </si>
  <si>
    <t xml:space="preserve">R$39.573.305,31</t>
  </si>
  <si>
    <t xml:space="preserve">22/07/2017</t>
  </si>
  <si>
    <t xml:space="preserve">R$26.220,25</t>
  </si>
  <si>
    <t xml:space="preserve">R$577,71</t>
  </si>
  <si>
    <t xml:space="preserve">R$78.481.864,51</t>
  </si>
  <si>
    <t xml:space="preserve">R$95.049.423,00</t>
  </si>
  <si>
    <t xml:space="preserve">R$41.015.418,83</t>
  </si>
  <si>
    <t xml:space="preserve">26/07/2017</t>
  </si>
  <si>
    <t xml:space="preserve">R$39.521,60</t>
  </si>
  <si>
    <t xml:space="preserve">R$780,72</t>
  </si>
  <si>
    <t xml:space="preserve">R$91.586.393,30</t>
  </si>
  <si>
    <t xml:space="preserve">R$123.388.139,00</t>
  </si>
  <si>
    <t xml:space="preserve">R$42.887.494,39</t>
  </si>
  <si>
    <t xml:space="preserve">29/07/2017</t>
  </si>
  <si>
    <t xml:space="preserve">R$107.956.102,12</t>
  </si>
  <si>
    <t xml:space="preserve">R$37.495,41</t>
  </si>
  <si>
    <t xml:space="preserve">R$747,28</t>
  </si>
  <si>
    <t xml:space="preserve">R$154.132.051,50</t>
  </si>
  <si>
    <t xml:space="preserve">R$45.226.024,24</t>
  </si>
  <si>
    <t xml:space="preserve">02/08/2017</t>
  </si>
  <si>
    <t xml:space="preserve">R$48.479,76</t>
  </si>
  <si>
    <t xml:space="preserve">R$892,55</t>
  </si>
  <si>
    <t xml:space="preserve">R$34.841.160,62</t>
  </si>
  <si>
    <t xml:space="preserve">R$26.907.720,00</t>
  </si>
  <si>
    <t xml:space="preserve">R$45.634.274,87</t>
  </si>
  <si>
    <t xml:space="preserve">05/08/2017</t>
  </si>
  <si>
    <t xml:space="preserve">R$22.299,78</t>
  </si>
  <si>
    <t xml:space="preserve">R$633,60</t>
  </si>
  <si>
    <t xml:space="preserve">R$40.879.706,35</t>
  </si>
  <si>
    <t xml:space="preserve">R$56.857.055,50</t>
  </si>
  <si>
    <t xml:space="preserve">R$46.496.924,27</t>
  </si>
  <si>
    <t xml:space="preserve">08/08/2017</t>
  </si>
  <si>
    <t xml:space="preserve">R$32.189,04</t>
  </si>
  <si>
    <t xml:space="preserve">R$45.267.579,56</t>
  </si>
  <si>
    <t xml:space="preserve">R$41.314.840,00</t>
  </si>
  <si>
    <t xml:space="preserve">R$47.123.763,31</t>
  </si>
  <si>
    <t xml:space="preserve">10/08/2017</t>
  </si>
  <si>
    <t xml:space="preserve">R$51.557.331,87</t>
  </si>
  <si>
    <t xml:space="preserve">R$34.841,20</t>
  </si>
  <si>
    <t xml:space="preserve">R$585,63</t>
  </si>
  <si>
    <t xml:space="preserve">R$59.222.338,00</t>
  </si>
  <si>
    <t xml:space="preserve">R$48.022.299,37</t>
  </si>
  <si>
    <t xml:space="preserve">12/08/2017</t>
  </si>
  <si>
    <t xml:space="preserve">R$52.452,50</t>
  </si>
  <si>
    <t xml:space="preserve">R$898,06</t>
  </si>
  <si>
    <t xml:space="preserve">R$3.091.936,52</t>
  </si>
  <si>
    <t xml:space="preserve">R$29.112.706,00</t>
  </si>
  <si>
    <t xml:space="preserve">R$48.464.004,61</t>
  </si>
  <si>
    <t xml:space="preserve">16/08/2017</t>
  </si>
  <si>
    <t xml:space="preserve">R$19.568,67</t>
  </si>
  <si>
    <t xml:space="preserve">R$21.061.112,37</t>
  </si>
  <si>
    <t xml:space="preserve">R$31.904.771,50</t>
  </si>
  <si>
    <t xml:space="preserve">R$48.948.071,75</t>
  </si>
  <si>
    <t xml:space="preserve">19/08/2017</t>
  </si>
  <si>
    <t xml:space="preserve">R$24.043,13</t>
  </si>
  <si>
    <t xml:space="preserve">R$598,69</t>
  </si>
  <si>
    <t xml:space="preserve">R$26.198.748,72</t>
  </si>
  <si>
    <t xml:space="preserve">R$48.374.375,00</t>
  </si>
  <si>
    <t xml:space="preserve">R$49.682.019,83</t>
  </si>
  <si>
    <t xml:space="preserve">23/08/2017</t>
  </si>
  <si>
    <t xml:space="preserve">R$52.327,94</t>
  </si>
  <si>
    <t xml:space="preserve">R$912,64</t>
  </si>
  <si>
    <t xml:space="preserve">R$31.500.395,41</t>
  </si>
  <si>
    <t xml:space="preserve">R$49.918.645,00</t>
  </si>
  <si>
    <t xml:space="preserve">R$50.439.397,94</t>
  </si>
  <si>
    <t xml:space="preserve">26/08/2017</t>
  </si>
  <si>
    <t xml:space="preserve">R$37.850,84</t>
  </si>
  <si>
    <t xml:space="preserve">R$723,09</t>
  </si>
  <si>
    <t xml:space="preserve">R$37.496.765,04</t>
  </si>
  <si>
    <t xml:space="preserve">R$56.459.938,50</t>
  </si>
  <si>
    <t xml:space="preserve">R$51.296.022,19</t>
  </si>
  <si>
    <t xml:space="preserve">30/08/2017</t>
  </si>
  <si>
    <t xml:space="preserve">R$41.892,88</t>
  </si>
  <si>
    <t xml:space="preserve">R$716,08</t>
  </si>
  <si>
    <t xml:space="preserve">R$43.670.452,21</t>
  </si>
  <si>
    <t xml:space="preserve">R$58.129.505,00</t>
  </si>
  <si>
    <t xml:space="preserve">R$52.177.977,51</t>
  </si>
  <si>
    <t xml:space="preserve">02/09/2017</t>
  </si>
  <si>
    <t xml:space="preserve">R$32.635,32</t>
  </si>
  <si>
    <t xml:space="preserve">R$704,06</t>
  </si>
  <si>
    <t xml:space="preserve">R$69.532.846,39</t>
  </si>
  <si>
    <t xml:space="preserve">R$67.359.876,50</t>
  </si>
  <si>
    <t xml:space="preserve">R$77.000.000,00</t>
  </si>
  <si>
    <t xml:space="preserve">R$53.199.978,32</t>
  </si>
  <si>
    <t xml:space="preserve">06/09/2017</t>
  </si>
  <si>
    <t xml:space="preserve">JARDIM/MS</t>
  </si>
  <si>
    <t xml:space="preserve">R$78.022.245,31</t>
  </si>
  <si>
    <t xml:space="preserve">R$47.025,82</t>
  </si>
  <si>
    <t xml:space="preserve">R$1.032,40</t>
  </si>
  <si>
    <t xml:space="preserve">R$79.933.521,50</t>
  </si>
  <si>
    <t xml:space="preserve">R$54.412.749,61</t>
  </si>
  <si>
    <t xml:space="preserve">09/09/2017</t>
  </si>
  <si>
    <t xml:space="preserve">R$47.097,01</t>
  </si>
  <si>
    <t xml:space="preserve">R$707,45</t>
  </si>
  <si>
    <t xml:space="preserve">R$2.515.971,84</t>
  </si>
  <si>
    <t xml:space="preserve">R$23.689.603,00</t>
  </si>
  <si>
    <t xml:space="preserve">R$54.772.174,17</t>
  </si>
  <si>
    <t xml:space="preserve">13/09/2017</t>
  </si>
  <si>
    <t xml:space="preserve">R$40.787,97</t>
  </si>
  <si>
    <t xml:space="preserve">R$789,14</t>
  </si>
  <si>
    <t xml:space="preserve">R$5.746.808,26</t>
  </si>
  <si>
    <t xml:space="preserve">R$30.420.544,00</t>
  </si>
  <si>
    <t xml:space="preserve">R$55.233.722,23</t>
  </si>
  <si>
    <t xml:space="preserve">16/09/2017</t>
  </si>
  <si>
    <t xml:space="preserve">R$46.060,89</t>
  </si>
  <si>
    <t xml:space="preserve">R$835,12</t>
  </si>
  <si>
    <t xml:space="preserve">R$9.819.560,22</t>
  </si>
  <si>
    <t xml:space="preserve">R$38.347.757,00</t>
  </si>
  <si>
    <t xml:space="preserve">R$55.815.543,95</t>
  </si>
  <si>
    <t xml:space="preserve">19/09/2017</t>
  </si>
  <si>
    <t xml:space="preserve">R$73.292,36</t>
  </si>
  <si>
    <t xml:space="preserve">R$1.047,55</t>
  </si>
  <si>
    <t xml:space="preserve">R$25.725.590,06</t>
  </si>
  <si>
    <t xml:space="preserve">R$25.424.658,00</t>
  </si>
  <si>
    <t xml:space="preserve">R$56.201.293,19</t>
  </si>
  <si>
    <t xml:space="preserve">21/09/2017</t>
  </si>
  <si>
    <t xml:space="preserve">R$25.762,24</t>
  </si>
  <si>
    <t xml:space="preserve">R$520,37</t>
  </si>
  <si>
    <t xml:space="preserve">R$29.854.328,64</t>
  </si>
  <si>
    <t xml:space="preserve">R$38.874.909,50</t>
  </si>
  <si>
    <t xml:space="preserve">R$56.791.113,01</t>
  </si>
  <si>
    <t xml:space="preserve">23/09/2017</t>
  </si>
  <si>
    <t xml:space="preserve">R$67.779,73</t>
  </si>
  <si>
    <t xml:space="preserve">R$943,83</t>
  </si>
  <si>
    <t xml:space="preserve">R$34.723.767,08</t>
  </si>
  <si>
    <t xml:space="preserve">R$45.849.107,50</t>
  </si>
  <si>
    <t xml:space="preserve">R$57.486.747,09</t>
  </si>
  <si>
    <t xml:space="preserve">27/09/2017</t>
  </si>
  <si>
    <t xml:space="preserve">R$36.786,15</t>
  </si>
  <si>
    <t xml:space="preserve">R$840,11</t>
  </si>
  <si>
    <t xml:space="preserve">R$40.483.704,13</t>
  </si>
  <si>
    <t xml:space="preserve">R$54.233.763,50</t>
  </si>
  <si>
    <t xml:space="preserve">R$58.309.595,26</t>
  </si>
  <si>
    <t xml:space="preserve">30/09/2017</t>
  </si>
  <si>
    <t xml:space="preserve">R$32.691,06</t>
  </si>
  <si>
    <t xml:space="preserve">R$704,30</t>
  </si>
  <si>
    <t xml:space="preserve">R$47.107.945,05</t>
  </si>
  <si>
    <t xml:space="preserve">R$62.371.778,00</t>
  </si>
  <si>
    <t xml:space="preserve">R$59.255.915,41</t>
  </si>
  <si>
    <t xml:space="preserve">04/10/2017</t>
  </si>
  <si>
    <t xml:space="preserve">ASSIS/SP</t>
  </si>
  <si>
    <t xml:space="preserve">R$54.268.048,74</t>
  </si>
  <si>
    <t xml:space="preserve">R$27.566,76</t>
  </si>
  <si>
    <t xml:space="preserve">R$617,38</t>
  </si>
  <si>
    <t xml:space="preserve">R$67.417.294,00</t>
  </si>
  <si>
    <t xml:space="preserve">R$60.278.787,38</t>
  </si>
  <si>
    <t xml:space="preserve">07/10/2017</t>
  </si>
  <si>
    <t xml:space="preserve">GUARULHOS/SP</t>
  </si>
  <si>
    <t xml:space="preserve">R$22.575.348,57</t>
  </si>
  <si>
    <t xml:space="preserve">R$33.102,68</t>
  </si>
  <si>
    <t xml:space="preserve">R$614,88</t>
  </si>
  <si>
    <t xml:space="preserve">R$43.635.819,50</t>
  </si>
  <si>
    <t xml:space="preserve">R$60.940.840,90</t>
  </si>
  <si>
    <t xml:space="preserve">11/10/2017</t>
  </si>
  <si>
    <t xml:space="preserve">R$24.797,36</t>
  </si>
  <si>
    <t xml:space="preserve">R$618,51</t>
  </si>
  <si>
    <t xml:space="preserve">R$2.832.119,78</t>
  </si>
  <si>
    <t xml:space="preserve">R$26.666.353,00</t>
  </si>
  <si>
    <t xml:space="preserve">R$61.345.429,46</t>
  </si>
  <si>
    <t xml:space="preserve">14/10/2017</t>
  </si>
  <si>
    <t xml:space="preserve">R$5.889.546,54</t>
  </si>
  <si>
    <t xml:space="preserve">R$18.238,97</t>
  </si>
  <si>
    <t xml:space="preserve">R$502,02</t>
  </si>
  <si>
    <t xml:space="preserve">R$28.787.773,00</t>
  </si>
  <si>
    <t xml:space="preserve">R$61.782.204,72</t>
  </si>
  <si>
    <t xml:space="preserve">17/10/2017</t>
  </si>
  <si>
    <t xml:space="preserve">R$30.492,05</t>
  </si>
  <si>
    <t xml:space="preserve">R$604,71</t>
  </si>
  <si>
    <t xml:space="preserve">R$1.628.917,22</t>
  </si>
  <si>
    <t xml:space="preserve">R$15.337.374,50</t>
  </si>
  <si>
    <t xml:space="preserve">R$62.014.907,20</t>
  </si>
  <si>
    <t xml:space="preserve">19/10/2017</t>
  </si>
  <si>
    <t xml:space="preserve">MUZAMBINHO/MG</t>
  </si>
  <si>
    <t xml:space="preserve">R$3.951.513,94</t>
  </si>
  <si>
    <t xml:space="preserve">R$39.401,20</t>
  </si>
  <si>
    <t xml:space="preserve">R$672,84</t>
  </si>
  <si>
    <t xml:space="preserve">R$21.868.843,50</t>
  </si>
  <si>
    <t xml:space="preserve">R$62.346.706,73</t>
  </si>
  <si>
    <t xml:space="preserve">21/10/2017</t>
  </si>
  <si>
    <t xml:space="preserve">R$22.167,05</t>
  </si>
  <si>
    <t xml:space="preserve">R$520,02</t>
  </si>
  <si>
    <t xml:space="preserve">R$12.243.066,43</t>
  </si>
  <si>
    <t xml:space="preserve">R$29.605.005,50</t>
  </si>
  <si>
    <t xml:space="preserve">R$62.795.881,26</t>
  </si>
  <si>
    <t xml:space="preserve">25/10/2017</t>
  </si>
  <si>
    <t xml:space="preserve">R$24.999,36</t>
  </si>
  <si>
    <t xml:space="preserve">R$582,09</t>
  </si>
  <si>
    <t xml:space="preserve">R$16.157.440,72</t>
  </si>
  <si>
    <t xml:space="preserve">R$36.856.522,50</t>
  </si>
  <si>
    <t xml:space="preserve">R$63.355.077,59</t>
  </si>
  <si>
    <t xml:space="preserve">28/10/2017</t>
  </si>
  <si>
    <t xml:space="preserve">R$20.777.195,15</t>
  </si>
  <si>
    <t xml:space="preserve">R$55.730,37</t>
  </si>
  <si>
    <t xml:space="preserve">R$864,54</t>
  </si>
  <si>
    <t xml:space="preserve">R$43.498.161,00</t>
  </si>
  <si>
    <t xml:space="preserve">R$64.015.042,52</t>
  </si>
  <si>
    <t xml:space="preserve">01/11/2017</t>
  </si>
  <si>
    <t xml:space="preserve">R$2.598.401,89</t>
  </si>
  <si>
    <t xml:space="preserve">R$19.322,76</t>
  </si>
  <si>
    <t xml:space="preserve">R$412,58</t>
  </si>
  <si>
    <t xml:space="preserve">R$24.465.738,50</t>
  </si>
  <si>
    <t xml:space="preserve">R$64.386.242,81</t>
  </si>
  <si>
    <t xml:space="preserve">04/11/2017</t>
  </si>
  <si>
    <t xml:space="preserve">R$104.873,13</t>
  </si>
  <si>
    <t xml:space="preserve">R$1.117,40</t>
  </si>
  <si>
    <t xml:space="preserve">R$13.064.010,38</t>
  </si>
  <si>
    <t xml:space="preserve">R$23.646.889,00</t>
  </si>
  <si>
    <t xml:space="preserve">R$64.745.019,31</t>
  </si>
  <si>
    <t xml:space="preserve">07/11/2017</t>
  </si>
  <si>
    <t xml:space="preserve">R$38.578,22</t>
  </si>
  <si>
    <t xml:space="preserve">R$792,65</t>
  </si>
  <si>
    <t xml:space="preserve">R$15.622.354,96</t>
  </si>
  <si>
    <t xml:space="preserve">R$24.088.571,50</t>
  </si>
  <si>
    <t xml:space="preserve">R$65.110.497,11</t>
  </si>
  <si>
    <t xml:space="preserve">09/11/2017</t>
  </si>
  <si>
    <t xml:space="preserve">R$46.212,57</t>
  </si>
  <si>
    <t xml:space="preserve">R$855,47</t>
  </si>
  <si>
    <t xml:space="preserve">R$19.112.620,03</t>
  </si>
  <si>
    <t xml:space="preserve">R$32.863.243,00</t>
  </si>
  <si>
    <t xml:space="preserve">R$65.609.106,42</t>
  </si>
  <si>
    <t xml:space="preserve">11/11/2017</t>
  </si>
  <si>
    <t xml:space="preserve">R$38.516,27</t>
  </si>
  <si>
    <t xml:space="preserve">R$828,15</t>
  </si>
  <si>
    <t xml:space="preserve">R$23.298.729,51</t>
  </si>
  <si>
    <t xml:space="preserve">R$39.415.096,00</t>
  </si>
  <si>
    <t xml:space="preserve">R$66.207.122,08</t>
  </si>
  <si>
    <t xml:space="preserve">16/11/2017</t>
  </si>
  <si>
    <t xml:space="preserve">R$29.177,91</t>
  </si>
  <si>
    <t xml:space="preserve">R$634,98</t>
  </si>
  <si>
    <t xml:space="preserve">R$27.974.872,76</t>
  </si>
  <si>
    <t xml:space="preserve">R$44.029.100,50</t>
  </si>
  <si>
    <t xml:space="preserve">R$66.875.142,54</t>
  </si>
  <si>
    <t xml:space="preserve">18/11/2017</t>
  </si>
  <si>
    <t xml:space="preserve">R$56.106,95</t>
  </si>
  <si>
    <t xml:space="preserve">R$1.148,53</t>
  </si>
  <si>
    <t xml:space="preserve">R$45.258.494,61</t>
  </si>
  <si>
    <t xml:space="preserve">R$45.738.399,00</t>
  </si>
  <si>
    <t xml:space="preserve">R$67.569.096,93</t>
  </si>
  <si>
    <t xml:space="preserve">22/11/2017</t>
  </si>
  <si>
    <t xml:space="preserve">R$41.488,51</t>
  </si>
  <si>
    <t xml:space="preserve">R$789,98</t>
  </si>
  <si>
    <t xml:space="preserve">R$51.219.738,92</t>
  </si>
  <si>
    <t xml:space="preserve">R$56.129.209,50</t>
  </si>
  <si>
    <t xml:space="preserve">R$68.420.703,27</t>
  </si>
  <si>
    <t xml:space="preserve">25/11/2017</t>
  </si>
  <si>
    <t xml:space="preserve">R$48.195,29</t>
  </si>
  <si>
    <t xml:space="preserve">R$895,32</t>
  </si>
  <si>
    <t xml:space="preserve">R$58.322.202,57</t>
  </si>
  <si>
    <t xml:space="preserve">R$66.874.573,50</t>
  </si>
  <si>
    <t xml:space="preserve">R$69.435.340,94</t>
  </si>
  <si>
    <t xml:space="preserve">29/11/2017</t>
  </si>
  <si>
    <t xml:space="preserve">CAMPOS BELOS/GO; ARAGUARI/MG</t>
  </si>
  <si>
    <t xml:space="preserve">R$32.953.918,65</t>
  </si>
  <si>
    <t xml:space="preserve">R$28.999,41</t>
  </si>
  <si>
    <t xml:space="preserve">R$515,80</t>
  </si>
  <si>
    <t xml:space="preserve">R$71.423.961,00</t>
  </si>
  <si>
    <t xml:space="preserve">R$70.519.003,07</t>
  </si>
  <si>
    <t xml:space="preserve">02/12/2017</t>
  </si>
  <si>
    <t xml:space="preserve">R$42.108,85</t>
  </si>
  <si>
    <t xml:space="preserve">R$765,93</t>
  </si>
  <si>
    <t xml:space="preserve">R$3.025.188,60</t>
  </si>
  <si>
    <t xml:space="preserve">R$28.484.228,50</t>
  </si>
  <si>
    <t xml:space="preserve">R$70.951.172,88</t>
  </si>
  <si>
    <t xml:space="preserve">06/12/2017</t>
  </si>
  <si>
    <t xml:space="preserve">R$35.175,84</t>
  </si>
  <si>
    <t xml:space="preserve">R$695,28</t>
  </si>
  <si>
    <t xml:space="preserve">R$23.288.225,90</t>
  </si>
  <si>
    <t xml:space="preserve">R$31.115.808,50</t>
  </si>
  <si>
    <t xml:space="preserve">R$71.423.269,68</t>
  </si>
  <si>
    <t xml:space="preserve">09/12/2017</t>
  </si>
  <si>
    <t xml:space="preserve">R$38.617,02</t>
  </si>
  <si>
    <t xml:space="preserve">R$752,27</t>
  </si>
  <si>
    <t xml:space="preserve">R$27.983.241,76</t>
  </si>
  <si>
    <t xml:space="preserve">R$44.206.799,00</t>
  </si>
  <si>
    <t xml:space="preserve">R$72.093.986,24</t>
  </si>
  <si>
    <t xml:space="preserve">13/12/2017</t>
  </si>
  <si>
    <t xml:space="preserve">R$19.401,81</t>
  </si>
  <si>
    <t xml:space="preserve">R$809,08</t>
  </si>
  <si>
    <t xml:space="preserve">R$33.129.825,41</t>
  </si>
  <si>
    <t xml:space="preserve">R$48.458.620,00</t>
  </si>
  <si>
    <t xml:space="preserve">R$72.829.212,49</t>
  </si>
  <si>
    <t xml:space="preserve">16/12/2017</t>
  </si>
  <si>
    <t xml:space="preserve">R$36.389,62</t>
  </si>
  <si>
    <t xml:space="preserve">R$711,89</t>
  </si>
  <si>
    <t xml:space="preserve">R$38.894.707,46</t>
  </si>
  <si>
    <t xml:space="preserve">R$54.280.324,00</t>
  </si>
  <si>
    <t xml:space="preserve">R$43.500.000,00</t>
  </si>
  <si>
    <t xml:space="preserve">R$73.652.767,08</t>
  </si>
  <si>
    <t xml:space="preserve">19/12/2017</t>
  </si>
  <si>
    <t xml:space="preserve">R$36.388,03</t>
  </si>
  <si>
    <t xml:space="preserve">R$659,24</t>
  </si>
  <si>
    <t xml:space="preserve">R$42.983.572,73</t>
  </si>
  <si>
    <t xml:space="preserve">R$38.499.475,00</t>
  </si>
  <si>
    <t xml:space="preserve">R$74.236.890,71</t>
  </si>
  <si>
    <t xml:space="preserve">21/12/2017</t>
  </si>
  <si>
    <t xml:space="preserve">R$39.877,23</t>
  </si>
  <si>
    <t xml:space="preserve">R$937,89</t>
  </si>
  <si>
    <t xml:space="preserve">R$139.099.571,93</t>
  </si>
  <si>
    <t xml:space="preserve">R$50.491.038,50</t>
  </si>
  <si>
    <t xml:space="preserve">31/12/2017</t>
  </si>
  <si>
    <t xml:space="preserve">Cruz das Almas/BA; Prado/BA; Uruçuca/BA; Carmo do Cajuru/MG; Contagem/MG; Belém/PA; Rio Azul/PR; São João do Triunfo/PR; Rio de Janeiro/RJ; Seropédica/RJ; Brusque/SC; Guarulhos/SP; São Paulo/SP</t>
  </si>
  <si>
    <t xml:space="preserve">R$18.042.279,04</t>
  </si>
  <si>
    <t xml:space="preserve">R$10.565,03</t>
  </si>
  <si>
    <t xml:space="preserve">R$423,12</t>
  </si>
  <si>
    <t xml:space="preserve">R$890.947.368,50</t>
  </si>
  <si>
    <t xml:space="preserve">03/01/2018</t>
  </si>
  <si>
    <t xml:space="preserve">R$85.088,83</t>
  </si>
  <si>
    <t xml:space="preserve">R$1.201,53</t>
  </si>
  <si>
    <t xml:space="preserve">R$1.880.911,11</t>
  </si>
  <si>
    <t xml:space="preserve">R$17.710.070,00</t>
  </si>
  <si>
    <t xml:space="preserve">R$268.701,61</t>
  </si>
  <si>
    <t xml:space="preserve">06/01/2018</t>
  </si>
  <si>
    <t xml:space="preserve">R$69.257,39</t>
  </si>
  <si>
    <t xml:space="preserve">R$1.072,51</t>
  </si>
  <si>
    <t xml:space="preserve">R$4.942.816,72</t>
  </si>
  <si>
    <t xml:space="preserve">R$28.829.944,50</t>
  </si>
  <si>
    <t xml:space="preserve">R$706.116,70</t>
  </si>
  <si>
    <t xml:space="preserve">10/01/2018</t>
  </si>
  <si>
    <t xml:space="preserve">R$109.937,90</t>
  </si>
  <si>
    <t xml:space="preserve">R$1.347,38</t>
  </si>
  <si>
    <t xml:space="preserve">R$8.183.091,48</t>
  </si>
  <si>
    <t xml:space="preserve">R$30.509.412,50</t>
  </si>
  <si>
    <t xml:space="preserve">R$1.169.013,11</t>
  </si>
  <si>
    <t xml:space="preserve">13/01/2018</t>
  </si>
  <si>
    <t xml:space="preserve">CURITIBA/PR; JULIO DE CASTILHOS/RS; SANTA RITA DO PASSA QUATRO/SP</t>
  </si>
  <si>
    <t xml:space="preserve">R$4.095.573,45</t>
  </si>
  <si>
    <t xml:space="preserve">R$28.198,54</t>
  </si>
  <si>
    <t xml:space="preserve">R$493,85</t>
  </si>
  <si>
    <t xml:space="preserve">R$38.638.484,50</t>
  </si>
  <si>
    <t xml:space="preserve">R$1.755.245,82</t>
  </si>
  <si>
    <t xml:space="preserve">17/01/2018</t>
  </si>
  <si>
    <t xml:space="preserve">R$42.875,50</t>
  </si>
  <si>
    <t xml:space="preserve">R$665,11</t>
  </si>
  <si>
    <t xml:space="preserve">R$11.198.253,50</t>
  </si>
  <si>
    <t xml:space="preserve">R$32.721.132,50</t>
  </si>
  <si>
    <t xml:space="preserve">R$2.251.699,00</t>
  </si>
  <si>
    <t xml:space="preserve">20/01/2018</t>
  </si>
  <si>
    <t xml:space="preserve">R$31.319,78</t>
  </si>
  <si>
    <t xml:space="preserve">R$577,58</t>
  </si>
  <si>
    <t xml:space="preserve">R$15.294.551,69</t>
  </si>
  <si>
    <t xml:space="preserve">R$38.569.461,00</t>
  </si>
  <si>
    <t xml:space="preserve">R$2.836.884,47</t>
  </si>
  <si>
    <t xml:space="preserve">24/01/2018</t>
  </si>
  <si>
    <t xml:space="preserve">R$53.296,38</t>
  </si>
  <si>
    <t xml:space="preserve">R$957,42</t>
  </si>
  <si>
    <t xml:space="preserve">R$19.418.008,50</t>
  </si>
  <si>
    <t xml:space="preserve">R$38.825.178,00</t>
  </si>
  <si>
    <t xml:space="preserve">R$3.425.949,74</t>
  </si>
  <si>
    <t xml:space="preserve">27/01/2018</t>
  </si>
  <si>
    <t xml:space="preserve">R$51.384,62</t>
  </si>
  <si>
    <t xml:space="preserve">R$853,36</t>
  </si>
  <si>
    <t xml:space="preserve">R$24.056.145,97</t>
  </si>
  <si>
    <t xml:space="preserve">R$43.671.250,00</t>
  </si>
  <si>
    <t xml:space="preserve">R$4.088.540,82</t>
  </si>
  <si>
    <t xml:space="preserve">31/01/2018</t>
  </si>
  <si>
    <t xml:space="preserve">R$59.350,17</t>
  </si>
  <si>
    <t xml:space="preserve">R$1.064,16</t>
  </si>
  <si>
    <t xml:space="preserve">R$42.512.967,40</t>
  </si>
  <si>
    <t xml:space="preserve">R$47.352.865,00</t>
  </si>
  <si>
    <t xml:space="preserve">R$4.806.990,28</t>
  </si>
  <si>
    <t xml:space="preserve">03/02/2018</t>
  </si>
  <si>
    <t xml:space="preserve">R$33.705,40</t>
  </si>
  <si>
    <t xml:space="preserve">R$686,38</t>
  </si>
  <si>
    <t xml:space="preserve">R$49.094.389,13</t>
  </si>
  <si>
    <t xml:space="preserve">R$61.968.606,00</t>
  </si>
  <si>
    <t xml:space="preserve">R$5.747.193,41</t>
  </si>
  <si>
    <t xml:space="preserve">06/02/2018</t>
  </si>
  <si>
    <t xml:space="preserve">R$21.054,02</t>
  </si>
  <si>
    <t xml:space="preserve">R$601,64</t>
  </si>
  <si>
    <t xml:space="preserve">R$53.709.650,58</t>
  </si>
  <si>
    <t xml:space="preserve">R$43.455.856,50</t>
  </si>
  <si>
    <t xml:space="preserve">R$6.406.516,49</t>
  </si>
  <si>
    <t xml:space="preserve">08/02/2018</t>
  </si>
  <si>
    <t xml:space="preserve">R$32.506,98</t>
  </si>
  <si>
    <t xml:space="preserve">R$727,72</t>
  </si>
  <si>
    <t xml:space="preserve">R$60.116.947,10</t>
  </si>
  <si>
    <t xml:space="preserve">R$60.329.097,50</t>
  </si>
  <si>
    <t xml:space="preserve">R$7.321.844,58</t>
  </si>
  <si>
    <t xml:space="preserve">10/02/2018</t>
  </si>
  <si>
    <t xml:space="preserve">R$25.057,74</t>
  </si>
  <si>
    <t xml:space="preserve">R$672,37</t>
  </si>
  <si>
    <t xml:space="preserve">R$67.456.226,93</t>
  </si>
  <si>
    <t xml:space="preserve">R$69.104.360,50</t>
  </si>
  <si>
    <t xml:space="preserve">R$71.000.000,00</t>
  </si>
  <si>
    <t xml:space="preserve">R$8.370.313,14</t>
  </si>
  <si>
    <t xml:space="preserve">14/02/2018</t>
  </si>
  <si>
    <t xml:space="preserve">R$65.621,53</t>
  </si>
  <si>
    <t xml:space="preserve">R$1.041,61</t>
  </si>
  <si>
    <t xml:space="preserve">R$92.190.618,41</t>
  </si>
  <si>
    <t xml:space="preserve">R$52.356.503,50</t>
  </si>
  <si>
    <t xml:space="preserve">R$9.164.679,05</t>
  </si>
  <si>
    <t xml:space="preserve">17/02/2018</t>
  </si>
  <si>
    <t xml:space="preserve">R$104.545.829,37</t>
  </si>
  <si>
    <t xml:space="preserve">R$51.593,19</t>
  </si>
  <si>
    <t xml:space="preserve">R$762,98</t>
  </si>
  <si>
    <t xml:space="preserve">R$116.332.797,00</t>
  </si>
  <si>
    <t xml:space="preserve">R$10.929.709,20</t>
  </si>
  <si>
    <t xml:space="preserve">21/02/2018</t>
  </si>
  <si>
    <t xml:space="preserve">R$23.975,93</t>
  </si>
  <si>
    <t xml:space="preserve">R$482,51</t>
  </si>
  <si>
    <t xml:space="preserve">R$2.826.635,42</t>
  </si>
  <si>
    <t xml:space="preserve">R$26.614.714,00</t>
  </si>
  <si>
    <t xml:space="preserve">R$6.200.000,00</t>
  </si>
  <si>
    <t xml:space="preserve">R$11.333.514,27</t>
  </si>
  <si>
    <t xml:space="preserve">24/02/2018</t>
  </si>
  <si>
    <t xml:space="preserve">R$16.317,17</t>
  </si>
  <si>
    <t xml:space="preserve">R$468,10</t>
  </si>
  <si>
    <t xml:space="preserve">R$6.523.761,62</t>
  </si>
  <si>
    <t xml:space="preserve">R$34.810.982,50</t>
  </si>
  <si>
    <t xml:space="preserve">R$11.861.675,17</t>
  </si>
  <si>
    <t xml:space="preserve">28/02/2018</t>
  </si>
  <si>
    <t xml:space="preserve">R$26.039,70</t>
  </si>
  <si>
    <t xml:space="preserve">R$662,42</t>
  </si>
  <si>
    <t xml:space="preserve">R$10.505.093,47</t>
  </si>
  <si>
    <t xml:space="preserve">R$37.486.974,00</t>
  </si>
  <si>
    <t xml:space="preserve">R$12.430.436,87</t>
  </si>
  <si>
    <t xml:space="preserve">03/03/2018</t>
  </si>
  <si>
    <t xml:space="preserve">R$48.889,92</t>
  </si>
  <si>
    <t xml:space="preserve">R$932,84</t>
  </si>
  <si>
    <t xml:space="preserve">R$32.794.593,50</t>
  </si>
  <si>
    <t xml:space="preserve">R$45.790.930,50</t>
  </si>
  <si>
    <t xml:space="preserve">R$13.125.188,27</t>
  </si>
  <si>
    <t xml:space="preserve">07/03/2018</t>
  </si>
  <si>
    <t xml:space="preserve">R$67.325,96</t>
  </si>
  <si>
    <t xml:space="preserve">R$976,66</t>
  </si>
  <si>
    <t xml:space="preserve">R$38.499.582,15</t>
  </si>
  <si>
    <t xml:space="preserve">R$53.716.386,50</t>
  </si>
  <si>
    <t xml:space="preserve">R$13.940.186,66</t>
  </si>
  <si>
    <t xml:space="preserve">10/03/2018</t>
  </si>
  <si>
    <t xml:space="preserve">R$35.079,74</t>
  </si>
  <si>
    <t xml:space="preserve">R$724,93</t>
  </si>
  <si>
    <t xml:space="preserve">R$45.026.259,92</t>
  </si>
  <si>
    <t xml:space="preserve">R$61.453.154,00</t>
  </si>
  <si>
    <t xml:space="preserve">R$14.872.569,21</t>
  </si>
  <si>
    <t xml:space="preserve">14/03/2018</t>
  </si>
  <si>
    <t xml:space="preserve">R$47.183,15</t>
  </si>
  <si>
    <t xml:space="preserve">R$839,50</t>
  </si>
  <si>
    <t xml:space="preserve">R$51.892.650,46</t>
  </si>
  <si>
    <t xml:space="preserve">R$64.651.783,00</t>
  </si>
  <si>
    <t xml:space="preserve">R$15.853.482,16</t>
  </si>
  <si>
    <t xml:space="preserve">17/03/2018</t>
  </si>
  <si>
    <t xml:space="preserve">Curitiba/PR; RIO DE JANEIRO/RJ</t>
  </si>
  <si>
    <t xml:space="preserve">R$29.864.355,95</t>
  </si>
  <si>
    <t xml:space="preserve">R$19.603,05</t>
  </si>
  <si>
    <t xml:space="preserve">R$446,11</t>
  </si>
  <si>
    <t xml:space="preserve">R$73.781.900,50</t>
  </si>
  <si>
    <t xml:space="preserve">R$16.972.919,52</t>
  </si>
  <si>
    <t xml:space="preserve">21/03/2018</t>
  </si>
  <si>
    <t xml:space="preserve">R$32.255,05</t>
  </si>
  <si>
    <t xml:space="preserve">R$643,75</t>
  </si>
  <si>
    <t xml:space="preserve">R$21.284.448,74</t>
  </si>
  <si>
    <t xml:space="preserve">R$25.175.416,00</t>
  </si>
  <si>
    <t xml:space="preserve">R$17.354.887,21</t>
  </si>
  <si>
    <t xml:space="preserve">24/03/2018</t>
  </si>
  <si>
    <t xml:space="preserve">R$47.718,26</t>
  </si>
  <si>
    <t xml:space="preserve">R$968,62</t>
  </si>
  <si>
    <t xml:space="preserve">R$25.943.257,19</t>
  </si>
  <si>
    <t xml:space="preserve">R$43.865.881,50</t>
  </si>
  <si>
    <t xml:space="preserve">R$18.020.431,29</t>
  </si>
  <si>
    <t xml:space="preserve">28/03/2018</t>
  </si>
  <si>
    <t xml:space="preserve">R$24.755,26</t>
  </si>
  <si>
    <t xml:space="preserve">R$583,39</t>
  </si>
  <si>
    <t xml:space="preserve">R$30.731.445,06</t>
  </si>
  <si>
    <t xml:space="preserve">R$45.084.077,50</t>
  </si>
  <si>
    <t xml:space="preserve">R$18.704.458,15</t>
  </si>
  <si>
    <t xml:space="preserve">31/03/2018</t>
  </si>
  <si>
    <t xml:space="preserve">R$32.815,34</t>
  </si>
  <si>
    <t xml:space="preserve">R$724,73</t>
  </si>
  <si>
    <t xml:space="preserve">R$35.325.592,81</t>
  </si>
  <si>
    <t xml:space="preserve">R$43.257.056,50</t>
  </si>
  <si>
    <t xml:space="preserve">R$19.360.764,99</t>
  </si>
  <si>
    <t xml:space="preserve">04/04/2018</t>
  </si>
  <si>
    <t xml:space="preserve">VIAMÃO/RS; PIRACICABA/SP; SÃO PAULO/SP</t>
  </si>
  <si>
    <t xml:space="preserve">R$10.251.126,97</t>
  </si>
  <si>
    <t xml:space="preserve">R$11.811,65</t>
  </si>
  <si>
    <t xml:space="preserve">R$446,34</t>
  </si>
  <si>
    <t xml:space="preserve">R$53.470.886,00</t>
  </si>
  <si>
    <t xml:space="preserve">R$20.172.038,59</t>
  </si>
  <si>
    <t xml:space="preserve">07/04/2018</t>
  </si>
  <si>
    <t xml:space="preserve">R$21.901,60</t>
  </si>
  <si>
    <t xml:space="preserve">R$554,90</t>
  </si>
  <si>
    <t xml:space="preserve">R$17.520.439,23</t>
  </si>
  <si>
    <t xml:space="preserve">R$29.630.352,50</t>
  </si>
  <si>
    <t xml:space="preserve">R$20.621.597,69</t>
  </si>
  <si>
    <t xml:space="preserve">11/04/2018</t>
  </si>
  <si>
    <t xml:space="preserve">UNAÍ/MG</t>
  </si>
  <si>
    <t xml:space="preserve">R$22.122.662,60</t>
  </si>
  <si>
    <t xml:space="preserve">R$39.656,35</t>
  </si>
  <si>
    <t xml:space="preserve">R$888,49</t>
  </si>
  <si>
    <t xml:space="preserve">R$43.333.094,00</t>
  </si>
  <si>
    <t xml:space="preserve">R$21.279.058,18</t>
  </si>
  <si>
    <t xml:space="preserve">14/04/2018</t>
  </si>
  <si>
    <t xml:space="preserve">R$36.807,99</t>
  </si>
  <si>
    <t xml:space="preserve">R$776,13</t>
  </si>
  <si>
    <t xml:space="preserve">R$3.254.601,23</t>
  </si>
  <si>
    <t xml:space="preserve">R$30.644.306,00</t>
  </si>
  <si>
    <t xml:space="preserve">R$21.744.001,22</t>
  </si>
  <si>
    <t xml:space="preserve">17/04/2018</t>
  </si>
  <si>
    <t xml:space="preserve">R$41.286,89</t>
  </si>
  <si>
    <t xml:space="preserve">R$767,46</t>
  </si>
  <si>
    <t xml:space="preserve">R$5.308.080,78</t>
  </si>
  <si>
    <t xml:space="preserve">R$19.334.920,50</t>
  </si>
  <si>
    <t xml:space="preserve">R$22.037.355,46</t>
  </si>
  <si>
    <t xml:space="preserve">20/04/2018</t>
  </si>
  <si>
    <t xml:space="preserve">R$9.349.630,55</t>
  </si>
  <si>
    <t xml:space="preserve">R$81.258,67</t>
  </si>
  <si>
    <t xml:space="preserve">R$860,11</t>
  </si>
  <si>
    <t xml:space="preserve">R$38.053.967,00</t>
  </si>
  <si>
    <t xml:space="preserve">R$22.614.719,73</t>
  </si>
  <si>
    <t xml:space="preserve">25/04/2018</t>
  </si>
  <si>
    <t xml:space="preserve">R$2.777.651,27</t>
  </si>
  <si>
    <t xml:space="preserve">R$16.942,34</t>
  </si>
  <si>
    <t xml:space="preserve">R$384,86</t>
  </si>
  <si>
    <t xml:space="preserve">R$26.153.494,50</t>
  </si>
  <si>
    <t xml:space="preserve">R$23.011.527,07</t>
  </si>
  <si>
    <t xml:space="preserve">28/04/2018</t>
  </si>
  <si>
    <t xml:space="preserve">R$58.611,61</t>
  </si>
  <si>
    <t xml:space="preserve">R$1.161,18</t>
  </si>
  <si>
    <t xml:space="preserve">R$14.510.533,22</t>
  </si>
  <si>
    <t xml:space="preserve">R$37.614.202,50</t>
  </si>
  <si>
    <t xml:space="preserve">R$23.582.219,13</t>
  </si>
  <si>
    <t xml:space="preserve">02/05/2018</t>
  </si>
  <si>
    <t xml:space="preserve">R$21.948,81</t>
  </si>
  <si>
    <t xml:space="preserve">R$427,46</t>
  </si>
  <si>
    <t xml:space="preserve">R$18.189.847,70</t>
  </si>
  <si>
    <t xml:space="preserve">R$34.643.273,00</t>
  </si>
  <si>
    <t xml:space="preserve">R$24.107.835,50</t>
  </si>
  <si>
    <t xml:space="preserve">05/05/2018</t>
  </si>
  <si>
    <t xml:space="preserve">R$58.276,76</t>
  </si>
  <si>
    <t xml:space="preserve">R$867,02</t>
  </si>
  <si>
    <t xml:space="preserve">R$23.342.740,19</t>
  </si>
  <si>
    <t xml:space="preserve">R$48.518.022,00</t>
  </si>
  <si>
    <t xml:space="preserve">R$24.843.963,02</t>
  </si>
  <si>
    <t xml:space="preserve">08/05/2018</t>
  </si>
  <si>
    <t xml:space="preserve">R$65.960,70</t>
  </si>
  <si>
    <t xml:space="preserve">R$953,18</t>
  </si>
  <si>
    <t xml:space="preserve">R$26.744.923,97</t>
  </si>
  <si>
    <t xml:space="preserve">R$32.033.897,00</t>
  </si>
  <si>
    <t xml:space="preserve">R$25.329.989,28</t>
  </si>
  <si>
    <t xml:space="preserve">10/05/2018</t>
  </si>
  <si>
    <t xml:space="preserve">R$28.718,92</t>
  </si>
  <si>
    <t xml:space="preserve">R$581,98</t>
  </si>
  <si>
    <t xml:space="preserve">R$44.786.421,27</t>
  </si>
  <si>
    <t xml:space="preserve">R$45.328.972,50</t>
  </si>
  <si>
    <t xml:space="preserve">R$26.017.731,74</t>
  </si>
  <si>
    <t xml:space="preserve">12/05/2018</t>
  </si>
  <si>
    <t xml:space="preserve">R$52.696,38</t>
  </si>
  <si>
    <t xml:space="preserve">R$887,99</t>
  </si>
  <si>
    <t xml:space="preserve">R$51.290.263,54</t>
  </si>
  <si>
    <t xml:space="preserve">R$61.238.142,00</t>
  </si>
  <si>
    <t xml:space="preserve">R$26.946.852,08</t>
  </si>
  <si>
    <t xml:space="preserve">16/05/2018</t>
  </si>
  <si>
    <t xml:space="preserve">R$58.932.070,38</t>
  </si>
  <si>
    <t xml:space="preserve">R$34.570,08</t>
  </si>
  <si>
    <t xml:space="preserve">R$636,55</t>
  </si>
  <si>
    <t xml:space="preserve">R$71.952.860,00</t>
  </si>
  <si>
    <t xml:space="preserve">R$28.038.538,79</t>
  </si>
  <si>
    <t xml:space="preserve">19/05/2018</t>
  </si>
  <si>
    <t xml:space="preserve">R$34.505,69</t>
  </si>
  <si>
    <t xml:space="preserve">R$767,66</t>
  </si>
  <si>
    <t xml:space="preserve">R$2.987.466,44</t>
  </si>
  <si>
    <t xml:space="preserve">R$28.129.048,50</t>
  </si>
  <si>
    <t xml:space="preserve">R$28.465.319,73</t>
  </si>
  <si>
    <t xml:space="preserve">23/05/2018</t>
  </si>
  <si>
    <t xml:space="preserve">R$88.579,73</t>
  </si>
  <si>
    <t xml:space="preserve">R$1.064,79</t>
  </si>
  <si>
    <t xml:space="preserve">R$6.087.756,99</t>
  </si>
  <si>
    <t xml:space="preserve">R$29.191.365,00</t>
  </si>
  <si>
    <t xml:space="preserve">R$28.908.218,39</t>
  </si>
  <si>
    <t xml:space="preserve">26/05/2018</t>
  </si>
  <si>
    <t xml:space="preserve">R$39.699,63</t>
  </si>
  <si>
    <t xml:space="preserve">R$769,37</t>
  </si>
  <si>
    <t xml:space="preserve">R$24.641.743,07</t>
  </si>
  <si>
    <t xml:space="preserve">R$33.740.301,00</t>
  </si>
  <si>
    <t xml:space="preserve">R$29.420.134,65</t>
  </si>
  <si>
    <t xml:space="preserve">30/05/2018</t>
  </si>
  <si>
    <t xml:space="preserve">PRIMEIRO DE MAIO/PR</t>
  </si>
  <si>
    <t xml:space="preserve">R$29.066.470,84</t>
  </si>
  <si>
    <t xml:space="preserve">R$34.314,21</t>
  </si>
  <si>
    <t xml:space="preserve">R$875,13</t>
  </si>
  <si>
    <t xml:space="preserve">R$41.661.851,00</t>
  </si>
  <si>
    <t xml:space="preserve">R$30.052.238,63</t>
  </si>
  <si>
    <t xml:space="preserve">02/06/2018</t>
  </si>
  <si>
    <t xml:space="preserve">R$17.146,56</t>
  </si>
  <si>
    <t xml:space="preserve">R$423,24</t>
  </si>
  <si>
    <t xml:space="preserve">R$2.526.861,75</t>
  </si>
  <si>
    <t xml:space="preserve">R$23.792.139,00</t>
  </si>
  <si>
    <t xml:space="preserve">R$30.413.218,90</t>
  </si>
  <si>
    <t xml:space="preserve">06/06/2018</t>
  </si>
  <si>
    <t xml:space="preserve">R$55.914,69</t>
  </si>
  <si>
    <t xml:space="preserve">R$1.002,65</t>
  </si>
  <si>
    <t xml:space="preserve">R$5.616.883,91</t>
  </si>
  <si>
    <t xml:space="preserve">R$29.094.681,00</t>
  </si>
  <si>
    <t xml:space="preserve">R$30.854.650,64</t>
  </si>
  <si>
    <t xml:space="preserve">09/06/2018</t>
  </si>
  <si>
    <t xml:space="preserve">R$57.189,69</t>
  </si>
  <si>
    <t xml:space="preserve">R$814,50</t>
  </si>
  <si>
    <t xml:space="preserve">R$9.409.463,36</t>
  </si>
  <si>
    <t xml:space="preserve">R$35.709.740,50</t>
  </si>
  <si>
    <t xml:space="preserve">R$31.396.447,72</t>
  </si>
  <si>
    <t xml:space="preserve">13/06/2018</t>
  </si>
  <si>
    <t xml:space="preserve">R$41.855,71</t>
  </si>
  <si>
    <t xml:space="preserve">R$694,94</t>
  </si>
  <si>
    <t xml:space="preserve">R$24.258.030,47</t>
  </si>
  <si>
    <t xml:space="preserve">R$35.572.736,50</t>
  </si>
  <si>
    <t xml:space="preserve">R$31.936.166,14</t>
  </si>
  <si>
    <t xml:space="preserve">16/06/2018</t>
  </si>
  <si>
    <t xml:space="preserve">R$75.709,93</t>
  </si>
  <si>
    <t xml:space="preserve">R$1.038,79</t>
  </si>
  <si>
    <t xml:space="preserve">R$28.999.862,98</t>
  </si>
  <si>
    <t xml:space="preserve">R$44.647.610,00</t>
  </si>
  <si>
    <t xml:space="preserve">R$32.613.570,80</t>
  </si>
  <si>
    <t xml:space="preserve">20/06/2018</t>
  </si>
  <si>
    <t xml:space="preserve">R$55.764,52</t>
  </si>
  <si>
    <t xml:space="preserve">R$697,87</t>
  </si>
  <si>
    <t xml:space="preserve">R$33.725.171,79</t>
  </si>
  <si>
    <t xml:space="preserve">R$44.492.028,00</t>
  </si>
  <si>
    <t xml:space="preserve">R$33.288.614,92</t>
  </si>
  <si>
    <t xml:space="preserve">23/06/2018</t>
  </si>
  <si>
    <t xml:space="preserve">SALVADOR/BA; MARANGUAPE/CE; MARABÁ/PA; CANOAS/RS</t>
  </si>
  <si>
    <t xml:space="preserve">R$9.627.559,21</t>
  </si>
  <si>
    <t xml:space="preserve">R$17.089,52</t>
  </si>
  <si>
    <t xml:space="preserve">R$770,52</t>
  </si>
  <si>
    <t xml:space="preserve">R$45.054.674,00</t>
  </si>
  <si>
    <t xml:space="preserve">R$33.972.195,67</t>
  </si>
  <si>
    <t xml:space="preserve">27/06/2018</t>
  </si>
  <si>
    <t xml:space="preserve">R$66.063,41</t>
  </si>
  <si>
    <t xml:space="preserve">R$1.014,15</t>
  </si>
  <si>
    <t xml:space="preserve">R$2.068.827,88</t>
  </si>
  <si>
    <t xml:space="preserve">R$19.479.435,50</t>
  </si>
  <si>
    <t xml:space="preserve">R$34.267.742,53</t>
  </si>
  <si>
    <t xml:space="preserve">30/06/2018</t>
  </si>
  <si>
    <t xml:space="preserve">R$20.194,81</t>
  </si>
  <si>
    <t xml:space="preserve">R$440,70</t>
  </si>
  <si>
    <t xml:space="preserve">R$17.174.516,94</t>
  </si>
  <si>
    <t xml:space="preserve">R$28.021.805,00</t>
  </si>
  <si>
    <t xml:space="preserve">R$34.692.896,33</t>
  </si>
  <si>
    <t xml:space="preserve">03/07/2018</t>
  </si>
  <si>
    <t xml:space="preserve">R$31.190,36</t>
  </si>
  <si>
    <t xml:space="preserve">R$827,00</t>
  </si>
  <si>
    <t xml:space="preserve">R$19.530.209,77</t>
  </si>
  <si>
    <t xml:space="preserve">R$22.180.466,00</t>
  </si>
  <si>
    <t xml:space="preserve">R$35.029.423,90</t>
  </si>
  <si>
    <t xml:space="preserve">05/07/2018</t>
  </si>
  <si>
    <t xml:space="preserve">R$24.597,04</t>
  </si>
  <si>
    <t xml:space="preserve">R$570,54</t>
  </si>
  <si>
    <t xml:space="preserve">R$23.155.036,03</t>
  </si>
  <si>
    <t xml:space="preserve">R$34.130.229,00</t>
  </si>
  <si>
    <t xml:space="preserve">R$35.547.256,24</t>
  </si>
  <si>
    <t xml:space="preserve">07/07/2018</t>
  </si>
  <si>
    <t xml:space="preserve">R$46.108,12</t>
  </si>
  <si>
    <t xml:space="preserve">R$677,06</t>
  </si>
  <si>
    <t xml:space="preserve">R$26.722.348,27</t>
  </si>
  <si>
    <t xml:space="preserve">R$33.588.695,00</t>
  </si>
  <si>
    <t xml:space="preserve">R$36.056.872,29</t>
  </si>
  <si>
    <t xml:space="preserve">11/07/2018</t>
  </si>
  <si>
    <t xml:space="preserve">R$30.543,83</t>
  </si>
  <si>
    <t xml:space="preserve">R$650,29</t>
  </si>
  <si>
    <t xml:space="preserve">R$31.279.809,85</t>
  </si>
  <si>
    <t xml:space="preserve">R$42.911.631,00</t>
  </si>
  <si>
    <t xml:space="preserve">R$36.707.938,23</t>
  </si>
  <si>
    <t xml:space="preserve">14/07/2018</t>
  </si>
  <si>
    <t xml:space="preserve">R$39.904,70</t>
  </si>
  <si>
    <t xml:space="preserve">R$789,19</t>
  </si>
  <si>
    <t xml:space="preserve">R$49.363.979,62</t>
  </si>
  <si>
    <t xml:space="preserve">R$53.294.356,50</t>
  </si>
  <si>
    <t xml:space="preserve">R$37.516.533,48</t>
  </si>
  <si>
    <t xml:space="preserve">18/07/2018</t>
  </si>
  <si>
    <t xml:space="preserve">R$19.455,08</t>
  </si>
  <si>
    <t xml:space="preserve">R$603,20</t>
  </si>
  <si>
    <t xml:space="preserve">R$56.029.903,37</t>
  </si>
  <si>
    <t xml:space="preserve">R$62.764.250,50</t>
  </si>
  <si>
    <t xml:space="preserve">R$38.468.808,32</t>
  </si>
  <si>
    <t xml:space="preserve">21/07/2018</t>
  </si>
  <si>
    <t xml:space="preserve">R$45.677,31</t>
  </si>
  <si>
    <t xml:space="preserve">R$879,62</t>
  </si>
  <si>
    <t xml:space="preserve">R$63.855.146,65</t>
  </si>
  <si>
    <t xml:space="preserve">R$73.680.040,00</t>
  </si>
  <si>
    <t xml:space="preserve">R$39.586.700,23</t>
  </si>
  <si>
    <t xml:space="preserve">25/07/2018</t>
  </si>
  <si>
    <t xml:space="preserve">SÃO LUIS/MA</t>
  </si>
  <si>
    <t xml:space="preserve">R$73.450.153,75</t>
  </si>
  <si>
    <t xml:space="preserve">R$27.128,74</t>
  </si>
  <si>
    <t xml:space="preserve">R$539,04</t>
  </si>
  <si>
    <t xml:space="preserve">R$90.343.582,00</t>
  </si>
  <si>
    <t xml:space="preserve">R$40.957.415,53</t>
  </si>
  <si>
    <t xml:space="preserve">28/07/2018</t>
  </si>
  <si>
    <t xml:space="preserve">R$16.561,93</t>
  </si>
  <si>
    <t xml:space="preserve">R$403,56</t>
  </si>
  <si>
    <t xml:space="preserve">R$2.867.828,70</t>
  </si>
  <si>
    <t xml:space="preserve">R$27.002.577,00</t>
  </si>
  <si>
    <t xml:space="preserve">R$41.367.105,36</t>
  </si>
  <si>
    <t xml:space="preserve">01/08/2018</t>
  </si>
  <si>
    <t xml:space="preserve">R$24.717,90</t>
  </si>
  <si>
    <t xml:space="preserve">R$725,20</t>
  </si>
  <si>
    <t xml:space="preserve">R$24.852.796,86</t>
  </si>
  <si>
    <t xml:space="preserve">R$29.153.250,00</t>
  </si>
  <si>
    <t xml:space="preserve">R$41.809.425,73</t>
  </si>
  <si>
    <t xml:space="preserve">04/08/2018</t>
  </si>
  <si>
    <t xml:space="preserve">R$37.180,01</t>
  </si>
  <si>
    <t xml:space="preserve">R$802,13</t>
  </si>
  <si>
    <t xml:space="preserve">R$29.921.018,95</t>
  </si>
  <si>
    <t xml:space="preserve">R$47.720.792,00</t>
  </si>
  <si>
    <t xml:space="preserve">R$42.533.457,47</t>
  </si>
  <si>
    <t xml:space="preserve">08/08/2018</t>
  </si>
  <si>
    <t xml:space="preserve">R$35.155.103,28</t>
  </si>
  <si>
    <t xml:space="preserve">R$27.320,77</t>
  </si>
  <si>
    <t xml:space="preserve">R$552,63</t>
  </si>
  <si>
    <t xml:space="preserve">R$49.282.499,00</t>
  </si>
  <si>
    <t xml:space="preserve">R$43.281.183,82</t>
  </si>
  <si>
    <t xml:space="preserve">11/08/2018</t>
  </si>
  <si>
    <t xml:space="preserve">R$28.876,29</t>
  </si>
  <si>
    <t xml:space="preserve">R$614,25</t>
  </si>
  <si>
    <t xml:space="preserve">R$3.032.010,41</t>
  </si>
  <si>
    <t xml:space="preserve">R$28.548.460,50</t>
  </si>
  <si>
    <t xml:space="preserve">R$43.714.328,19</t>
  </si>
  <si>
    <t xml:space="preserve">14/08/2018</t>
  </si>
  <si>
    <t xml:space="preserve">R$24.333,27</t>
  </si>
  <si>
    <t xml:space="preserve">R$648,43</t>
  </si>
  <si>
    <t xml:space="preserve">R$5.093.935,07</t>
  </si>
  <si>
    <t xml:space="preserve">R$19.414.437,00</t>
  </si>
  <si>
    <t xml:space="preserve">R$44.008.888,87</t>
  </si>
  <si>
    <t xml:space="preserve">16/08/2018</t>
  </si>
  <si>
    <t xml:space="preserve">R$30.930,59</t>
  </si>
  <si>
    <t xml:space="preserve">R$583,00</t>
  </si>
  <si>
    <t xml:space="preserve">R$19.225.577,56</t>
  </si>
  <si>
    <t xml:space="preserve">R$25.751.106,50</t>
  </si>
  <si>
    <t xml:space="preserve">R$44.399.591,08</t>
  </si>
  <si>
    <t xml:space="preserve">18/08/2018</t>
  </si>
  <si>
    <t xml:space="preserve">R$25.629,96</t>
  </si>
  <si>
    <t xml:space="preserve">R$543,96</t>
  </si>
  <si>
    <t xml:space="preserve">R$23.191.475,97</t>
  </si>
  <si>
    <t xml:space="preserve">R$37.341.657,50</t>
  </si>
  <si>
    <t xml:space="preserve">R$44.966.148,01</t>
  </si>
  <si>
    <t xml:space="preserve">22/08/2018</t>
  </si>
  <si>
    <t xml:space="preserve">R$75.294,40</t>
  </si>
  <si>
    <t xml:space="preserve">R$944,04</t>
  </si>
  <si>
    <t xml:space="preserve">R$27.768.582,95</t>
  </si>
  <si>
    <t xml:space="preserve">R$43.096.606,00</t>
  </si>
  <si>
    <t xml:space="preserve">R$45.620.020,45</t>
  </si>
  <si>
    <t xml:space="preserve">25/08/2018</t>
  </si>
  <si>
    <t xml:space="preserve">R$21.303,29</t>
  </si>
  <si>
    <t xml:space="preserve">R$463,71</t>
  </si>
  <si>
    <t xml:space="preserve">R$33.066.374,91</t>
  </si>
  <si>
    <t xml:space="preserve">R$49.882.350,00</t>
  </si>
  <si>
    <t xml:space="preserve">R$46.376.847,88</t>
  </si>
  <si>
    <t xml:space="preserve">29/08/2018</t>
  </si>
  <si>
    <t xml:space="preserve">R$36.914,78</t>
  </si>
  <si>
    <t xml:space="preserve">R$790,78</t>
  </si>
  <si>
    <t xml:space="preserve">R$38.506.447,56</t>
  </si>
  <si>
    <t xml:space="preserve">R$51.222.020,50</t>
  </si>
  <si>
    <t xml:space="preserve">R$47.154.001,13</t>
  </si>
  <si>
    <t xml:space="preserve">01/09/2018</t>
  </si>
  <si>
    <t xml:space="preserve">PASSOS/MG; SÃO SEBASTIÃO/SP</t>
  </si>
  <si>
    <t xml:space="preserve">R$22.327.541,33</t>
  </si>
  <si>
    <t xml:space="preserve">R$19.405,99</t>
  </si>
  <si>
    <t xml:space="preserve">R$541,11</t>
  </si>
  <si>
    <t xml:space="preserve">R$57.893.622,50</t>
  </si>
  <si>
    <t xml:space="preserve">R$48.032.377,59</t>
  </si>
  <si>
    <t xml:space="preserve">05/09/2018</t>
  </si>
  <si>
    <t xml:space="preserve">R$21.221,93</t>
  </si>
  <si>
    <t xml:space="preserve">R$517,87</t>
  </si>
  <si>
    <t xml:space="preserve">R$19.815.375,66</t>
  </si>
  <si>
    <t xml:space="preserve">R$36.072.582,00</t>
  </si>
  <si>
    <t xml:space="preserve">R$48.579.679,79</t>
  </si>
  <si>
    <t xml:space="preserve">08/09/2018</t>
  </si>
  <si>
    <t xml:space="preserve">R$22.660,94</t>
  </si>
  <si>
    <t xml:space="preserve">R$519,02</t>
  </si>
  <si>
    <t xml:space="preserve">R$23.405.346,10</t>
  </si>
  <si>
    <t xml:space="preserve">R$33.802.037,50</t>
  </si>
  <si>
    <t xml:space="preserve">R$49.092.532,72</t>
  </si>
  <si>
    <t xml:space="preserve">12/09/2018</t>
  </si>
  <si>
    <t xml:space="preserve">ARAPUTANGA/MT</t>
  </si>
  <si>
    <t xml:space="preserve">R$27.758.694,68</t>
  </si>
  <si>
    <t xml:space="preserve">R$20.198,69</t>
  </si>
  <si>
    <t xml:space="preserve">R$555,27</t>
  </si>
  <si>
    <t xml:space="preserve">R$40.989.767,00</t>
  </si>
  <si>
    <t xml:space="preserve">R$49.714.439,67</t>
  </si>
  <si>
    <t xml:space="preserve">15/09/2018</t>
  </si>
  <si>
    <t xml:space="preserve">R$58.827,22</t>
  </si>
  <si>
    <t xml:space="preserve">R$804,79</t>
  </si>
  <si>
    <t xml:space="preserve">R$2.817.514,15</t>
  </si>
  <si>
    <t xml:space="preserve">R$26.528.831,00</t>
  </si>
  <si>
    <t xml:space="preserve">R$50.116.941,72</t>
  </si>
  <si>
    <t xml:space="preserve">18/09/2018</t>
  </si>
  <si>
    <t xml:space="preserve">R$43.305,35</t>
  </si>
  <si>
    <t xml:space="preserve">R$846,45</t>
  </si>
  <si>
    <t xml:space="preserve">R$14.977.664,94</t>
  </si>
  <si>
    <t xml:space="preserve">R$17.275.706,00</t>
  </si>
  <si>
    <t xml:space="preserve">R$50.379.053,04</t>
  </si>
  <si>
    <t xml:space="preserve">20/09/2018</t>
  </si>
  <si>
    <t xml:space="preserve">R$43.325,46</t>
  </si>
  <si>
    <t xml:space="preserve">R$813,26</t>
  </si>
  <si>
    <t xml:space="preserve">R$18.010.447,03</t>
  </si>
  <si>
    <t xml:space="preserve">R$28.555.726,50</t>
  </si>
  <si>
    <t xml:space="preserve">R$50.812.307,63</t>
  </si>
  <si>
    <t xml:space="preserve">22/09/2018</t>
  </si>
  <si>
    <t xml:space="preserve">ITAGUARA/MG</t>
  </si>
  <si>
    <t xml:space="preserve">R$21.763.750,54</t>
  </si>
  <si>
    <t xml:space="preserve">R$15.918,03</t>
  </si>
  <si>
    <t xml:space="preserve">R$678,96</t>
  </si>
  <si>
    <t xml:space="preserve">R$35.339.930,50</t>
  </si>
  <si>
    <t xml:space="preserve">R$51.348.493,85</t>
  </si>
  <si>
    <t xml:space="preserve">26/09/2018</t>
  </si>
  <si>
    <t xml:space="preserve">R$2.420.701,10</t>
  </si>
  <si>
    <t xml:space="preserve">R$41.065,46</t>
  </si>
  <si>
    <t xml:space="preserve">R$711,09</t>
  </si>
  <si>
    <t xml:space="preserve">R$22.792.563,50</t>
  </si>
  <si>
    <t xml:space="preserve">R$51.694.308,31</t>
  </si>
  <si>
    <t xml:space="preserve">29/09/2018</t>
  </si>
  <si>
    <t xml:space="preserve">R$18.316,40</t>
  </si>
  <si>
    <t xml:space="preserve">R$531,97</t>
  </si>
  <si>
    <t xml:space="preserve">R$2.699.258,48</t>
  </si>
  <si>
    <t xml:space="preserve">R$25.415.372,50</t>
  </si>
  <si>
    <t xml:space="preserve">R$52.079.916,68</t>
  </si>
  <si>
    <t xml:space="preserve">03/10/2018</t>
  </si>
  <si>
    <t xml:space="preserve">R$32.980,17</t>
  </si>
  <si>
    <t xml:space="preserve">R$847,95</t>
  </si>
  <si>
    <t xml:space="preserve">R$14.932.202,45</t>
  </si>
  <si>
    <t xml:space="preserve">R$27.457.472,00</t>
  </si>
  <si>
    <t xml:space="preserve">R$52.496.508,29</t>
  </si>
  <si>
    <t xml:space="preserve">06/10/2018</t>
  </si>
  <si>
    <t xml:space="preserve">R$36.356,37</t>
  </si>
  <si>
    <t xml:space="preserve">R$694,52</t>
  </si>
  <si>
    <t xml:space="preserve">R$19.218.427,31</t>
  </si>
  <si>
    <t xml:space="preserve">R$40.357.751,00</t>
  </si>
  <si>
    <t xml:space="preserve">R$53.108.826,15</t>
  </si>
  <si>
    <t xml:space="preserve">10/10/2018</t>
  </si>
  <si>
    <t xml:space="preserve">R$68.459,21</t>
  </si>
  <si>
    <t xml:space="preserve">R$741,07</t>
  </si>
  <si>
    <t xml:space="preserve">R$23.380.026,68</t>
  </si>
  <si>
    <t xml:space="preserve">R$39.184.316,50</t>
  </si>
  <si>
    <t xml:space="preserve">R$53.703.340,35</t>
  </si>
  <si>
    <t xml:space="preserve">13/10/2018</t>
  </si>
  <si>
    <t xml:space="preserve">MARABÁ/PA</t>
  </si>
  <si>
    <t xml:space="preserve">R$27.364.769,44</t>
  </si>
  <si>
    <t xml:space="preserve">R$41.598,96</t>
  </si>
  <si>
    <t xml:space="preserve">R$630,91</t>
  </si>
  <si>
    <t xml:space="preserve">R$37.519.090,00</t>
  </si>
  <si>
    <t xml:space="preserve">R$54.272.589,33</t>
  </si>
  <si>
    <t xml:space="preserve">17/10/2018</t>
  </si>
  <si>
    <t xml:space="preserve">CASTRO ALVES/BA</t>
  </si>
  <si>
    <t xml:space="preserve">R$2.526.635,00</t>
  </si>
  <si>
    <t xml:space="preserve">R$24.492,89</t>
  </si>
  <si>
    <t xml:space="preserve">R$600,68</t>
  </si>
  <si>
    <t xml:space="preserve">R$23.790.004,00</t>
  </si>
  <si>
    <t xml:space="preserve">R$54.633.537,21</t>
  </si>
  <si>
    <t xml:space="preserve">20/10/2018</t>
  </si>
  <si>
    <t xml:space="preserve">R$53.143,74</t>
  </si>
  <si>
    <t xml:space="preserve">R$826,14</t>
  </si>
  <si>
    <t xml:space="preserve">R$14.026.432,08</t>
  </si>
  <si>
    <t xml:space="preserve">R$26.731.082,00</t>
  </si>
  <si>
    <t xml:space="preserve">R$55.039.107,86</t>
  </si>
  <si>
    <t xml:space="preserve">23/10/2018</t>
  </si>
  <si>
    <t xml:space="preserve">R$32.027,59</t>
  </si>
  <si>
    <t xml:space="preserve">R$739,90</t>
  </si>
  <si>
    <t xml:space="preserve">R$16.563.354,06</t>
  </si>
  <si>
    <t xml:space="preserve">R$23.886.863,00</t>
  </si>
  <si>
    <t xml:space="preserve">R$55.401.525,29</t>
  </si>
  <si>
    <t xml:space="preserve">25/10/2018</t>
  </si>
  <si>
    <t xml:space="preserve">R$20.024.894,84</t>
  </si>
  <si>
    <t xml:space="preserve">R$25.054,96</t>
  </si>
  <si>
    <t xml:space="preserve">R$696,35</t>
  </si>
  <si>
    <t xml:space="preserve">R$32.592.784,00</t>
  </si>
  <si>
    <t xml:space="preserve">R$55.896.031,13</t>
  </si>
  <si>
    <t xml:space="preserve">27/10/2018</t>
  </si>
  <si>
    <t xml:space="preserve">R$7.503,65</t>
  </si>
  <si>
    <t xml:space="preserve">R$283,84</t>
  </si>
  <si>
    <t xml:space="preserve">R$2.418.938,40</t>
  </si>
  <si>
    <t xml:space="preserve">R$22.775.966,50</t>
  </si>
  <si>
    <t xml:space="preserve">R$56.241.593,77</t>
  </si>
  <si>
    <t xml:space="preserve">31/10/2018</t>
  </si>
  <si>
    <t xml:space="preserve">R$33.553,03</t>
  </si>
  <si>
    <t xml:space="preserve">R$694,02</t>
  </si>
  <si>
    <t xml:space="preserve">R$5.262.116,11</t>
  </si>
  <si>
    <t xml:space="preserve">R$26.770.471,00</t>
  </si>
  <si>
    <t xml:space="preserve">R$56.647.762,03</t>
  </si>
  <si>
    <t xml:space="preserve">03/11/2018</t>
  </si>
  <si>
    <t xml:space="preserve">R$26.830,90</t>
  </si>
  <si>
    <t xml:space="preserve">R$558,69</t>
  </si>
  <si>
    <t xml:space="preserve">R$17.652.712,20</t>
  </si>
  <si>
    <t xml:space="preserve">R$30.714.652,50</t>
  </si>
  <si>
    <t xml:space="preserve">R$57.113.772,39</t>
  </si>
  <si>
    <t xml:space="preserve">07/11/2018</t>
  </si>
  <si>
    <t xml:space="preserve">R$30.872,83</t>
  </si>
  <si>
    <t xml:space="preserve">R$22.088.650,30</t>
  </si>
  <si>
    <t xml:space="preserve">R$41.767.404,00</t>
  </si>
  <si>
    <t xml:space="preserve">R$57.747.477,85</t>
  </si>
  <si>
    <t xml:space="preserve">10/11/2018</t>
  </si>
  <si>
    <t xml:space="preserve">R$14.941,13</t>
  </si>
  <si>
    <t xml:space="preserve">R$364,20</t>
  </si>
  <si>
    <t xml:space="preserve">R$27.180.430,89</t>
  </si>
  <si>
    <t xml:space="preserve">R$47.942.611,50</t>
  </si>
  <si>
    <t xml:space="preserve">R$58.474.875,10</t>
  </si>
  <si>
    <t xml:space="preserve">14/11/2018</t>
  </si>
  <si>
    <t xml:space="preserve">R$25.984,88</t>
  </si>
  <si>
    <t xml:space="preserve">R$653,17</t>
  </si>
  <si>
    <t xml:space="preserve">R$32.589.388,72</t>
  </si>
  <si>
    <t xml:space="preserve">R$50.929.053,00</t>
  </si>
  <si>
    <t xml:space="preserve">R$59.247.583,38</t>
  </si>
  <si>
    <t xml:space="preserve">17/11/2018</t>
  </si>
  <si>
    <t xml:space="preserve">R$33.312,96</t>
  </si>
  <si>
    <t xml:space="preserve">R$617,48</t>
  </si>
  <si>
    <t xml:space="preserve">R$37.805.495,92</t>
  </si>
  <si>
    <t xml:space="preserve">R$49.113.232,00</t>
  </si>
  <si>
    <t xml:space="preserve">R$59.992.741,57</t>
  </si>
  <si>
    <t xml:space="preserve">21/11/2018</t>
  </si>
  <si>
    <t xml:space="preserve">R$34.495,53</t>
  </si>
  <si>
    <t xml:space="preserve">R$633,20</t>
  </si>
  <si>
    <t xml:space="preserve">R$60.511.157,87</t>
  </si>
  <si>
    <t xml:space="preserve">R$58.036.464,50</t>
  </si>
  <si>
    <t xml:space="preserve">R$60.873.285,26</t>
  </si>
  <si>
    <t xml:space="preserve">24/11/2018</t>
  </si>
  <si>
    <t xml:space="preserve">R$69.186.484,11</t>
  </si>
  <si>
    <t xml:space="preserve">R$17.704,75</t>
  </si>
  <si>
    <t xml:space="preserve">R$432,93</t>
  </si>
  <si>
    <t xml:space="preserve">R$81.684.155,00</t>
  </si>
  <si>
    <t xml:space="preserve">R$62.112.617,60</t>
  </si>
  <si>
    <t xml:space="preserve">28/11/2018</t>
  </si>
  <si>
    <t xml:space="preserve">R$23.013,76</t>
  </si>
  <si>
    <t xml:space="preserve">R$520,63</t>
  </si>
  <si>
    <t xml:space="preserve">R$2.586.019,52</t>
  </si>
  <si>
    <t xml:space="preserve">R$24.349.150,00</t>
  </si>
  <si>
    <t xml:space="preserve">R$62.482.048,98</t>
  </si>
  <si>
    <t xml:space="preserve">01/12/2018</t>
  </si>
  <si>
    <t xml:space="preserve">R$25.027,75</t>
  </si>
  <si>
    <t xml:space="preserve">R$604,13</t>
  </si>
  <si>
    <t xml:space="preserve">R$6.136.007,75</t>
  </si>
  <si>
    <t xml:space="preserve">R$33.425.577,50</t>
  </si>
  <si>
    <t xml:space="preserve">R$62.989.190,17</t>
  </si>
  <si>
    <t xml:space="preserve">04/12/2018</t>
  </si>
  <si>
    <t xml:space="preserve">R$34.939,71</t>
  </si>
  <si>
    <t xml:space="preserve">R$896,92</t>
  </si>
  <si>
    <t xml:space="preserve">R$8.710.512,49</t>
  </si>
  <si>
    <t xml:space="preserve">R$24.240.730,50</t>
  </si>
  <si>
    <t xml:space="preserve">R$63.356.976,58</t>
  </si>
  <si>
    <t xml:space="preserve">06/12/2018</t>
  </si>
  <si>
    <t xml:space="preserve">R$23.992,25</t>
  </si>
  <si>
    <t xml:space="preserve">R$469,92</t>
  </si>
  <si>
    <t xml:space="preserve">R$25.324.918,26</t>
  </si>
  <si>
    <t xml:space="preserve">R$32.874.912,00</t>
  </si>
  <si>
    <t xml:space="preserve">R$63.855.762,93</t>
  </si>
  <si>
    <t xml:space="preserve">08/12/2018</t>
  </si>
  <si>
    <t xml:space="preserve">R$22.882,49</t>
  </si>
  <si>
    <t xml:space="preserve">R$574,73</t>
  </si>
  <si>
    <t xml:space="preserve">R$29.793.024,64</t>
  </si>
  <si>
    <t xml:space="preserve">R$42.070.290,50</t>
  </si>
  <si>
    <t xml:space="preserve">R$64.494.063,86</t>
  </si>
  <si>
    <t xml:space="preserve">12/12/2018</t>
  </si>
  <si>
    <t xml:space="preserve">R$35.639,55</t>
  </si>
  <si>
    <t xml:space="preserve">R$744,19</t>
  </si>
  <si>
    <t xml:space="preserve">R$35.176.471,32</t>
  </si>
  <si>
    <t xml:space="preserve">R$50.688.848,00</t>
  </si>
  <si>
    <t xml:space="preserve">R$65.263.127,68</t>
  </si>
  <si>
    <t xml:space="preserve">15/12/2018</t>
  </si>
  <si>
    <t xml:space="preserve">R$46.944,97</t>
  </si>
  <si>
    <t xml:space="preserve">R$885,33</t>
  </si>
  <si>
    <t xml:space="preserve">R$41.402.855,76</t>
  </si>
  <si>
    <t xml:space="preserve">R$58.625.686,00</t>
  </si>
  <si>
    <t xml:space="preserve">R$66.152.611,19</t>
  </si>
  <si>
    <t xml:space="preserve">18/12/2018</t>
  </si>
  <si>
    <t xml:space="preserve">R$41.585,34</t>
  </si>
  <si>
    <t xml:space="preserve">R$850,56</t>
  </si>
  <si>
    <t xml:space="preserve">R$45.845.920,47</t>
  </si>
  <si>
    <t xml:space="preserve">R$41.834.506,00</t>
  </si>
  <si>
    <t xml:space="preserve">R$66.787.334,74</t>
  </si>
  <si>
    <t xml:space="preserve">20/12/2018</t>
  </si>
  <si>
    <t xml:space="preserve">R$25.268,09</t>
  </si>
  <si>
    <t xml:space="preserve">R$603,22</t>
  </si>
  <si>
    <t xml:space="preserve">R$135.838.889,05</t>
  </si>
  <si>
    <t xml:space="preserve">R$54.783.372,00</t>
  </si>
  <si>
    <t xml:space="preserve">31/12/2018</t>
  </si>
  <si>
    <t xml:space="preserve">Rio Branco/AC; Manaus/AM; Euclides da Cunha/BA; Feira de Santana/BA; Mata de São Joao/BA; Salvador/BA; Valença/BA; Várzea Grande/CE; Brasília/DF; Bela Vista de Goiás/GO; Jataí/GO; Pedreiras/MA; São Luis/MA; Alfenas/MG; Belo Horizonte/MG; Divinópolis/MG; Martinho Campos/MG; São Sebastião do Paraíso/MG; Corumbá/MS; Costa Rica/MS; Coxim/MS; Almeirim/PA; Itaituba/PA; João Pessoa/PB; Lagoa do Itaenga/PE; Campo Mourão/PR; Curitiba/PR; Angra dos Reis/RJ; Barra do Piraí/RJ; Nova Iguaçu/RJ; Rio de Janeiro/RJ</t>
  </si>
  <si>
    <t xml:space="preserve">R$5.818.007,36</t>
  </si>
  <si>
    <t xml:space="preserve">R$6.644,73</t>
  </si>
  <si>
    <t xml:space="preserve">R$240,17</t>
  </si>
  <si>
    <t xml:space="preserve">R$886.048.366,00</t>
  </si>
  <si>
    <t xml:space="preserve">AS APOSTAS GANHADORAS DO CANAL ELETRÔNICO SÃO DAS CIDADE DE SIMÕES FILHO(BA), BELO HORIZONTE(MG) E CUIABÁ(MT)</t>
  </si>
  <si>
    <t xml:space="preserve">02/01/2019</t>
  </si>
  <si>
    <t xml:space="preserve">R$169.338,14</t>
  </si>
  <si>
    <t xml:space="preserve">R$1.404,42</t>
  </si>
  <si>
    <t xml:space="preserve">R$1.247.754,69</t>
  </si>
  <si>
    <t xml:space="preserve">R$11.748.467,50</t>
  </si>
  <si>
    <t xml:space="preserve">R$178.250,69</t>
  </si>
  <si>
    <t xml:space="preserve">05/01/2019</t>
  </si>
  <si>
    <t xml:space="preserve">R$48.935,85</t>
  </si>
  <si>
    <t xml:space="preserve">R$933,20</t>
  </si>
  <si>
    <t xml:space="preserve">R$4.312.684,25</t>
  </si>
  <si>
    <t xml:space="preserve">R$28.858.417,00</t>
  </si>
  <si>
    <t xml:space="preserve">R$616.097,77</t>
  </si>
  <si>
    <t xml:space="preserve">09/01/2019</t>
  </si>
  <si>
    <t xml:space="preserve">R$63.724,36</t>
  </si>
  <si>
    <t xml:space="preserve">R$992,38</t>
  </si>
  <si>
    <t xml:space="preserve">R$7.834.293,88</t>
  </si>
  <si>
    <t xml:space="preserve">R$33.158.373,50</t>
  </si>
  <si>
    <t xml:space="preserve">R$1.119.184,88</t>
  </si>
  <si>
    <t xml:space="preserve">12/01/2019</t>
  </si>
  <si>
    <t xml:space="preserve">R$34.091,54</t>
  </si>
  <si>
    <t xml:space="preserve">R$779,05</t>
  </si>
  <si>
    <t xml:space="preserve">R$19.917.929,17</t>
  </si>
  <si>
    <t xml:space="preserve">R$41.391.486,50</t>
  </si>
  <si>
    <t xml:space="preserve">R$1.747.186,82</t>
  </si>
  <si>
    <t xml:space="preserve">15/01/2019</t>
  </si>
  <si>
    <t xml:space="preserve">R$23.377,95</t>
  </si>
  <si>
    <t xml:space="preserve">R$560,35</t>
  </si>
  <si>
    <t xml:space="preserve">R$23.147.777,55</t>
  </si>
  <si>
    <t xml:space="preserve">R$30.411.241,00</t>
  </si>
  <si>
    <t xml:space="preserve">R$2.208.593,74</t>
  </si>
  <si>
    <t xml:space="preserve">17/01/2019</t>
  </si>
  <si>
    <t xml:space="preserve">R$24.748,67</t>
  </si>
  <si>
    <t xml:space="preserve">R$588,39</t>
  </si>
  <si>
    <t xml:space="preserve">R$27.296.435,12</t>
  </si>
  <si>
    <t xml:space="preserve">R$39.062.460,50</t>
  </si>
  <si>
    <t xml:space="preserve">R$2.801.259,13</t>
  </si>
  <si>
    <t xml:space="preserve">19/01/2019</t>
  </si>
  <si>
    <t xml:space="preserve">R$60.858,91</t>
  </si>
  <si>
    <t xml:space="preserve">R$947,82</t>
  </si>
  <si>
    <t xml:space="preserve">R$32.229.209,46</t>
  </si>
  <si>
    <t xml:space="preserve">R$46.445.458,50</t>
  </si>
  <si>
    <t xml:space="preserve">R$3.505.941,19</t>
  </si>
  <si>
    <t xml:space="preserve">23/01/2019</t>
  </si>
  <si>
    <t xml:space="preserve">R$37.902.607,11</t>
  </si>
  <si>
    <t xml:space="preserve">R$53.100,77</t>
  </si>
  <si>
    <t xml:space="preserve">R$1.064,03</t>
  </si>
  <si>
    <t xml:space="preserve">R$53.418.935,50</t>
  </si>
  <si>
    <t xml:space="preserve">R$4.316.426,59</t>
  </si>
  <si>
    <t xml:space="preserve">26/01/2019</t>
  </si>
  <si>
    <t xml:space="preserve">R$33.531,53</t>
  </si>
  <si>
    <t xml:space="preserve">R$857,72</t>
  </si>
  <si>
    <t xml:space="preserve">R$15.932.005,75</t>
  </si>
  <si>
    <t xml:space="preserve">R$26.753.317,50</t>
  </si>
  <si>
    <t xml:space="preserve">R$4.722.334,58</t>
  </si>
  <si>
    <t xml:space="preserve">30/01/2019</t>
  </si>
  <si>
    <t xml:space="preserve">R$34.732,22</t>
  </si>
  <si>
    <t xml:space="preserve">R$776,66</t>
  </si>
  <si>
    <t xml:space="preserve">R$19.834.810,62</t>
  </si>
  <si>
    <t xml:space="preserve">R$36.747.588,50</t>
  </si>
  <si>
    <t xml:space="preserve">R$5.279.878,14</t>
  </si>
  <si>
    <t xml:space="preserve">02/02/2019</t>
  </si>
  <si>
    <t xml:space="preserve">R$24.666.686,76</t>
  </si>
  <si>
    <t xml:space="preserve">R$31.988,03</t>
  </si>
  <si>
    <t xml:space="preserve">R$682,17</t>
  </si>
  <si>
    <t xml:space="preserve">R$45.495.432,50</t>
  </si>
  <si>
    <t xml:space="preserve">R$5.970.146,17</t>
  </si>
  <si>
    <t xml:space="preserve">06/02/2019</t>
  </si>
  <si>
    <t xml:space="preserve">R$15.878,62</t>
  </si>
  <si>
    <t xml:space="preserve">R$422,62</t>
  </si>
  <si>
    <t xml:space="preserve">R$2.691.007,02</t>
  </si>
  <si>
    <t xml:space="preserve">R$25.337.679,50</t>
  </si>
  <si>
    <t xml:space="preserve">R$6.354.575,76</t>
  </si>
  <si>
    <t xml:space="preserve">09/02/2019</t>
  </si>
  <si>
    <t xml:space="preserve">R$67.090,90</t>
  </si>
  <si>
    <t xml:space="preserve">R$1.166,29</t>
  </si>
  <si>
    <t xml:space="preserve">R$6.151.484,68</t>
  </si>
  <si>
    <t xml:space="preserve">R$32.582.774,00</t>
  </si>
  <si>
    <t xml:space="preserve">R$6.848.929,74</t>
  </si>
  <si>
    <t xml:space="preserve">13/02/2019</t>
  </si>
  <si>
    <t xml:space="preserve">R$48.151,82</t>
  </si>
  <si>
    <t xml:space="preserve">R$770,57</t>
  </si>
  <si>
    <t xml:space="preserve">R$21.431.176,83</t>
  </si>
  <si>
    <t xml:space="preserve">R$34.242.306,00</t>
  </si>
  <si>
    <t xml:space="preserve">R$7.368.462,53</t>
  </si>
  <si>
    <t xml:space="preserve">16/02/2019</t>
  </si>
  <si>
    <t xml:space="preserve">R$48.968,88</t>
  </si>
  <si>
    <t xml:space="preserve">R$940,72</t>
  </si>
  <si>
    <t xml:space="preserve">R$26.392.497,79</t>
  </si>
  <si>
    <t xml:space="preserve">R$46.714.244,50</t>
  </si>
  <si>
    <t xml:space="preserve">R$8.077.222,68</t>
  </si>
  <si>
    <t xml:space="preserve">20/02/2019</t>
  </si>
  <si>
    <t xml:space="preserve">R$21.346,79</t>
  </si>
  <si>
    <t xml:space="preserve">R$487,08</t>
  </si>
  <si>
    <t xml:space="preserve">R$31.504.492,15</t>
  </si>
  <si>
    <t xml:space="preserve">R$48.132.938,00</t>
  </si>
  <si>
    <t xml:space="preserve">R$8.807.507,61</t>
  </si>
  <si>
    <t xml:space="preserve">23/02/2019</t>
  </si>
  <si>
    <t xml:space="preserve">R$42.197,60</t>
  </si>
  <si>
    <t xml:space="preserve">R$741,09</t>
  </si>
  <si>
    <t xml:space="preserve">R$37.412.155,60</t>
  </si>
  <si>
    <t xml:space="preserve">R$55.624.709,00</t>
  </si>
  <si>
    <t xml:space="preserve">R$9.651.459,54</t>
  </si>
  <si>
    <t xml:space="preserve">26/02/2019</t>
  </si>
  <si>
    <t xml:space="preserve">R$50.144,89</t>
  </si>
  <si>
    <t xml:space="preserve">R$773,45</t>
  </si>
  <si>
    <t xml:space="preserve">R$41.753.647,06</t>
  </si>
  <si>
    <t xml:space="preserve">R$40.878.124,00</t>
  </si>
  <si>
    <t xml:space="preserve">R$10.271.672,63</t>
  </si>
  <si>
    <t xml:space="preserve">28/02/2019</t>
  </si>
  <si>
    <t xml:space="preserve">R$62.827,80</t>
  </si>
  <si>
    <t xml:space="preserve">R$877,70</t>
  </si>
  <si>
    <t xml:space="preserve">R$63.951.940,16</t>
  </si>
  <si>
    <t xml:space="preserve">R$54.486.418,00</t>
  </si>
  <si>
    <t xml:space="preserve">R$73.000.000,00</t>
  </si>
  <si>
    <t xml:space="preserve">R$11.098.354,14</t>
  </si>
  <si>
    <t xml:space="preserve">02/03/2019</t>
  </si>
  <si>
    <t xml:space="preserve">R$42.283,94</t>
  </si>
  <si>
    <t xml:space="preserve">R$772,27</t>
  </si>
  <si>
    <t xml:space="preserve">R$71.818.978,53</t>
  </si>
  <si>
    <t xml:space="preserve">R$74.073.569,50</t>
  </si>
  <si>
    <t xml:space="preserve">R$12.222.216,77</t>
  </si>
  <si>
    <t xml:space="preserve">06/03/2019</t>
  </si>
  <si>
    <t xml:space="preserve">GRAVATAÍ/RS</t>
  </si>
  <si>
    <t xml:space="preserve">R$78.938.208,62</t>
  </si>
  <si>
    <t xml:space="preserve">R$9.335,09</t>
  </si>
  <si>
    <t xml:space="preserve">R$329,94</t>
  </si>
  <si>
    <t xml:space="preserve">R$67.032.441,00</t>
  </si>
  <si>
    <t xml:space="preserve">R$13.239.249,64</t>
  </si>
  <si>
    <t xml:space="preserve">09/03/2019</t>
  </si>
  <si>
    <t xml:space="preserve">R$41.495,70</t>
  </si>
  <si>
    <t xml:space="preserve">R$834,63</t>
  </si>
  <si>
    <t xml:space="preserve">R$3.134.017,09</t>
  </si>
  <si>
    <t xml:space="preserve">R$29.508.923,50</t>
  </si>
  <si>
    <t xml:space="preserve">R$13.686.966,38</t>
  </si>
  <si>
    <t xml:space="preserve">13/03/2019</t>
  </si>
  <si>
    <t xml:space="preserve">R$58.792,56</t>
  </si>
  <si>
    <t xml:space="preserve">R$963,31</t>
  </si>
  <si>
    <t xml:space="preserve">R$6.599.683,59</t>
  </si>
  <si>
    <t xml:space="preserve">R$32.631.630,50</t>
  </si>
  <si>
    <t xml:space="preserve">R$14.182.061,61</t>
  </si>
  <si>
    <t xml:space="preserve">16/03/2019</t>
  </si>
  <si>
    <t xml:space="preserve">R$39.699,48</t>
  </si>
  <si>
    <t xml:space="preserve">R$818,57</t>
  </si>
  <si>
    <t xml:space="preserve">R$27.313.901,30</t>
  </si>
  <si>
    <t xml:space="preserve">R$41.314.493,50</t>
  </si>
  <si>
    <t xml:space="preserve">R$14.808.895,40</t>
  </si>
  <si>
    <t xml:space="preserve">20/03/2019</t>
  </si>
  <si>
    <t xml:space="preserve">R$32.689.083,52</t>
  </si>
  <si>
    <t xml:space="preserve">R$58.359,12</t>
  </si>
  <si>
    <t xml:space="preserve">R$916,96</t>
  </si>
  <si>
    <t xml:space="preserve">R$50.611.032,50</t>
  </si>
  <si>
    <t xml:space="preserve">R$15.576.778,59</t>
  </si>
  <si>
    <t xml:space="preserve">23/03/2019</t>
  </si>
  <si>
    <t xml:space="preserve">R$25.942,87</t>
  </si>
  <si>
    <t xml:space="preserve">R$554,72</t>
  </si>
  <si>
    <t xml:space="preserve">R$3.010.737,98</t>
  </si>
  <si>
    <t xml:space="preserve">R$28.348.166,00</t>
  </si>
  <si>
    <t xml:space="preserve">R$16.006.884,02</t>
  </si>
  <si>
    <t xml:space="preserve">27/03/2019</t>
  </si>
  <si>
    <t xml:space="preserve">R$36.544,41</t>
  </si>
  <si>
    <t xml:space="preserve">R$523,45</t>
  </si>
  <si>
    <t xml:space="preserve">R$6.040.076,83</t>
  </si>
  <si>
    <t xml:space="preserve">R$28.523.306,00</t>
  </si>
  <si>
    <t xml:space="preserve">R$16.439.646,73</t>
  </si>
  <si>
    <t xml:space="preserve">30/03/2019</t>
  </si>
  <si>
    <t xml:space="preserve">R$36.206,08</t>
  </si>
  <si>
    <t xml:space="preserve">R$673,35</t>
  </si>
  <si>
    <t xml:space="preserve">R$9.975.105,74</t>
  </si>
  <si>
    <t xml:space="preserve">R$37.051.000,00</t>
  </si>
  <si>
    <t xml:space="preserve">R$17.001.793,74</t>
  </si>
  <si>
    <t xml:space="preserve">03/04/2019</t>
  </si>
  <si>
    <t xml:space="preserve">R$34.758,78</t>
  </si>
  <si>
    <t xml:space="preserve">R$937,98</t>
  </si>
  <si>
    <t xml:space="preserve">R$26.401.819,43</t>
  </si>
  <si>
    <t xml:space="preserve">R$39.187.204,00</t>
  </si>
  <si>
    <t xml:space="preserve">R$17.596.351,76</t>
  </si>
  <si>
    <t xml:space="preserve">06/04/2019</t>
  </si>
  <si>
    <t xml:space="preserve">R$46.099,13</t>
  </si>
  <si>
    <t xml:space="preserve">R$861,71</t>
  </si>
  <si>
    <t xml:space="preserve">R$32.006.503,13</t>
  </si>
  <si>
    <t xml:space="preserve">R$52.771.946,50</t>
  </si>
  <si>
    <t xml:space="preserve">R$18.397.020,86</t>
  </si>
  <si>
    <t xml:space="preserve">10/04/2019</t>
  </si>
  <si>
    <t xml:space="preserve">R$27.422,28</t>
  </si>
  <si>
    <t xml:space="preserve">R$516,85</t>
  </si>
  <si>
    <t xml:space="preserve">R$37.916.725,50</t>
  </si>
  <si>
    <t xml:space="preserve">R$55.648.803,00</t>
  </si>
  <si>
    <t xml:space="preserve">R$19.241.338,37</t>
  </si>
  <si>
    <t xml:space="preserve">13/04/2019</t>
  </si>
  <si>
    <t xml:space="preserve">R$55.484,51</t>
  </si>
  <si>
    <t xml:space="preserve">R$1.024,68</t>
  </si>
  <si>
    <t xml:space="preserve">R$44.560.265,75</t>
  </si>
  <si>
    <t xml:space="preserve">R$62.553.494,50</t>
  </si>
  <si>
    <t xml:space="preserve">R$20.190.415,56</t>
  </si>
  <si>
    <t xml:space="preserve">17/04/2019</t>
  </si>
  <si>
    <t xml:space="preserve">R$48.904,73</t>
  </si>
  <si>
    <t xml:space="preserve">R$864,62</t>
  </si>
  <si>
    <t xml:space="preserve">R$51.857.366,14</t>
  </si>
  <si>
    <t xml:space="preserve">R$68.707.212,00</t>
  </si>
  <si>
    <t xml:space="preserve">R$21.232.858,49</t>
  </si>
  <si>
    <t xml:space="preserve">20/04/2019</t>
  </si>
  <si>
    <t xml:space="preserve">R$21.418,23</t>
  </si>
  <si>
    <t xml:space="preserve">R$561,14</t>
  </si>
  <si>
    <t xml:space="preserve">R$79.937.877,70</t>
  </si>
  <si>
    <t xml:space="preserve">R$69.840.589,00</t>
  </si>
  <si>
    <t xml:space="preserve">R$22.292.497,29</t>
  </si>
  <si>
    <t xml:space="preserve">24/04/2019</t>
  </si>
  <si>
    <t xml:space="preserve">R$55.420,70</t>
  </si>
  <si>
    <t xml:space="preserve">R$866,79</t>
  </si>
  <si>
    <t xml:space="preserve">R$91.678.314,54</t>
  </si>
  <si>
    <t xml:space="preserve">R$110.544.276,50</t>
  </si>
  <si>
    <t xml:space="preserve">R$23.969.702,57</t>
  </si>
  <si>
    <t xml:space="preserve">27/04/2019</t>
  </si>
  <si>
    <t xml:space="preserve">R$30.594,81</t>
  </si>
  <si>
    <t xml:space="preserve">R$806,43</t>
  </si>
  <si>
    <t xml:space="preserve">R$107.627.872,22</t>
  </si>
  <si>
    <t xml:space="preserve">R$150.176.040,00</t>
  </si>
  <si>
    <t xml:space="preserve">R$26.248.210,83</t>
  </si>
  <si>
    <t xml:space="preserve">02/05/2019</t>
  </si>
  <si>
    <t xml:space="preserve">R$28.739,81</t>
  </si>
  <si>
    <t xml:space="preserve">R$535,81</t>
  </si>
  <si>
    <t xml:space="preserve">R$127.004.551,65</t>
  </si>
  <si>
    <t xml:space="preserve">R$182.444.745,00</t>
  </si>
  <si>
    <t xml:space="preserve">R$140.000.000,00</t>
  </si>
  <si>
    <t xml:space="preserve">R$29.016.307,90</t>
  </si>
  <si>
    <t xml:space="preserve">04/05/2019</t>
  </si>
  <si>
    <t xml:space="preserve">R$37.666,84</t>
  </si>
  <si>
    <t xml:space="preserve">R$734,53</t>
  </si>
  <si>
    <t xml:space="preserve">R$147.542.893,55</t>
  </si>
  <si>
    <t xml:space="preserve">R$193.382.595,00</t>
  </si>
  <si>
    <t xml:space="preserve">R$31.950.356,75</t>
  </si>
  <si>
    <t xml:space="preserve">08/05/2019</t>
  </si>
  <si>
    <t xml:space="preserve">R$35.200,20</t>
  </si>
  <si>
    <t xml:space="preserve">R$758,57</t>
  </si>
  <si>
    <t xml:space="preserve">R$242.415.370,56</t>
  </si>
  <si>
    <t xml:space="preserve">R$302.826.055,00</t>
  </si>
  <si>
    <t xml:space="preserve">R$275.000.000,00</t>
  </si>
  <si>
    <t xml:space="preserve">R$36.544.909,01</t>
  </si>
  <si>
    <t xml:space="preserve">11/05/2019</t>
  </si>
  <si>
    <t xml:space="preserve">Canal Eletrônico</t>
  </si>
  <si>
    <t xml:space="preserve">R$289.420.865,00</t>
  </si>
  <si>
    <t xml:space="preserve">R$30.450,20</t>
  </si>
  <si>
    <t xml:space="preserve">R$639,59</t>
  </si>
  <si>
    <t xml:space="preserve">R$442.589.014,00</t>
  </si>
  <si>
    <t xml:space="preserve">R$43.259.979,66</t>
  </si>
  <si>
    <t xml:space="preserve">A APOSTA GANHADORA DO CONCURSO É DA CIDADE DE RECIFE/PE.</t>
  </si>
  <si>
    <t xml:space="preserve">15/05/2019</t>
  </si>
  <si>
    <t xml:space="preserve">R$23.556,59</t>
  </si>
  <si>
    <t xml:space="preserve">R$514,16</t>
  </si>
  <si>
    <t xml:space="preserve">R$3.471.496,94</t>
  </si>
  <si>
    <t xml:space="preserve">R$32.686.528,00</t>
  </si>
  <si>
    <t xml:space="preserve">R$43.755.907,79</t>
  </si>
  <si>
    <t xml:space="preserve">18/05/2019</t>
  </si>
  <si>
    <t xml:space="preserve">R$77.547,60</t>
  </si>
  <si>
    <t xml:space="preserve">R$1.281,77</t>
  </si>
  <si>
    <t xml:space="preserve">R$7.471.320,38</t>
  </si>
  <si>
    <t xml:space="preserve">R$37.661.085,00</t>
  </si>
  <si>
    <t xml:space="preserve">R$44.327.311,16</t>
  </si>
  <si>
    <t xml:space="preserve">22/05/2019</t>
  </si>
  <si>
    <t xml:space="preserve">ARAMINA/SP</t>
  </si>
  <si>
    <t xml:space="preserve">R$11.825.289,36</t>
  </si>
  <si>
    <t xml:space="preserve">R$18.610,89</t>
  </si>
  <si>
    <t xml:space="preserve">R$531,23</t>
  </si>
  <si>
    <t xml:space="preserve">R$40.995.608,50</t>
  </si>
  <si>
    <t xml:space="preserve">R$44.949.306,75</t>
  </si>
  <si>
    <t xml:space="preserve">25/05/2019</t>
  </si>
  <si>
    <t xml:space="preserve">R$49.285,49</t>
  </si>
  <si>
    <t xml:space="preserve">R$858,92</t>
  </si>
  <si>
    <t xml:space="preserve">R$42.302.182,71</t>
  </si>
  <si>
    <t xml:space="preserve">R$30.774.289,00</t>
  </si>
  <si>
    <t xml:space="preserve">R$45.416.221,93</t>
  </si>
  <si>
    <t xml:space="preserve">29/05/2019</t>
  </si>
  <si>
    <t xml:space="preserve">R$34.590,53</t>
  </si>
  <si>
    <t xml:space="preserve">R$678,24</t>
  </si>
  <si>
    <t xml:space="preserve">R$48.100.647,44</t>
  </si>
  <si>
    <t xml:space="preserve">R$54.596.528,00</t>
  </si>
  <si>
    <t xml:space="preserve">R$46.244.574,04</t>
  </si>
  <si>
    <t xml:space="preserve">01/06/2019</t>
  </si>
  <si>
    <t xml:space="preserve">R$40.927,21</t>
  </si>
  <si>
    <t xml:space="preserve">R$704,14</t>
  </si>
  <si>
    <t xml:space="preserve">R$54.961.340,62</t>
  </si>
  <si>
    <t xml:space="preserve">R$64.598.138,50</t>
  </si>
  <si>
    <t xml:space="preserve">R$47.224.673,09</t>
  </si>
  <si>
    <t xml:space="preserve">05/06/2019</t>
  </si>
  <si>
    <t xml:space="preserve">R$21.377,17</t>
  </si>
  <si>
    <t xml:space="preserve">R$653,98</t>
  </si>
  <si>
    <t xml:space="preserve">R$62.364.593,11</t>
  </si>
  <si>
    <t xml:space="preserve">R$69.706.707,00</t>
  </si>
  <si>
    <t xml:space="preserve">R$48.282.280,60</t>
  </si>
  <si>
    <t xml:space="preserve">08/06/2019</t>
  </si>
  <si>
    <t xml:space="preserve">R$42.724,12</t>
  </si>
  <si>
    <t xml:space="preserve">R$751,29</t>
  </si>
  <si>
    <t xml:space="preserve">R$70.943.146,49</t>
  </si>
  <si>
    <t xml:space="preserve">R$80.772.972,00</t>
  </si>
  <si>
    <t xml:space="preserve">R$49.507.788,24</t>
  </si>
  <si>
    <t xml:space="preserve">12/06/2019</t>
  </si>
  <si>
    <t xml:space="preserve">R$27.678,48</t>
  </si>
  <si>
    <t xml:space="preserve">R$687,24</t>
  </si>
  <si>
    <t xml:space="preserve">R$103.062.063,53</t>
  </si>
  <si>
    <t xml:space="preserve">R$81.612.678,00</t>
  </si>
  <si>
    <t xml:space="preserve">R$50.746.036,10</t>
  </si>
  <si>
    <t xml:space="preserve">15/06/2019</t>
  </si>
  <si>
    <t xml:space="preserve">R$49.024,59</t>
  </si>
  <si>
    <t xml:space="preserve">R$856,42</t>
  </si>
  <si>
    <t xml:space="preserve">R$113.537.844,31</t>
  </si>
  <si>
    <t xml:space="preserve">R$98.636.671,00</t>
  </si>
  <si>
    <t xml:space="preserve">R$52.242.576,22</t>
  </si>
  <si>
    <t xml:space="preserve">19/06/2019</t>
  </si>
  <si>
    <t xml:space="preserve">OSASCO/SP</t>
  </si>
  <si>
    <t xml:space="preserve">R$124.209.628,25</t>
  </si>
  <si>
    <t xml:space="preserve">R$22.718,64</t>
  </si>
  <si>
    <t xml:space="preserve">R$524,83</t>
  </si>
  <si>
    <t xml:space="preserve">R$100.482.175,50</t>
  </si>
  <si>
    <t xml:space="preserve">R$53.767.116,80</t>
  </si>
  <si>
    <t xml:space="preserve">22/06/2019</t>
  </si>
  <si>
    <t xml:space="preserve">R$44.279,94</t>
  </si>
  <si>
    <t xml:space="preserve">R$801,30</t>
  </si>
  <si>
    <t xml:space="preserve">R$2.854.890,61</t>
  </si>
  <si>
    <t xml:space="preserve">R$26.880.756,00</t>
  </si>
  <si>
    <t xml:space="preserve">R$54.174.958,32</t>
  </si>
  <si>
    <t xml:space="preserve">26/06/2019</t>
  </si>
  <si>
    <t xml:space="preserve">R$23.088,84</t>
  </si>
  <si>
    <t xml:space="preserve">R$519,92</t>
  </si>
  <si>
    <t xml:space="preserve">R$6.044.795,82</t>
  </si>
  <si>
    <t xml:space="preserve">R$30.035.148,50</t>
  </si>
  <si>
    <t xml:space="preserve">R$54.630.659,09</t>
  </si>
  <si>
    <t xml:space="preserve">29/06/2019</t>
  </si>
  <si>
    <t xml:space="preserve">R$43.294,26</t>
  </si>
  <si>
    <t xml:space="preserve">R$919,35</t>
  </si>
  <si>
    <t xml:space="preserve">R$29.761.158,96</t>
  </si>
  <si>
    <t xml:space="preserve">R$38.297.196,00</t>
  </si>
  <si>
    <t xml:space="preserve">R$34.400.000,00</t>
  </si>
  <si>
    <t xml:space="preserve">R$55.211.713,68</t>
  </si>
  <si>
    <t xml:space="preserve">03/07/2019</t>
  </si>
  <si>
    <t xml:space="preserve">R$35.218.398,02</t>
  </si>
  <si>
    <t xml:space="preserve">R$26.216,82</t>
  </si>
  <si>
    <t xml:space="preserve">R$516,80</t>
  </si>
  <si>
    <t xml:space="preserve">R$51.383.654,00</t>
  </si>
  <si>
    <t xml:space="preserve">R$55.991.319,28</t>
  </si>
  <si>
    <t xml:space="preserve">06/07/2019</t>
  </si>
  <si>
    <t xml:space="preserve">R$39.121,73</t>
  </si>
  <si>
    <t xml:space="preserve">R$655,92</t>
  </si>
  <si>
    <t xml:space="preserve">R$3.170.919,23</t>
  </si>
  <si>
    <t xml:space="preserve">R$29.856.382,50</t>
  </si>
  <si>
    <t xml:space="preserve">R$56.444.307,75</t>
  </si>
  <si>
    <t xml:space="preserve">09/07/2019</t>
  </si>
  <si>
    <t xml:space="preserve">R$28.747,30</t>
  </si>
  <si>
    <t xml:space="preserve">R$770,92</t>
  </si>
  <si>
    <t xml:space="preserve">R$5.130.274,80</t>
  </si>
  <si>
    <t xml:space="preserve">R$18.448.678,50</t>
  </si>
  <si>
    <t xml:space="preserve">R$56.724.215,70</t>
  </si>
  <si>
    <t xml:space="preserve">11/07/2019</t>
  </si>
  <si>
    <t xml:space="preserve">R$8.177.021,67</t>
  </si>
  <si>
    <t xml:space="preserve">R$25.059,82</t>
  </si>
  <si>
    <t xml:space="preserve">R$582,82</t>
  </si>
  <si>
    <t xml:space="preserve">R$28.687.214,50</t>
  </si>
  <si>
    <t xml:space="preserve">R$57.159.465,26</t>
  </si>
  <si>
    <t xml:space="preserve">13/07/2019</t>
  </si>
  <si>
    <t xml:space="preserve">R$77.574,63</t>
  </si>
  <si>
    <t xml:space="preserve">R$929,96</t>
  </si>
  <si>
    <t xml:space="preserve">R$12.759.137,05</t>
  </si>
  <si>
    <t xml:space="preserve">R$24.219.139,00</t>
  </si>
  <si>
    <t xml:space="preserve">R$57.526.924,07</t>
  </si>
  <si>
    <t xml:space="preserve">17/07/2019</t>
  </si>
  <si>
    <t xml:space="preserve">R$28.962,87</t>
  </si>
  <si>
    <t xml:space="preserve">R$695,90</t>
  </si>
  <si>
    <t xml:space="preserve">R$16.973.996,11</t>
  </si>
  <si>
    <t xml:space="preserve">R$39.685.793,00</t>
  </si>
  <si>
    <t xml:space="preserve">R$58.129.046,82</t>
  </si>
  <si>
    <t xml:space="preserve">20/07/2019</t>
  </si>
  <si>
    <t xml:space="preserve">R$21.978.571,91</t>
  </si>
  <si>
    <t xml:space="preserve">R$23.023,47</t>
  </si>
  <si>
    <t xml:space="preserve">R$544,56</t>
  </si>
  <si>
    <t xml:space="preserve">R$47.121.518,50</t>
  </si>
  <si>
    <t xml:space="preserve">R$58.843.986,23</t>
  </si>
  <si>
    <t xml:space="preserve">24/07/2019</t>
  </si>
  <si>
    <t xml:space="preserve">R$19.687,16</t>
  </si>
  <si>
    <t xml:space="preserve">R$611,76</t>
  </si>
  <si>
    <t xml:space="preserve">R$2.647.404,63</t>
  </si>
  <si>
    <t xml:space="preserve">R$24.927.133,00</t>
  </si>
  <si>
    <t xml:space="preserve">R$59.222.186,91</t>
  </si>
  <si>
    <t xml:space="preserve">27/07/2019</t>
  </si>
  <si>
    <t xml:space="preserve">R$35.892,64</t>
  </si>
  <si>
    <t xml:space="preserve">R$673,28</t>
  </si>
  <si>
    <t xml:space="preserve">R$6.019.424,06</t>
  </si>
  <si>
    <t xml:space="preserve">R$31.749.879,00</t>
  </si>
  <si>
    <t xml:space="preserve">R$59.703.903,99</t>
  </si>
  <si>
    <t xml:space="preserve">31/07/2019</t>
  </si>
  <si>
    <t xml:space="preserve">R$38.251,95</t>
  </si>
  <si>
    <t xml:space="preserve">R$730,10</t>
  </si>
  <si>
    <t xml:space="preserve">R$21.565.438,38</t>
  </si>
  <si>
    <t xml:space="preserve">R$34.500.333,00</t>
  </si>
  <si>
    <t xml:space="preserve">R$60.227.351,64</t>
  </si>
  <si>
    <t xml:space="preserve">03/08/2019</t>
  </si>
  <si>
    <t xml:space="preserve">R$39.289,03</t>
  </si>
  <si>
    <t xml:space="preserve">R$746,99</t>
  </si>
  <si>
    <t xml:space="preserve">R$26.848.778,98</t>
  </si>
  <si>
    <t xml:space="preserve">R$49.746.280,50</t>
  </si>
  <si>
    <t xml:space="preserve">R$60.982.114,60</t>
  </si>
  <si>
    <t xml:space="preserve">06/08/2019</t>
  </si>
  <si>
    <t xml:space="preserve">R$30.505.746,02</t>
  </si>
  <si>
    <t xml:space="preserve">R$32.544,44</t>
  </si>
  <si>
    <t xml:space="preserve">R$604,95</t>
  </si>
  <si>
    <t xml:space="preserve">R$34.432.856,50</t>
  </si>
  <si>
    <t xml:space="preserve">R$61.504.538,48</t>
  </si>
  <si>
    <t xml:space="preserve">08/08/2019</t>
  </si>
  <si>
    <t xml:space="preserve">R$26.809,19</t>
  </si>
  <si>
    <t xml:space="preserve">R$802,67</t>
  </si>
  <si>
    <t xml:space="preserve">R$2.419.882,57</t>
  </si>
  <si>
    <t xml:space="preserve">R$22.784.856,50</t>
  </si>
  <si>
    <t xml:space="preserve">R$61.850.236,00</t>
  </si>
  <si>
    <t xml:space="preserve">10/08/2019</t>
  </si>
  <si>
    <t xml:space="preserve">R$63.031,11</t>
  </si>
  <si>
    <t xml:space="preserve">R$977,04</t>
  </si>
  <si>
    <t xml:space="preserve">R$5.322.631,02</t>
  </si>
  <si>
    <t xml:space="preserve">R$27.331.370,50</t>
  </si>
  <si>
    <t xml:space="preserve">R$62.264.914,37</t>
  </si>
  <si>
    <t xml:space="preserve">14/08/2019</t>
  </si>
  <si>
    <t xml:space="preserve">R$34.715,39</t>
  </si>
  <si>
    <t xml:space="preserve">R$597,77</t>
  </si>
  <si>
    <t xml:space="preserve">R$20.015.946,48</t>
  </si>
  <si>
    <t xml:space="preserve">R$33.117.017,50</t>
  </si>
  <si>
    <t xml:space="preserve">R$62.767.374,01</t>
  </si>
  <si>
    <t xml:space="preserve">17/08/2019</t>
  </si>
  <si>
    <t xml:space="preserve">R$28.276,52</t>
  </si>
  <si>
    <t xml:space="preserve">R$558,67</t>
  </si>
  <si>
    <t xml:space="preserve">R$24.964.336,79</t>
  </si>
  <si>
    <t xml:space="preserve">R$46.592.493,50</t>
  </si>
  <si>
    <t xml:space="preserve">R$63.474.286,93</t>
  </si>
  <si>
    <t xml:space="preserve">21/08/2019</t>
  </si>
  <si>
    <t xml:space="preserve">R$19.778,72</t>
  </si>
  <si>
    <t xml:space="preserve">R$468,15</t>
  </si>
  <si>
    <t xml:space="preserve">R$29.992.295,27</t>
  </si>
  <si>
    <t xml:space="preserve">R$47.341.682,50</t>
  </si>
  <si>
    <t xml:space="preserve">R$64.192.566,73</t>
  </si>
  <si>
    <t xml:space="preserve">24/08/2019</t>
  </si>
  <si>
    <t xml:space="preserve">R$46.519,40</t>
  </si>
  <si>
    <t xml:space="preserve">R$846,90</t>
  </si>
  <si>
    <t xml:space="preserve">R$35.648.074,87</t>
  </si>
  <si>
    <t xml:space="preserve">R$53.253.049,50</t>
  </si>
  <si>
    <t xml:space="preserve">R$65.000.535,25</t>
  </si>
  <si>
    <t xml:space="preserve">28/08/2019</t>
  </si>
  <si>
    <t xml:space="preserve">R$42.642,36</t>
  </si>
  <si>
    <t xml:space="preserve">R$740,57</t>
  </si>
  <si>
    <t xml:space="preserve">R$41.460.901,74</t>
  </si>
  <si>
    <t xml:space="preserve">R$54.731.757,50</t>
  </si>
  <si>
    <t xml:space="preserve">R$65.830.939,11</t>
  </si>
  <si>
    <t xml:space="preserve">31/08/2019</t>
  </si>
  <si>
    <t xml:space="preserve">R$55.232,15</t>
  </si>
  <si>
    <t xml:space="preserve">R$979,02</t>
  </si>
  <si>
    <t xml:space="preserve">R$65.545.159,82</t>
  </si>
  <si>
    <t xml:space="preserve">R$61.310.991,00</t>
  </si>
  <si>
    <t xml:space="preserve">R$66.761.164,73</t>
  </si>
  <si>
    <t xml:space="preserve">04/09/2019</t>
  </si>
  <si>
    <t xml:space="preserve">R$36.432,16</t>
  </si>
  <si>
    <t xml:space="preserve">R$608,56</t>
  </si>
  <si>
    <t xml:space="preserve">R$73.263.025,80</t>
  </si>
  <si>
    <t xml:space="preserve">R$72.669.009,00</t>
  </si>
  <si>
    <t xml:space="preserve">R$67.863.717,02</t>
  </si>
  <si>
    <t xml:space="preserve">09/09/2019</t>
  </si>
  <si>
    <t xml:space="preserve">R$39.638,11</t>
  </si>
  <si>
    <t xml:space="preserve">R$650,18</t>
  </si>
  <si>
    <t xml:space="preserve">R$82.828.325,78</t>
  </si>
  <si>
    <t xml:space="preserve">R$90.063.869,00</t>
  </si>
  <si>
    <t xml:space="preserve">R$69.230.188,45</t>
  </si>
  <si>
    <t xml:space="preserve">11/09/2019</t>
  </si>
  <si>
    <t xml:space="preserve">R$40.602,31</t>
  </si>
  <si>
    <t xml:space="preserve">R$714,09</t>
  </si>
  <si>
    <t xml:space="preserve">R$92.102.746,61</t>
  </si>
  <si>
    <t xml:space="preserve">R$87.325.042,00</t>
  </si>
  <si>
    <t xml:space="preserve">R$70.555.105,72</t>
  </si>
  <si>
    <t xml:space="preserve">14/09/2019</t>
  </si>
  <si>
    <t xml:space="preserve">R$47.474,72</t>
  </si>
  <si>
    <t xml:space="preserve">R$780,19</t>
  </si>
  <si>
    <t xml:space="preserve">R$105.570.573,43</t>
  </si>
  <si>
    <t xml:space="preserve">R$126.808.839,50</t>
  </si>
  <si>
    <t xml:space="preserve">R$72.479.081,00</t>
  </si>
  <si>
    <t xml:space="preserve">18/09/2019</t>
  </si>
  <si>
    <t xml:space="preserve">R$120.085.143,97</t>
  </si>
  <si>
    <t xml:space="preserve">R$19.407,24</t>
  </si>
  <si>
    <t xml:space="preserve">R$461,96</t>
  </si>
  <si>
    <t xml:space="preserve">R$136.664.650,50</t>
  </si>
  <si>
    <t xml:space="preserve">R$74.552.591,09</t>
  </si>
  <si>
    <t xml:space="preserve">A APOSTA GANHADORA DO PRÊMIO PRINCIPAL DO MUNICÍPIO DE BRASÍLIA É UM BOLÃO CAIXA COM 49 COTAS.</t>
  </si>
  <si>
    <t xml:space="preserve">21/09/2019</t>
  </si>
  <si>
    <t xml:space="preserve">R$29.098,66</t>
  </si>
  <si>
    <t xml:space="preserve">R$571,69</t>
  </si>
  <si>
    <t xml:space="preserve">R$39.320.939,03</t>
  </si>
  <si>
    <t xml:space="preserve">R$47.442.475,50</t>
  </si>
  <si>
    <t xml:space="preserve">R$75.272.400,15</t>
  </si>
  <si>
    <t xml:space="preserve">24/09/2019</t>
  </si>
  <si>
    <t xml:space="preserve">SORRISO/MT</t>
  </si>
  <si>
    <t xml:space="preserve">R$43.258.437,80</t>
  </si>
  <si>
    <t xml:space="preserve">R$20.552,88</t>
  </si>
  <si>
    <t xml:space="preserve">R$579,20</t>
  </si>
  <si>
    <t xml:space="preserve">R$37.073.641,50</t>
  </si>
  <si>
    <t xml:space="preserve">R$75.834.899,99</t>
  </si>
  <si>
    <t xml:space="preserve">26/09/2019</t>
  </si>
  <si>
    <t xml:space="preserve">R$36.389,59</t>
  </si>
  <si>
    <t xml:space="preserve">R$749,69</t>
  </si>
  <si>
    <t xml:space="preserve">R$2.547.271,23</t>
  </si>
  <si>
    <t xml:space="preserve">R$23.983.911,00</t>
  </si>
  <si>
    <t xml:space="preserve">R$76.198.795,89</t>
  </si>
  <si>
    <t xml:space="preserve">28/09/2019</t>
  </si>
  <si>
    <t xml:space="preserve">R$5.698.505,42</t>
  </si>
  <si>
    <t xml:space="preserve">R$31.103,09</t>
  </si>
  <si>
    <t xml:space="preserve">R$523,97</t>
  </si>
  <si>
    <t xml:space="preserve">R$29.670.543,00</t>
  </si>
  <si>
    <t xml:space="preserve">R$76.648.972,22</t>
  </si>
  <si>
    <t xml:space="preserve">02/10/2019</t>
  </si>
  <si>
    <t xml:space="preserve">R$42.670,91</t>
  </si>
  <si>
    <t xml:space="preserve">R$791,93</t>
  </si>
  <si>
    <t xml:space="preserve">R$14.088.559,55</t>
  </si>
  <si>
    <t xml:space="preserve">R$28.123.844,00</t>
  </si>
  <si>
    <t xml:space="preserve">R$77.075.681,25</t>
  </si>
  <si>
    <t xml:space="preserve">05/10/2019</t>
  </si>
  <si>
    <t xml:space="preserve">R$24.440,78</t>
  </si>
  <si>
    <t xml:space="preserve">R$608,06</t>
  </si>
  <si>
    <t xml:space="preserve">R$18.905.966,69</t>
  </si>
  <si>
    <t xml:space="preserve">R$45.358.446,00</t>
  </si>
  <si>
    <t xml:space="preserve">R$77.763.882,29</t>
  </si>
  <si>
    <t xml:space="preserve">09/10/2019</t>
  </si>
  <si>
    <t xml:space="preserve">R$47.367,07</t>
  </si>
  <si>
    <t xml:space="preserve">R$942,07</t>
  </si>
  <si>
    <t xml:space="preserve">R$23.966.764,20</t>
  </si>
  <si>
    <t xml:space="preserve">R$47.650.095,50</t>
  </si>
  <si>
    <t xml:space="preserve">R$78.486.853,38</t>
  </si>
  <si>
    <t xml:space="preserve">14/10/2019</t>
  </si>
  <si>
    <t xml:space="preserve">R$20.886,96</t>
  </si>
  <si>
    <t xml:space="preserve">R$579,23</t>
  </si>
  <si>
    <t xml:space="preserve">R$29.738.161,42</t>
  </si>
  <si>
    <t xml:space="preserve">R$54.340.769,00</t>
  </si>
  <si>
    <t xml:space="preserve">R$79.311.338,72</t>
  </si>
  <si>
    <t xml:space="preserve">16/10/2019</t>
  </si>
  <si>
    <t xml:space="preserve">R$34.615.569,28</t>
  </si>
  <si>
    <t xml:space="preserve">R$56.334,80</t>
  </si>
  <si>
    <t xml:space="preserve">R$859,26</t>
  </si>
  <si>
    <t xml:space="preserve">R$45.923.384,50</t>
  </si>
  <si>
    <t xml:space="preserve">R$80.008.111,29</t>
  </si>
  <si>
    <t xml:space="preserve">19/10/2019</t>
  </si>
  <si>
    <t xml:space="preserve">R$58.063,07</t>
  </si>
  <si>
    <t xml:space="preserve">R$787,13</t>
  </si>
  <si>
    <t xml:space="preserve">R$17.954.178,62</t>
  </si>
  <si>
    <t xml:space="preserve">R$29.205.001,00</t>
  </si>
  <si>
    <t xml:space="preserve">R$80.451.224,18</t>
  </si>
  <si>
    <t xml:space="preserve">22/10/2019</t>
  </si>
  <si>
    <t xml:space="preserve">R$31.034,46</t>
  </si>
  <si>
    <t xml:space="preserve">R$20.926.952,62</t>
  </si>
  <si>
    <t xml:space="preserve">R$27.990.245,50</t>
  </si>
  <si>
    <t xml:space="preserve">R$80.875.906,20</t>
  </si>
  <si>
    <t xml:space="preserve">24/10/2019</t>
  </si>
  <si>
    <t xml:space="preserve">R$34.586,33</t>
  </si>
  <si>
    <t xml:space="preserve">R$546,45</t>
  </si>
  <si>
    <t xml:space="preserve">R$24.749.652,29</t>
  </si>
  <si>
    <t xml:space="preserve">R$35.992.747,00</t>
  </si>
  <si>
    <t xml:space="preserve">R$81.422.006,17</t>
  </si>
  <si>
    <t xml:space="preserve">26/10/2019</t>
  </si>
  <si>
    <t xml:space="preserve">R$51.806,91</t>
  </si>
  <si>
    <t xml:space="preserve">R$955,73</t>
  </si>
  <si>
    <t xml:space="preserve">R$29.330.473,90</t>
  </si>
  <si>
    <t xml:space="preserve">R$43.130.867,50</t>
  </si>
  <si>
    <t xml:space="preserve">R$82.076.409,26</t>
  </si>
  <si>
    <t xml:space="preserve">30/10/2019</t>
  </si>
  <si>
    <t xml:space="preserve">R$49.414,01</t>
  </si>
  <si>
    <t xml:space="preserve">R$836,35</t>
  </si>
  <si>
    <t xml:space="preserve">R$34.518.944,88</t>
  </si>
  <si>
    <t xml:space="preserve">R$48.852.209,00</t>
  </si>
  <si>
    <t xml:space="preserve">R$82.817.619,41</t>
  </si>
  <si>
    <t xml:space="preserve">04/11/2019</t>
  </si>
  <si>
    <t xml:space="preserve">R$45.148,15</t>
  </si>
  <si>
    <t xml:space="preserve">R$838,34</t>
  </si>
  <si>
    <t xml:space="preserve">R$55.224.861,21</t>
  </si>
  <si>
    <t xml:space="preserve">R$59.513.128,50</t>
  </si>
  <si>
    <t xml:space="preserve">R$83.720.582,36</t>
  </si>
  <si>
    <t xml:space="preserve">06/11/2019</t>
  </si>
  <si>
    <t xml:space="preserve">SAO PAULO/SP</t>
  </si>
  <si>
    <t xml:space="preserve">R$61.429.947,73</t>
  </si>
  <si>
    <t xml:space="preserve">R$30.075,67</t>
  </si>
  <si>
    <t xml:space="preserve">R$761,65</t>
  </si>
  <si>
    <t xml:space="preserve">R$58.424.184,00</t>
  </si>
  <si>
    <t xml:space="preserve">R$84.607.023,31</t>
  </si>
  <si>
    <t xml:space="preserve">09/11/2019</t>
  </si>
  <si>
    <t xml:space="preserve">R$31.401,56</t>
  </si>
  <si>
    <t xml:space="preserve">R$654,60</t>
  </si>
  <si>
    <t xml:space="preserve">R$2.950.094,24</t>
  </si>
  <si>
    <t xml:space="preserve">R$27.776.703,50</t>
  </si>
  <si>
    <t xml:space="preserve">R$85.028.465,35</t>
  </si>
  <si>
    <t xml:space="preserve">13/11/2019</t>
  </si>
  <si>
    <t xml:space="preserve">R$49.905,76</t>
  </si>
  <si>
    <t xml:space="preserve">R$1.016,25</t>
  </si>
  <si>
    <t xml:space="preserve">R$6.535.428,48</t>
  </si>
  <si>
    <t xml:space="preserve">R$33.757.825,50</t>
  </si>
  <si>
    <t xml:space="preserve">R$10.500.000,00</t>
  </si>
  <si>
    <t xml:space="preserve">R$85.540.655,97</t>
  </si>
  <si>
    <t xml:space="preserve">16/11/2019</t>
  </si>
  <si>
    <t xml:space="preserve">R$113.415,57</t>
  </si>
  <si>
    <t xml:space="preserve">R$1.612,63</t>
  </si>
  <si>
    <t xml:space="preserve">R$10.087.126,71</t>
  </si>
  <si>
    <t xml:space="preserve">R$33.441.124,50</t>
  </si>
  <si>
    <t xml:space="preserve">R$14.200.000,00</t>
  </si>
  <si>
    <t xml:space="preserve">R$86.048.041,45</t>
  </si>
  <si>
    <t xml:space="preserve">20/11/2019</t>
  </si>
  <si>
    <t xml:space="preserve">R$42.445,66</t>
  </si>
  <si>
    <t xml:space="preserve">R$793,16</t>
  </si>
  <si>
    <t xml:space="preserve">R$26.567.458,66</t>
  </si>
  <si>
    <t xml:space="preserve">R$36.073.530,00</t>
  </si>
  <si>
    <t xml:space="preserve">R$86.595.367,11</t>
  </si>
  <si>
    <t xml:space="preserve">23/11/2019</t>
  </si>
  <si>
    <t xml:space="preserve">R$36.572,74</t>
  </si>
  <si>
    <t xml:space="preserve">R$716,07</t>
  </si>
  <si>
    <t xml:space="preserve">R$32.024.497,14</t>
  </si>
  <si>
    <t xml:space="preserve">R$51.380.914,50</t>
  </si>
  <si>
    <t xml:space="preserve">R$87.374.944,04</t>
  </si>
  <si>
    <t xml:space="preserve">27/11/2019</t>
  </si>
  <si>
    <t xml:space="preserve">R$59.225,53</t>
  </si>
  <si>
    <t xml:space="preserve">R$1.195,22</t>
  </si>
  <si>
    <t xml:space="preserve">R$37.697.679,24</t>
  </si>
  <si>
    <t xml:space="preserve">R$53.416.021,50</t>
  </si>
  <si>
    <t xml:space="preserve">R$88.185.398,63</t>
  </si>
  <si>
    <t xml:space="preserve">30/11/2019</t>
  </si>
  <si>
    <t xml:space="preserve">R$56.566,09</t>
  </si>
  <si>
    <t xml:space="preserve">R$945,22</t>
  </si>
  <si>
    <t xml:space="preserve">R$44.053.920,91</t>
  </si>
  <si>
    <t xml:space="preserve">R$59.847.390,00</t>
  </si>
  <si>
    <t xml:space="preserve">R$89.093.433,17</t>
  </si>
  <si>
    <t xml:space="preserve">04/12/2019</t>
  </si>
  <si>
    <t xml:space="preserve">SAO GONCALO/RJ</t>
  </si>
  <si>
    <t xml:space="preserve">R$51.119.263,33</t>
  </si>
  <si>
    <t xml:space="preserve">R$39.952,83</t>
  </si>
  <si>
    <t xml:space="preserve">R$744,46</t>
  </si>
  <si>
    <t xml:space="preserve">R$66.523.950,00</t>
  </si>
  <si>
    <t xml:space="preserve">R$90.102.767,80</t>
  </si>
  <si>
    <t xml:space="preserve">07/12/2019</t>
  </si>
  <si>
    <t xml:space="preserve">R$41.300,51</t>
  </si>
  <si>
    <t xml:space="preserve">R$805,47</t>
  </si>
  <si>
    <t xml:space="preserve">R$20.884.230,04</t>
  </si>
  <si>
    <t xml:space="preserve">R$31.518.630,00</t>
  </si>
  <si>
    <t xml:space="preserve">R$90.580.984,23</t>
  </si>
  <si>
    <t xml:space="preserve">11/12/2019</t>
  </si>
  <si>
    <t xml:space="preserve">R$53.207,20</t>
  </si>
  <si>
    <t xml:space="preserve">R$891,61</t>
  </si>
  <si>
    <t xml:space="preserve">R$25.588.866,49</t>
  </si>
  <si>
    <t xml:space="preserve">R$44.296.650,00</t>
  </si>
  <si>
    <t xml:space="preserve">R$91.253.075,18</t>
  </si>
  <si>
    <t xml:space="preserve">14/12/2019</t>
  </si>
  <si>
    <t xml:space="preserve">R$62.000,46</t>
  </si>
  <si>
    <t xml:space="preserve">R$995,19</t>
  </si>
  <si>
    <t xml:space="preserve">R$31.185.223,61</t>
  </si>
  <si>
    <t xml:space="preserve">R$52.692.673,50</t>
  </si>
  <si>
    <t xml:space="preserve">R$92.052.554,77</t>
  </si>
  <si>
    <t xml:space="preserve">17/12/2019</t>
  </si>
  <si>
    <t xml:space="preserve">R$41.197,38</t>
  </si>
  <si>
    <t xml:space="preserve">R$921,27</t>
  </si>
  <si>
    <t xml:space="preserve">R$35.055.609,49</t>
  </si>
  <si>
    <t xml:space="preserve">R$36.441.738,00</t>
  </si>
  <si>
    <t xml:space="preserve">R$92.605.467,06</t>
  </si>
  <si>
    <t xml:space="preserve">19/12/2019</t>
  </si>
  <si>
    <t xml:space="preserve">FRANCA/SP</t>
  </si>
  <si>
    <t xml:space="preserve">R$40.059.665,22</t>
  </si>
  <si>
    <t xml:space="preserve">R$64.678,28</t>
  </si>
  <si>
    <t xml:space="preserve">R$1.160,14</t>
  </si>
  <si>
    <t xml:space="preserve">R$47.115.841,50</t>
  </si>
  <si>
    <t xml:space="preserve">R$93.320.332,18</t>
  </si>
  <si>
    <t xml:space="preserve">21/12/2019</t>
  </si>
  <si>
    <t xml:space="preserve">R$62.086,22</t>
  </si>
  <si>
    <t xml:space="preserve">R$1.031,79</t>
  </si>
  <si>
    <t xml:space="preserve">R$110.640.988,95</t>
  </si>
  <si>
    <t xml:space="preserve">R$27.998.055,00</t>
  </si>
  <si>
    <t xml:space="preserve">R$300.000.000,00</t>
  </si>
  <si>
    <t xml:space="preserve">R$93.745.132,69</t>
  </si>
  <si>
    <t xml:space="preserve">31/12/2019</t>
  </si>
  <si>
    <t xml:space="preserve">JUSCIMEIRA/MT; CRICIUMA/SC; SAO PAULO/SP</t>
  </si>
  <si>
    <t xml:space="preserve">R$76.053.459,66</t>
  </si>
  <si>
    <t xml:space="preserve">R$57.537,06</t>
  </si>
  <si>
    <t xml:space="preserve">R$1.099,78</t>
  </si>
  <si>
    <t xml:space="preserve">R$1.028.882.101,50</t>
  </si>
  <si>
    <t xml:space="preserve">04/01/2020</t>
  </si>
  <si>
    <t xml:space="preserve">R$13.753,65</t>
  </si>
  <si>
    <t xml:space="preserve">R$540,87</t>
  </si>
  <si>
    <t xml:space="preserve">R$2.558.901,74</t>
  </si>
  <si>
    <t xml:space="preserve">R$24.093.418,50</t>
  </si>
  <si>
    <t xml:space="preserve">R$365.557,41</t>
  </si>
  <si>
    <t xml:space="preserve">08/01/2020</t>
  </si>
  <si>
    <t xml:space="preserve">R$58.660,41</t>
  </si>
  <si>
    <t xml:space="preserve">R$1.234,23</t>
  </si>
  <si>
    <t xml:space="preserve">R$5.692.602,45</t>
  </si>
  <si>
    <t xml:space="preserve">R$29.505.456,00</t>
  </si>
  <si>
    <t xml:space="preserve">R$813.228,95</t>
  </si>
  <si>
    <t xml:space="preserve">11/01/2020</t>
  </si>
  <si>
    <t xml:space="preserve">R$47.600,35</t>
  </si>
  <si>
    <t xml:space="preserve">R$1.132,50</t>
  </si>
  <si>
    <t xml:space="preserve">R$9.638.420,62</t>
  </si>
  <si>
    <t xml:space="preserve">R$37.151.973,00</t>
  </si>
  <si>
    <t xml:space="preserve">R$1.376.917,27</t>
  </si>
  <si>
    <t xml:space="preserve">15/01/2020</t>
  </si>
  <si>
    <t xml:space="preserve">R$78.328,49</t>
  </si>
  <si>
    <t xml:space="preserve">R$1.372,37</t>
  </si>
  <si>
    <t xml:space="preserve">R$22.276.448,91</t>
  </si>
  <si>
    <t xml:space="preserve">R$38.039.692,50</t>
  </si>
  <si>
    <t xml:space="preserve">R$1.954.074,51</t>
  </si>
  <si>
    <t xml:space="preserve">18/01/2020</t>
  </si>
  <si>
    <t xml:space="preserve">R$81.317,28</t>
  </si>
  <si>
    <t xml:space="preserve">R$1.274,09</t>
  </si>
  <si>
    <t xml:space="preserve">R$27.369.478,22</t>
  </si>
  <si>
    <t xml:space="preserve">R$47.953.575,00</t>
  </si>
  <si>
    <t xml:space="preserve">R$2.681.650,14</t>
  </si>
  <si>
    <t xml:space="preserve">21/01/2020</t>
  </si>
  <si>
    <t xml:space="preserve">R$46.161,97</t>
  </si>
  <si>
    <t xml:space="preserve">R$746,62</t>
  </si>
  <si>
    <t xml:space="preserve">R$31.025.992,58</t>
  </si>
  <si>
    <t xml:space="preserve">R$34.428.024,00</t>
  </si>
  <si>
    <t xml:space="preserve">R$3.204.009,35</t>
  </si>
  <si>
    <t xml:space="preserve">23/01/2020</t>
  </si>
  <si>
    <t xml:space="preserve">R$27.202,90</t>
  </si>
  <si>
    <t xml:space="preserve">R$623,73</t>
  </si>
  <si>
    <t xml:space="preserve">R$35.636.168,29</t>
  </si>
  <si>
    <t xml:space="preserve">R$43.407.252,00</t>
  </si>
  <si>
    <t xml:space="preserve">R$3.862.605,89</t>
  </si>
  <si>
    <t xml:space="preserve">25/01/2020</t>
  </si>
  <si>
    <t xml:space="preserve">R$34.599,33</t>
  </si>
  <si>
    <t xml:space="preserve">R$755,36</t>
  </si>
  <si>
    <t xml:space="preserve">R$41.053.695,02</t>
  </si>
  <si>
    <t xml:space="preserve">R$51.008.890,50</t>
  </si>
  <si>
    <t xml:space="preserve">R$4.636.538,30</t>
  </si>
  <si>
    <t xml:space="preserve">29/01/2020</t>
  </si>
  <si>
    <t xml:space="preserve">R$53.757,09</t>
  </si>
  <si>
    <t xml:space="preserve">R$1.139,03</t>
  </si>
  <si>
    <t xml:space="preserve">R$63.177.897,14</t>
  </si>
  <si>
    <t xml:space="preserve">R$59.672.605,50</t>
  </si>
  <si>
    <t xml:space="preserve">R$5.541.920,91</t>
  </si>
  <si>
    <t xml:space="preserve">01/02/2020</t>
  </si>
  <si>
    <t xml:space="preserve">R$61.137,23</t>
  </si>
  <si>
    <t xml:space="preserve">R$1.017,14</t>
  </si>
  <si>
    <t xml:space="preserve">R$71.624.488,16</t>
  </si>
  <si>
    <t xml:space="preserve">R$79.529.139,00</t>
  </si>
  <si>
    <t xml:space="preserve">R$6.748.576,78</t>
  </si>
  <si>
    <t xml:space="preserve">05/02/2020</t>
  </si>
  <si>
    <t xml:space="preserve">R$39.228,56</t>
  </si>
  <si>
    <t xml:space="preserve">R$854,81</t>
  </si>
  <si>
    <t xml:space="preserve">R$80.801.905,85</t>
  </si>
  <si>
    <t xml:space="preserve">R$86.410.260,00</t>
  </si>
  <si>
    <t xml:space="preserve">R$8.059.636,47</t>
  </si>
  <si>
    <t xml:space="preserve">08/02/2020</t>
  </si>
  <si>
    <t xml:space="preserve">R$54.265,87</t>
  </si>
  <si>
    <t xml:space="preserve">R$990,79</t>
  </si>
  <si>
    <t xml:space="preserve">R$91.897.849,01</t>
  </si>
  <si>
    <t xml:space="preserve">R$104.474.196,00</t>
  </si>
  <si>
    <t xml:space="preserve">R$9.644.771,22</t>
  </si>
  <si>
    <t xml:space="preserve">12/02/2020</t>
  </si>
  <si>
    <t xml:space="preserve">R$75.344,43</t>
  </si>
  <si>
    <t xml:space="preserve">R$1.181,63</t>
  </si>
  <si>
    <t xml:space="preserve">R$104.250.368,91</t>
  </si>
  <si>
    <t xml:space="preserve">R$116.305.533,00</t>
  </si>
  <si>
    <t xml:space="preserve">R$11.409.416,93</t>
  </si>
  <si>
    <t xml:space="preserve">15/02/2020</t>
  </si>
  <si>
    <t xml:space="preserve">R$36.114,36</t>
  </si>
  <si>
    <t xml:space="preserve">R$807,52</t>
  </si>
  <si>
    <t xml:space="preserve">R$153.469.457,33</t>
  </si>
  <si>
    <t xml:space="preserve">R$135.298.489,50</t>
  </si>
  <si>
    <t xml:space="preserve">R$13.462.233,27</t>
  </si>
  <si>
    <t xml:space="preserve">19/02/2020</t>
  </si>
  <si>
    <t xml:space="preserve">R$69.161,57</t>
  </si>
  <si>
    <t xml:space="preserve">R$1.104,72</t>
  </si>
  <si>
    <t xml:space="preserve">R$170.414.041,17</t>
  </si>
  <si>
    <t xml:space="preserve">R$159.542.253,00</t>
  </si>
  <si>
    <t xml:space="preserve">R$190.000.000,00</t>
  </si>
  <si>
    <t xml:space="preserve">R$15.882.888,12</t>
  </si>
  <si>
    <t xml:space="preserve">22/02/2020</t>
  </si>
  <si>
    <t xml:space="preserve">R$56.213,79</t>
  </si>
  <si>
    <t xml:space="preserve">R$1.018,42</t>
  </si>
  <si>
    <t xml:space="preserve">R$190.088.866,94</t>
  </si>
  <si>
    <t xml:space="preserve">R$185.248.930,50</t>
  </si>
  <si>
    <t xml:space="preserve">R$18.693.577,53</t>
  </si>
  <si>
    <t xml:space="preserve">27/02/2020</t>
  </si>
  <si>
    <t xml:space="preserve">RIO BRANCO/AC; FORTALEZA/CE</t>
  </si>
  <si>
    <t xml:space="preserve">R$105.826.358,87</t>
  </si>
  <si>
    <t xml:space="preserve">R$44.509,85</t>
  </si>
  <si>
    <t xml:space="preserve">R$1.110,86</t>
  </si>
  <si>
    <t xml:space="preserve">R$203.035.104,00</t>
  </si>
  <si>
    <t xml:space="preserve">R$21.774.127,65</t>
  </si>
  <si>
    <t xml:space="preserve">29/02/2020</t>
  </si>
  <si>
    <t xml:space="preserve">R$123.443,51</t>
  </si>
  <si>
    <t xml:space="preserve">R$1.470,44</t>
  </si>
  <si>
    <t xml:space="preserve">R$3.183.543,00</t>
  </si>
  <si>
    <t xml:space="preserve">R$29.974.747,50</t>
  </si>
  <si>
    <t xml:space="preserve">R$22.228.919,53</t>
  </si>
  <si>
    <t xml:space="preserve">04/03/2020</t>
  </si>
  <si>
    <t xml:space="preserve">R$76.121,74</t>
  </si>
  <si>
    <t xml:space="preserve">R$1.031,60</t>
  </si>
  <si>
    <t xml:space="preserve">R$48.379.553,86</t>
  </si>
  <si>
    <t xml:space="preserve">R$38.288.290,50</t>
  </si>
  <si>
    <t xml:space="preserve">R$22.809.848,63</t>
  </si>
  <si>
    <t xml:space="preserve">07/03/2020</t>
  </si>
  <si>
    <t xml:space="preserve">BELO HORIZONTE/MG; SAO PAULO/SP</t>
  </si>
  <si>
    <t xml:space="preserve">R$27.894.020,38</t>
  </si>
  <si>
    <t xml:space="preserve">R$28.124,13</t>
  </si>
  <si>
    <t xml:space="preserve">R$555,37</t>
  </si>
  <si>
    <t xml:space="preserve">R$69.754.837,50</t>
  </si>
  <si>
    <t xml:space="preserve">R$23.868.203,92</t>
  </si>
  <si>
    <t xml:space="preserve">10/03/2020</t>
  </si>
  <si>
    <t xml:space="preserve">R$31.946,06</t>
  </si>
  <si>
    <t xml:space="preserve">R$956,20</t>
  </si>
  <si>
    <t xml:space="preserve">R$1.941.983,90</t>
  </si>
  <si>
    <t xml:space="preserve">R$18.284.809,50</t>
  </si>
  <si>
    <t xml:space="preserve">R$24.145.630,21</t>
  </si>
  <si>
    <t xml:space="preserve">12/03/2020</t>
  </si>
  <si>
    <t xml:space="preserve">R$17.495,28</t>
  </si>
  <si>
    <t xml:space="preserve">R$492,77</t>
  </si>
  <si>
    <t xml:space="preserve">R$4.810.288,96</t>
  </si>
  <si>
    <t xml:space="preserve">R$27.006.615,00</t>
  </si>
  <si>
    <t xml:space="preserve">R$24.555.388,08</t>
  </si>
  <si>
    <t xml:space="preserve">14/03/2020</t>
  </si>
  <si>
    <t xml:space="preserve">R$43.218,75</t>
  </si>
  <si>
    <t xml:space="preserve">R$902,35</t>
  </si>
  <si>
    <t xml:space="preserve">R$8.392.895,64</t>
  </si>
  <si>
    <t xml:space="preserve">R$33.732.144,00</t>
  </si>
  <si>
    <t xml:space="preserve">R$25.067.189,05</t>
  </si>
  <si>
    <t xml:space="preserve">18/03/2020</t>
  </si>
  <si>
    <t xml:space="preserve">CANAL ELETRONICO</t>
  </si>
  <si>
    <t xml:space="preserve">R$12.147.334,80</t>
  </si>
  <si>
    <t xml:space="preserve">R$26.469,15</t>
  </si>
  <si>
    <t xml:space="preserve">R$618,70</t>
  </si>
  <si>
    <t xml:space="preserve">R$12.292.230,79</t>
  </si>
  <si>
    <t xml:space="preserve">R$35.350.038,00</t>
  </si>
  <si>
    <t xml:space="preserve">R$25.603.537,52</t>
  </si>
  <si>
    <t xml:space="preserve">21/03/2020</t>
  </si>
  <si>
    <t xml:space="preserve">MINACU/GO</t>
  </si>
  <si>
    <t xml:space="preserve">R$15.186.785,88</t>
  </si>
  <si>
    <t xml:space="preserve">R$30.810,39</t>
  </si>
  <si>
    <t xml:space="preserve">R$736,46</t>
  </si>
  <si>
    <t xml:space="preserve">R$27.253.773,00</t>
  </si>
  <si>
    <t xml:space="preserve">R$26.017.045,41</t>
  </si>
  <si>
    <t xml:space="preserve">25/03/2020</t>
  </si>
  <si>
    <t xml:space="preserve">R$13.197,43</t>
  </si>
  <si>
    <t xml:space="preserve">R$431,75</t>
  </si>
  <si>
    <t xml:space="preserve">R$1.239.864,34</t>
  </si>
  <si>
    <t xml:space="preserve">R$11.673.981,00</t>
  </si>
  <si>
    <t xml:space="preserve">R$26.194.168,90</t>
  </si>
  <si>
    <t xml:space="preserve">28/03/2020</t>
  </si>
  <si>
    <t xml:space="preserve">R$86.553,24</t>
  </si>
  <si>
    <t xml:space="preserve">R$1.361,75</t>
  </si>
  <si>
    <t xml:space="preserve">R$2.834.266,14</t>
  </si>
  <si>
    <t xml:space="preserve">R$15.012.139,50</t>
  </si>
  <si>
    <t xml:space="preserve">R$4.800.000,00</t>
  </si>
  <si>
    <t xml:space="preserve">R$26.421.940,61</t>
  </si>
  <si>
    <t xml:space="preserve">01/04/2020</t>
  </si>
  <si>
    <t xml:space="preserve">R$4.906.932,90</t>
  </si>
  <si>
    <t xml:space="preserve">R$38.798,69</t>
  </si>
  <si>
    <t xml:space="preserve">R$993,43</t>
  </si>
  <si>
    <t xml:space="preserve">R$19.515.258,00</t>
  </si>
  <si>
    <t xml:space="preserve">R$26.718.035,87</t>
  </si>
  <si>
    <t xml:space="preserve">04/04/2020</t>
  </si>
  <si>
    <t xml:space="preserve">R$39.850,68</t>
  </si>
  <si>
    <t xml:space="preserve">R$862,56</t>
  </si>
  <si>
    <t xml:space="preserve">R$8.131.697,06</t>
  </si>
  <si>
    <t xml:space="preserve">R$18.662.022,00</t>
  </si>
  <si>
    <t xml:space="preserve">R$27.001.185,41</t>
  </si>
  <si>
    <t xml:space="preserve">08/04/2020</t>
  </si>
  <si>
    <t xml:space="preserve">R$53.018,19</t>
  </si>
  <si>
    <t xml:space="preserve">R$857,43</t>
  </si>
  <si>
    <t xml:space="preserve">R$10.768.654,46</t>
  </si>
  <si>
    <t xml:space="preserve">R$24.828.354,00</t>
  </si>
  <si>
    <t xml:space="preserve">R$27.377.893,63</t>
  </si>
  <si>
    <t xml:space="preserve">11/04/2020</t>
  </si>
  <si>
    <t xml:space="preserve">R$49.650,39</t>
  </si>
  <si>
    <t xml:space="preserve">R$925,71</t>
  </si>
  <si>
    <t xml:space="preserve">R$13.421.030,49</t>
  </si>
  <si>
    <t xml:space="preserve">R$24.973.528,50</t>
  </si>
  <si>
    <t xml:space="preserve">R$27.756.804,50</t>
  </si>
  <si>
    <t xml:space="preserve">15/04/2020</t>
  </si>
  <si>
    <t xml:space="preserve">R$83.292,59</t>
  </si>
  <si>
    <t xml:space="preserve">R$1.381,18</t>
  </si>
  <si>
    <t xml:space="preserve">R$16.489.704,97</t>
  </si>
  <si>
    <t xml:space="preserve">R$28.893.199,50</t>
  </si>
  <si>
    <t xml:space="preserve">R$28.195.186,58</t>
  </si>
  <si>
    <t xml:space="preserve">18/04/2020</t>
  </si>
  <si>
    <t xml:space="preserve">R$73.343,98</t>
  </si>
  <si>
    <t xml:space="preserve">R$1.224,91</t>
  </si>
  <si>
    <t xml:space="preserve">R$20.002.495,57</t>
  </si>
  <si>
    <t xml:space="preserve">R$33.074.788,50</t>
  </si>
  <si>
    <t xml:space="preserve">R$28.697.013,83</t>
  </si>
  <si>
    <t xml:space="preserve">22/04/2020</t>
  </si>
  <si>
    <t xml:space="preserve">R$31.749,26</t>
  </si>
  <si>
    <t xml:space="preserve">R$700,52</t>
  </si>
  <si>
    <t xml:space="preserve">R$32.702.767,79</t>
  </si>
  <si>
    <t xml:space="preserve">R$30.286.948,50</t>
  </si>
  <si>
    <t xml:space="preserve">R$29.156.542,57</t>
  </si>
  <si>
    <t xml:space="preserve">25/04/2020</t>
  </si>
  <si>
    <t xml:space="preserve">R$93.534,52</t>
  </si>
  <si>
    <t xml:space="preserve">R$1.558,07</t>
  </si>
  <si>
    <t xml:space="preserve">R$37.010.278,58</t>
  </si>
  <si>
    <t xml:space="preserve">R$40.557.501,00</t>
  </si>
  <si>
    <t xml:space="preserve">R$29.771.901,28</t>
  </si>
  <si>
    <t xml:space="preserve">29/04/2020</t>
  </si>
  <si>
    <t xml:space="preserve">R$59.723,61</t>
  </si>
  <si>
    <t xml:space="preserve">R$1.151,58</t>
  </si>
  <si>
    <t xml:space="preserve">R$41.961.050,91</t>
  </si>
  <si>
    <t xml:space="preserve">R$46.614.150,00</t>
  </si>
  <si>
    <t xml:space="preserve">R$30.479.154,48</t>
  </si>
  <si>
    <t xml:space="preserve">02/05/2020</t>
  </si>
  <si>
    <t xml:space="preserve">R$83.236,06</t>
  </si>
  <si>
    <t xml:space="preserve">R$1.363,33</t>
  </si>
  <si>
    <t xml:space="preserve">R$46.867.597,63</t>
  </si>
  <si>
    <t xml:space="preserve">R$46.197.742,50</t>
  </si>
  <si>
    <t xml:space="preserve">R$31.180.089,74</t>
  </si>
  <si>
    <t xml:space="preserve">05/05/2020</t>
  </si>
  <si>
    <t xml:space="preserve">R$19.496,62</t>
  </si>
  <si>
    <t xml:space="preserve">R$464,75</t>
  </si>
  <si>
    <t xml:space="preserve">R$50.925.973,03</t>
  </si>
  <si>
    <t xml:space="preserve">R$38.211.759,00</t>
  </si>
  <si>
    <t xml:space="preserve">R$31.759.857,67</t>
  </si>
  <si>
    <t xml:space="preserve">07/05/2020</t>
  </si>
  <si>
    <t xml:space="preserve">R$99.682,34</t>
  </si>
  <si>
    <t xml:space="preserve">R$1.315,40</t>
  </si>
  <si>
    <t xml:space="preserve">R$71.651.016,29</t>
  </si>
  <si>
    <t xml:space="preserve">R$53.596.836,00</t>
  </si>
  <si>
    <t xml:space="preserve">R$32.573.055,67</t>
  </si>
  <si>
    <t xml:space="preserve">09/05/2020</t>
  </si>
  <si>
    <t xml:space="preserve">R$45.513,08</t>
  </si>
  <si>
    <t xml:space="preserve">R$884,67</t>
  </si>
  <si>
    <t xml:space="preserve">R$79.280.446,23</t>
  </si>
  <si>
    <t xml:space="preserve">R$71.835.133,50</t>
  </si>
  <si>
    <t xml:space="preserve">R$33.662.974,24</t>
  </si>
  <si>
    <t xml:space="preserve">13/05/2020</t>
  </si>
  <si>
    <t xml:space="preserve">R$36.059,08</t>
  </si>
  <si>
    <t xml:space="preserve">R$691,61</t>
  </si>
  <si>
    <t xml:space="preserve">R$88.646.317,02</t>
  </si>
  <si>
    <t xml:space="preserve">R$88.184.646,00</t>
  </si>
  <si>
    <t xml:space="preserve">R$35.000.955,81</t>
  </si>
  <si>
    <t xml:space="preserve">16/05/2020</t>
  </si>
  <si>
    <t xml:space="preserve">R$101.195.308,30</t>
  </si>
  <si>
    <t xml:space="preserve">R$34.405,61</t>
  </si>
  <si>
    <t xml:space="preserve">R$757,34</t>
  </si>
  <si>
    <t xml:space="preserve">R$118.155.415,50</t>
  </si>
  <si>
    <t xml:space="preserve">R$36.793.668,86</t>
  </si>
  <si>
    <t xml:space="preserve">20/05/2020</t>
  </si>
  <si>
    <t xml:space="preserve">R$40.048,08</t>
  </si>
  <si>
    <t xml:space="preserve">R$826,49</t>
  </si>
  <si>
    <t xml:space="preserve">R$2.655.819,54</t>
  </si>
  <si>
    <t xml:space="preserve">R$25.005.951,00</t>
  </si>
  <si>
    <t xml:space="preserve">R$37.173.071,66</t>
  </si>
  <si>
    <t xml:space="preserve">23/05/2020</t>
  </si>
  <si>
    <t xml:space="preserve">R$25.246,01</t>
  </si>
  <si>
    <t xml:space="preserve">R$604,68</t>
  </si>
  <si>
    <t xml:space="preserve">R$28.424.765,11</t>
  </si>
  <si>
    <t xml:space="preserve">R$31.965.007,50</t>
  </si>
  <si>
    <t xml:space="preserve">R$37.658.060,75</t>
  </si>
  <si>
    <t xml:space="preserve">27/05/2020</t>
  </si>
  <si>
    <t xml:space="preserve">R$51.863,40</t>
  </si>
  <si>
    <t xml:space="preserve">R$1.266,07</t>
  </si>
  <si>
    <t xml:space="preserve">R$33.201.656,55</t>
  </si>
  <si>
    <t xml:space="preserve">R$44.976.969,00</t>
  </si>
  <si>
    <t xml:space="preserve">R$38.340.473,81</t>
  </si>
  <si>
    <t xml:space="preserve">30/05/2020</t>
  </si>
  <si>
    <t xml:space="preserve">R$64.685,64</t>
  </si>
  <si>
    <t xml:space="preserve">R$1.108,80</t>
  </si>
  <si>
    <t xml:space="preserve">R$39.159.544,26</t>
  </si>
  <si>
    <t xml:space="preserve">R$56.096.676,00</t>
  </si>
  <si>
    <t xml:space="preserve">R$39.191.600,65</t>
  </si>
  <si>
    <t xml:space="preserve">03/06/2020</t>
  </si>
  <si>
    <t xml:space="preserve">R$45.553.191,42</t>
  </si>
  <si>
    <t xml:space="preserve">R$105.176,88</t>
  </si>
  <si>
    <t xml:space="preserve">R$1.220,06</t>
  </si>
  <si>
    <t xml:space="preserve">R$60.199.582,50</t>
  </si>
  <si>
    <t xml:space="preserve">R$40.104.978,82</t>
  </si>
  <si>
    <t xml:space="preserve">06/06/2020</t>
  </si>
  <si>
    <t xml:space="preserve">R$35.721,30</t>
  </si>
  <si>
    <t xml:space="preserve">R$829,48</t>
  </si>
  <si>
    <t xml:space="preserve">R$3.158.514,56</t>
  </si>
  <si>
    <t xml:space="preserve">R$29.739.091,50</t>
  </si>
  <si>
    <t xml:space="preserve">R$40.556.195,19</t>
  </si>
  <si>
    <t xml:space="preserve">10/06/2020</t>
  </si>
  <si>
    <t xml:space="preserve">R$39.726,16</t>
  </si>
  <si>
    <t xml:space="preserve">R$827,07</t>
  </si>
  <si>
    <t xml:space="preserve">R$21.511.693,98</t>
  </si>
  <si>
    <t xml:space="preserve">R$32.384.236,50</t>
  </si>
  <si>
    <t xml:space="preserve">R$41.047.545,04</t>
  </si>
  <si>
    <t xml:space="preserve">13/06/2020</t>
  </si>
  <si>
    <t xml:space="preserve">R$46.373,51</t>
  </si>
  <si>
    <t xml:space="preserve">R$1.297,05</t>
  </si>
  <si>
    <t xml:space="preserve">R$26.039.212,97</t>
  </si>
  <si>
    <t xml:space="preserve">R$42.628.995,00</t>
  </si>
  <si>
    <t xml:space="preserve">R$41.694.333,48</t>
  </si>
  <si>
    <t xml:space="preserve">17/06/2020</t>
  </si>
  <si>
    <t xml:space="preserve">R$56.983,62</t>
  </si>
  <si>
    <t xml:space="preserve">R$980,78</t>
  </si>
  <si>
    <t xml:space="preserve">R$31.287.703,61</t>
  </si>
  <si>
    <t xml:space="preserve">R$49.417.326,00</t>
  </si>
  <si>
    <t xml:space="preserve">R$42.444.117,87</t>
  </si>
  <si>
    <t xml:space="preserve">20/06/2020</t>
  </si>
  <si>
    <t xml:space="preserve">R$45.670,97</t>
  </si>
  <si>
    <t xml:space="preserve">R$817,42</t>
  </si>
  <si>
    <t xml:space="preserve">R$37.260.986,05</t>
  </si>
  <si>
    <t xml:space="preserve">R$56.241.625,50</t>
  </si>
  <si>
    <t xml:space="preserve">R$43.297.443,94</t>
  </si>
  <si>
    <t xml:space="preserve">24/06/2020</t>
  </si>
  <si>
    <t xml:space="preserve">BRASILIA/DF</t>
  </si>
  <si>
    <t xml:space="preserve">R$43.269.740,25</t>
  </si>
  <si>
    <t xml:space="preserve">R$67.956,15</t>
  </si>
  <si>
    <t xml:space="preserve">R$1.216,67</t>
  </si>
  <si>
    <t xml:space="preserve">R$56.575.611,00</t>
  </si>
  <si>
    <t xml:space="preserve">R$44.155.837,42</t>
  </si>
  <si>
    <t xml:space="preserve">27/06/2020</t>
  </si>
  <si>
    <t xml:space="preserve">R$24.042,23</t>
  </si>
  <si>
    <t xml:space="preserve">R$710,76</t>
  </si>
  <si>
    <t xml:space="preserve">R$18.148.340,83</t>
  </si>
  <si>
    <t xml:space="preserve">R$25.853.877,00</t>
  </si>
  <si>
    <t xml:space="preserve">R$44.548.105,39</t>
  </si>
  <si>
    <t xml:space="preserve">01/07/2020</t>
  </si>
  <si>
    <t xml:space="preserve">R$43.339,89</t>
  </si>
  <si>
    <t xml:space="preserve">R$983,06</t>
  </si>
  <si>
    <t xml:space="preserve">R$22.220.008,99</t>
  </si>
  <si>
    <t xml:space="preserve">R$38.336.917,50</t>
  </si>
  <si>
    <t xml:space="preserve">R$45.129.772,29</t>
  </si>
  <si>
    <t xml:space="preserve">04/07/2020</t>
  </si>
  <si>
    <t xml:space="preserve">R$36.939,97</t>
  </si>
  <si>
    <t xml:space="preserve">R$732,52</t>
  </si>
  <si>
    <t xml:space="preserve">R$27.323.557,62</t>
  </si>
  <si>
    <t xml:space="preserve">R$48.052.620,00</t>
  </si>
  <si>
    <t xml:space="preserve">R$45.858.850,69</t>
  </si>
  <si>
    <t xml:space="preserve">08/07/2020</t>
  </si>
  <si>
    <t xml:space="preserve">R$31.990,12</t>
  </si>
  <si>
    <t xml:space="preserve">R$726,69</t>
  </si>
  <si>
    <t xml:space="preserve">R$32.568.253,95</t>
  </si>
  <si>
    <t xml:space="preserve">R$49.381.600,50</t>
  </si>
  <si>
    <t xml:space="preserve">R$46.608.093,03</t>
  </si>
  <si>
    <t xml:space="preserve">11/07/2020</t>
  </si>
  <si>
    <t xml:space="preserve">R$35.640,86</t>
  </si>
  <si>
    <t xml:space="preserve">R$763,77</t>
  </si>
  <si>
    <t xml:space="preserve">R$39.002.367,76</t>
  </si>
  <si>
    <t xml:space="preserve">R$60.580.597,50</t>
  </si>
  <si>
    <t xml:space="preserve">R$47.527.252,15</t>
  </si>
  <si>
    <t xml:space="preserve">14/07/2020</t>
  </si>
  <si>
    <t xml:space="preserve">R$43.234.926,10</t>
  </si>
  <si>
    <t xml:space="preserve">R$19.147,29</t>
  </si>
  <si>
    <t xml:space="preserve">R$528,39</t>
  </si>
  <si>
    <t xml:space="preserve">R$15.768.710,74</t>
  </si>
  <si>
    <t xml:space="preserve">R$39.851.784,00</t>
  </si>
  <si>
    <t xml:space="preserve">R$48.131.903,37</t>
  </si>
  <si>
    <t xml:space="preserve">16/07/2020</t>
  </si>
  <si>
    <t xml:space="preserve">R$98.944,99</t>
  </si>
  <si>
    <t xml:space="preserve">R$1.724,83</t>
  </si>
  <si>
    <t xml:space="preserve">R$19.414.052,44</t>
  </si>
  <si>
    <t xml:space="preserve">R$34.322.827,50</t>
  </si>
  <si>
    <t xml:space="preserve">R$48.652.666,49</t>
  </si>
  <si>
    <t xml:space="preserve">18/07/2020</t>
  </si>
  <si>
    <t xml:space="preserve">R$52.989,08</t>
  </si>
  <si>
    <t xml:space="preserve">R$1.322,11</t>
  </si>
  <si>
    <t xml:space="preserve">R$23.611.345,48</t>
  </si>
  <si>
    <t xml:space="preserve">R$39.519.742,50</t>
  </si>
  <si>
    <t xml:space="preserve">R$49.252.279,79</t>
  </si>
  <si>
    <t xml:space="preserve">22/07/2020</t>
  </si>
  <si>
    <t xml:space="preserve">ATIBAIA/SP</t>
  </si>
  <si>
    <t xml:space="preserve">R$28.456.665,08</t>
  </si>
  <si>
    <t xml:space="preserve">R$59.779,92</t>
  </si>
  <si>
    <t xml:space="preserve">R$1.083,81</t>
  </si>
  <si>
    <t xml:space="preserve">R$45.621.256,50</t>
  </si>
  <si>
    <t xml:space="preserve">R$49.944.468,31</t>
  </si>
  <si>
    <t xml:space="preserve">25/07/2020</t>
  </si>
  <si>
    <t xml:space="preserve">R$39.429,16</t>
  </si>
  <si>
    <t xml:space="preserve">R$883,14</t>
  </si>
  <si>
    <t xml:space="preserve">R$2.977.939,24</t>
  </si>
  <si>
    <t xml:space="preserve">R$28.038.879,00</t>
  </si>
  <si>
    <t xml:space="preserve">R$50.369.888,22</t>
  </si>
  <si>
    <t xml:space="preserve">29/07/2020</t>
  </si>
  <si>
    <t xml:space="preserve">R$39.587,48</t>
  </si>
  <si>
    <t xml:space="preserve">R$741,85</t>
  </si>
  <si>
    <t xml:space="preserve">R$17.931.857,56</t>
  </si>
  <si>
    <t xml:space="preserve">R$29.524.707,00</t>
  </si>
  <si>
    <t xml:space="preserve">R$50.817.851,84</t>
  </si>
  <si>
    <t xml:space="preserve">01/08/2020</t>
  </si>
  <si>
    <t xml:space="preserve">BRASILIA/DF; ARACATUBA/SP</t>
  </si>
  <si>
    <t xml:space="preserve">R$11.323.343,69</t>
  </si>
  <si>
    <t xml:space="preserve">R$15.996,75</t>
  </si>
  <si>
    <t xml:space="preserve">R$458,94</t>
  </si>
  <si>
    <t xml:space="preserve">R$44.392.626,00</t>
  </si>
  <si>
    <t xml:space="preserve">R$51.491.398,97</t>
  </si>
  <si>
    <t xml:space="preserve">05/08/2020</t>
  </si>
  <si>
    <t xml:space="preserve">R$56.321,66</t>
  </si>
  <si>
    <t xml:space="preserve">R$1.366,20</t>
  </si>
  <si>
    <t xml:space="preserve">R$2.905.011,81</t>
  </si>
  <si>
    <t xml:space="preserve">R$27.352.228,50</t>
  </si>
  <si>
    <t xml:space="preserve">R$51.906.400,68</t>
  </si>
  <si>
    <t xml:space="preserve">08/08/2020</t>
  </si>
  <si>
    <t xml:space="preserve">R$45.775,06</t>
  </si>
  <si>
    <t xml:space="preserve">R$902,38</t>
  </si>
  <si>
    <t xml:space="preserve">R$6.699.522,84</t>
  </si>
  <si>
    <t xml:space="preserve">R$35.727.336,00</t>
  </si>
  <si>
    <t xml:space="preserve">R$52.448.473,70</t>
  </si>
  <si>
    <t xml:space="preserve">11/08/2020</t>
  </si>
  <si>
    <t xml:space="preserve">R$81.484,20</t>
  </si>
  <si>
    <t xml:space="preserve">R$1.205,49</t>
  </si>
  <si>
    <t xml:space="preserve">R$9.101.162,40</t>
  </si>
  <si>
    <t xml:space="preserve">R$22.612.711,50</t>
  </si>
  <si>
    <t xml:space="preserve">R$52.791.565,07</t>
  </si>
  <si>
    <t xml:space="preserve">13/08/2020</t>
  </si>
  <si>
    <t xml:space="preserve">R$53.948,07</t>
  </si>
  <si>
    <t xml:space="preserve">R$905,72</t>
  </si>
  <si>
    <t xml:space="preserve">R$23.126.358,55</t>
  </si>
  <si>
    <t xml:space="preserve">R$30.877.992,00</t>
  </si>
  <si>
    <t xml:space="preserve">R$53.260.061,41</t>
  </si>
  <si>
    <t xml:space="preserve">15/08/2020</t>
  </si>
  <si>
    <t xml:space="preserve">R$25.025,89</t>
  </si>
  <si>
    <t xml:space="preserve">R$757,30</t>
  </si>
  <si>
    <t xml:space="preserve">R$27.551.989,23</t>
  </si>
  <si>
    <t xml:space="preserve">R$41.669.662,50</t>
  </si>
  <si>
    <t xml:space="preserve">R$53.892.294,37</t>
  </si>
  <si>
    <t xml:space="preserve">19/08/2020</t>
  </si>
  <si>
    <t xml:space="preserve">R$79.084,35</t>
  </si>
  <si>
    <t xml:space="preserve">R$1.278,73</t>
  </si>
  <si>
    <t xml:space="preserve">R$32.942.212,09</t>
  </si>
  <si>
    <t xml:space="preserve">R$50.751.810,00</t>
  </si>
  <si>
    <t xml:space="preserve">R$54.662.326,23</t>
  </si>
  <si>
    <t xml:space="preserve">22/08/2020</t>
  </si>
  <si>
    <t xml:space="preserve">R$36.313,40</t>
  </si>
  <si>
    <t xml:space="preserve">R$831,43</t>
  </si>
  <si>
    <t xml:space="preserve">R$39.230.164,19</t>
  </si>
  <si>
    <t xml:space="preserve">R$59.204.407,50</t>
  </si>
  <si>
    <t xml:space="preserve">R$55.560.605,11</t>
  </si>
  <si>
    <t xml:space="preserve">26/08/2020</t>
  </si>
  <si>
    <t xml:space="preserve">R$51.206,89</t>
  </si>
  <si>
    <t xml:space="preserve">R$918,06</t>
  </si>
  <si>
    <t xml:space="preserve">R$45.738.828,97</t>
  </si>
  <si>
    <t xml:space="preserve">R$61.282.534,50</t>
  </si>
  <si>
    <t xml:space="preserve">R$56.490.414,38</t>
  </si>
  <si>
    <t xml:space="preserve">29/08/2020</t>
  </si>
  <si>
    <t xml:space="preserve">R$85.567,49</t>
  </si>
  <si>
    <t xml:space="preserve">R$1.036,46</t>
  </si>
  <si>
    <t xml:space="preserve">R$72.530.802,23</t>
  </si>
  <si>
    <t xml:space="preserve">R$72.721.714,50</t>
  </si>
  <si>
    <t xml:space="preserve">R$82.000.000,00</t>
  </si>
  <si>
    <t xml:space="preserve">R$57.593.784,60</t>
  </si>
  <si>
    <t xml:space="preserve">02/09/2020</t>
  </si>
  <si>
    <t xml:space="preserve">R$33.025,53</t>
  </si>
  <si>
    <t xml:space="preserve">R$788,51</t>
  </si>
  <si>
    <t xml:space="preserve">R$82.386.315,18</t>
  </si>
  <si>
    <t xml:space="preserve">R$92.794.887,00</t>
  </si>
  <si>
    <t xml:space="preserve">R$95.000.000,00</t>
  </si>
  <si>
    <t xml:space="preserve">R$59.001.715,04</t>
  </si>
  <si>
    <t xml:space="preserve">05/09/2020</t>
  </si>
  <si>
    <t xml:space="preserve">CANAL ELETRONICO; CAMPINAS/SP</t>
  </si>
  <si>
    <t xml:space="preserve">R$47.160.446,98</t>
  </si>
  <si>
    <t xml:space="preserve">R$39.028,74</t>
  </si>
  <si>
    <t xml:space="preserve">R$1.070,97</t>
  </si>
  <si>
    <t xml:space="preserve">R$112.370.395,50</t>
  </si>
  <si>
    <t xml:space="preserve">R$60.706.654,87</t>
  </si>
  <si>
    <t xml:space="preserve">09/09/2020</t>
  </si>
  <si>
    <t xml:space="preserve">R$97.017,77</t>
  </si>
  <si>
    <t xml:space="preserve">R$1.616,96</t>
  </si>
  <si>
    <t xml:space="preserve">R$2.502.037,19</t>
  </si>
  <si>
    <t xml:space="preserve">R$23.558.008,50</t>
  </si>
  <si>
    <t xml:space="preserve">R$61.064.088,78</t>
  </si>
  <si>
    <t xml:space="preserve">12/09/2020</t>
  </si>
  <si>
    <t xml:space="preserve">R$41.659,96</t>
  </si>
  <si>
    <t xml:space="preserve">R$873,81</t>
  </si>
  <si>
    <t xml:space="preserve">R$6.032.170,56</t>
  </si>
  <si>
    <t xml:space="preserve">R$33.238.080,00</t>
  </si>
  <si>
    <t xml:space="preserve">R$61.568.393,58</t>
  </si>
  <si>
    <t xml:space="preserve">15/09/2020</t>
  </si>
  <si>
    <t xml:space="preserve">R$55.054,82</t>
  </si>
  <si>
    <t xml:space="preserve">R$909,24</t>
  </si>
  <si>
    <t xml:space="preserve">R$27.154.067,32</t>
  </si>
  <si>
    <t xml:space="preserve">R$21.007.638,00</t>
  </si>
  <si>
    <t xml:space="preserve">R$61.887.131,98</t>
  </si>
  <si>
    <t xml:space="preserve">17/09/2020</t>
  </si>
  <si>
    <t xml:space="preserve">R$29.541,74</t>
  </si>
  <si>
    <t xml:space="preserve">R$827,28</t>
  </si>
  <si>
    <t xml:space="preserve">R$31.289.910,51</t>
  </si>
  <si>
    <t xml:space="preserve">R$38.941.159,50</t>
  </si>
  <si>
    <t xml:space="preserve">R$62.477.966,72</t>
  </si>
  <si>
    <t xml:space="preserve">19/09/2020</t>
  </si>
  <si>
    <t xml:space="preserve">R$44.296,26</t>
  </si>
  <si>
    <t xml:space="preserve">R$963,88</t>
  </si>
  <si>
    <t xml:space="preserve">R$36.675.402,78</t>
  </si>
  <si>
    <t xml:space="preserve">R$50.707.269,00</t>
  </si>
  <si>
    <t xml:space="preserve">R$63.247.322,77</t>
  </si>
  <si>
    <t xml:space="preserve">23/09/2020</t>
  </si>
  <si>
    <t xml:space="preserve">R$27.380,62</t>
  </si>
  <si>
    <t xml:space="preserve">R$737,35</t>
  </si>
  <si>
    <t xml:space="preserve">R$43.030.587,25</t>
  </si>
  <si>
    <t xml:space="preserve">R$59.837.436,00</t>
  </si>
  <si>
    <t xml:space="preserve">R$64.155.206,28</t>
  </si>
  <si>
    <t xml:space="preserve">26/09/2020</t>
  </si>
  <si>
    <t xml:space="preserve">R$28.857,20</t>
  </si>
  <si>
    <t xml:space="preserve">R$708,99</t>
  </si>
  <si>
    <t xml:space="preserve">R$50.738.496,78</t>
  </si>
  <si>
    <t xml:space="preserve">R$72.574.060,50</t>
  </si>
  <si>
    <t xml:space="preserve">R$65.256.336,23</t>
  </si>
  <si>
    <t xml:space="preserve">30/09/2020</t>
  </si>
  <si>
    <t xml:space="preserve">R$47.955,93</t>
  </si>
  <si>
    <t xml:space="preserve">R$1.039,05</t>
  </si>
  <si>
    <t xml:space="preserve">R$78.511.094,25</t>
  </si>
  <si>
    <t xml:space="preserve">R$74.858.998,50</t>
  </si>
  <si>
    <t xml:space="preserve">R$66.392.134,40</t>
  </si>
  <si>
    <t xml:space="preserve">03/10/2020</t>
  </si>
  <si>
    <t xml:space="preserve">R$48.190,57</t>
  </si>
  <si>
    <t xml:space="preserve">R$925,37</t>
  </si>
  <si>
    <t xml:space="preserve">R$89.518.834,75</t>
  </si>
  <si>
    <t xml:space="preserve">R$103.643.721,00</t>
  </si>
  <si>
    <t xml:space="preserve">R$67.964.668,78</t>
  </si>
  <si>
    <t xml:space="preserve">07/10/2020</t>
  </si>
  <si>
    <t xml:space="preserve">ABREU E LIMA/PE</t>
  </si>
  <si>
    <t xml:space="preserve">R$103.029.826,38</t>
  </si>
  <si>
    <t xml:space="preserve">R$28.428,45</t>
  </si>
  <si>
    <t xml:space="preserve">R$666,83</t>
  </si>
  <si>
    <t xml:space="preserve">R$127.213.159,50</t>
  </si>
  <si>
    <t xml:space="preserve">R$69.894.810,44</t>
  </si>
  <si>
    <t xml:space="preserve">10/10/2020</t>
  </si>
  <si>
    <t xml:space="preserve">R$41.739,35</t>
  </si>
  <si>
    <t xml:space="preserve">R$948,81</t>
  </si>
  <si>
    <t xml:space="preserve">R$3.459.972,23</t>
  </si>
  <si>
    <t xml:space="preserve">R$32.577.475,50</t>
  </si>
  <si>
    <t xml:space="preserve">R$70.389.092,21</t>
  </si>
  <si>
    <t xml:space="preserve">14/10/2020</t>
  </si>
  <si>
    <t xml:space="preserve">R$6.648.106,25</t>
  </si>
  <si>
    <t xml:space="preserve">R$30.363,18</t>
  </si>
  <si>
    <t xml:space="preserve">R$725,47</t>
  </si>
  <si>
    <t xml:space="preserve">R$30.017.974,50</t>
  </si>
  <si>
    <t xml:space="preserve">R$70.844.539,95</t>
  </si>
  <si>
    <t xml:space="preserve">17/10/2020</t>
  </si>
  <si>
    <t xml:space="preserve">R$46.985,60</t>
  </si>
  <si>
    <t xml:space="preserve">R$824,91</t>
  </si>
  <si>
    <t xml:space="preserve">R$24.946.942,36</t>
  </si>
  <si>
    <t xml:space="preserve">R$30.967.605,00</t>
  </si>
  <si>
    <t xml:space="preserve">R$71.314.395,95</t>
  </si>
  <si>
    <t xml:space="preserve">20/10/2020</t>
  </si>
  <si>
    <t xml:space="preserve">R$34.291,23</t>
  </si>
  <si>
    <t xml:space="preserve">R$712,94</t>
  </si>
  <si>
    <t xml:space="preserve">R$28.231.681,13</t>
  </si>
  <si>
    <t xml:space="preserve">R$30.927.559,50</t>
  </si>
  <si>
    <t xml:space="preserve">R$71.783.644,37</t>
  </si>
  <si>
    <t xml:space="preserve">22/10/2020</t>
  </si>
  <si>
    <t xml:space="preserve">R$42.990,76</t>
  </si>
  <si>
    <t xml:space="preserve">R$690,06</t>
  </si>
  <si>
    <t xml:space="preserve">R$32.824.904,54</t>
  </si>
  <si>
    <t xml:space="preserve">R$43.247.637,00</t>
  </si>
  <si>
    <t xml:space="preserve">R$72.439.819,16</t>
  </si>
  <si>
    <t xml:space="preserve">24/10/2020</t>
  </si>
  <si>
    <t xml:space="preserve">R$71.554,38</t>
  </si>
  <si>
    <t xml:space="preserve">R$1.164,98</t>
  </si>
  <si>
    <t xml:space="preserve">R$38.492.764,36</t>
  </si>
  <si>
    <t xml:space="preserve">R$53.365.909,50</t>
  </si>
  <si>
    <t xml:space="preserve">R$73.249.513,44</t>
  </si>
  <si>
    <t xml:space="preserve">28/10/2020</t>
  </si>
  <si>
    <t xml:space="preserve">R$54.216,40</t>
  </si>
  <si>
    <t xml:space="preserve">R$1.011,24</t>
  </si>
  <si>
    <t xml:space="preserve">R$45.084.336,78</t>
  </si>
  <si>
    <t xml:space="preserve">R$62.063.154,00</t>
  </si>
  <si>
    <t xml:space="preserve">R$74.191.166,66</t>
  </si>
  <si>
    <t xml:space="preserve">31/10/2020</t>
  </si>
  <si>
    <t xml:space="preserve">R$53.047.796,53</t>
  </si>
  <si>
    <t xml:space="preserve">R$41.171,63</t>
  </si>
  <si>
    <t xml:space="preserve">R$817,87</t>
  </si>
  <si>
    <t xml:space="preserve">R$17.663.394,04</t>
  </si>
  <si>
    <t xml:space="preserve">R$74.980.201,50</t>
  </si>
  <si>
    <t xml:space="preserve">R$75.328.803,79</t>
  </si>
  <si>
    <t xml:space="preserve">O ganhador do canal eletrônico do prêmio principal é da cidade de Goiânia/GO.</t>
  </si>
  <si>
    <t xml:space="preserve">04/11/2020</t>
  </si>
  <si>
    <t xml:space="preserve">R$40.631,54</t>
  </si>
  <si>
    <t xml:space="preserve">R$819,00</t>
  </si>
  <si>
    <t xml:space="preserve">R$21.780.010,44</t>
  </si>
  <si>
    <t xml:space="preserve">R$38.760.129,00</t>
  </si>
  <si>
    <t xml:space="preserve">R$75.916.891,85</t>
  </si>
  <si>
    <t xml:space="preserve">07/11/2020</t>
  </si>
  <si>
    <t xml:space="preserve">R$57.345,38</t>
  </si>
  <si>
    <t xml:space="preserve">R$1.151,51</t>
  </si>
  <si>
    <t xml:space="preserve">R$27.695.638,77</t>
  </si>
  <si>
    <t xml:space="preserve">R$55.698.781,50</t>
  </si>
  <si>
    <t xml:space="preserve">R$76.761.981,63</t>
  </si>
  <si>
    <t xml:space="preserve">11/11/2020</t>
  </si>
  <si>
    <t xml:space="preserve">R$25.311,77</t>
  </si>
  <si>
    <t xml:space="preserve">R$638,79</t>
  </si>
  <si>
    <t xml:space="preserve">R$33.850.396,00</t>
  </si>
  <si>
    <t xml:space="preserve">R$57.950.307,00</t>
  </si>
  <si>
    <t xml:space="preserve">R$77.641.232,68</t>
  </si>
  <si>
    <t xml:space="preserve">14/11/2020</t>
  </si>
  <si>
    <t xml:space="preserve">R$66.282,12</t>
  </si>
  <si>
    <t xml:space="preserve">R$1.114,20</t>
  </si>
  <si>
    <t xml:space="preserve">R$41.054.215,42</t>
  </si>
  <si>
    <t xml:space="preserve">R$67.827.784,50</t>
  </si>
  <si>
    <t xml:space="preserve">R$78.670.349,75</t>
  </si>
  <si>
    <t xml:space="preserve">18/11/2020</t>
  </si>
  <si>
    <t xml:space="preserve">R$74.635,43</t>
  </si>
  <si>
    <t xml:space="preserve">R$1.085,59</t>
  </si>
  <si>
    <t xml:space="preserve">R$67.176.238,41</t>
  </si>
  <si>
    <t xml:space="preserve">R$66.019.842,00</t>
  </si>
  <si>
    <t xml:space="preserve">R$79.672.035,81</t>
  </si>
  <si>
    <t xml:space="preserve">21/11/2020</t>
  </si>
  <si>
    <t xml:space="preserve">RIBEIRAO PRETO/SP</t>
  </si>
  <si>
    <t xml:space="preserve">R$76.128.023,58</t>
  </si>
  <si>
    <t xml:space="preserve">R$52.821,09</t>
  </si>
  <si>
    <t xml:space="preserve">R$1.096,02</t>
  </si>
  <si>
    <t xml:space="preserve">R$84.285.810,00</t>
  </si>
  <si>
    <t xml:space="preserve">R$80.950.862,28</t>
  </si>
  <si>
    <t xml:space="preserve">25/11/2020</t>
  </si>
  <si>
    <t xml:space="preserve">MACEIO/AL</t>
  </si>
  <si>
    <t xml:space="preserve">R$3.036.906,71</t>
  </si>
  <si>
    <t xml:space="preserve">R$41.215,16</t>
  </si>
  <si>
    <t xml:space="preserve">R$944,32</t>
  </si>
  <si>
    <t xml:space="preserve">R$28.594.089,00</t>
  </si>
  <si>
    <t xml:space="preserve">R$81.384.706,11</t>
  </si>
  <si>
    <t xml:space="preserve">28/11/2020</t>
  </si>
  <si>
    <t xml:space="preserve">R$27.702,32</t>
  </si>
  <si>
    <t xml:space="preserve">R$685,41</t>
  </si>
  <si>
    <t xml:space="preserve">R$3.316.988,79</t>
  </si>
  <si>
    <t xml:space="preserve">R$31.231.210,50</t>
  </si>
  <si>
    <t xml:space="preserve">R$81.858.561,66</t>
  </si>
  <si>
    <t xml:space="preserve">02/12/2020</t>
  </si>
  <si>
    <t xml:space="preserve">R$67.337,34</t>
  </si>
  <si>
    <t xml:space="preserve">R$1.528,59</t>
  </si>
  <si>
    <t xml:space="preserve">R$6.914.220,24</t>
  </si>
  <si>
    <t xml:space="preserve">R$33.869.844,00</t>
  </si>
  <si>
    <t xml:space="preserve">R$82.372.451,87</t>
  </si>
  <si>
    <t xml:space="preserve">05/12/2020</t>
  </si>
  <si>
    <t xml:space="preserve">R$58.591,46</t>
  </si>
  <si>
    <t xml:space="preserve">R$1.042,94</t>
  </si>
  <si>
    <t xml:space="preserve">R$26.354.348,85</t>
  </si>
  <si>
    <t xml:space="preserve">R$43.698.046,50</t>
  </si>
  <si>
    <t xml:space="preserve">R$83.035.460,50</t>
  </si>
  <si>
    <t xml:space="preserve">08/12/2020</t>
  </si>
  <si>
    <t xml:space="preserve">R$68.402,27</t>
  </si>
  <si>
    <t xml:space="preserve">R$1.181,53</t>
  </si>
  <si>
    <t xml:space="preserve">R$29.756.461,46</t>
  </si>
  <si>
    <t xml:space="preserve">R$32.032.696,50</t>
  </si>
  <si>
    <t xml:space="preserve">R$83.521.476,60</t>
  </si>
  <si>
    <t xml:space="preserve">10/12/2020</t>
  </si>
  <si>
    <t xml:space="preserve">R$45.721,34</t>
  </si>
  <si>
    <t xml:space="preserve">R$925,15</t>
  </si>
  <si>
    <t xml:space="preserve">R$34.388.754,51</t>
  </si>
  <si>
    <t xml:space="preserve">R$43.615.498,50</t>
  </si>
  <si>
    <t xml:space="preserve">R$84.183.232,77</t>
  </si>
  <si>
    <t xml:space="preserve">12/12/2020</t>
  </si>
  <si>
    <t xml:space="preserve">R$64.714,34</t>
  </si>
  <si>
    <t xml:space="preserve">R$1.234,05</t>
  </si>
  <si>
    <t xml:space="preserve">R$39.991.654,06</t>
  </si>
  <si>
    <t xml:space="preserve">R$52.754.274,00</t>
  </si>
  <si>
    <t xml:space="preserve">R$84.983.647,01</t>
  </si>
  <si>
    <t xml:space="preserve">16/12/2020</t>
  </si>
  <si>
    <t xml:space="preserve">R$49.966,34</t>
  </si>
  <si>
    <t xml:space="preserve">R$945,34</t>
  </si>
  <si>
    <t xml:space="preserve">R$46.158.552,23</t>
  </si>
  <si>
    <t xml:space="preserve">R$58.064.620,50</t>
  </si>
  <si>
    <t xml:space="preserve">R$85.864.632,48</t>
  </si>
  <si>
    <t xml:space="preserve">19/12/2020</t>
  </si>
  <si>
    <t xml:space="preserve">CAMPINA GRANDE/PB; SAO PAULO/SP</t>
  </si>
  <si>
    <t xml:space="preserve">R$26.798.752,27</t>
  </si>
  <si>
    <t xml:space="preserve">R$43.422,45</t>
  </si>
  <si>
    <t xml:space="preserve">R$843,78</t>
  </si>
  <si>
    <t xml:space="preserve">R$104.051.609,25</t>
  </si>
  <si>
    <t xml:space="preserve">R$70.041.685,50</t>
  </si>
  <si>
    <t xml:space="preserve">31/12/2020</t>
  </si>
  <si>
    <t xml:space="preserve">CANAL ELETRONICO; ARACAJU/SE</t>
  </si>
  <si>
    <t xml:space="preserve">R$162.625.108,22</t>
  </si>
  <si>
    <t xml:space="preserve">R$48.978,81</t>
  </si>
  <si>
    <t xml:space="preserve">R$919,27</t>
  </si>
  <si>
    <t xml:space="preserve">R$1.175.719.054,50</t>
  </si>
  <si>
    <t xml:space="preserve">02/01/2021</t>
  </si>
  <si>
    <t xml:space="preserve">R$50.540,79</t>
  </si>
  <si>
    <t xml:space="preserve">R$893,57</t>
  </si>
  <si>
    <t xml:space="preserve">R$931.014,47</t>
  </si>
  <si>
    <t xml:space="preserve">R$8.765.995,50</t>
  </si>
  <si>
    <t xml:space="preserve">R$133.002,09</t>
  </si>
  <si>
    <t xml:space="preserve">06/01/2021</t>
  </si>
  <si>
    <t xml:space="preserve">R$49.795,46</t>
  </si>
  <si>
    <t xml:space="preserve">R$846,86</t>
  </si>
  <si>
    <t xml:space="preserve">R$3.866.325,36</t>
  </si>
  <si>
    <t xml:space="preserve">R$27.637.510,50</t>
  </si>
  <si>
    <t xml:space="preserve">R$552.332,23</t>
  </si>
  <si>
    <t xml:space="preserve">09/01/2021</t>
  </si>
  <si>
    <t xml:space="preserve">R$128.304,01</t>
  </si>
  <si>
    <t xml:space="preserve">R$1.470,74</t>
  </si>
  <si>
    <t xml:space="preserve">R$7.647.917,37</t>
  </si>
  <si>
    <t xml:space="preserve">R$35.605.696,50</t>
  </si>
  <si>
    <t xml:space="preserve">R$1.092.559,66</t>
  </si>
  <si>
    <t xml:space="preserve">13/01/2021</t>
  </si>
  <si>
    <t xml:space="preserve">SERRINHA/BA</t>
  </si>
  <si>
    <t xml:space="preserve">R$11.854.874,71</t>
  </si>
  <si>
    <t xml:space="preserve">R$34.602,68</t>
  </si>
  <si>
    <t xml:space="preserve">R$707,86</t>
  </si>
  <si>
    <t xml:space="preserve">R$7.451.635,52</t>
  </si>
  <si>
    <t xml:space="preserve">R$39.610.737,00</t>
  </si>
  <si>
    <t xml:space="preserve">R$1.693.553,58</t>
  </si>
  <si>
    <t xml:space="preserve">16/01/2021</t>
  </si>
  <si>
    <t xml:space="preserve">R$26.442,64</t>
  </si>
  <si>
    <t xml:space="preserve">R$650,31</t>
  </si>
  <si>
    <t xml:space="preserve">R$11.884.255,98</t>
  </si>
  <si>
    <t xml:space="preserve">R$41.735.475,00</t>
  </si>
  <si>
    <t xml:space="preserve">R$2.326.785,09</t>
  </si>
  <si>
    <t xml:space="preserve">20/01/2021</t>
  </si>
  <si>
    <t xml:space="preserve">R$32.688,93</t>
  </si>
  <si>
    <t xml:space="preserve">R$745,02</t>
  </si>
  <si>
    <t xml:space="preserve">R$16.400.489,52</t>
  </si>
  <si>
    <t xml:space="preserve">R$42.522.736,50</t>
  </si>
  <si>
    <t xml:space="preserve">R$2.971.961,32</t>
  </si>
  <si>
    <t xml:space="preserve">23/01/2021</t>
  </si>
  <si>
    <t xml:space="preserve">R$21.898.260,37</t>
  </si>
  <si>
    <t xml:space="preserve">R$35.529,81</t>
  </si>
  <si>
    <t xml:space="preserve">R$986,71</t>
  </si>
  <si>
    <t xml:space="preserve">R$51.764.431,50</t>
  </si>
  <si>
    <t xml:space="preserve">R$3.757.357,17</t>
  </si>
  <si>
    <t xml:space="preserve">26/01/2021</t>
  </si>
  <si>
    <t xml:space="preserve">R$41.770,96</t>
  </si>
  <si>
    <t xml:space="preserve">R$775,88</t>
  </si>
  <si>
    <t xml:space="preserve">R$1.692.823,18</t>
  </si>
  <si>
    <t xml:space="preserve">R$15.938.829,00</t>
  </si>
  <si>
    <t xml:space="preserve">R$3.999.189,07</t>
  </si>
  <si>
    <t xml:space="preserve">28/01/2021</t>
  </si>
  <si>
    <t xml:space="preserve">R$68.776,09</t>
  </si>
  <si>
    <t xml:space="preserve">R$1.069,17</t>
  </si>
  <si>
    <t xml:space="preserve">R$15.757.856,01</t>
  </si>
  <si>
    <t xml:space="preserve">R$22.664.718,00</t>
  </si>
  <si>
    <t xml:space="preserve">R$4.343.069,52</t>
  </si>
  <si>
    <t xml:space="preserve">30/01/2021</t>
  </si>
  <si>
    <t xml:space="preserve">R$93.309,21</t>
  </si>
  <si>
    <t xml:space="preserve">R$1.328,56</t>
  </si>
  <si>
    <t xml:space="preserve">R$19.883.105,32</t>
  </si>
  <si>
    <t xml:space="preserve">R$38.841.412,50</t>
  </si>
  <si>
    <t xml:space="preserve">R$4.932.390,87</t>
  </si>
  <si>
    <t xml:space="preserve">03/02/2021</t>
  </si>
  <si>
    <t xml:space="preserve">MIRASSOL D'OESTE/MT</t>
  </si>
  <si>
    <t xml:space="preserve">R$25.099.868,34</t>
  </si>
  <si>
    <t xml:space="preserve">R$47.999,27</t>
  </si>
  <si>
    <t xml:space="preserve">R$1.140,26</t>
  </si>
  <si>
    <t xml:space="preserve">R$49.118.593,50</t>
  </si>
  <si>
    <t xml:space="preserve">R$5.677.642,74</t>
  </si>
  <si>
    <t xml:space="preserve">06/02/2021</t>
  </si>
  <si>
    <t xml:space="preserve">R$51.441,93</t>
  </si>
  <si>
    <t xml:space="preserve">R$1.151,85</t>
  </si>
  <si>
    <t xml:space="preserve">R$3.316.650,89</t>
  </si>
  <si>
    <t xml:space="preserve">R$31.228.029,00</t>
  </si>
  <si>
    <t xml:space="preserve">R$6.151.450,04</t>
  </si>
  <si>
    <t xml:space="preserve">10/02/2021</t>
  </si>
  <si>
    <t xml:space="preserve">R$83.892,90</t>
  </si>
  <si>
    <t xml:space="preserve">R$1.147,31</t>
  </si>
  <si>
    <t xml:space="preserve">R$7.025.600,31</t>
  </si>
  <si>
    <t xml:space="preserve">R$34.921.728,00</t>
  </si>
  <si>
    <t xml:space="preserve">R$6.681.299,97</t>
  </si>
  <si>
    <t xml:space="preserve">13/02/2021</t>
  </si>
  <si>
    <t xml:space="preserve">R$42.795,90</t>
  </si>
  <si>
    <t xml:space="preserve">R$793,11</t>
  </si>
  <si>
    <t xml:space="preserve">R$24.888.687,84</t>
  </si>
  <si>
    <t xml:space="preserve">R$43.793.878,50</t>
  </si>
  <si>
    <t xml:space="preserve">R$7.345.762,60</t>
  </si>
  <si>
    <t xml:space="preserve">17/02/2021</t>
  </si>
  <si>
    <t xml:space="preserve">R$30.067,59</t>
  </si>
  <si>
    <t xml:space="preserve">R$648,19</t>
  </si>
  <si>
    <t xml:space="preserve">R$29.042.762,29</t>
  </si>
  <si>
    <t xml:space="preserve">R$39.112.816,50</t>
  </si>
  <si>
    <t xml:space="preserve">R$7.939.201,81</t>
  </si>
  <si>
    <t xml:space="preserve">20/02/2021</t>
  </si>
  <si>
    <t xml:space="preserve">R$64.466,74</t>
  </si>
  <si>
    <t xml:space="preserve">R$1.014,35</t>
  </si>
  <si>
    <t xml:space="preserve">R$35.336.751,66</t>
  </si>
  <si>
    <t xml:space="preserve">R$59.261.251,50</t>
  </si>
  <si>
    <t xml:space="preserve">R$8.838.343,17</t>
  </si>
  <si>
    <t xml:space="preserve">24/02/2021</t>
  </si>
  <si>
    <t xml:space="preserve">R$46.850,78</t>
  </si>
  <si>
    <t xml:space="preserve">R$899,85</t>
  </si>
  <si>
    <t xml:space="preserve">R$41.723.252,74</t>
  </si>
  <si>
    <t xml:space="preserve">R$60.132.298,50</t>
  </si>
  <si>
    <t xml:space="preserve">R$9.750.700,48</t>
  </si>
  <si>
    <t xml:space="preserve">27/02/2021</t>
  </si>
  <si>
    <t xml:space="preserve">R$49.341.885,20</t>
  </si>
  <si>
    <t xml:space="preserve">R$38.652,61</t>
  </si>
  <si>
    <t xml:space="preserve">R$895,06</t>
  </si>
  <si>
    <t xml:space="preserve">R$71.733.469,50</t>
  </si>
  <si>
    <t xml:space="preserve">R$10.839.076,56</t>
  </si>
  <si>
    <t xml:space="preserve">03/03/2021</t>
  </si>
  <si>
    <t xml:space="preserve">R$2.780.964,58</t>
  </si>
  <si>
    <t xml:space="preserve">R$25.587,57</t>
  </si>
  <si>
    <t xml:space="preserve">R$684,65</t>
  </si>
  <si>
    <t xml:space="preserve">R$17.118.616,07</t>
  </si>
  <si>
    <t xml:space="preserve">R$26.184.258,00</t>
  </si>
  <si>
    <t xml:space="preserve">R$11.236.357,23</t>
  </si>
  <si>
    <t xml:space="preserve">06/03/2021</t>
  </si>
  <si>
    <t xml:space="preserve">R$64.050,85</t>
  </si>
  <si>
    <t xml:space="preserve">R$1.294,21</t>
  </si>
  <si>
    <t xml:space="preserve">R$21.838.152,59</t>
  </si>
  <si>
    <t xml:space="preserve">R$44.436.942,00</t>
  </si>
  <si>
    <t xml:space="preserve">R$11.910.576,75</t>
  </si>
  <si>
    <t xml:space="preserve">10/03/2021</t>
  </si>
  <si>
    <t xml:space="preserve">R$37.556,05</t>
  </si>
  <si>
    <t xml:space="preserve">R$839,03</t>
  </si>
  <si>
    <t xml:space="preserve">R$26.819.270,36</t>
  </si>
  <si>
    <t xml:space="preserve">R$46.899.868,50</t>
  </si>
  <si>
    <t xml:space="preserve">R$12.622.165,03</t>
  </si>
  <si>
    <t xml:space="preserve">13/03/2021</t>
  </si>
  <si>
    <t xml:space="preserve">R$31.309,46</t>
  </si>
  <si>
    <t xml:space="preserve">R$890,36</t>
  </si>
  <si>
    <t xml:space="preserve">R$32.702.152,11</t>
  </si>
  <si>
    <t xml:space="preserve">R$55.390.455,00</t>
  </si>
  <si>
    <t xml:space="preserve">R$13.462.576,72</t>
  </si>
  <si>
    <t xml:space="preserve">17/03/2021</t>
  </si>
  <si>
    <t xml:space="preserve">R$45.966,00</t>
  </si>
  <si>
    <t xml:space="preserve">R$854,36</t>
  </si>
  <si>
    <t xml:space="preserve">R$38.714.021,01</t>
  </si>
  <si>
    <t xml:space="preserve">R$56.604.937,50</t>
  </si>
  <si>
    <t xml:space="preserve">R$14.321.415,15</t>
  </si>
  <si>
    <t xml:space="preserve">20/03/2021</t>
  </si>
  <si>
    <t xml:space="preserve">R$22.779.788,25</t>
  </si>
  <si>
    <t xml:space="preserve">R$21.989,10</t>
  </si>
  <si>
    <t xml:space="preserve">R$805,21</t>
  </si>
  <si>
    <t xml:space="preserve">R$17.877.175,12</t>
  </si>
  <si>
    <t xml:space="preserve">R$64.454.539,50</t>
  </si>
  <si>
    <t xml:space="preserve">R$15.299.351,66</t>
  </si>
  <si>
    <t xml:space="preserve">24/03/2021</t>
  </si>
  <si>
    <t xml:space="preserve">R$78.428,97</t>
  </si>
  <si>
    <t xml:space="preserve">R$1.613,30</t>
  </si>
  <si>
    <t xml:space="preserve">R$22.066.933,07</t>
  </si>
  <si>
    <t xml:space="preserve">R$39.448.795,50</t>
  </si>
  <si>
    <t xml:space="preserve">R$15.897.888,53</t>
  </si>
  <si>
    <t xml:space="preserve">27/03/2021</t>
  </si>
  <si>
    <t xml:space="preserve">R$27.070.907,55</t>
  </si>
  <si>
    <t xml:space="preserve">R$27.164,44</t>
  </si>
  <si>
    <t xml:space="preserve">R$666,66</t>
  </si>
  <si>
    <t xml:space="preserve">R$47.115.076,50</t>
  </si>
  <si>
    <t xml:space="preserve">R$16.612.742,04</t>
  </si>
  <si>
    <t xml:space="preserve">31/03/2021</t>
  </si>
  <si>
    <t xml:space="preserve">R$81.867,39</t>
  </si>
  <si>
    <t xml:space="preserve">R$1.635,71</t>
  </si>
  <si>
    <t xml:space="preserve">R$2.714.550,43</t>
  </si>
  <si>
    <t xml:space="preserve">R$25.558.933,50</t>
  </si>
  <si>
    <t xml:space="preserve">R$17.000.534,98</t>
  </si>
  <si>
    <t xml:space="preserve">03/04/2021</t>
  </si>
  <si>
    <t xml:space="preserve">R$23.700,03</t>
  </si>
  <si>
    <t xml:space="preserve">R$616,09</t>
  </si>
  <si>
    <t xml:space="preserve">R$5.595.975,25</t>
  </si>
  <si>
    <t xml:space="preserve">R$27.130.144,50</t>
  </si>
  <si>
    <t xml:space="preserve">R$17.412.167,10</t>
  </si>
  <si>
    <t xml:space="preserve">06/04/2021</t>
  </si>
  <si>
    <t xml:space="preserve">R$72.013,51</t>
  </si>
  <si>
    <t xml:space="preserve">R$1.660,87</t>
  </si>
  <si>
    <t xml:space="preserve">R$18.565.052,11</t>
  </si>
  <si>
    <t xml:space="preserve">R$21.233.529,00</t>
  </si>
  <si>
    <t xml:space="preserve">R$17.734.332,83</t>
  </si>
  <si>
    <t xml:space="preserve">08/04/2021</t>
  </si>
  <si>
    <t xml:space="preserve">R$58.470,79</t>
  </si>
  <si>
    <t xml:space="preserve">R$824,75</t>
  </si>
  <si>
    <t xml:space="preserve">R$22.442.588,36</t>
  </si>
  <si>
    <t xml:space="preserve">R$36.509.062,50</t>
  </si>
  <si>
    <t xml:space="preserve">R$18.288.266,60</t>
  </si>
  <si>
    <t xml:space="preserve">10/04/2021</t>
  </si>
  <si>
    <t xml:space="preserve">R$42.932,72</t>
  </si>
  <si>
    <t xml:space="preserve">R$989,23</t>
  </si>
  <si>
    <t xml:space="preserve">R$27.266.869,79</t>
  </si>
  <si>
    <t xml:space="preserve">R$45.423.171,00</t>
  </si>
  <si>
    <t xml:space="preserve">R$18.977.449,68</t>
  </si>
  <si>
    <t xml:space="preserve">14/04/2021</t>
  </si>
  <si>
    <t xml:space="preserve">R$75.848,58</t>
  </si>
  <si>
    <t xml:space="preserve">R$1.144,10</t>
  </si>
  <si>
    <t xml:space="preserve">R$32.995.433,41</t>
  </si>
  <si>
    <t xml:space="preserve">R$53.937.468,00</t>
  </si>
  <si>
    <t xml:space="preserve">R$19.795.815,92</t>
  </si>
  <si>
    <t xml:space="preserve">17/04/2021</t>
  </si>
  <si>
    <t xml:space="preserve">R$40.076.100,78</t>
  </si>
  <si>
    <t xml:space="preserve">R$49.919,36</t>
  </si>
  <si>
    <t xml:space="preserve">R$1.062,31</t>
  </si>
  <si>
    <t xml:space="preserve">R$66.668.242,50</t>
  </si>
  <si>
    <t xml:space="preserve">R$20.807.339,84</t>
  </si>
  <si>
    <t xml:space="preserve">22/04/2021</t>
  </si>
  <si>
    <t xml:space="preserve">R$8.467,06</t>
  </si>
  <si>
    <t xml:space="preserve">R$1.266,57</t>
  </si>
  <si>
    <t xml:space="preserve">R$18.093.444,77</t>
  </si>
  <si>
    <t xml:space="preserve">R$26.434.102,50</t>
  </si>
  <si>
    <t xml:space="preserve">R$21.208.411,26</t>
  </si>
  <si>
    <t xml:space="preserve">24/04/2021</t>
  </si>
  <si>
    <t xml:space="preserve">R$60.015,09</t>
  </si>
  <si>
    <t xml:space="preserve">R$1.166,47</t>
  </si>
  <si>
    <t xml:space="preserve">R$22.515.609,47</t>
  </si>
  <si>
    <t xml:space="preserve">R$41.637.028,50</t>
  </si>
  <si>
    <t xml:space="preserve">R$21.840.149,09</t>
  </si>
  <si>
    <t xml:space="preserve">28/04/2021</t>
  </si>
  <si>
    <t xml:space="preserve">R$37.685,71</t>
  </si>
  <si>
    <t xml:space="preserve">R$840,33</t>
  </si>
  <si>
    <t xml:space="preserve">R$27.791.608,55</t>
  </si>
  <si>
    <t xml:space="preserve">R$49.676.332,50</t>
  </si>
  <si>
    <t xml:space="preserve">R$22.593.863,26</t>
  </si>
  <si>
    <t xml:space="preserve">30/04/2021</t>
  </si>
  <si>
    <t xml:space="preserve">R$40.222,88</t>
  </si>
  <si>
    <t xml:space="preserve">R$795,44</t>
  </si>
  <si>
    <t xml:space="preserve">R$32.459.579,35</t>
  </si>
  <si>
    <t xml:space="preserve">R$43.951.423,50</t>
  </si>
  <si>
    <t xml:space="preserve">R$23.260.716,25</t>
  </si>
  <si>
    <t xml:space="preserve">04/05/2021</t>
  </si>
  <si>
    <t xml:space="preserve">NOVA BRASILANDIA D'OESTE/RO</t>
  </si>
  <si>
    <t xml:space="preserve">R$37.429.107,24</t>
  </si>
  <si>
    <t xml:space="preserve">R$17.748,32</t>
  </si>
  <si>
    <t xml:space="preserve">R$515,50</t>
  </si>
  <si>
    <t xml:space="preserve">R$46.790.743,50</t>
  </si>
  <si>
    <t xml:space="preserve">R$23.970.648,83</t>
  </si>
  <si>
    <t xml:space="preserve">06/05/2021</t>
  </si>
  <si>
    <t xml:space="preserve">R$30.966,61</t>
  </si>
  <si>
    <t xml:space="preserve">R$603,18</t>
  </si>
  <si>
    <t xml:space="preserve">R$16.520.136,74</t>
  </si>
  <si>
    <t xml:space="preserve">R$25.243.569,00</t>
  </si>
  <si>
    <t xml:space="preserve">R$24.353.656,88</t>
  </si>
  <si>
    <t xml:space="preserve">08/05/2021</t>
  </si>
  <si>
    <t xml:space="preserve">R$87.322,20</t>
  </si>
  <si>
    <t xml:space="preserve">R$943,32</t>
  </si>
  <si>
    <t xml:space="preserve">R$21.184.980,91</t>
  </si>
  <si>
    <t xml:space="preserve">R$43.921.984,50</t>
  </si>
  <si>
    <t xml:space="preserve">R$25.020.063,21</t>
  </si>
  <si>
    <t xml:space="preserve">12/05/2021</t>
  </si>
  <si>
    <t xml:space="preserve">R$56.726,39</t>
  </si>
  <si>
    <t xml:space="preserve">R$1.234,19</t>
  </si>
  <si>
    <t xml:space="preserve">R$26.723.268,11</t>
  </si>
  <si>
    <t xml:space="preserve">R$52.145.914,50</t>
  </si>
  <si>
    <t xml:space="preserve">R$25.811.247,11</t>
  </si>
  <si>
    <t xml:space="preserve">15/05/2021</t>
  </si>
  <si>
    <t xml:space="preserve">R$28.213,14</t>
  </si>
  <si>
    <t xml:space="preserve">R$675,61</t>
  </si>
  <si>
    <t xml:space="preserve">R$33.375.629,41</t>
  </si>
  <si>
    <t xml:space="preserve">R$62.635.513,50</t>
  </si>
  <si>
    <t xml:space="preserve">R$26.761.584,46</t>
  </si>
  <si>
    <t xml:space="preserve">19/05/2021</t>
  </si>
  <si>
    <t xml:space="preserve">R$51.363,16</t>
  </si>
  <si>
    <t xml:space="preserve">R$972,58</t>
  </si>
  <si>
    <t xml:space="preserve">R$40.188.006,27</t>
  </si>
  <si>
    <t xml:space="preserve">R$64.142.145,00</t>
  </si>
  <si>
    <t xml:space="preserve">R$27.734.781,16</t>
  </si>
  <si>
    <t xml:space="preserve">22/05/2021</t>
  </si>
  <si>
    <t xml:space="preserve">R$35.344,96</t>
  </si>
  <si>
    <t xml:space="preserve">R$771,87</t>
  </si>
  <si>
    <t xml:space="preserve">R$68.319.310,42</t>
  </si>
  <si>
    <t xml:space="preserve">R$76.629.622,50</t>
  </si>
  <si>
    <t xml:space="preserve">R$28.897.444,13</t>
  </si>
  <si>
    <t xml:space="preserve">26/05/2021</t>
  </si>
  <si>
    <t xml:space="preserve">R$42.488,96</t>
  </si>
  <si>
    <t xml:space="preserve">R$981,09</t>
  </si>
  <si>
    <t xml:space="preserve">R$79.590.065,50</t>
  </si>
  <si>
    <t xml:space="preserve">R$106.120.143,00</t>
  </si>
  <si>
    <t xml:space="preserve">R$30.507.552,02</t>
  </si>
  <si>
    <t xml:space="preserve">29/05/2021</t>
  </si>
  <si>
    <t xml:space="preserve">MACEIO/AL; SAO PAULO/SP</t>
  </si>
  <si>
    <t xml:space="preserve">R$47.341.439,63</t>
  </si>
  <si>
    <t xml:space="preserve">R$18.922,04</t>
  </si>
  <si>
    <t xml:space="preserve">R$587,93</t>
  </si>
  <si>
    <t xml:space="preserve">R$142.106.854,50</t>
  </si>
  <si>
    <t xml:space="preserve">R$32.663.668,29</t>
  </si>
  <si>
    <t xml:space="preserve">02/06/2021</t>
  </si>
  <si>
    <t xml:space="preserve">R$51.216,97</t>
  </si>
  <si>
    <t xml:space="preserve">R$886,10</t>
  </si>
  <si>
    <t xml:space="preserve">R$3.302.147,03</t>
  </si>
  <si>
    <t xml:space="preserve">R$31.091.467,50</t>
  </si>
  <si>
    <t xml:space="preserve">R$7.200.000,00</t>
  </si>
  <si>
    <t xml:space="preserve">R$33.135.403,59</t>
  </si>
  <si>
    <t xml:space="preserve">05/06/2021</t>
  </si>
  <si>
    <t xml:space="preserve">R$67.079,61</t>
  </si>
  <si>
    <t xml:space="preserve">R$1.255,88</t>
  </si>
  <si>
    <t xml:space="preserve">R$7.379.881,13</t>
  </si>
  <si>
    <t xml:space="preserve">R$38.394.031,50</t>
  </si>
  <si>
    <t xml:space="preserve">R$33.717.937,04</t>
  </si>
  <si>
    <t xml:space="preserve">09/06/2021</t>
  </si>
  <si>
    <t xml:space="preserve">R$35.139,46</t>
  </si>
  <si>
    <t xml:space="preserve">R$856,07</t>
  </si>
  <si>
    <t xml:space="preserve">R$36.180.172,96</t>
  </si>
  <si>
    <t xml:space="preserve">R$43.882.042,50</t>
  </si>
  <si>
    <t xml:space="preserve">R$34.383.737,35</t>
  </si>
  <si>
    <t xml:space="preserve">12/06/2021</t>
  </si>
  <si>
    <t xml:space="preserve">BALNEARIO CAMBORIU/SC</t>
  </si>
  <si>
    <t xml:space="preserve">R$43.258.691,06</t>
  </si>
  <si>
    <t xml:space="preserve">R$65.129,22</t>
  </si>
  <si>
    <t xml:space="preserve">R$986,24</t>
  </si>
  <si>
    <t xml:space="preserve">R$66.648.006,00</t>
  </si>
  <si>
    <t xml:space="preserve">R$35.394.954,23</t>
  </si>
  <si>
    <t xml:space="preserve">16/06/2021</t>
  </si>
  <si>
    <t xml:space="preserve">R$45.372,62</t>
  </si>
  <si>
    <t xml:space="preserve">R$975,69</t>
  </si>
  <si>
    <t xml:space="preserve">R$3.092.501,87</t>
  </si>
  <si>
    <t xml:space="preserve">R$29.117.547,00</t>
  </si>
  <si>
    <t xml:space="preserve">R$35.836.740,23</t>
  </si>
  <si>
    <t xml:space="preserve">19/06/2021</t>
  </si>
  <si>
    <t xml:space="preserve">R$7.098.061,76</t>
  </si>
  <si>
    <t xml:space="preserve">R$41.816,28</t>
  </si>
  <si>
    <t xml:space="preserve">R$768,13</t>
  </si>
  <si>
    <t xml:space="preserve">R$37.714.473,00</t>
  </si>
  <si>
    <t xml:space="preserve">R$36.408.963,09</t>
  </si>
  <si>
    <t xml:space="preserve">23/06/2021</t>
  </si>
  <si>
    <t xml:space="preserve">R$2.783.717,00</t>
  </si>
  <si>
    <t xml:space="preserve">R$32.152,36</t>
  </si>
  <si>
    <t xml:space="preserve">R$1.003,62</t>
  </si>
  <si>
    <t xml:space="preserve">R$26.210.173,50</t>
  </si>
  <si>
    <t xml:space="preserve">R$36.806.636,97</t>
  </si>
  <si>
    <t xml:space="preserve">26/06/2021</t>
  </si>
  <si>
    <t xml:space="preserve">R$28.668,57</t>
  </si>
  <si>
    <t xml:space="preserve">R$617,41</t>
  </si>
  <si>
    <t xml:space="preserve">R$15.563.083,34</t>
  </si>
  <si>
    <t xml:space="preserve">R$28.342.629,00</t>
  </si>
  <si>
    <t xml:space="preserve">R$37.236.665,53</t>
  </si>
  <si>
    <t xml:space="preserve">29/06/2021</t>
  </si>
  <si>
    <t xml:space="preserve">R$44.062,03</t>
  </si>
  <si>
    <t xml:space="preserve">R$860,79</t>
  </si>
  <si>
    <t xml:space="preserve">R$18.160.423,87</t>
  </si>
  <si>
    <t xml:space="preserve">R$24.455.340,00</t>
  </si>
  <si>
    <t xml:space="preserve">R$37.607.714,19</t>
  </si>
  <si>
    <t xml:space="preserve">01/07/2021</t>
  </si>
  <si>
    <t xml:space="preserve">R$45.390,69</t>
  </si>
  <si>
    <t xml:space="preserve">R$924,24</t>
  </si>
  <si>
    <t xml:space="preserve">R$21.839.458,94</t>
  </si>
  <si>
    <t xml:space="preserve">R$34.640.068,50</t>
  </si>
  <si>
    <t xml:space="preserve">R$38.133.290,63</t>
  </si>
  <si>
    <t xml:space="preserve">03/07/2021</t>
  </si>
  <si>
    <t xml:space="preserve">R$89.150,26</t>
  </si>
  <si>
    <t xml:space="preserve">R$1.257,64</t>
  </si>
  <si>
    <t xml:space="preserve">R$26.766.184,04</t>
  </si>
  <si>
    <t xml:space="preserve">R$46.387.732,50</t>
  </si>
  <si>
    <t xml:space="preserve">R$38.837.108,52</t>
  </si>
  <si>
    <t xml:space="preserve">07/07/2021</t>
  </si>
  <si>
    <t xml:space="preserve">R$40.247,97</t>
  </si>
  <si>
    <t xml:space="preserve">R$895,52</t>
  </si>
  <si>
    <t xml:space="preserve">R$32.919.886,46</t>
  </si>
  <si>
    <t xml:space="preserve">R$57.940.375,50</t>
  </si>
  <si>
    <t xml:space="preserve">R$39.716.208,89</t>
  </si>
  <si>
    <t xml:space="preserve">10/07/2021</t>
  </si>
  <si>
    <t xml:space="preserve">R$69.283,28</t>
  </si>
  <si>
    <t xml:space="preserve">R$1.451,41</t>
  </si>
  <si>
    <t xml:space="preserve">R$55.677.317,71</t>
  </si>
  <si>
    <t xml:space="preserve">R$68.495.580,00</t>
  </si>
  <si>
    <t xml:space="preserve">R$40.755.458,09</t>
  </si>
  <si>
    <t xml:space="preserve">14/07/2021</t>
  </si>
  <si>
    <t xml:space="preserve">R$48.643,77</t>
  </si>
  <si>
    <t xml:space="preserve">R$910,24</t>
  </si>
  <si>
    <t xml:space="preserve">R$64.817.227,15</t>
  </si>
  <si>
    <t xml:space="preserve">R$86.057.100,00</t>
  </si>
  <si>
    <t xml:space="preserve">R$42.061.159,45</t>
  </si>
  <si>
    <t xml:space="preserve">17/07/2021</t>
  </si>
  <si>
    <t xml:space="preserve">R$76.237.205,10</t>
  </si>
  <si>
    <t xml:space="preserve">R$32.288,63</t>
  </si>
  <si>
    <t xml:space="preserve">R$661,95</t>
  </si>
  <si>
    <t xml:space="preserve">R$107.525.155,50</t>
  </si>
  <si>
    <t xml:space="preserve">R$43.692.584,88</t>
  </si>
  <si>
    <t xml:space="preserve">21/07/2021</t>
  </si>
  <si>
    <t xml:space="preserve">R$52.887,76</t>
  </si>
  <si>
    <t xml:space="preserve">R$927,59</t>
  </si>
  <si>
    <t xml:space="preserve">R$3.020.168,99</t>
  </si>
  <si>
    <t xml:space="preserve">R$28.436.494,50</t>
  </si>
  <si>
    <t xml:space="preserve">R$44.124.037,62</t>
  </si>
  <si>
    <t xml:space="preserve">24/07/2021</t>
  </si>
  <si>
    <t xml:space="preserve">R$80.268,42</t>
  </si>
  <si>
    <t xml:space="preserve">R$1.355,88</t>
  </si>
  <si>
    <t xml:space="preserve">R$7.160.329,36</t>
  </si>
  <si>
    <t xml:space="preserve">R$38.981.808,00</t>
  </si>
  <si>
    <t xml:space="preserve">R$44.715.489,12</t>
  </si>
  <si>
    <t xml:space="preserve">28/07/2021</t>
  </si>
  <si>
    <t xml:space="preserve">R$48.523,22</t>
  </si>
  <si>
    <t xml:space="preserve">R$802,92</t>
  </si>
  <si>
    <t xml:space="preserve">R$31.571.809,53</t>
  </si>
  <si>
    <t xml:space="preserve">R$40.397.094,00</t>
  </si>
  <si>
    <t xml:space="preserve">R$45.328.414,04</t>
  </si>
  <si>
    <t xml:space="preserve">31/07/2021</t>
  </si>
  <si>
    <t xml:space="preserve">R$51.378,77</t>
  </si>
  <si>
    <t xml:space="preserve">R$876,97</t>
  </si>
  <si>
    <t xml:space="preserve">R$38.386.256,33</t>
  </si>
  <si>
    <t xml:space="preserve">R$64.161.634,50</t>
  </si>
  <si>
    <t xml:space="preserve">R$46.301.906,45</t>
  </si>
  <si>
    <t xml:space="preserve">04/08/2021</t>
  </si>
  <si>
    <t xml:space="preserve">R$81.665,84</t>
  </si>
  <si>
    <t xml:space="preserve">R$963,36</t>
  </si>
  <si>
    <t xml:space="preserve">R$45.757.672,77</t>
  </si>
  <si>
    <t xml:space="preserve">R$69.405.799,50</t>
  </si>
  <si>
    <t xml:space="preserve">R$47.354.965,96</t>
  </si>
  <si>
    <t xml:space="preserve">07/08/2021</t>
  </si>
  <si>
    <t xml:space="preserve">R$60.862,18</t>
  </si>
  <si>
    <t xml:space="preserve">R$1.133,82</t>
  </si>
  <si>
    <t xml:space="preserve">R$54.614.721,42</t>
  </si>
  <si>
    <t xml:space="preserve">R$83.393.815,50</t>
  </si>
  <si>
    <t xml:space="preserve">R$48.620.258,63</t>
  </si>
  <si>
    <t xml:space="preserve">10/08/2021</t>
  </si>
  <si>
    <t xml:space="preserve">MOGI MIRIM/SP</t>
  </si>
  <si>
    <t xml:space="preserve">R$60.902.054,13</t>
  </si>
  <si>
    <t xml:space="preserve">R$43.757,99</t>
  </si>
  <si>
    <t xml:space="preserve">R$899,44</t>
  </si>
  <si>
    <t xml:space="preserve">R$59.198.575,50</t>
  </si>
  <si>
    <t xml:space="preserve">R$49.518.449,03</t>
  </si>
  <si>
    <t xml:space="preserve">12/08/2021</t>
  </si>
  <si>
    <t xml:space="preserve">R$45.545,20</t>
  </si>
  <si>
    <t xml:space="preserve">R$1.296,71</t>
  </si>
  <si>
    <t xml:space="preserve">R$23.081.763,93</t>
  </si>
  <si>
    <t xml:space="preserve">R$26.858.439,00</t>
  </si>
  <si>
    <t xml:space="preserve">R$49.925.958,72</t>
  </si>
  <si>
    <t xml:space="preserve">14/08/2021</t>
  </si>
  <si>
    <t xml:space="preserve">R$49.503,96</t>
  </si>
  <si>
    <t xml:space="preserve">R$1.015,02</t>
  </si>
  <si>
    <t xml:space="preserve">R$27.823.722,22</t>
  </si>
  <si>
    <t xml:space="preserve">R$44.648.055,00</t>
  </si>
  <si>
    <t xml:space="preserve">R$50.603.381,35</t>
  </si>
  <si>
    <t xml:space="preserve">18/08/2021</t>
  </si>
  <si>
    <t xml:space="preserve">R$25.058,88</t>
  </si>
  <si>
    <t xml:space="preserve">R$571,34</t>
  </si>
  <si>
    <t xml:space="preserve">R$33.732.342,14</t>
  </si>
  <si>
    <t xml:space="preserve">R$55.632.793,50</t>
  </si>
  <si>
    <t xml:space="preserve">R$51.447.469,92</t>
  </si>
  <si>
    <t xml:space="preserve">21/08/2021</t>
  </si>
  <si>
    <t xml:space="preserve">TERESINA/PI</t>
  </si>
  <si>
    <t xml:space="preserve">R$40.953.827,42</t>
  </si>
  <si>
    <t xml:space="preserve">R$30.626,84</t>
  </si>
  <si>
    <t xml:space="preserve">R$891,06</t>
  </si>
  <si>
    <t xml:space="preserve">R$67.994.118,00</t>
  </si>
  <si>
    <t xml:space="preserve">R$52.479.110,70</t>
  </si>
  <si>
    <t xml:space="preserve">25/08/2021</t>
  </si>
  <si>
    <t xml:space="preserve">R$24.631,80</t>
  </si>
  <si>
    <t xml:space="preserve">R$818,91</t>
  </si>
  <si>
    <t xml:space="preserve">R$2.949.333,95</t>
  </si>
  <si>
    <t xml:space="preserve">R$27.769.545,00</t>
  </si>
  <si>
    <t xml:space="preserve">R$52.900.444,13</t>
  </si>
  <si>
    <t xml:space="preserve">28/08/2021</t>
  </si>
  <si>
    <t xml:space="preserve">R$49.870,87</t>
  </si>
  <si>
    <t xml:space="preserve">R$1.229,33</t>
  </si>
  <si>
    <t xml:space="preserve">R$22.470.410,90</t>
  </si>
  <si>
    <t xml:space="preserve">R$37.194.147,00</t>
  </si>
  <si>
    <t xml:space="preserve">R$53.464.772,34</t>
  </si>
  <si>
    <t xml:space="preserve">01/09/2021</t>
  </si>
  <si>
    <t xml:space="preserve">R$154.808,90</t>
  </si>
  <si>
    <t xml:space="preserve">R$1.513,61</t>
  </si>
  <si>
    <t xml:space="preserve">R$27.603.547,93</t>
  </si>
  <si>
    <t xml:space="preserve">R$48.331.210,50</t>
  </si>
  <si>
    <t xml:space="preserve">R$54.198.077,64</t>
  </si>
  <si>
    <t xml:space="preserve">04/09/2021</t>
  </si>
  <si>
    <t xml:space="preserve">R$54.257,75</t>
  </si>
  <si>
    <t xml:space="preserve">R$968,88</t>
  </si>
  <si>
    <t xml:space="preserve">R$34.000.251,00</t>
  </si>
  <si>
    <t xml:space="preserve">R$60.228.355,50</t>
  </si>
  <si>
    <t xml:space="preserve">R$55.111.892,38</t>
  </si>
  <si>
    <t xml:space="preserve">08/09/2021</t>
  </si>
  <si>
    <t xml:space="preserve">R$62.896,47</t>
  </si>
  <si>
    <t xml:space="preserve">R$916,65</t>
  </si>
  <si>
    <t xml:space="preserve">R$39.214.037,44</t>
  </si>
  <si>
    <t xml:space="preserve">R$49.090.567,50</t>
  </si>
  <si>
    <t xml:space="preserve">R$55.856.719,02</t>
  </si>
  <si>
    <t xml:space="preserve">11/09/2021</t>
  </si>
  <si>
    <t xml:space="preserve">ARARUAMA/RJ</t>
  </si>
  <si>
    <t xml:space="preserve">R$46.317.095,04</t>
  </si>
  <si>
    <t xml:space="preserve">R$59.322,24</t>
  </si>
  <si>
    <t xml:space="preserve">R$1.140,94</t>
  </si>
  <si>
    <t xml:space="preserve">R$66.879.058,50</t>
  </si>
  <si>
    <t xml:space="preserve">R$56.871.441,55</t>
  </si>
  <si>
    <t xml:space="preserve">15/09/2021</t>
  </si>
  <si>
    <t xml:space="preserve">R$67.950,86</t>
  </si>
  <si>
    <t xml:space="preserve">R$1.636,85</t>
  </si>
  <si>
    <t xml:space="preserve">R$19.677.953,62</t>
  </si>
  <si>
    <t xml:space="preserve">R$27.107.037,00</t>
  </si>
  <si>
    <t xml:space="preserve">R$23.500.000,00</t>
  </si>
  <si>
    <t xml:space="preserve">R$57.282.723,08</t>
  </si>
  <si>
    <t xml:space="preserve">18/09/2021</t>
  </si>
  <si>
    <t xml:space="preserve">CURITIBA/PR; SAO PAULO/SP</t>
  </si>
  <si>
    <t xml:space="preserve">R$12.503.139,64</t>
  </si>
  <si>
    <t xml:space="preserve">R$31.102,36</t>
  </si>
  <si>
    <t xml:space="preserve">R$695,76</t>
  </si>
  <si>
    <t xml:space="preserve">R$50.169.015,00</t>
  </si>
  <si>
    <t xml:space="preserve">R$58.043.912,46</t>
  </si>
  <si>
    <t xml:space="preserve">22/09/2021</t>
  </si>
  <si>
    <t xml:space="preserve">R$45.154,92</t>
  </si>
  <si>
    <t xml:space="preserve">R$896,99</t>
  </si>
  <si>
    <t xml:space="preserve">R$2.911.303,81</t>
  </si>
  <si>
    <t xml:space="preserve">R$27.411.471,00</t>
  </si>
  <si>
    <t xml:space="preserve">R$58.459.813,02</t>
  </si>
  <si>
    <t xml:space="preserve">25/09/2021</t>
  </si>
  <si>
    <t xml:space="preserve">R$59.039,36</t>
  </si>
  <si>
    <t xml:space="preserve">R$949,97</t>
  </si>
  <si>
    <t xml:space="preserve">R$6.935.302,38</t>
  </si>
  <si>
    <t xml:space="preserve">R$37.888.083,00</t>
  </si>
  <si>
    <t xml:space="preserve">R$59.034.669,97</t>
  </si>
  <si>
    <t xml:space="preserve">28/09/2021</t>
  </si>
  <si>
    <t xml:space="preserve">R$114.924,54</t>
  </si>
  <si>
    <t xml:space="preserve">R$1.120,03</t>
  </si>
  <si>
    <t xml:space="preserve">R$9.475.739,63</t>
  </si>
  <si>
    <t xml:space="preserve">R$23.919.565,50</t>
  </si>
  <si>
    <t xml:space="preserve">R$12.800.000,00</t>
  </si>
  <si>
    <t xml:space="preserve">R$59.397.589,58</t>
  </si>
  <si>
    <t xml:space="preserve">30/09/2021</t>
  </si>
  <si>
    <t xml:space="preserve">R$47.324,83</t>
  </si>
  <si>
    <t xml:space="preserve">R$772,08</t>
  </si>
  <si>
    <t xml:space="preserve">R$24.318.156,63</t>
  </si>
  <si>
    <t xml:space="preserve">R$32.012.005,50</t>
  </si>
  <si>
    <t xml:space="preserve">R$59.883.291,75</t>
  </si>
  <si>
    <t xml:space="preserve">02/10/2021</t>
  </si>
  <si>
    <t xml:space="preserve">R$45.170,89</t>
  </si>
  <si>
    <t xml:space="preserve">R$824,70</t>
  </si>
  <si>
    <t xml:space="preserve">R$29.393.937,79</t>
  </si>
  <si>
    <t xml:space="preserve">R$47.791.174,50</t>
  </si>
  <si>
    <t xml:space="preserve">R$60.608.403,36</t>
  </si>
  <si>
    <t xml:space="preserve">06/10/2021</t>
  </si>
  <si>
    <t xml:space="preserve">R$35.714.240,27</t>
  </si>
  <si>
    <t xml:space="preserve">R$39.895,60</t>
  </si>
  <si>
    <t xml:space="preserve">R$866,28</t>
  </si>
  <si>
    <t xml:space="preserve">R$59.509.003,50</t>
  </si>
  <si>
    <t xml:space="preserve">R$61.511.303,72</t>
  </si>
  <si>
    <t xml:space="preserve">09/10/2021</t>
  </si>
  <si>
    <t xml:space="preserve">R$15.067,60</t>
  </si>
  <si>
    <t xml:space="preserve">R$365,82</t>
  </si>
  <si>
    <t xml:space="preserve">R$3.636.047,80</t>
  </si>
  <si>
    <t xml:space="preserve">R$34.235.320,50</t>
  </si>
  <si>
    <t xml:space="preserve">R$62.030.739,12</t>
  </si>
  <si>
    <t xml:space="preserve">13/10/2021</t>
  </si>
  <si>
    <t xml:space="preserve">R$21.123,67</t>
  </si>
  <si>
    <t xml:space="preserve">R$616,00</t>
  </si>
  <si>
    <t xml:space="preserve">R$6.749.009,06</t>
  </si>
  <si>
    <t xml:space="preserve">R$29.310.183,00</t>
  </si>
  <si>
    <t xml:space="preserve">R$62.475.447,89</t>
  </si>
  <si>
    <t xml:space="preserve">16/10/2021</t>
  </si>
  <si>
    <t xml:space="preserve">R$11.509.541,30</t>
  </si>
  <si>
    <t xml:space="preserve">R$83.364,16</t>
  </si>
  <si>
    <t xml:space="preserve">R$1.199,42</t>
  </si>
  <si>
    <t xml:space="preserve">R$14.397.821,39</t>
  </si>
  <si>
    <t xml:space="preserve">R$44.822.938,50</t>
  </si>
  <si>
    <t xml:space="preserve">R$16.900.000,00</t>
  </si>
  <si>
    <t xml:space="preserve">R$63.155.523,93</t>
  </si>
  <si>
    <t xml:space="preserve">19/10/2021</t>
  </si>
  <si>
    <t xml:space="preserve">R$86.921,91</t>
  </si>
  <si>
    <t xml:space="preserve">R$1.016,89</t>
  </si>
  <si>
    <t xml:space="preserve">R$17.279.968,84</t>
  </si>
  <si>
    <t xml:space="preserve">R$27.136.948,50</t>
  </si>
  <si>
    <t xml:space="preserve">R$63.567.259,30</t>
  </si>
  <si>
    <t xml:space="preserve">21/10/2021</t>
  </si>
  <si>
    <t xml:space="preserve">R$47.248,93</t>
  </si>
  <si>
    <t xml:space="preserve">R$899,24</t>
  </si>
  <si>
    <t xml:space="preserve">R$21.544.806,83</t>
  </si>
  <si>
    <t xml:space="preserve">R$40.155.714,00</t>
  </si>
  <si>
    <t xml:space="preserve">R$26.500.000,00</t>
  </si>
  <si>
    <t xml:space="preserve">R$64.176.521,88</t>
  </si>
  <si>
    <t xml:space="preserve">23/10/2021</t>
  </si>
  <si>
    <t xml:space="preserve">R$26.323,93</t>
  </si>
  <si>
    <t xml:space="preserve">R$595,88</t>
  </si>
  <si>
    <t xml:space="preserve">R$26.878.866,26</t>
  </si>
  <si>
    <t xml:space="preserve">R$50.223.001,50</t>
  </si>
  <si>
    <t xml:space="preserve">R$64.938.530,38</t>
  </si>
  <si>
    <t xml:space="preserve">27/10/2021</t>
  </si>
  <si>
    <t xml:space="preserve">R$82.766,60</t>
  </si>
  <si>
    <t xml:space="preserve">R$1.435,36</t>
  </si>
  <si>
    <t xml:space="preserve">R$32.977.458,15</t>
  </si>
  <si>
    <t xml:space="preserve">R$57.421.480,50</t>
  </si>
  <si>
    <t xml:space="preserve">R$65.809.757,80</t>
  </si>
  <si>
    <t xml:space="preserve">30/10/2021</t>
  </si>
  <si>
    <t xml:space="preserve">R$41.070,64</t>
  </si>
  <si>
    <t xml:space="preserve">R$850,44</t>
  </si>
  <si>
    <t xml:space="preserve">R$57.100.491,99</t>
  </si>
  <si>
    <t xml:space="preserve">R$71.946.909,00</t>
  </si>
  <si>
    <t xml:space="preserve">R$66.901.372,30</t>
  </si>
  <si>
    <t xml:space="preserve">03/11/2021</t>
  </si>
  <si>
    <t xml:space="preserve">R$57.727,72</t>
  </si>
  <si>
    <t xml:space="preserve">R$1.225,26</t>
  </si>
  <si>
    <t xml:space="preserve">R$65.076.031,99</t>
  </si>
  <si>
    <t xml:space="preserve">R$75.093.943,50</t>
  </si>
  <si>
    <t xml:space="preserve">R$68.040.735,17</t>
  </si>
  <si>
    <t xml:space="preserve">06/11/2021</t>
  </si>
  <si>
    <t xml:space="preserve">R$25.132,53</t>
  </si>
  <si>
    <t xml:space="preserve">R$585,42</t>
  </si>
  <si>
    <t xml:space="preserve">R$76.603.928,34</t>
  </si>
  <si>
    <t xml:space="preserve">R$108.541.264,50</t>
  </si>
  <si>
    <t xml:space="preserve">R$69.687.577,51</t>
  </si>
  <si>
    <t xml:space="preserve">10/11/2021</t>
  </si>
  <si>
    <t xml:space="preserve">CANAL ELETRONICO; ANGICAL/BA; GOIANIA/GO; BENEDITO LEITE/MA; BORBOREMA/SP</t>
  </si>
  <si>
    <t xml:space="preserve">R$18.181.413,39</t>
  </si>
  <si>
    <t xml:space="preserve">R$11.418,47</t>
  </si>
  <si>
    <t xml:space="preserve">R$567,17</t>
  </si>
  <si>
    <t xml:space="preserve">R$134.671.644,00</t>
  </si>
  <si>
    <t xml:space="preserve">R$71.730.883,05</t>
  </si>
  <si>
    <t xml:space="preserve">13/11/2021</t>
  </si>
  <si>
    <t xml:space="preserve">R$39.761,94</t>
  </si>
  <si>
    <t xml:space="preserve">R$681,41</t>
  </si>
  <si>
    <t xml:space="preserve">R$3.662.283,50</t>
  </si>
  <si>
    <t xml:space="preserve">R$34.482.343,50</t>
  </si>
  <si>
    <t xml:space="preserve">R$72.254.066,41</t>
  </si>
  <si>
    <t xml:space="preserve">17/11/2021</t>
  </si>
  <si>
    <t xml:space="preserve">R$63.435,43</t>
  </si>
  <si>
    <t xml:space="preserve">R$1.141,05</t>
  </si>
  <si>
    <t xml:space="preserve">R$33.113.631,63</t>
  </si>
  <si>
    <t xml:space="preserve">R$34.107.727,50</t>
  </si>
  <si>
    <t xml:space="preserve">R$72.771.565,92</t>
  </si>
  <si>
    <t xml:space="preserve">20/11/2021</t>
  </si>
  <si>
    <t xml:space="preserve">UBERLANDIA/MG</t>
  </si>
  <si>
    <t xml:space="preserve">R$39.690.444,50</t>
  </si>
  <si>
    <t xml:space="preserve">R$96.493,78</t>
  </si>
  <si>
    <t xml:space="preserve">R$1.241,27</t>
  </si>
  <si>
    <t xml:space="preserve">R$61.924.185,00</t>
  </si>
  <si>
    <t xml:space="preserve">R$73.711.110,63</t>
  </si>
  <si>
    <t xml:space="preserve">24/11/2021</t>
  </si>
  <si>
    <t xml:space="preserve">R$35.595,61</t>
  </si>
  <si>
    <t xml:space="preserve">R$782,84</t>
  </si>
  <si>
    <t xml:space="preserve">R$3.016.259,01</t>
  </si>
  <si>
    <t xml:space="preserve">R$28.399.680,00</t>
  </si>
  <si>
    <t xml:space="preserve">R$74.142.004,79</t>
  </si>
  <si>
    <t xml:space="preserve">27/11/2021</t>
  </si>
  <si>
    <t xml:space="preserve">R$100.863,31</t>
  </si>
  <si>
    <t xml:space="preserve">R$1.176,47</t>
  </si>
  <si>
    <t xml:space="preserve">R$6.918.076,69</t>
  </si>
  <si>
    <t xml:space="preserve">R$36.737.685,00</t>
  </si>
  <si>
    <t xml:space="preserve">R$74.699.407,33</t>
  </si>
  <si>
    <t xml:space="preserve">01/12/2021</t>
  </si>
  <si>
    <t xml:space="preserve">R$71.625,00</t>
  </si>
  <si>
    <t xml:space="preserve">R$1.208,36</t>
  </si>
  <si>
    <t xml:space="preserve">R$11.008.240,88</t>
  </si>
  <si>
    <t xml:space="preserve">R$38.511.067,50</t>
  </si>
  <si>
    <t xml:space="preserve">R$75.283.716,51</t>
  </si>
  <si>
    <t xml:space="preserve">04/12/2021</t>
  </si>
  <si>
    <t xml:space="preserve">R$75.710,54</t>
  </si>
  <si>
    <t xml:space="preserve">R$1.092,50</t>
  </si>
  <si>
    <t xml:space="preserve">R$30.465.573,56</t>
  </si>
  <si>
    <t xml:space="preserve">R$48.586.693,50</t>
  </si>
  <si>
    <t xml:space="preserve">R$76.020.898,14</t>
  </si>
  <si>
    <t xml:space="preserve">07/12/2021</t>
  </si>
  <si>
    <t xml:space="preserve">R$46.912,51</t>
  </si>
  <si>
    <t xml:space="preserve">R$1.010,43</t>
  </si>
  <si>
    <t xml:space="preserve">R$34.440.791,34</t>
  </si>
  <si>
    <t xml:space="preserve">R$37.428.786,00</t>
  </si>
  <si>
    <t xml:space="preserve">R$76.588.786,41</t>
  </si>
  <si>
    <t xml:space="preserve">09/12/2021</t>
  </si>
  <si>
    <t xml:space="preserve">BARUERI/SP</t>
  </si>
  <si>
    <t xml:space="preserve">R$39.405.657,46</t>
  </si>
  <si>
    <t xml:space="preserve">R$41.464,82</t>
  </si>
  <si>
    <t xml:space="preserve">R$898,55</t>
  </si>
  <si>
    <t xml:space="preserve">R$46.746.850,50</t>
  </si>
  <si>
    <t xml:space="preserve">R$77.298.053,00</t>
  </si>
  <si>
    <t xml:space="preserve">11/12/2021</t>
  </si>
  <si>
    <t xml:space="preserve">R$101.047,85</t>
  </si>
  <si>
    <t xml:space="preserve">R$1.631,11</t>
  </si>
  <si>
    <t xml:space="preserve">R$2.978.252,29</t>
  </si>
  <si>
    <t xml:space="preserve">R$28.041.826,50</t>
  </si>
  <si>
    <t xml:space="preserve">R$77.723.517,63</t>
  </si>
  <si>
    <t xml:space="preserve">15/12/2021</t>
  </si>
  <si>
    <t xml:space="preserve">R$6.549.381,39</t>
  </si>
  <si>
    <t xml:space="preserve">R$19.581,95</t>
  </si>
  <si>
    <t xml:space="preserve">R$545,91</t>
  </si>
  <si>
    <t xml:space="preserve">R$33.624.076,50</t>
  </si>
  <si>
    <t xml:space="preserve">R$78.233.678,94</t>
  </si>
  <si>
    <t xml:space="preserve">18/12/2021</t>
  </si>
  <si>
    <t xml:space="preserve">R$40.082,94</t>
  </si>
  <si>
    <t xml:space="preserve">R$875,67</t>
  </si>
  <si>
    <t xml:space="preserve">R$93.986.574,37</t>
  </si>
  <si>
    <t xml:space="preserve">R$31.979.866,50</t>
  </si>
  <si>
    <t xml:space="preserve">R$370.000.000,00</t>
  </si>
  <si>
    <t xml:space="preserve">31/12/2021</t>
  </si>
  <si>
    <t xml:space="preserve">CABO FRIO/RJ; CAMPINAS/SP</t>
  </si>
  <si>
    <t xml:space="preserve">R$189.062.363,74</t>
  </si>
  <si>
    <t xml:space="preserve">R$50.861,33</t>
  </si>
  <si>
    <t xml:space="preserve">R$866,88</t>
  </si>
  <si>
    <t xml:space="preserve">R$1.510.256.529,00</t>
  </si>
  <si>
    <t xml:space="preserve">05/01/2022</t>
  </si>
  <si>
    <t xml:space="preserve">R$83.666,84</t>
  </si>
  <si>
    <t xml:space="preserve">R$1.354,80</t>
  </si>
  <si>
    <t xml:space="preserve">R$2.774.216,16</t>
  </si>
  <si>
    <t xml:space="preserve">R$26.120.718,00</t>
  </si>
  <si>
    <t xml:space="preserve">R$396.316,62</t>
  </si>
  <si>
    <t xml:space="preserve">08/01/2022</t>
  </si>
  <si>
    <t xml:space="preserve">R$31.638,77</t>
  </si>
  <si>
    <t xml:space="preserve">R$612,23</t>
  </si>
  <si>
    <t xml:space="preserve">R$6.445.978,98</t>
  </si>
  <si>
    <t xml:space="preserve">R$34.571.596,50</t>
  </si>
  <si>
    <t xml:space="preserve">R$920.854,18</t>
  </si>
  <si>
    <t xml:space="preserve">12/01/2022</t>
  </si>
  <si>
    <t xml:space="preserve">CANAL ELETRONICO; URUCANIA/MG</t>
  </si>
  <si>
    <t xml:space="preserve">R$5.259.397,57</t>
  </si>
  <si>
    <t xml:space="preserve">R$13.732,65</t>
  </si>
  <si>
    <t xml:space="preserve">R$388,45</t>
  </si>
  <si>
    <t xml:space="preserve">R$38.347.726,50</t>
  </si>
  <si>
    <t xml:space="preserve">R$1.502.685,07</t>
  </si>
  <si>
    <t xml:space="preserve">15/01/2022</t>
  </si>
  <si>
    <t xml:space="preserve">R$30.313,67</t>
  </si>
  <si>
    <t xml:space="preserve">R$794,59</t>
  </si>
  <si>
    <t xml:space="preserve">R$11.886.391,96</t>
  </si>
  <si>
    <t xml:space="preserve">R$30.494.794,50</t>
  </si>
  <si>
    <t xml:space="preserve">R$1.965.367,35</t>
  </si>
  <si>
    <t xml:space="preserve">19/01/2022</t>
  </si>
  <si>
    <t xml:space="preserve">R$38.345,37</t>
  </si>
  <si>
    <t xml:space="preserve">R$907,70</t>
  </si>
  <si>
    <t xml:space="preserve">R$16.336.473,72</t>
  </si>
  <si>
    <t xml:space="preserve">R$41.899.882,50</t>
  </si>
  <si>
    <t xml:space="preserve">R$2.601.093,32</t>
  </si>
  <si>
    <t xml:space="preserve">22/01/2022</t>
  </si>
  <si>
    <t xml:space="preserve">R$41.305,51</t>
  </si>
  <si>
    <t xml:space="preserve">R$1.005,19</t>
  </si>
  <si>
    <t xml:space="preserve">R$21.967.067,62</t>
  </si>
  <si>
    <t xml:space="preserve">R$53.015.031,00</t>
  </si>
  <si>
    <t xml:space="preserve">R$3.405.463,90</t>
  </si>
  <si>
    <t xml:space="preserve">25/01/2022</t>
  </si>
  <si>
    <t xml:space="preserve">R$48.167,42</t>
  </si>
  <si>
    <t xml:space="preserve">R$938,32</t>
  </si>
  <si>
    <t xml:space="preserve">R$25.693.704,42</t>
  </si>
  <si>
    <t xml:space="preserve">R$35.088.264,00</t>
  </si>
  <si>
    <t xml:space="preserve">R$3.937.840,60</t>
  </si>
  <si>
    <t xml:space="preserve">27/01/2022</t>
  </si>
  <si>
    <t xml:space="preserve">R$51.387,47</t>
  </si>
  <si>
    <t xml:space="preserve">R$1.102,51</t>
  </si>
  <si>
    <t xml:space="preserve">R$30.710.743,70</t>
  </si>
  <si>
    <t xml:space="preserve">R$47.238.088,50</t>
  </si>
  <si>
    <t xml:space="preserve">R$4.654.560,52</t>
  </si>
  <si>
    <t xml:space="preserve">29/01/2022</t>
  </si>
  <si>
    <t xml:space="preserve">R$36.777.767,10</t>
  </si>
  <si>
    <t xml:space="preserve">R$50.669,64</t>
  </si>
  <si>
    <t xml:space="preserve">R$1.247,68</t>
  </si>
  <si>
    <t xml:space="preserve">R$15.646.007,23</t>
  </si>
  <si>
    <t xml:space="preserve">R$57.124.246,50</t>
  </si>
  <si>
    <t xml:space="preserve">R$5.521.278,16</t>
  </si>
  <si>
    <t xml:space="preserve">02/02/2022</t>
  </si>
  <si>
    <t xml:space="preserve">R$26.814,82</t>
  </si>
  <si>
    <t xml:space="preserve">R$639,24</t>
  </si>
  <si>
    <t xml:space="preserve">R$20.289.204,34</t>
  </si>
  <si>
    <t xml:space="preserve">R$43.718.166,00</t>
  </si>
  <si>
    <t xml:space="preserve">R$6.184.592,04</t>
  </si>
  <si>
    <t xml:space="preserve">05/02/2022</t>
  </si>
  <si>
    <t xml:space="preserve">R$26.422.347,01</t>
  </si>
  <si>
    <t xml:space="preserve">R$55.490,34</t>
  </si>
  <si>
    <t xml:space="preserve">R$1.048,57</t>
  </si>
  <si>
    <t xml:space="preserve">R$57.746.794,50</t>
  </si>
  <si>
    <t xml:space="preserve">R$7.060.755,29</t>
  </si>
  <si>
    <t xml:space="preserve">09/02/2022</t>
  </si>
  <si>
    <t xml:space="preserve">R$72.470,70</t>
  </si>
  <si>
    <t xml:space="preserve">R$1.124,78</t>
  </si>
  <si>
    <t xml:space="preserve">R$3.070.469,13</t>
  </si>
  <si>
    <t xml:space="preserve">R$28.910.097,00</t>
  </si>
  <si>
    <t xml:space="preserve">R$7.499.393,76</t>
  </si>
  <si>
    <t xml:space="preserve">12/02/2022</t>
  </si>
  <si>
    <t xml:space="preserve">R$35.542,46</t>
  </si>
  <si>
    <t xml:space="preserve">R$821,89</t>
  </si>
  <si>
    <t xml:space="preserve">R$7.195.264,40</t>
  </si>
  <si>
    <t xml:space="preserve">R$38.837.137,50</t>
  </si>
  <si>
    <t xml:space="preserve">R$8.088.650,25</t>
  </si>
  <si>
    <t xml:space="preserve">16/02/2022</t>
  </si>
  <si>
    <t xml:space="preserve">R$46.328,88</t>
  </si>
  <si>
    <t xml:space="preserve">R$717,00</t>
  </si>
  <si>
    <t xml:space="preserve">R$25.302.046,31</t>
  </si>
  <si>
    <t xml:space="preserve">R$39.373.780,50</t>
  </si>
  <si>
    <t xml:space="preserve">R$8.686.048,95</t>
  </si>
  <si>
    <t xml:space="preserve">19/02/2022</t>
  </si>
  <si>
    <t xml:space="preserve">R$76.582,32</t>
  </si>
  <si>
    <t xml:space="preserve">R$1.263,11</t>
  </si>
  <si>
    <t xml:space="preserve">R$31.509.244,82</t>
  </si>
  <si>
    <t xml:space="preserve">R$58.444.069,50</t>
  </si>
  <si>
    <t xml:space="preserve">R$9.572.791,60</t>
  </si>
  <si>
    <t xml:space="preserve">22/02/2022</t>
  </si>
  <si>
    <t xml:space="preserve">R$81.253,19</t>
  </si>
  <si>
    <t xml:space="preserve">R$1.394,17</t>
  </si>
  <si>
    <t xml:space="preserve">R$36.149.229,74</t>
  </si>
  <si>
    <t xml:space="preserve">R$43.687.921,50</t>
  </si>
  <si>
    <t xml:space="preserve">R$10.235.646,61</t>
  </si>
  <si>
    <t xml:space="preserve">24/02/2022</t>
  </si>
  <si>
    <t xml:space="preserve">R$62.932,87</t>
  </si>
  <si>
    <t xml:space="preserve">R$1.038,76</t>
  </si>
  <si>
    <t xml:space="preserve">R$42.061.607,16</t>
  </si>
  <si>
    <t xml:space="preserve">R$55.668.172,50</t>
  </si>
  <si>
    <t xml:space="preserve">R$11.080.271,98</t>
  </si>
  <si>
    <t xml:space="preserve">26/02/2022</t>
  </si>
  <si>
    <t xml:space="preserve">R$53.045,63</t>
  </si>
  <si>
    <t xml:space="preserve">R$1.134,03</t>
  </si>
  <si>
    <t xml:space="preserve">R$49.781.142,90</t>
  </si>
  <si>
    <t xml:space="preserve">R$72.683.527,50</t>
  </si>
  <si>
    <t xml:space="preserve">R$12.183.062,81</t>
  </si>
  <si>
    <t xml:space="preserve">03/03/2022</t>
  </si>
  <si>
    <t xml:space="preserve">R$54.844,93</t>
  </si>
  <si>
    <t xml:space="preserve">R$1.061,51</t>
  </si>
  <si>
    <t xml:space="preserve">R$78.988.925,51</t>
  </si>
  <si>
    <t xml:space="preserve">R$79.905.195,00</t>
  </si>
  <si>
    <t xml:space="preserve">R$13.395.424,40</t>
  </si>
  <si>
    <t xml:space="preserve">05/03/2022</t>
  </si>
  <si>
    <t xml:space="preserve">R$44.541,73</t>
  </si>
  <si>
    <t xml:space="preserve">R$854,51</t>
  </si>
  <si>
    <t xml:space="preserve">R$91.706.759,32</t>
  </si>
  <si>
    <t xml:space="preserve">R$119.745.157,50</t>
  </si>
  <si>
    <t xml:space="preserve">R$107.000.000,00</t>
  </si>
  <si>
    <t xml:space="preserve">R$15.212.257,82</t>
  </si>
  <si>
    <t xml:space="preserve">09/03/2022</t>
  </si>
  <si>
    <t xml:space="preserve">R$34.308,42</t>
  </si>
  <si>
    <t xml:space="preserve">R$790,42</t>
  </si>
  <si>
    <t xml:space="preserve">R$109.276.280,24</t>
  </si>
  <si>
    <t xml:space="preserve">R$165.426.367,50</t>
  </si>
  <si>
    <t xml:space="preserve">R$17.722.189,41</t>
  </si>
  <si>
    <t xml:space="preserve">12/03/2022</t>
  </si>
  <si>
    <t xml:space="preserve">R$39.145,65</t>
  </si>
  <si>
    <t xml:space="preserve">R$839,86</t>
  </si>
  <si>
    <t xml:space="preserve">R$130.476.737,46</t>
  </si>
  <si>
    <t xml:space="preserve">R$199.613.560,50</t>
  </si>
  <si>
    <t xml:space="preserve">R$165.000.000,00</t>
  </si>
  <si>
    <t xml:space="preserve">R$20.750.826,17</t>
  </si>
  <si>
    <t xml:space="preserve">16/03/2022</t>
  </si>
  <si>
    <t xml:space="preserve">R$51.216,19</t>
  </si>
  <si>
    <t xml:space="preserve">R$1.000,90</t>
  </si>
  <si>
    <t xml:space="preserve">R$156.987.854,95</t>
  </si>
  <si>
    <t xml:space="preserve">R$249.616.246,50</t>
  </si>
  <si>
    <t xml:space="preserve">R$24.538.128,68</t>
  </si>
  <si>
    <t xml:space="preserve">19/03/2022</t>
  </si>
  <si>
    <t xml:space="preserve">CANAL ELETRONICO; MONGAGUA/SP</t>
  </si>
  <si>
    <t xml:space="preserve">R$94.690.936,18</t>
  </si>
  <si>
    <t xml:space="preserve">R$35.454,28</t>
  </si>
  <si>
    <t xml:space="preserve">R$789,94</t>
  </si>
  <si>
    <t xml:space="preserve">R$69.389.852,30</t>
  </si>
  <si>
    <t xml:space="preserve">R$305.006.872,50</t>
  </si>
  <si>
    <t xml:space="preserve">R$29.165.845,47</t>
  </si>
  <si>
    <t xml:space="preserve">23/03/2022</t>
  </si>
  <si>
    <t xml:space="preserve">R$34.522,77</t>
  </si>
  <si>
    <t xml:space="preserve">R$693,15</t>
  </si>
  <si>
    <t xml:space="preserve">R$79.564.984,88</t>
  </si>
  <si>
    <t xml:space="preserve">R$95.804.275,50</t>
  </si>
  <si>
    <t xml:space="preserve">R$30.619.435,86</t>
  </si>
  <si>
    <t xml:space="preserve">26/03/2022</t>
  </si>
  <si>
    <t xml:space="preserve">R$42.402,06</t>
  </si>
  <si>
    <t xml:space="preserve">R$892,90</t>
  </si>
  <si>
    <t xml:space="preserve">R$91.749.995,68</t>
  </si>
  <si>
    <t xml:space="preserve">R$114.728.346,00</t>
  </si>
  <si>
    <t xml:space="preserve">R$32.360.151,71</t>
  </si>
  <si>
    <t xml:space="preserve">30/03/2022</t>
  </si>
  <si>
    <t xml:space="preserve">R$45.486,09</t>
  </si>
  <si>
    <t xml:space="preserve">R$960,04</t>
  </si>
  <si>
    <t xml:space="preserve">R$105.826.742,35</t>
  </si>
  <si>
    <t xml:space="preserve">R$132.540.043,50</t>
  </si>
  <si>
    <t xml:space="preserve">R$34.371.115,53</t>
  </si>
  <si>
    <t xml:space="preserve">02/04/2022</t>
  </si>
  <si>
    <t xml:space="preserve">R$122.627.171,80</t>
  </si>
  <si>
    <t xml:space="preserve">R$34.158,18</t>
  </si>
  <si>
    <t xml:space="preserve">R$628,38</t>
  </si>
  <si>
    <t xml:space="preserve">R$158.184.963,00</t>
  </si>
  <si>
    <t xml:space="preserve">R$36.771.176,89</t>
  </si>
  <si>
    <t xml:space="preserve">06/04/2022</t>
  </si>
  <si>
    <t xml:space="preserve">R$60.884,93</t>
  </si>
  <si>
    <t xml:space="preserve">R$1.316,68</t>
  </si>
  <si>
    <t xml:space="preserve">R$39.673.720,61</t>
  </si>
  <si>
    <t xml:space="preserve">R$35.904.424,50</t>
  </si>
  <si>
    <t xml:space="preserve">R$37.315.936,79</t>
  </si>
  <si>
    <t xml:space="preserve">09/04/2022</t>
  </si>
  <si>
    <t xml:space="preserve">R$57.198,65</t>
  </si>
  <si>
    <t xml:space="preserve">R$1.068,04</t>
  </si>
  <si>
    <t xml:space="preserve">R$48.208.361,37</t>
  </si>
  <si>
    <t xml:space="preserve">R$80.358.174,00</t>
  </si>
  <si>
    <t xml:space="preserve">R$38.535.171,20</t>
  </si>
  <si>
    <t xml:space="preserve">13/04/2022</t>
  </si>
  <si>
    <t xml:space="preserve">R$52.849,61</t>
  </si>
  <si>
    <t xml:space="preserve">R$976,37</t>
  </si>
  <si>
    <t xml:space="preserve">R$57.457.043,28</t>
  </si>
  <si>
    <t xml:space="preserve">R$87.081.250,50</t>
  </si>
  <si>
    <t xml:space="preserve">R$39.856.411,49</t>
  </si>
  <si>
    <t xml:space="preserve">16/04/2022</t>
  </si>
  <si>
    <t xml:space="preserve">R$66.733.761,74</t>
  </si>
  <si>
    <t xml:space="preserve">R$21.613,45</t>
  </si>
  <si>
    <t xml:space="preserve">R$493,32</t>
  </si>
  <si>
    <t xml:space="preserve">R$87.345.229,50</t>
  </si>
  <si>
    <t xml:space="preserve">R$41.181.657,00</t>
  </si>
  <si>
    <t xml:space="preserve">20/04/2022</t>
  </si>
  <si>
    <t xml:space="preserve">R$87.936,68</t>
  </si>
  <si>
    <t xml:space="preserve">R$1.098,61</t>
  </si>
  <si>
    <t xml:space="preserve">R$3.725.738,29</t>
  </si>
  <si>
    <t xml:space="preserve">R$35.079.804,00</t>
  </si>
  <si>
    <t xml:space="preserve">R$41.713.905,34</t>
  </si>
  <si>
    <t xml:space="preserve">23/04/2022</t>
  </si>
  <si>
    <t xml:space="preserve">R$92.717,92</t>
  </si>
  <si>
    <t xml:space="preserve">R$1.507,69</t>
  </si>
  <si>
    <t xml:space="preserve">R$30.586.951,42</t>
  </si>
  <si>
    <t xml:space="preserve">R$43.419.690,00</t>
  </si>
  <si>
    <t xml:space="preserve">R$42.372.690,60</t>
  </si>
  <si>
    <t xml:space="preserve">26/04/2022</t>
  </si>
  <si>
    <t xml:space="preserve">R$56.378,81</t>
  </si>
  <si>
    <t xml:space="preserve">R$1.160,38</t>
  </si>
  <si>
    <t xml:space="preserve">R$35.156.602,17</t>
  </si>
  <si>
    <t xml:space="preserve">R$43.025.688,00</t>
  </si>
  <si>
    <t xml:space="preserve">R$43.025.497,86</t>
  </si>
  <si>
    <t xml:space="preserve">28/04/2022</t>
  </si>
  <si>
    <t xml:space="preserve">R$45.992,87</t>
  </si>
  <si>
    <t xml:space="preserve">R$985,76</t>
  </si>
  <si>
    <t xml:space="preserve">R$41.256.708,63</t>
  </si>
  <si>
    <t xml:space="preserve">R$57.435.741,00</t>
  </si>
  <si>
    <t xml:space="preserve">R$43.896.941,66</t>
  </si>
  <si>
    <t xml:space="preserve">30/04/2022</t>
  </si>
  <si>
    <t xml:space="preserve">R$95.131,71</t>
  </si>
  <si>
    <t xml:space="preserve">R$1.277,54</t>
  </si>
  <si>
    <t xml:space="preserve">R$49.142.626,01</t>
  </si>
  <si>
    <t xml:space="preserve">R$74.250.099,00</t>
  </si>
  <si>
    <t xml:space="preserve">R$45.023.501,30</t>
  </si>
  <si>
    <t xml:space="preserve">04/05/2022</t>
  </si>
  <si>
    <t xml:space="preserve">HERVAL D'OESTE/SC</t>
  </si>
  <si>
    <t xml:space="preserve">R$58.922.844,33</t>
  </si>
  <si>
    <t xml:space="preserve">R$27.088,07</t>
  </si>
  <si>
    <t xml:space="preserve">R$691,84</t>
  </si>
  <si>
    <t xml:space="preserve">R$92.085.948,00</t>
  </si>
  <si>
    <t xml:space="preserve">R$46.420.675,36</t>
  </si>
  <si>
    <t xml:space="preserve">07/05/2022</t>
  </si>
  <si>
    <t xml:space="preserve">VASSOURAS/RJ</t>
  </si>
  <si>
    <t xml:space="preserve">R$4.456.908,10</t>
  </si>
  <si>
    <t xml:space="preserve">R$26.882,94</t>
  </si>
  <si>
    <t xml:space="preserve">R$577,12</t>
  </si>
  <si>
    <t xml:space="preserve">R$20.612.617,77</t>
  </si>
  <si>
    <t xml:space="preserve">R$41.964.156,00</t>
  </si>
  <si>
    <t xml:space="preserve">R$47.057.376,54</t>
  </si>
  <si>
    <t xml:space="preserve">11/05/2022</t>
  </si>
  <si>
    <t xml:space="preserve">R$46.356,22</t>
  </si>
  <si>
    <t xml:space="preserve">R$1.030,16</t>
  </si>
  <si>
    <t xml:space="preserve">R$26.931.702,00</t>
  </si>
  <si>
    <t xml:space="preserve">R$59.497.533,00</t>
  </si>
  <si>
    <t xml:space="preserve">R$47.960.102,87</t>
  </si>
  <si>
    <t xml:space="preserve">14/05/2022</t>
  </si>
  <si>
    <t xml:space="preserve">R$62.081,21</t>
  </si>
  <si>
    <t xml:space="preserve">R$1.118,30</t>
  </si>
  <si>
    <t xml:space="preserve">R$35.165.631,15</t>
  </si>
  <si>
    <t xml:space="preserve">R$77.526.814,50</t>
  </si>
  <si>
    <t xml:space="preserve">R$49.136.378,48</t>
  </si>
  <si>
    <t xml:space="preserve">18/05/2022</t>
  </si>
  <si>
    <t xml:space="preserve">R$82.539,97</t>
  </si>
  <si>
    <t xml:space="preserve">R$1.202,02</t>
  </si>
  <si>
    <t xml:space="preserve">R$43.072.091,08</t>
  </si>
  <si>
    <t xml:space="preserve">R$74.443.518,00</t>
  </si>
  <si>
    <t xml:space="preserve">R$50.265.872,77</t>
  </si>
  <si>
    <t xml:space="preserve">21/05/2022</t>
  </si>
  <si>
    <t xml:space="preserve">R$74.529,17</t>
  </si>
  <si>
    <t xml:space="preserve">R$1.462,39</t>
  </si>
  <si>
    <t xml:space="preserve">R$52.957.011,78</t>
  </si>
  <si>
    <t xml:space="preserve">R$93.071.776,50</t>
  </si>
  <si>
    <t xml:space="preserve">R$51.678.004,31</t>
  </si>
  <si>
    <t xml:space="preserve">25/05/2022</t>
  </si>
  <si>
    <t xml:space="preserve">R$45.019,83</t>
  </si>
  <si>
    <t xml:space="preserve">R$1.029,63</t>
  </si>
  <si>
    <t xml:space="preserve">R$89.629.968,88</t>
  </si>
  <si>
    <t xml:space="preserve">R$94.481.851,50</t>
  </si>
  <si>
    <t xml:space="preserve">R$53.111.530,22</t>
  </si>
  <si>
    <t xml:space="preserve">28/05/2022</t>
  </si>
  <si>
    <t xml:space="preserve">R$46.388,86</t>
  </si>
  <si>
    <t xml:space="preserve">R$923,68</t>
  </si>
  <si>
    <t xml:space="preserve">R$105.695.165,13</t>
  </si>
  <si>
    <t xml:space="preserve">R$151.262.352,00</t>
  </si>
  <si>
    <t xml:space="preserve">R$55.406.558,27</t>
  </si>
  <si>
    <t xml:space="preserve">31/05/2022</t>
  </si>
  <si>
    <t xml:space="preserve">R$117.557.270,98</t>
  </si>
  <si>
    <t xml:space="preserve">R$27.876,31</t>
  </si>
  <si>
    <t xml:space="preserve">R$590,37</t>
  </si>
  <si>
    <t xml:space="preserve">R$111.688.024,50</t>
  </si>
  <si>
    <t xml:space="preserve">R$57.101.144,85</t>
  </si>
  <si>
    <t xml:space="preserve">02/06/2022</t>
  </si>
  <si>
    <t xml:space="preserve">R$3.681.934,22</t>
  </si>
  <si>
    <t xml:space="preserve">R$14.175,63</t>
  </si>
  <si>
    <t xml:space="preserve">R$622,35</t>
  </si>
  <si>
    <t xml:space="preserve">R$34.667.365,50</t>
  </si>
  <si>
    <t xml:space="preserve">R$57.627.135,47</t>
  </si>
  <si>
    <t xml:space="preserve">04/06/2022</t>
  </si>
  <si>
    <t xml:space="preserve">R$54.865,83</t>
  </si>
  <si>
    <t xml:space="preserve">R$1.202,99</t>
  </si>
  <si>
    <t xml:space="preserve">R$3.941.676,88</t>
  </si>
  <si>
    <t xml:space="preserve">R$37.112.980,50</t>
  </si>
  <si>
    <t xml:space="preserve">R$58.190.232,19</t>
  </si>
  <si>
    <t xml:space="preserve">08/06/2022</t>
  </si>
  <si>
    <t xml:space="preserve">R$29.078,19</t>
  </si>
  <si>
    <t xml:space="preserve">R$617,69</t>
  </si>
  <si>
    <t xml:space="preserve">R$34.313.545,28</t>
  </si>
  <si>
    <t xml:space="preserve">R$46.399.621,50</t>
  </si>
  <si>
    <t xml:space="preserve">R$58.894.230,46</t>
  </si>
  <si>
    <t xml:space="preserve">11/06/2022</t>
  </si>
  <si>
    <t xml:space="preserve">R$65.482,06</t>
  </si>
  <si>
    <t xml:space="preserve">R$1.119,38</t>
  </si>
  <si>
    <t xml:space="preserve">R$42.154.159,81</t>
  </si>
  <si>
    <t xml:space="preserve">R$73.823.548,50</t>
  </si>
  <si>
    <t xml:space="preserve">R$60.014.318,26</t>
  </si>
  <si>
    <t xml:space="preserve">15/06/2022</t>
  </si>
  <si>
    <t xml:space="preserve">R$53.600,57</t>
  </si>
  <si>
    <t xml:space="preserve">R$1.025,41</t>
  </si>
  <si>
    <t xml:space="preserve">R$50.349.405,00</t>
  </si>
  <si>
    <t xml:space="preserve">R$77.162.584,50</t>
  </si>
  <si>
    <t xml:space="preserve">R$61.185.067,58</t>
  </si>
  <si>
    <t xml:space="preserve">18/06/2022</t>
  </si>
  <si>
    <t xml:space="preserve">R$71.634,15</t>
  </si>
  <si>
    <t xml:space="preserve">R$1.001,01</t>
  </si>
  <si>
    <t xml:space="preserve">R$58.926.651,64</t>
  </si>
  <si>
    <t xml:space="preserve">R$80.759.331,00</t>
  </si>
  <si>
    <t xml:space="preserve">R$62.410.388,54</t>
  </si>
  <si>
    <t xml:space="preserve">22/06/2022</t>
  </si>
  <si>
    <t xml:space="preserve">R$34.422,27</t>
  </si>
  <si>
    <t xml:space="preserve">R$767,30</t>
  </si>
  <si>
    <t xml:space="preserve">R$68.374.657,73</t>
  </si>
  <si>
    <t xml:space="preserve">R$88.957.993,50</t>
  </si>
  <si>
    <t xml:space="preserve">R$63.760.103,71</t>
  </si>
  <si>
    <t xml:space="preserve">25/06/2022</t>
  </si>
  <si>
    <t xml:space="preserve">DIADEMA/SP</t>
  </si>
  <si>
    <t xml:space="preserve">R$78.763.087,85</t>
  </si>
  <si>
    <t xml:space="preserve">R$35.919,96</t>
  </si>
  <si>
    <t xml:space="preserve">R$677,05</t>
  </si>
  <si>
    <t xml:space="preserve">R$27.939.712,46</t>
  </si>
  <si>
    <t xml:space="preserve">R$97.812.585,00</t>
  </si>
  <si>
    <t xml:space="preserve">R$65.244.165,17</t>
  </si>
  <si>
    <t xml:space="preserve">28/06/2022</t>
  </si>
  <si>
    <t xml:space="preserve">R$54.647,64</t>
  </si>
  <si>
    <t xml:space="preserve">R$801,92</t>
  </si>
  <si>
    <t xml:space="preserve">R$31.664.380,64</t>
  </si>
  <si>
    <t xml:space="preserve">R$35.069.728,50</t>
  </si>
  <si>
    <t xml:space="preserve">R$65.776.260,65</t>
  </si>
  <si>
    <t xml:space="preserve">30/06/2022</t>
  </si>
  <si>
    <t xml:space="preserve">R$54.371,58</t>
  </si>
  <si>
    <t xml:space="preserve">R$1.108,04</t>
  </si>
  <si>
    <t xml:space="preserve">R$36.672.289,48</t>
  </si>
  <si>
    <t xml:space="preserve">R$47.152.120,50</t>
  </si>
  <si>
    <t xml:space="preserve">R$66.491.676,20</t>
  </si>
  <si>
    <t xml:space="preserve">02/07/2022</t>
  </si>
  <si>
    <t xml:space="preserve">R$42.861,28</t>
  </si>
  <si>
    <t xml:space="preserve">R$844,35</t>
  </si>
  <si>
    <t xml:space="preserve">R$43.541.372,70</t>
  </si>
  <si>
    <t xml:space="preserve">R$64.676.065,50</t>
  </si>
  <si>
    <t xml:space="preserve">R$67.472.973,82</t>
  </si>
  <si>
    <t xml:space="preserve">06/07/2022</t>
  </si>
  <si>
    <t xml:space="preserve">R$51.830.706,79</t>
  </si>
  <si>
    <t xml:space="preserve">R$51.135,50</t>
  </si>
  <si>
    <t xml:space="preserve">R$817,24</t>
  </si>
  <si>
    <t xml:space="preserve">R$78.048.481,50</t>
  </si>
  <si>
    <t xml:space="preserve">R$68.657.164,42</t>
  </si>
  <si>
    <t xml:space="preserve">09/07/2022</t>
  </si>
  <si>
    <t xml:space="preserve">R$74.169,24</t>
  </si>
  <si>
    <t xml:space="preserve">R$1.006,54</t>
  </si>
  <si>
    <t xml:space="preserve">R$21.692.427,80</t>
  </si>
  <si>
    <t xml:space="preserve">R$38.592.625,50</t>
  </si>
  <si>
    <t xml:space="preserve">R$69.242.711,05</t>
  </si>
  <si>
    <t xml:space="preserve">13/07/2022</t>
  </si>
  <si>
    <t xml:space="preserve">DOURADOS/MS</t>
  </si>
  <si>
    <t xml:space="preserve">R$27.485.274,00</t>
  </si>
  <si>
    <t xml:space="preserve">R$37.436,76</t>
  </si>
  <si>
    <t xml:space="preserve">R$911,60</t>
  </si>
  <si>
    <t xml:space="preserve">R$54.542.722,50</t>
  </si>
  <si>
    <t xml:space="preserve">R$70.070.260,52</t>
  </si>
  <si>
    <t xml:space="preserve">16/07/2022</t>
  </si>
  <si>
    <t xml:space="preserve">R$70.561,85</t>
  </si>
  <si>
    <t xml:space="preserve">R$1.297,33</t>
  </si>
  <si>
    <t xml:space="preserve">R$3.899.470,54</t>
  </si>
  <si>
    <t xml:space="preserve">R$36.715.585,50</t>
  </si>
  <si>
    <t xml:space="preserve">R$70.627.327,76</t>
  </si>
  <si>
    <t xml:space="preserve">20/07/2022</t>
  </si>
  <si>
    <t xml:space="preserve">R$22.920,73</t>
  </si>
  <si>
    <t xml:space="preserve">R$1.157,38</t>
  </si>
  <si>
    <t xml:space="preserve">R$8.248.378,04</t>
  </si>
  <si>
    <t xml:space="preserve">R$40.947.273,00</t>
  </si>
  <si>
    <t xml:space="preserve">R$71.248.600,28</t>
  </si>
  <si>
    <t xml:space="preserve">23/07/2022</t>
  </si>
  <si>
    <t xml:space="preserve">R$13.748.083,57</t>
  </si>
  <si>
    <t xml:space="preserve">R$32.808,29</t>
  </si>
  <si>
    <t xml:space="preserve">R$821,15</t>
  </si>
  <si>
    <t xml:space="preserve">R$51.782.647,50</t>
  </si>
  <si>
    <t xml:space="preserve">R$72.034.272,50</t>
  </si>
  <si>
    <t xml:space="preserve">27/07/2022</t>
  </si>
  <si>
    <t xml:space="preserve">R$46.871,70</t>
  </si>
  <si>
    <t xml:space="preserve">R$905,17</t>
  </si>
  <si>
    <t xml:space="preserve">R$17.766.858,97</t>
  </si>
  <si>
    <t xml:space="preserve">R$31.705.497,00</t>
  </si>
  <si>
    <t xml:space="preserve">R$72.515.324,18</t>
  </si>
  <si>
    <t xml:space="preserve">30/07/2022</t>
  </si>
  <si>
    <t xml:space="preserve">CACAPAVA DO SUL/RS</t>
  </si>
  <si>
    <t xml:space="preserve">R$24.271.229,51</t>
  </si>
  <si>
    <t xml:space="preserve">R$32.693,92</t>
  </si>
  <si>
    <t xml:space="preserve">R$722,97</t>
  </si>
  <si>
    <t xml:space="preserve">R$61.242.102,00</t>
  </si>
  <si>
    <t xml:space="preserve">R$73.444.519,99</t>
  </si>
  <si>
    <t xml:space="preserve">02/08/2022</t>
  </si>
  <si>
    <t xml:space="preserve">R$101.318,72</t>
  </si>
  <si>
    <t xml:space="preserve">R$1.516,93</t>
  </si>
  <si>
    <t xml:space="preserve">R$2.239.676,89</t>
  </si>
  <si>
    <t xml:space="preserve">R$21.087.747,00</t>
  </si>
  <si>
    <t xml:space="preserve">R$73.764.473,84</t>
  </si>
  <si>
    <t xml:space="preserve">04/08/2022</t>
  </si>
  <si>
    <t xml:space="preserve">MOSSORO/RN</t>
  </si>
  <si>
    <t xml:space="preserve">R$5.543.989,92</t>
  </si>
  <si>
    <t xml:space="preserve">R$38.165,32</t>
  </si>
  <si>
    <t xml:space="preserve">R$757,02</t>
  </si>
  <si>
    <t xml:space="preserve">R$31.111.861,50</t>
  </si>
  <si>
    <t xml:space="preserve">R$74.236.518,56</t>
  </si>
  <si>
    <t xml:space="preserve">06/08/2022</t>
  </si>
  <si>
    <t xml:space="preserve">R$71.728,72</t>
  </si>
  <si>
    <t xml:space="preserve">R$1.764,37</t>
  </si>
  <si>
    <t xml:space="preserve">R$3.435.428,42</t>
  </si>
  <si>
    <t xml:space="preserve">R$32.346.382,50</t>
  </si>
  <si>
    <t xml:space="preserve">R$74.727.294,07</t>
  </si>
  <si>
    <t xml:space="preserve">10/08/2022</t>
  </si>
  <si>
    <t xml:space="preserve">R$48.983,97</t>
  </si>
  <si>
    <t xml:space="preserve">R$1.284,73</t>
  </si>
  <si>
    <t xml:space="preserve">R$20.074.834,59</t>
  </si>
  <si>
    <t xml:space="preserve">R$39.931.078,50</t>
  </si>
  <si>
    <t xml:space="preserve">R$75.333.148,37</t>
  </si>
  <si>
    <t xml:space="preserve">13/08/2022</t>
  </si>
  <si>
    <t xml:space="preserve">CANAL ELETRONICO; MORRETES/PR; DUQUE DE CAXIAS/RJ; BARUERI/SP</t>
  </si>
  <si>
    <t xml:space="preserve">R$6.670.155,67</t>
  </si>
  <si>
    <t xml:space="preserve">R$14.818,18</t>
  </si>
  <si>
    <t xml:space="preserve">R$497,55</t>
  </si>
  <si>
    <t xml:space="preserve">R$62.197.002,00</t>
  </si>
  <si>
    <t xml:space="preserve">R$76.276.832,41</t>
  </si>
  <si>
    <t xml:space="preserve">17/08/2022</t>
  </si>
  <si>
    <t xml:space="preserve">R$55.886,42</t>
  </si>
  <si>
    <t xml:space="preserve">R$1.218,59</t>
  </si>
  <si>
    <t xml:space="preserve">R$3.191.408,35</t>
  </si>
  <si>
    <t xml:space="preserve">R$30.048.804,00</t>
  </si>
  <si>
    <t xml:space="preserve">R$76.732.747,89</t>
  </si>
  <si>
    <t xml:space="preserve">20/08/2022</t>
  </si>
  <si>
    <t xml:space="preserve">R$31.030,62</t>
  </si>
  <si>
    <t xml:space="preserve">R$819,41</t>
  </si>
  <si>
    <t xml:space="preserve">R$7.821.502,90</t>
  </si>
  <si>
    <t xml:space="preserve">R$43.594.798,50</t>
  </si>
  <si>
    <t xml:space="preserve">R$77.394.189,99</t>
  </si>
  <si>
    <t xml:space="preserve">24/08/2022</t>
  </si>
  <si>
    <t xml:space="preserve">R$41.501,26</t>
  </si>
  <si>
    <t xml:space="preserve">R$961,50</t>
  </si>
  <si>
    <t xml:space="preserve">R$12.561.383,62</t>
  </si>
  <si>
    <t xml:space="preserve">R$44.628.493,50</t>
  </si>
  <si>
    <t xml:space="preserve">R$78.071.315,82</t>
  </si>
  <si>
    <t xml:space="preserve">27/08/2022</t>
  </si>
  <si>
    <t xml:space="preserve">R$59.901,15</t>
  </si>
  <si>
    <t xml:space="preserve">R$993,92</t>
  </si>
  <si>
    <t xml:space="preserve">R$33.953.898,66</t>
  </si>
  <si>
    <t xml:space="preserve">R$54.025.366,50</t>
  </si>
  <si>
    <t xml:space="preserve">R$78.891.015,70</t>
  </si>
  <si>
    <t xml:space="preserve">31/08/2022</t>
  </si>
  <si>
    <t xml:space="preserve">R$38.822,29</t>
  </si>
  <si>
    <t xml:space="preserve">R$784,09</t>
  </si>
  <si>
    <t xml:space="preserve">R$40.890.828,40</t>
  </si>
  <si>
    <t xml:space="preserve">R$65.314.876,50</t>
  </si>
  <si>
    <t xml:space="preserve">R$79.882.005,68</t>
  </si>
  <si>
    <t xml:space="preserve">03/09/2022</t>
  </si>
  <si>
    <t xml:space="preserve">R$49.051,86</t>
  </si>
  <si>
    <t xml:space="preserve">R$988,29</t>
  </si>
  <si>
    <t xml:space="preserve">R$49.384.545,61</t>
  </si>
  <si>
    <t xml:space="preserve">R$79.972.857,00</t>
  </si>
  <si>
    <t xml:space="preserve">R$81.095.393,86</t>
  </si>
  <si>
    <t xml:space="preserve">08/09/2022</t>
  </si>
  <si>
    <t xml:space="preserve">R$38.906,31</t>
  </si>
  <si>
    <t xml:space="preserve">R$782,44</t>
  </si>
  <si>
    <t xml:space="preserve">R$57.698.210,35</t>
  </si>
  <si>
    <t xml:space="preserve">R$78.277.567,50</t>
  </si>
  <si>
    <t xml:space="preserve">R$82.283.060,27</t>
  </si>
  <si>
    <t xml:space="preserve">10/09/2022</t>
  </si>
  <si>
    <t xml:space="preserve">R$39.587,01</t>
  </si>
  <si>
    <t xml:space="preserve">R$869,08</t>
  </si>
  <si>
    <t xml:space="preserve">R$65.865.634,54</t>
  </si>
  <si>
    <t xml:space="preserve">R$76.900.635,00</t>
  </si>
  <si>
    <t xml:space="preserve">R$83.449.835,17</t>
  </si>
  <si>
    <t xml:space="preserve">13/09/2022</t>
  </si>
  <si>
    <t xml:space="preserve">R$46.964,83</t>
  </si>
  <si>
    <t xml:space="preserve">R$876,50</t>
  </si>
  <si>
    <t xml:space="preserve">R$98.323.155,10</t>
  </si>
  <si>
    <t xml:space="preserve">R$71.682.754,50</t>
  </si>
  <si>
    <t xml:space="preserve">R$84.537.441,77</t>
  </si>
  <si>
    <t xml:space="preserve">15/09/2022</t>
  </si>
  <si>
    <t xml:space="preserve">R$39.671,25</t>
  </si>
  <si>
    <t xml:space="preserve">R$895,48</t>
  </si>
  <si>
    <t xml:space="preserve">R$110.015.734,03</t>
  </si>
  <si>
    <t xml:space="preserve">R$110.091.838,50</t>
  </si>
  <si>
    <t xml:space="preserve">R$86.207.810,20</t>
  </si>
  <si>
    <t xml:space="preserve">17/09/2022</t>
  </si>
  <si>
    <t xml:space="preserve">R$42.084,88</t>
  </si>
  <si>
    <t xml:space="preserve">R$931,08</t>
  </si>
  <si>
    <t xml:space="preserve">R$124.667.917,23</t>
  </si>
  <si>
    <t xml:space="preserve">R$137.958.084,00</t>
  </si>
  <si>
    <t xml:space="preserve">R$150.000.000,00</t>
  </si>
  <si>
    <t xml:space="preserve">R$88.300.979,25</t>
  </si>
  <si>
    <t xml:space="preserve">21/09/2022</t>
  </si>
  <si>
    <t xml:space="preserve">R$54.431,51</t>
  </si>
  <si>
    <t xml:space="preserve">R$882,48</t>
  </si>
  <si>
    <t xml:space="preserve">R$144.922.165,99</t>
  </si>
  <si>
    <t xml:space="preserve">R$190.704.505,50</t>
  </si>
  <si>
    <t xml:space="preserve">R$91.194.443,37</t>
  </si>
  <si>
    <t xml:space="preserve">24/09/2022</t>
  </si>
  <si>
    <t xml:space="preserve">R$44.862,56</t>
  </si>
  <si>
    <t xml:space="preserve">R$915,91</t>
  </si>
  <si>
    <t xml:space="preserve">R$169.218.785,10</t>
  </si>
  <si>
    <t xml:space="preserve">R$228.765.568,50</t>
  </si>
  <si>
    <t xml:space="preserve">R$94.665.388,98</t>
  </si>
  <si>
    <t xml:space="preserve">28/09/2022</t>
  </si>
  <si>
    <t xml:space="preserve">R$43.914,62</t>
  </si>
  <si>
    <t xml:space="preserve">R$839,40</t>
  </si>
  <si>
    <t xml:space="preserve">R$267.006.265,85</t>
  </si>
  <si>
    <t xml:space="preserve">R$307.715.733,00</t>
  </si>
  <si>
    <t xml:space="preserve">R$99.334.205,96</t>
  </si>
  <si>
    <t xml:space="preserve">01/10/2022</t>
  </si>
  <si>
    <t xml:space="preserve">CANAL ELETRONICO; FERNANDOPOLIS/SP</t>
  </si>
  <si>
    <t xml:space="preserve">R$158.926.894,27</t>
  </si>
  <si>
    <t xml:space="preserve">R$33.910,24</t>
  </si>
  <si>
    <t xml:space="preserve">R$747,39</t>
  </si>
  <si>
    <t xml:space="preserve">R$478.756.422,00</t>
  </si>
  <si>
    <t xml:space="preserve">R$106.598.137,79</t>
  </si>
  <si>
    <t xml:space="preserve">05/10/2022</t>
  </si>
  <si>
    <t xml:space="preserve">R$21.481,79</t>
  </si>
  <si>
    <t xml:space="preserve">R$726,79</t>
  </si>
  <si>
    <t xml:space="preserve">R$4.234.172,81</t>
  </si>
  <si>
    <t xml:space="preserve">R$39.866.985,00</t>
  </si>
  <si>
    <t xml:space="preserve">R$107.203.019,64</t>
  </si>
  <si>
    <t xml:space="preserve">08/10/2022</t>
  </si>
  <si>
    <t xml:space="preserve">R$40.771,81</t>
  </si>
  <si>
    <t xml:space="preserve">R$1.114,21</t>
  </si>
  <si>
    <t xml:space="preserve">R$10.242.650,28</t>
  </si>
  <si>
    <t xml:space="preserve">R$56.573.005,50</t>
  </si>
  <si>
    <t xml:space="preserve">R$108.061.373,59</t>
  </si>
  <si>
    <t xml:space="preserve">13/10/2022</t>
  </si>
  <si>
    <t xml:space="preserve">R$52.828,97</t>
  </si>
  <si>
    <t xml:space="preserve">R$1.031,18</t>
  </si>
  <si>
    <t xml:space="preserve">R$16.470.907,98</t>
  </si>
  <si>
    <t xml:space="preserve">R$58.642.353,00</t>
  </si>
  <si>
    <t xml:space="preserve">R$108.951.124,70</t>
  </si>
  <si>
    <t xml:space="preserve">15/10/2022</t>
  </si>
  <si>
    <t xml:space="preserve">R$43.914,37</t>
  </si>
  <si>
    <t xml:space="preserve">R$935,67</t>
  </si>
  <si>
    <t xml:space="preserve">R$69.851.771,07</t>
  </si>
  <si>
    <t xml:space="preserve">R$63.980.140,50</t>
  </si>
  <si>
    <t xml:space="preserve">R$109.921.863,39</t>
  </si>
  <si>
    <t xml:space="preserve">18/10/2022</t>
  </si>
  <si>
    <t xml:space="preserve">R$47.236,83</t>
  </si>
  <si>
    <t xml:space="preserve">R$779,90</t>
  </si>
  <si>
    <t xml:space="preserve">R$76.812.987,97</t>
  </si>
  <si>
    <t xml:space="preserve">R$65.543.553,00</t>
  </si>
  <si>
    <t xml:space="preserve">R$110.916.322,96</t>
  </si>
  <si>
    <t xml:space="preserve">20/10/2022</t>
  </si>
  <si>
    <t xml:space="preserve">R$48.811,72</t>
  </si>
  <si>
    <t xml:space="preserve">R$1.040,03</t>
  </si>
  <si>
    <t xml:space="preserve">R$86.434.034,75</t>
  </si>
  <si>
    <t xml:space="preserve">R$90.587.263,50</t>
  </si>
  <si>
    <t xml:space="preserve">R$112.290.758,23</t>
  </si>
  <si>
    <t xml:space="preserve">22/10/2022</t>
  </si>
  <si>
    <t xml:space="preserve">R$27.167,77</t>
  </si>
  <si>
    <t xml:space="preserve">R$539,96</t>
  </si>
  <si>
    <t xml:space="preserve">R$99.395.922,57</t>
  </si>
  <si>
    <t xml:space="preserve">R$122.043.055,50</t>
  </si>
  <si>
    <t xml:space="preserve">R$114.142.456,50</t>
  </si>
  <si>
    <t xml:space="preserve">26/10/2022</t>
  </si>
  <si>
    <t xml:space="preserve">R$59.636,65</t>
  </si>
  <si>
    <t xml:space="preserve">R$1.033,32</t>
  </si>
  <si>
    <t xml:space="preserve">R$114.116.759,04</t>
  </si>
  <si>
    <t xml:space="preserve">R$138.604.491,00</t>
  </si>
  <si>
    <t xml:space="preserve">R$116.245.433,16</t>
  </si>
  <si>
    <t xml:space="preserve">29/10/2022</t>
  </si>
  <si>
    <t xml:space="preserve">R$131.566.946,59</t>
  </si>
  <si>
    <t xml:space="preserve">R$53.823,63</t>
  </si>
  <si>
    <t xml:space="preserve">R$1.057,49</t>
  </si>
  <si>
    <t xml:space="preserve">R$38.792.396,04</t>
  </si>
  <si>
    <t xml:space="preserve">R$164.302.780,50</t>
  </si>
  <si>
    <t xml:space="preserve">R$118.738.317,11</t>
  </si>
  <si>
    <t xml:space="preserve">03/11/2022</t>
  </si>
  <si>
    <t xml:space="preserve">R$65.724,45</t>
  </si>
  <si>
    <t xml:space="preserve">R$941,31</t>
  </si>
  <si>
    <t xml:space="preserve">R$45.935.605,33</t>
  </si>
  <si>
    <t xml:space="preserve">R$67.257.108,00</t>
  </si>
  <si>
    <t xml:space="preserve">R$119.758.775,61</t>
  </si>
  <si>
    <t xml:space="preserve">05/11/2022</t>
  </si>
  <si>
    <t xml:space="preserve">R$28.773,28</t>
  </si>
  <si>
    <t xml:space="preserve">R$621,12</t>
  </si>
  <si>
    <t xml:space="preserve">R$54.575.161,62</t>
  </si>
  <si>
    <t xml:space="preserve">R$81.346.009,50</t>
  </si>
  <si>
    <t xml:space="preserve">R$120.992.997,95</t>
  </si>
  <si>
    <t xml:space="preserve">09/11/2022</t>
  </si>
  <si>
    <t xml:space="preserve">GUARUJA/SP</t>
  </si>
  <si>
    <t xml:space="preserve">R$64.250.536,10</t>
  </si>
  <si>
    <t xml:space="preserve">R$55.876,02</t>
  </si>
  <si>
    <t xml:space="preserve">R$808,37</t>
  </si>
  <si>
    <t xml:space="preserve">R$91.098.787,50</t>
  </si>
  <si>
    <t xml:space="preserve">R$122.375.194,31</t>
  </si>
  <si>
    <t xml:space="preserve">12/11/2022</t>
  </si>
  <si>
    <t xml:space="preserve">R$58.352,66</t>
  </si>
  <si>
    <t xml:space="preserve">R$799,32</t>
  </si>
  <si>
    <t xml:space="preserve">R$4.837.128,77</t>
  </si>
  <si>
    <t xml:space="preserve">R$45.544.135,50</t>
  </si>
  <si>
    <t xml:space="preserve">R$123.066.212,72</t>
  </si>
  <si>
    <t xml:space="preserve">16/11/2022</t>
  </si>
  <si>
    <t xml:space="preserve">R$75.686,31</t>
  </si>
  <si>
    <t xml:space="preserve">R$1.073,51</t>
  </si>
  <si>
    <t xml:space="preserve">R$31.145.754,74</t>
  </si>
  <si>
    <t xml:space="preserve">R$42.007.473,00</t>
  </si>
  <si>
    <t xml:space="preserve">R$123.703.571,12</t>
  </si>
  <si>
    <t xml:space="preserve">19/11/2022</t>
  </si>
  <si>
    <t xml:space="preserve">R$45.937,77</t>
  </si>
  <si>
    <t xml:space="preserve">R$922,28</t>
  </si>
  <si>
    <t xml:space="preserve">R$38.761.752,82</t>
  </si>
  <si>
    <t xml:space="preserve">R$71.708.665,50</t>
  </si>
  <si>
    <t xml:space="preserve">R$124.791.570,86</t>
  </si>
  <si>
    <t xml:space="preserve">22/11/2022</t>
  </si>
  <si>
    <t xml:space="preserve">R$55.525,68</t>
  </si>
  <si>
    <t xml:space="preserve">R$1.066,55</t>
  </si>
  <si>
    <t xml:space="preserve">R$43.978.243,89</t>
  </si>
  <si>
    <t xml:space="preserve">R$49.116.033,00</t>
  </si>
  <si>
    <t xml:space="preserve">R$125.536.783,89</t>
  </si>
  <si>
    <t xml:space="preserve">24/11/2022</t>
  </si>
  <si>
    <t xml:space="preserve">R$42.474,10</t>
  </si>
  <si>
    <t xml:space="preserve">R$855,91</t>
  </si>
  <si>
    <t xml:space="preserve">R$49.768.134,07</t>
  </si>
  <si>
    <t xml:space="preserve">R$54.514.890,00</t>
  </si>
  <si>
    <t xml:space="preserve">R$126.363.911,07</t>
  </si>
  <si>
    <t xml:space="preserve">26/11/2022</t>
  </si>
  <si>
    <t xml:space="preserve">R$29.679,12</t>
  </si>
  <si>
    <t xml:space="preserve">R$782,74</t>
  </si>
  <si>
    <t xml:space="preserve">R$57.312.877,49</t>
  </si>
  <si>
    <t xml:space="preserve">R$71.037.765,00</t>
  </si>
  <si>
    <t xml:space="preserve">R$127.441.731,57</t>
  </si>
  <si>
    <t xml:space="preserve">30/11/2022</t>
  </si>
  <si>
    <t xml:space="preserve">R$61.889,52</t>
  </si>
  <si>
    <t xml:space="preserve">R$1.025,88</t>
  </si>
  <si>
    <t xml:space="preserve">R$86.943.251,69</t>
  </si>
  <si>
    <t xml:space="preserve">R$76.213.998,00</t>
  </si>
  <si>
    <t xml:space="preserve">R$128.598.088,47</t>
  </si>
  <si>
    <t xml:space="preserve">03/12/2022</t>
  </si>
  <si>
    <t xml:space="preserve">R$66.967,36</t>
  </si>
  <si>
    <t xml:space="preserve">R$1.015,55</t>
  </si>
  <si>
    <t xml:space="preserve">R$98.539.178,55</t>
  </si>
  <si>
    <t xml:space="preserve">R$109.181.808,00</t>
  </si>
  <si>
    <t xml:space="preserve">R$130.254.649,47</t>
  </si>
  <si>
    <t xml:space="preserve">07/12/2022</t>
  </si>
  <si>
    <t xml:space="preserve">R$49.345,74</t>
  </si>
  <si>
    <t xml:space="preserve">R$987,43</t>
  </si>
  <si>
    <t xml:space="preserve">R$110.174.385,36</t>
  </si>
  <si>
    <t xml:space="preserve">R$109.551.649,50</t>
  </si>
  <si>
    <t xml:space="preserve">R$131.916.821,89</t>
  </si>
  <si>
    <t xml:space="preserve">10/12/2022</t>
  </si>
  <si>
    <t xml:space="preserve">R$65.769,20</t>
  </si>
  <si>
    <t xml:space="preserve">R$1.094,03</t>
  </si>
  <si>
    <t xml:space="preserve">R$122.289.764,56</t>
  </si>
  <si>
    <t xml:space="preserve">R$114.072.727,50</t>
  </si>
  <si>
    <t xml:space="preserve">R$133.647.590,35</t>
  </si>
  <si>
    <t xml:space="preserve">14/12/2022</t>
  </si>
  <si>
    <t xml:space="preserve">R$134.811.174,29</t>
  </si>
  <si>
    <t xml:space="preserve">R$36.544,82</t>
  </si>
  <si>
    <t xml:space="preserve">R$808,46</t>
  </si>
  <si>
    <t xml:space="preserve">R$117.895.720,50</t>
  </si>
  <si>
    <t xml:space="preserve">R$135.436.363,19</t>
  </si>
  <si>
    <t xml:space="preserve">17/12/2022</t>
  </si>
  <si>
    <t xml:space="preserve">R$22.867,86</t>
  </si>
  <si>
    <t xml:space="preserve">R$668,10</t>
  </si>
  <si>
    <t xml:space="preserve">R$173.509.265,45</t>
  </si>
  <si>
    <t xml:space="preserve">R$42.439.333,50</t>
  </si>
  <si>
    <t xml:space="preserve">R$540.000.000,00</t>
  </si>
  <si>
    <t xml:space="preserve">31/12/2022</t>
  </si>
  <si>
    <t xml:space="preserve">CANAL ELETRONICO; FLORESTAL/MG; ARROIO DO SAL/RS; SANTOS/SP; SAO JOSE DA BELA VISTA/SP</t>
  </si>
  <si>
    <t xml:space="preserve">R$108.393.993,26</t>
  </si>
  <si>
    <t xml:space="preserve">R$45.438,78</t>
  </si>
  <si>
    <t xml:space="preserve">R$877,04</t>
  </si>
  <si>
    <t xml:space="preserve">R$1.958.449.342,50</t>
  </si>
  <si>
    <t xml:space="preserve">04/01/2023</t>
  </si>
  <si>
    <t xml:space="preserve">R$35.909,19</t>
  </si>
  <si>
    <t xml:space="preserve">R$1.035,27</t>
  </si>
  <si>
    <t xml:space="preserve">R$3.241.276,43</t>
  </si>
  <si>
    <t xml:space="preserve">R$30.518.338,50</t>
  </si>
  <si>
    <t xml:space="preserve">R$463.039,51</t>
  </si>
  <si>
    <t xml:space="preserve">07/01/2023</t>
  </si>
  <si>
    <t xml:space="preserve">R$43.395,55</t>
  </si>
  <si>
    <t xml:space="preserve">R$827,64</t>
  </si>
  <si>
    <t xml:space="preserve">R$8.197.504,86</t>
  </si>
  <si>
    <t xml:space="preserve">R$46.665.522,00</t>
  </si>
  <si>
    <t xml:space="preserve">R$1.171.072,16</t>
  </si>
  <si>
    <t xml:space="preserve">10/01/2023</t>
  </si>
  <si>
    <t xml:space="preserve">R$61.501,75</t>
  </si>
  <si>
    <t xml:space="preserve">R$1.057,72</t>
  </si>
  <si>
    <t xml:space="preserve">R$11.709.578,55</t>
  </si>
  <si>
    <t xml:space="preserve">R$33.068.038,50</t>
  </si>
  <si>
    <t xml:space="preserve">R$1.672.797,00</t>
  </si>
  <si>
    <t xml:space="preserve">12/01/2023</t>
  </si>
  <si>
    <t xml:space="preserve">R$32.743,81</t>
  </si>
  <si>
    <t xml:space="preserve">R$740,23</t>
  </si>
  <si>
    <t xml:space="preserve">R$26.731.937,94</t>
  </si>
  <si>
    <t xml:space="preserve">R$44.297.901,00</t>
  </si>
  <si>
    <t xml:space="preserve">R$2.344.906,92</t>
  </si>
  <si>
    <t xml:space="preserve">14/01/2023</t>
  </si>
  <si>
    <t xml:space="preserve">R$65.428,68</t>
  </si>
  <si>
    <t xml:space="preserve">R$1.179,81</t>
  </si>
  <si>
    <t xml:space="preserve">R$33.722.476,08</t>
  </si>
  <si>
    <t xml:space="preserve">R$65.819.628,00</t>
  </si>
  <si>
    <t xml:space="preserve">R$3.343.555,24</t>
  </si>
  <si>
    <t xml:space="preserve">18/01/2023</t>
  </si>
  <si>
    <t xml:space="preserve">R$31.797,29</t>
  </si>
  <si>
    <t xml:space="preserve">R$671,49</t>
  </si>
  <si>
    <t xml:space="preserve">R$41.688.534,35</t>
  </si>
  <si>
    <t xml:space="preserve">R$75.004.668,00</t>
  </si>
  <si>
    <t xml:space="preserve">R$51.000.000,00</t>
  </si>
  <si>
    <t xml:space="preserve">R$4.481.563,59</t>
  </si>
  <si>
    <t xml:space="preserve">21/01/2023</t>
  </si>
  <si>
    <t xml:space="preserve">R$20.176,41</t>
  </si>
  <si>
    <t xml:space="preserve">R$455,29</t>
  </si>
  <si>
    <t xml:space="preserve">R$51.389.137,98</t>
  </si>
  <si>
    <t xml:space="preserve">R$91.336.333,50</t>
  </si>
  <si>
    <t xml:space="preserve">R$5.867.364,13</t>
  </si>
  <si>
    <t xml:space="preserve">25/01/2023</t>
  </si>
  <si>
    <t xml:space="preserve">R$28.883,07</t>
  </si>
  <si>
    <t xml:space="preserve">R$662,96</t>
  </si>
  <si>
    <t xml:space="preserve">R$61.019.360,61</t>
  </si>
  <si>
    <t xml:space="preserve">R$90.673.659,00</t>
  </si>
  <si>
    <t xml:space="preserve">R$7.243.110,24</t>
  </si>
  <si>
    <t xml:space="preserve">28/01/2023</t>
  </si>
  <si>
    <t xml:space="preserve">R$40.505,04</t>
  </si>
  <si>
    <t xml:space="preserve">R$886,37</t>
  </si>
  <si>
    <t xml:space="preserve">R$102.378.415,66</t>
  </si>
  <si>
    <t xml:space="preserve">R$114.513.277,50</t>
  </si>
  <si>
    <t xml:space="preserve">R$8.980.562,95</t>
  </si>
  <si>
    <t xml:space="preserve">01/02/2023</t>
  </si>
  <si>
    <t xml:space="preserve">R$52.127,84</t>
  </si>
  <si>
    <t xml:space="preserve">R$837,78</t>
  </si>
  <si>
    <t xml:space="preserve">R$116.878.183,88</t>
  </si>
  <si>
    <t xml:space="preserve">R$136.523.016,00</t>
  </si>
  <si>
    <t xml:space="preserve">R$11.051.958,41</t>
  </si>
  <si>
    <t xml:space="preserve">04/02/2023</t>
  </si>
  <si>
    <t xml:space="preserve">R$23.693,33</t>
  </si>
  <si>
    <t xml:space="preserve">R$668,17</t>
  </si>
  <si>
    <t xml:space="preserve">R$134.030.908,34</t>
  </si>
  <si>
    <t xml:space="preserve">R$161.502.007,50</t>
  </si>
  <si>
    <t xml:space="preserve">R$160.000.000,00</t>
  </si>
  <si>
    <t xml:space="preserve">R$13.502.347,64</t>
  </si>
  <si>
    <t xml:space="preserve">08/02/2023</t>
  </si>
  <si>
    <t xml:space="preserve">PIRACICABA/SP; SAO PAULO/SP</t>
  </si>
  <si>
    <t xml:space="preserve">R$76.403.943,65</t>
  </si>
  <si>
    <t xml:space="preserve">R$45.102,73</t>
  </si>
  <si>
    <t xml:space="preserve">R$992,48</t>
  </si>
  <si>
    <t xml:space="preserve">R$176.795.226,00</t>
  </si>
  <si>
    <t xml:space="preserve">R$16.184.773,22</t>
  </si>
  <si>
    <t xml:space="preserve">11/02/2023</t>
  </si>
  <si>
    <t xml:space="preserve">R$54.606,04</t>
  </si>
  <si>
    <t xml:space="preserve">R$1.029,19</t>
  </si>
  <si>
    <t xml:space="preserve">R$4.928.913,08</t>
  </si>
  <si>
    <t xml:space="preserve">R$46.408.333,50</t>
  </si>
  <si>
    <t xml:space="preserve">R$16.888.903,69</t>
  </si>
  <si>
    <t xml:space="preserve">14/02/2023</t>
  </si>
  <si>
    <t xml:space="preserve">R$35.106,57</t>
  </si>
  <si>
    <t xml:space="preserve">R$596,66</t>
  </si>
  <si>
    <t xml:space="preserve">R$45.518.196,12</t>
  </si>
  <si>
    <t xml:space="preserve">R$33.489.630,00</t>
  </si>
  <si>
    <t xml:space="preserve">R$17.397.025,10</t>
  </si>
  <si>
    <t xml:space="preserve">16/02/2023</t>
  </si>
  <si>
    <t xml:space="preserve">CAMPO GRANDE/MS; BELEM/PA; PARANAGUA/PR</t>
  </si>
  <si>
    <t xml:space="preserve">R$17.626.625,69</t>
  </si>
  <si>
    <t xml:space="preserve">R$24.367,94</t>
  </si>
  <si>
    <t xml:space="preserve">R$692,42</t>
  </si>
  <si>
    <t xml:space="preserve">R$69.314.134,50</t>
  </si>
  <si>
    <t xml:space="preserve">R$18.448.693,83</t>
  </si>
  <si>
    <t xml:space="preserve">18/02/2023</t>
  </si>
  <si>
    <t xml:space="preserve">R$36.334,95</t>
  </si>
  <si>
    <t xml:space="preserve">R$806,42</t>
  </si>
  <si>
    <t xml:space="preserve">R$4.015.967,86</t>
  </si>
  <si>
    <t xml:space="preserve">R$37.812.469,50</t>
  </si>
  <si>
    <t xml:space="preserve">R$19.022.403,54</t>
  </si>
  <si>
    <t xml:space="preserve">23/02/2023</t>
  </si>
  <si>
    <t xml:space="preserve">R$8.548.140,96</t>
  </si>
  <si>
    <t xml:space="preserve">R$23.886,63</t>
  </si>
  <si>
    <t xml:space="preserve">R$607,45</t>
  </si>
  <si>
    <t xml:space="preserve">R$42.672.816,00</t>
  </si>
  <si>
    <t xml:space="preserve">R$19.669.856,85</t>
  </si>
  <si>
    <t xml:space="preserve">25/02/2023</t>
  </si>
  <si>
    <t xml:space="preserve">R$35.496,26</t>
  </si>
  <si>
    <t xml:space="preserve">R$930,00</t>
  </si>
  <si>
    <t xml:space="preserve">R$3.857.882,66</t>
  </si>
  <si>
    <t xml:space="preserve">R$36.324.013,50</t>
  </si>
  <si>
    <t xml:space="preserve">R$20.220.982,96</t>
  </si>
  <si>
    <t xml:space="preserve">01/03/2023</t>
  </si>
  <si>
    <t xml:space="preserve">R$54.548,94</t>
  </si>
  <si>
    <t xml:space="preserve">R$929,22</t>
  </si>
  <si>
    <t xml:space="preserve">R$24.629.284,54</t>
  </si>
  <si>
    <t xml:space="preserve">R$48.252.046,50</t>
  </si>
  <si>
    <t xml:space="preserve">R$20.953.087,15</t>
  </si>
  <si>
    <t xml:space="preserve">04/03/2023</t>
  </si>
  <si>
    <t xml:space="preserve">R$33.139.056,49</t>
  </si>
  <si>
    <t xml:space="preserve">R$61.594,54</t>
  </si>
  <si>
    <t xml:space="preserve">R$1.111,01</t>
  </si>
  <si>
    <t xml:space="preserve">R$80.124.021,00</t>
  </si>
  <si>
    <t xml:space="preserve">R$22.168.768,88</t>
  </si>
  <si>
    <t xml:space="preserve">08/03/2023</t>
  </si>
  <si>
    <t xml:space="preserve">R$57.282,26</t>
  </si>
  <si>
    <t xml:space="preserve">R$1.019,20</t>
  </si>
  <si>
    <t xml:space="preserve">R$4.009.758,06</t>
  </si>
  <si>
    <t xml:space="preserve">R$37.754.001,00</t>
  </si>
  <si>
    <t xml:space="preserve">R$22.741.591,46</t>
  </si>
  <si>
    <t xml:space="preserve">11/03/2023</t>
  </si>
  <si>
    <t xml:space="preserve">R$30.374,17</t>
  </si>
  <si>
    <t xml:space="preserve">R$606,75</t>
  </si>
  <si>
    <t xml:space="preserve">R$9.660.950,91</t>
  </si>
  <si>
    <t xml:space="preserve">R$53.208.981,00</t>
  </si>
  <si>
    <t xml:space="preserve">R$23.548.904,75</t>
  </si>
  <si>
    <t xml:space="preserve">14/03/2023</t>
  </si>
  <si>
    <t xml:space="preserve">R$58.420,68</t>
  </si>
  <si>
    <t xml:space="preserve">R$1.136,11</t>
  </si>
  <si>
    <t xml:space="preserve">R$13.642.781,39</t>
  </si>
  <si>
    <t xml:space="preserve">R$37.491.048,00</t>
  </si>
  <si>
    <t xml:space="preserve">R$24.117.737,69</t>
  </si>
  <si>
    <t xml:space="preserve">16/03/2023</t>
  </si>
  <si>
    <t xml:space="preserve">R$41.754,98</t>
  </si>
  <si>
    <t xml:space="preserve">R$926,70</t>
  </si>
  <si>
    <t xml:space="preserve">R$36.085.258,70</t>
  </si>
  <si>
    <t xml:space="preserve">R$49.246.618,50</t>
  </si>
  <si>
    <t xml:space="preserve">R$24.864.932,02</t>
  </si>
  <si>
    <t xml:space="preserve">18/03/2023</t>
  </si>
  <si>
    <t xml:space="preserve">R$61.915,50</t>
  </si>
  <si>
    <t xml:space="preserve">R$1.058,27</t>
  </si>
  <si>
    <t xml:space="preserve">R$43.955.044,39</t>
  </si>
  <si>
    <t xml:space="preserve">R$74.098.210,50</t>
  </si>
  <si>
    <t xml:space="preserve">R$25.989.187,14</t>
  </si>
  <si>
    <t xml:space="preserve">22/03/2023</t>
  </si>
  <si>
    <t xml:space="preserve">R$44.581,85</t>
  </si>
  <si>
    <t xml:space="preserve">R$994,99</t>
  </si>
  <si>
    <t xml:space="preserve">R$53.070.858,80</t>
  </si>
  <si>
    <t xml:space="preserve">R$85.830.232,50</t>
  </si>
  <si>
    <t xml:space="preserve">R$27.291.446,35</t>
  </si>
  <si>
    <t xml:space="preserve">25/03/2023</t>
  </si>
  <si>
    <t xml:space="preserve">R$46.928,10</t>
  </si>
  <si>
    <t xml:space="preserve">R$898,05</t>
  </si>
  <si>
    <t xml:space="preserve">R$63.703.777,84</t>
  </si>
  <si>
    <t xml:space="preserve">R$100.114.578,00</t>
  </si>
  <si>
    <t xml:space="preserve">R$28.810.434,80</t>
  </si>
  <si>
    <t xml:space="preserve">29/03/2023</t>
  </si>
  <si>
    <t xml:space="preserve">CANAL ELETRONICO; BETIM/MG</t>
  </si>
  <si>
    <t xml:space="preserve">R$37.457.585,34</t>
  </si>
  <si>
    <t xml:space="preserve">R$20.561,43</t>
  </si>
  <si>
    <t xml:space="preserve">R$1.418,82</t>
  </si>
  <si>
    <t xml:space="preserve">R$105.561.216,00</t>
  </si>
  <si>
    <t xml:space="preserve">R$30.412.062,37</t>
  </si>
  <si>
    <t xml:space="preserve">01/04/2023</t>
  </si>
  <si>
    <t xml:space="preserve">R$21.479,95</t>
  </si>
  <si>
    <t xml:space="preserve">R$644,95</t>
  </si>
  <si>
    <t xml:space="preserve">R$31.431.315,96</t>
  </si>
  <si>
    <t xml:space="preserve">R$40.608.688,50</t>
  </si>
  <si>
    <t xml:space="preserve">R$31.028.197,71</t>
  </si>
  <si>
    <t xml:space="preserve">05/04/2023</t>
  </si>
  <si>
    <t xml:space="preserve">R$35.731,67</t>
  </si>
  <si>
    <t xml:space="preserve">R$680,60</t>
  </si>
  <si>
    <t xml:space="preserve">R$38.605.860,02</t>
  </si>
  <si>
    <t xml:space="preserve">R$67.552.141,50</t>
  </si>
  <si>
    <t xml:space="preserve">R$32.053.132,59</t>
  </si>
  <si>
    <t xml:space="preserve">08/04/2023</t>
  </si>
  <si>
    <t xml:space="preserve">R$46.558.149,50</t>
  </si>
  <si>
    <t xml:space="preserve">R$18.062,58</t>
  </si>
  <si>
    <t xml:space="preserve">R$933,69</t>
  </si>
  <si>
    <t xml:space="preserve">R$74.875.027,50</t>
  </si>
  <si>
    <t xml:space="preserve">R$33.189.173,97</t>
  </si>
  <si>
    <t xml:space="preserve">12/04/2023</t>
  </si>
  <si>
    <t xml:space="preserve">R$21.843,53</t>
  </si>
  <si>
    <t xml:space="preserve">R$483,83</t>
  </si>
  <si>
    <t xml:space="preserve">R$3.822.617,37</t>
  </si>
  <si>
    <t xml:space="preserve">R$35.991.972,00</t>
  </si>
  <si>
    <t xml:space="preserve">R$33.735.262,17</t>
  </si>
  <si>
    <t xml:space="preserve">15/04/2023</t>
  </si>
  <si>
    <t xml:space="preserve">R$58.015,77</t>
  </si>
  <si>
    <t xml:space="preserve">R$1.116,44</t>
  </si>
  <si>
    <t xml:space="preserve">R$9.273.046,02</t>
  </si>
  <si>
    <t xml:space="preserve">R$51.318.679,50</t>
  </si>
  <si>
    <t xml:space="preserve">R$34.513.894,85</t>
  </si>
  <si>
    <t xml:space="preserve">19/04/2023</t>
  </si>
  <si>
    <t xml:space="preserve">R$60.857,25</t>
  </si>
  <si>
    <t xml:space="preserve">R$887,31</t>
  </si>
  <si>
    <t xml:space="preserve">R$33.738.700,57</t>
  </si>
  <si>
    <t xml:space="preserve">R$52.776.621,00</t>
  </si>
  <si>
    <t xml:space="preserve">R$35.314.648,15</t>
  </si>
  <si>
    <t xml:space="preserve">22/04/2023</t>
  </si>
  <si>
    <t xml:space="preserve">R$58.471,80</t>
  </si>
  <si>
    <t xml:space="preserve">R$1.018,14</t>
  </si>
  <si>
    <t xml:space="preserve">R$41.278.485,91</t>
  </si>
  <si>
    <t xml:space="preserve">R$70.991.082,00</t>
  </si>
  <si>
    <t xml:space="preserve">R$36.391.760,36</t>
  </si>
  <si>
    <t xml:space="preserve">26/04/2023</t>
  </si>
  <si>
    <t xml:space="preserve">R$64.781,77</t>
  </si>
  <si>
    <t xml:space="preserve">R$1.170,29</t>
  </si>
  <si>
    <t xml:space="preserve">R$50.347.934,06</t>
  </si>
  <si>
    <t xml:space="preserve">R$85.393.669,50</t>
  </si>
  <si>
    <t xml:space="preserve">R$37.687.395,83</t>
  </si>
  <si>
    <t xml:space="preserve">29/04/2023</t>
  </si>
  <si>
    <t xml:space="preserve">PEDRO LEOPOLDO/MG</t>
  </si>
  <si>
    <t xml:space="preserve">R$61.056.497,58</t>
  </si>
  <si>
    <t xml:space="preserve">R$17.723,23</t>
  </si>
  <si>
    <t xml:space="preserve">R$305,54</t>
  </si>
  <si>
    <t xml:space="preserve">R$100.826.811,00</t>
  </si>
  <si>
    <t xml:space="preserve">R$39.217.190,63</t>
  </si>
  <si>
    <t xml:space="preserve">03/05/2023</t>
  </si>
  <si>
    <t xml:space="preserve">R$46.948,05</t>
  </si>
  <si>
    <t xml:space="preserve">R$976,47</t>
  </si>
  <si>
    <t xml:space="preserve">R$3.286.363,81</t>
  </si>
  <si>
    <t xml:space="preserve">R$30.942.860,00</t>
  </si>
  <si>
    <t xml:space="preserve">R$39.686.671,19</t>
  </si>
  <si>
    <t xml:space="preserve">06/05/2023</t>
  </si>
  <si>
    <t xml:space="preserve">R$83.308,16</t>
  </si>
  <si>
    <t xml:space="preserve">R$1.301,28</t>
  </si>
  <si>
    <t xml:space="preserve">R$31.270.621,83</t>
  </si>
  <si>
    <t xml:space="preserve">R$50.572.550,00</t>
  </si>
  <si>
    <t xml:space="preserve">R$40.453.983,22</t>
  </si>
  <si>
    <t xml:space="preserve">09/05/2023</t>
  </si>
  <si>
    <t xml:space="preserve">R$38.151,92</t>
  </si>
  <si>
    <t xml:space="preserve">R$829,27</t>
  </si>
  <si>
    <t xml:space="preserve">R$36.611.889,40</t>
  </si>
  <si>
    <t xml:space="preserve">R$50.290.870,00</t>
  </si>
  <si>
    <t xml:space="preserve">R$41.217.021,47</t>
  </si>
  <si>
    <t xml:space="preserve">11/05/2023</t>
  </si>
  <si>
    <t xml:space="preserve">ITANHANGA/MT</t>
  </si>
  <si>
    <t xml:space="preserve">R$43.295.767,40</t>
  </si>
  <si>
    <t xml:space="preserve">R$31.279,23</t>
  </si>
  <si>
    <t xml:space="preserve">R$679,07</t>
  </si>
  <si>
    <t xml:space="preserve">R$62.932.260,00</t>
  </si>
  <si>
    <t xml:space="preserve">R$42.171.861,20</t>
  </si>
  <si>
    <t xml:space="preserve">13/05/2023</t>
  </si>
  <si>
    <t xml:space="preserve">R$80.203,83</t>
  </si>
  <si>
    <t xml:space="preserve">R$1.070,42</t>
  </si>
  <si>
    <t xml:space="preserve">R$3.841.341,54</t>
  </si>
  <si>
    <t xml:space="preserve">R$36.168.270,00</t>
  </si>
  <si>
    <t xml:space="preserve">R$42.720.624,29</t>
  </si>
  <si>
    <t xml:space="preserve">17/05/2023</t>
  </si>
  <si>
    <t xml:space="preserve">R$22.333,32</t>
  </si>
  <si>
    <t xml:space="preserve">R$495,65</t>
  </si>
  <si>
    <t xml:space="preserve">R$8.407.916,20</t>
  </si>
  <si>
    <t xml:space="preserve">R$42.996.725,00</t>
  </si>
  <si>
    <t xml:space="preserve">R$43.372.992,11</t>
  </si>
  <si>
    <t xml:space="preserve">20/05/2023</t>
  </si>
  <si>
    <t xml:space="preserve">R$42.829,41</t>
  </si>
  <si>
    <t xml:space="preserve">R$1.012,86</t>
  </si>
  <si>
    <t xml:space="preserve">R$31.016.661,57</t>
  </si>
  <si>
    <t xml:space="preserve">R$56.456.635,00</t>
  </si>
  <si>
    <t xml:space="preserve">R$44.229.580,42</t>
  </si>
  <si>
    <t xml:space="preserve">24/05/2023</t>
  </si>
  <si>
    <t xml:space="preserve">R$104.533,47</t>
  </si>
  <si>
    <t xml:space="preserve">R$1.404,75</t>
  </si>
  <si>
    <t xml:space="preserve">R$37.948.880,85</t>
  </si>
  <si>
    <t xml:space="preserve">R$65.270.525,00</t>
  </si>
  <si>
    <t xml:space="preserve">R$45.219.897,47</t>
  </si>
  <si>
    <t xml:space="preserve">27/05/2023</t>
  </si>
  <si>
    <t xml:space="preserve">R$64.445,75</t>
  </si>
  <si>
    <t xml:space="preserve">R$1.432,21</t>
  </si>
  <si>
    <t xml:space="preserve">R$46.377.706,65</t>
  </si>
  <si>
    <t xml:space="preserve">R$79.361.870,00</t>
  </si>
  <si>
    <t xml:space="preserve">R$46.424.015,45</t>
  </si>
  <si>
    <t xml:space="preserve">31/05/2023</t>
  </si>
  <si>
    <t xml:space="preserve">R$52.271,31</t>
  </si>
  <si>
    <t xml:space="preserve">R$1.137,78</t>
  </si>
  <si>
    <t xml:space="preserve">R$55.236.319,16</t>
  </si>
  <si>
    <t xml:space="preserve">R$83.408.540,00</t>
  </si>
  <si>
    <t xml:space="preserve">R$47.689.531,54</t>
  </si>
  <si>
    <t xml:space="preserve">03/06/2023</t>
  </si>
  <si>
    <t xml:space="preserve">RIO GRANDE DA SERRA/SP</t>
  </si>
  <si>
    <t xml:space="preserve">R$66.093.916,13</t>
  </si>
  <si>
    <t xml:space="preserve">R$72.766,96</t>
  </si>
  <si>
    <t xml:space="preserve">R$1.146,07</t>
  </si>
  <si>
    <t xml:space="preserve">R$102.230.040,00</t>
  </si>
  <si>
    <t xml:space="preserve">R$49.240.616,84</t>
  </si>
  <si>
    <t xml:space="preserve">07/06/2023</t>
  </si>
  <si>
    <t xml:space="preserve">R$77.647,70</t>
  </si>
  <si>
    <t xml:space="preserve">R$1.217,52</t>
  </si>
  <si>
    <t xml:space="preserve">R$28.570.966,72</t>
  </si>
  <si>
    <t xml:space="preserve">R$37.709.075,00</t>
  </si>
  <si>
    <t xml:space="preserve">R$49.812.757,78</t>
  </si>
  <si>
    <t xml:space="preserve">10/06/2023</t>
  </si>
  <si>
    <t xml:space="preserve">R$83.945,89</t>
  </si>
  <si>
    <t xml:space="preserve">R$1.352,62</t>
  </si>
  <si>
    <t xml:space="preserve">R$35.375.001,52</t>
  </si>
  <si>
    <t xml:space="preserve">R$64.063.600,00</t>
  </si>
  <si>
    <t xml:space="preserve">R$50.784.762,76</t>
  </si>
  <si>
    <t xml:space="preserve">14/06/2023</t>
  </si>
  <si>
    <t xml:space="preserve">R$74.307,61</t>
  </si>
  <si>
    <t xml:space="preserve">R$1.224,32</t>
  </si>
  <si>
    <t xml:space="preserve">R$42.766.652,67</t>
  </si>
  <si>
    <t xml:space="preserve">R$69.596.320,00</t>
  </si>
  <si>
    <t xml:space="preserve">R$51.840.712,94</t>
  </si>
  <si>
    <t xml:space="preserve">17/06/2023</t>
  </si>
  <si>
    <t xml:space="preserve">R$51.774.681,61</t>
  </si>
  <si>
    <t xml:space="preserve">R$44.054,71</t>
  </si>
  <si>
    <t xml:space="preserve">R$1.111,50</t>
  </si>
  <si>
    <t xml:space="preserve">R$84.815.375,00</t>
  </si>
  <si>
    <t xml:space="preserve">R$53.127.574,22</t>
  </si>
  <si>
    <t xml:space="preserve">21/06/2023</t>
  </si>
  <si>
    <t xml:space="preserve">R$31.200,44</t>
  </si>
  <si>
    <t xml:space="preserve">R$623,52</t>
  </si>
  <si>
    <t xml:space="preserve">R$3.563.418,81</t>
  </si>
  <si>
    <t xml:space="preserve">R$33.551.480,00</t>
  </si>
  <si>
    <t xml:space="preserve">R$53.636.634,06</t>
  </si>
  <si>
    <t xml:space="preserve">24/06/2023</t>
  </si>
  <si>
    <t xml:space="preserve">R$66.381,38</t>
  </si>
  <si>
    <t xml:space="preserve">R$1.106,74</t>
  </si>
  <si>
    <t xml:space="preserve">R$27.955.951,50</t>
  </si>
  <si>
    <t xml:space="preserve">R$43.751.115,00</t>
  </si>
  <si>
    <t xml:space="preserve">R$54.300.447,87</t>
  </si>
  <si>
    <t xml:space="preserve">27/06/2023</t>
  </si>
  <si>
    <t xml:space="preserve">R$59.197,35</t>
  </si>
  <si>
    <t xml:space="preserve">R$996,54</t>
  </si>
  <si>
    <t xml:space="preserve">R$31.881.670,64</t>
  </si>
  <si>
    <t xml:space="preserve">R$36.962.730,00</t>
  </si>
  <si>
    <t xml:space="preserve">R$54.861.264,91</t>
  </si>
  <si>
    <t xml:space="preserve">29/06/2023</t>
  </si>
  <si>
    <t xml:space="preserve">R$26.341,39</t>
  </si>
  <si>
    <t xml:space="preserve">R$908,29</t>
  </si>
  <si>
    <t xml:space="preserve">R$37.073.696,49</t>
  </si>
  <si>
    <t xml:space="preserve">R$48.885.680,00</t>
  </si>
  <si>
    <t xml:space="preserve">R$55.602.982,90</t>
  </si>
  <si>
    <t xml:space="preserve">01/07/2023</t>
  </si>
  <si>
    <t xml:space="preserve">BELEM/PA</t>
  </si>
  <si>
    <t xml:space="preserve">R$44.355.154,71</t>
  </si>
  <si>
    <t xml:space="preserve">R$35.610,73</t>
  </si>
  <si>
    <t xml:space="preserve">R$856,75</t>
  </si>
  <si>
    <t xml:space="preserve">R$68.558.795,00</t>
  </si>
  <si>
    <t xml:space="preserve">R$56.643.191,24</t>
  </si>
  <si>
    <t xml:space="preserve">05/07/2023</t>
  </si>
  <si>
    <t xml:space="preserve">R$18.434,90</t>
  </si>
  <si>
    <t xml:space="preserve">R$404,61</t>
  </si>
  <si>
    <t xml:space="preserve">R$3.837.368,32</t>
  </si>
  <si>
    <t xml:space="preserve">R$36.130.860,00</t>
  </si>
  <si>
    <t xml:space="preserve">R$57.191.386,73</t>
  </si>
  <si>
    <t xml:space="preserve">08/07/2023</t>
  </si>
  <si>
    <t xml:space="preserve">R$61.254,15</t>
  </si>
  <si>
    <t xml:space="preserve">R$989,88</t>
  </si>
  <si>
    <t xml:space="preserve">R$25.745.621,28</t>
  </si>
  <si>
    <t xml:space="preserve">R$53.120.820,00</t>
  </si>
  <si>
    <t xml:space="preserve">R$57.997.362,39</t>
  </si>
  <si>
    <t xml:space="preserve">12/07/2023</t>
  </si>
  <si>
    <t xml:space="preserve">R$38.165,50</t>
  </si>
  <si>
    <t xml:space="preserve">R$757,36</t>
  </si>
  <si>
    <t xml:space="preserve">R$32.565.194,23</t>
  </si>
  <si>
    <t xml:space="preserve">R$64.209.900,00</t>
  </si>
  <si>
    <t xml:space="preserve">R$58.971.587,11</t>
  </si>
  <si>
    <t xml:space="preserve">15/07/2023</t>
  </si>
  <si>
    <t xml:space="preserve">R$25.434,22</t>
  </si>
  <si>
    <t xml:space="preserve">R$702,00</t>
  </si>
  <si>
    <t xml:space="preserve">R$40.904.941,68</t>
  </si>
  <si>
    <t xml:space="preserve">R$78.523.150,00</t>
  </si>
  <si>
    <t xml:space="preserve">R$60.162.979,62</t>
  </si>
  <si>
    <t xml:space="preserve">19/07/2023</t>
  </si>
  <si>
    <t xml:space="preserve">R$90.719,26</t>
  </si>
  <si>
    <t xml:space="preserve">R$1.781,18</t>
  </si>
  <si>
    <t xml:space="preserve">R$49.260.663,27</t>
  </si>
  <si>
    <t xml:space="preserve">R$78.673.555,00</t>
  </si>
  <si>
    <t xml:space="preserve">R$61.356.654,15</t>
  </si>
  <si>
    <t xml:space="preserve">22/07/2023</t>
  </si>
  <si>
    <t xml:space="preserve">R$80.398,82</t>
  </si>
  <si>
    <t xml:space="preserve">R$1.392,42</t>
  </si>
  <si>
    <t xml:space="preserve">R$59.627.878,97</t>
  </si>
  <si>
    <t xml:space="preserve">R$97.612.840,00</t>
  </si>
  <si>
    <t xml:space="preserve">R$62.837.684,98</t>
  </si>
  <si>
    <t xml:space="preserve">25/07/2023</t>
  </si>
  <si>
    <t xml:space="preserve">CANAL ELETRONICO; CONTAGEM/MG</t>
  </si>
  <si>
    <t xml:space="preserve">R$22.746.383,38</t>
  </si>
  <si>
    <t xml:space="preserve">R$18.624,27</t>
  </si>
  <si>
    <t xml:space="preserve">R$549,86</t>
  </si>
  <si>
    <t xml:space="preserve">R$26.710.218,14</t>
  </si>
  <si>
    <t xml:space="preserve">R$81.079.690,00</t>
  </si>
  <si>
    <t xml:space="preserve">R$64.067.866,59</t>
  </si>
  <si>
    <t xml:space="preserve">27/07/2023</t>
  </si>
  <si>
    <t xml:space="preserve">R$37.333,91</t>
  </si>
  <si>
    <t xml:space="preserve">R$762,31</t>
  </si>
  <si>
    <t xml:space="preserve">R$32.349.603,79</t>
  </si>
  <si>
    <t xml:space="preserve">R$53.097.810,00</t>
  </si>
  <si>
    <t xml:space="preserve">R$64.873.493,13</t>
  </si>
  <si>
    <t xml:space="preserve">29/07/2023</t>
  </si>
  <si>
    <t xml:space="preserve">R$39.221,73</t>
  </si>
  <si>
    <t xml:space="preserve">R$846,58</t>
  </si>
  <si>
    <t xml:space="preserve">R$39.791.409,84</t>
  </si>
  <si>
    <t xml:space="preserve">R$70.068.555,00</t>
  </si>
  <si>
    <t xml:space="preserve">R$65.936.608,29</t>
  </si>
  <si>
    <t xml:space="preserve">02/08/2023</t>
  </si>
  <si>
    <t xml:space="preserve">R$56.735,82</t>
  </si>
  <si>
    <t xml:space="preserve">R$1.058,74</t>
  </si>
  <si>
    <t xml:space="preserve">R$48.466.017,86</t>
  </si>
  <si>
    <t xml:space="preserve">R$81.676.040,00</t>
  </si>
  <si>
    <t xml:space="preserve">R$67.175.838,03</t>
  </si>
  <si>
    <t xml:space="preserve">05/08/2023</t>
  </si>
  <si>
    <t xml:space="preserve">R$49.036,67</t>
  </si>
  <si>
    <t xml:space="preserve">R$920,04</t>
  </si>
  <si>
    <t xml:space="preserve">R$59.396.034,00</t>
  </si>
  <si>
    <t xml:space="preserve">R$102.911.905,00</t>
  </si>
  <si>
    <t xml:space="preserve">R$68.737.268,92</t>
  </si>
  <si>
    <t xml:space="preserve">09/08/2023</t>
  </si>
  <si>
    <t xml:space="preserve">R$76.879,44</t>
  </si>
  <si>
    <t xml:space="preserve">R$1.330,95</t>
  </si>
  <si>
    <t xml:space="preserve">R$99.084.383,99</t>
  </si>
  <si>
    <t xml:space="preserve">R$110.674.495,00</t>
  </si>
  <si>
    <t xml:space="preserve">R$70.416.477,70</t>
  </si>
  <si>
    <t xml:space="preserve">12/08/2023</t>
  </si>
  <si>
    <t xml:space="preserve">CANAL ELETRONICO; UBERABA/MG; SINOP/MT</t>
  </si>
  <si>
    <t xml:space="preserve">R$29.058.128,28</t>
  </si>
  <si>
    <t xml:space="preserve">R$23.042,04</t>
  </si>
  <si>
    <t xml:space="preserve">R$613,76</t>
  </si>
  <si>
    <t xml:space="preserve">R$161.458.740,00</t>
  </si>
  <si>
    <t xml:space="preserve">R$72.866.210,44</t>
  </si>
  <si>
    <t xml:space="preserve">16/08/2023</t>
  </si>
  <si>
    <t xml:space="preserve">CANAL ELETRONICO; JUAZEIRO/BA</t>
  </si>
  <si>
    <t xml:space="preserve">R$1.928.029,09</t>
  </si>
  <si>
    <t xml:space="preserve">R$63.432,99</t>
  </si>
  <si>
    <t xml:space="preserve">R$921,54</t>
  </si>
  <si>
    <t xml:space="preserve">R$36.306.835,00</t>
  </si>
  <si>
    <t xml:space="preserve">R$73.417.075,91</t>
  </si>
  <si>
    <t xml:space="preserve">19/08/2023</t>
  </si>
  <si>
    <t xml:space="preserve">SAO FRANCISCO DO CONDE/BA</t>
  </si>
  <si>
    <t xml:space="preserve">R$4.645.727,41</t>
  </si>
  <si>
    <t xml:space="preserve">R$74.175,48</t>
  </si>
  <si>
    <t xml:space="preserve">R$1.053,76</t>
  </si>
  <si>
    <t xml:space="preserve">R$43.741.990,00</t>
  </si>
  <si>
    <t xml:space="preserve">R$74.080.751,27</t>
  </si>
  <si>
    <t xml:space="preserve">22/08/2023</t>
  </si>
  <si>
    <t xml:space="preserve">R$76.049,64</t>
  </si>
  <si>
    <t xml:space="preserve">R$938,95</t>
  </si>
  <si>
    <t xml:space="preserve">R$2.381.554,50</t>
  </si>
  <si>
    <t xml:space="preserve">R$22.423.600,00</t>
  </si>
  <si>
    <t xml:space="preserve">R$74.420.973,34</t>
  </si>
  <si>
    <t xml:space="preserve">24/08/2023</t>
  </si>
  <si>
    <t xml:space="preserve">R$101.127,88</t>
  </si>
  <si>
    <t xml:space="preserve">R$1.764,34</t>
  </si>
  <si>
    <t xml:space="preserve">R$25.158.857,14</t>
  </si>
  <si>
    <t xml:space="preserve">R$29.818.040,00</t>
  </si>
  <si>
    <t xml:space="preserve">R$74.873.387,57</t>
  </si>
  <si>
    <t xml:space="preserve">26/08/2023</t>
  </si>
  <si>
    <t xml:space="preserve">R$66.823,09</t>
  </si>
  <si>
    <t xml:space="preserve">R$1.238,04</t>
  </si>
  <si>
    <t xml:space="preserve">R$30.944.329,62</t>
  </si>
  <si>
    <t xml:space="preserve">R$54.473.295,00</t>
  </si>
  <si>
    <t xml:space="preserve">R$75.699.883,65</t>
  </si>
  <si>
    <t xml:space="preserve">29/08/2023</t>
  </si>
  <si>
    <t xml:space="preserve">R$48.782,47</t>
  </si>
  <si>
    <t xml:space="preserve">R$1.035,89</t>
  </si>
  <si>
    <t xml:space="preserve">R$35.527.314,40</t>
  </si>
  <si>
    <t xml:space="preserve">R$43.151.235,00</t>
  </si>
  <si>
    <t xml:space="preserve">R$76.354.595,77</t>
  </si>
  <si>
    <t xml:space="preserve">31/08/2023</t>
  </si>
  <si>
    <t xml:space="preserve">R$55.477,63</t>
  </si>
  <si>
    <t xml:space="preserve">R$946,11</t>
  </si>
  <si>
    <t xml:space="preserve">R$41.250.269,42</t>
  </si>
  <si>
    <t xml:space="preserve">R$53.884.660,00</t>
  </si>
  <si>
    <t xml:space="preserve">R$77.172.160,78</t>
  </si>
  <si>
    <t xml:space="preserve">02/09/2023</t>
  </si>
  <si>
    <t xml:space="preserve">R$63.338,93</t>
  </si>
  <si>
    <t xml:space="preserve">R$1.153,81</t>
  </si>
  <si>
    <t xml:space="preserve">R$48.717.595,54</t>
  </si>
  <si>
    <t xml:space="preserve">R$70.308.840,00</t>
  </si>
  <si>
    <t xml:space="preserve">R$78.238.921,67</t>
  </si>
  <si>
    <t xml:space="preserve">05/09/2023</t>
  </si>
  <si>
    <t xml:space="preserve">R$66.934,91</t>
  </si>
  <si>
    <t xml:space="preserve">R$1.471,55</t>
  </si>
  <si>
    <t xml:space="preserve">R$73.365.376,52</t>
  </si>
  <si>
    <t xml:space="preserve">R$56.886.340,00</t>
  </si>
  <si>
    <t xml:space="preserve">R$79.102.029,68</t>
  </si>
  <si>
    <t xml:space="preserve">09/09/2023</t>
  </si>
  <si>
    <t xml:space="preserve">SANTA LUZIA/MG</t>
  </si>
  <si>
    <t xml:space="preserve">R$84.729.015,05</t>
  </si>
  <si>
    <t xml:space="preserve">R$24.675,33</t>
  </si>
  <si>
    <t xml:space="preserve">R$921,34</t>
  </si>
  <si>
    <t xml:space="preserve">R$106.994.690,00</t>
  </si>
  <si>
    <t xml:space="preserve">R$80.725.406,63</t>
  </si>
  <si>
    <t xml:space="preserve">12/09/2023</t>
  </si>
  <si>
    <t xml:space="preserve">R$80.043,54</t>
  </si>
  <si>
    <t xml:space="preserve">R$1.458,30</t>
  </si>
  <si>
    <t xml:space="preserve">R$2.506.626,57</t>
  </si>
  <si>
    <t xml:space="preserve">R$23.601.220,00</t>
  </si>
  <si>
    <t xml:space="preserve">R$81.083.496,15</t>
  </si>
  <si>
    <t xml:space="preserve">14/09/2023</t>
  </si>
  <si>
    <t xml:space="preserve">R$33.801,98</t>
  </si>
  <si>
    <t xml:space="preserve">R$796,23</t>
  </si>
  <si>
    <t xml:space="preserve">R$5.495.433,60</t>
  </si>
  <si>
    <t xml:space="preserve">R$28.141.205,00</t>
  </si>
  <si>
    <t xml:space="preserve">R$81.510.468,60</t>
  </si>
  <si>
    <t xml:space="preserve">16/09/2023</t>
  </si>
  <si>
    <t xml:space="preserve">R$48.974,35</t>
  </si>
  <si>
    <t xml:space="preserve">R$799,67</t>
  </si>
  <si>
    <t xml:space="preserve">R$9.735.581,10</t>
  </si>
  <si>
    <t xml:space="preserve">R$39.923.240,00</t>
  </si>
  <si>
    <t xml:space="preserve">R$82.116.203,98</t>
  </si>
  <si>
    <t xml:space="preserve">19/09/2023</t>
  </si>
  <si>
    <t xml:space="preserve">R$57.373,12</t>
  </si>
  <si>
    <t xml:space="preserve">R$928,58</t>
  </si>
  <si>
    <t xml:space="preserve">R$28.850.006,34</t>
  </si>
  <si>
    <t xml:space="preserve">R$33.833.480,00</t>
  </si>
  <si>
    <t xml:space="preserve">R$82.629.542,46</t>
  </si>
  <si>
    <t xml:space="preserve">21/09/2023</t>
  </si>
  <si>
    <t xml:space="preserve">R$45.524,71</t>
  </si>
  <si>
    <t xml:space="preserve">R$1.039,99</t>
  </si>
  <si>
    <t xml:space="preserve">R$33.713.961,47</t>
  </si>
  <si>
    <t xml:space="preserve">R$45.796.720,00</t>
  </si>
  <si>
    <t xml:space="preserve">R$83.324.393,21</t>
  </si>
  <si>
    <t xml:space="preserve">23/09/2023</t>
  </si>
  <si>
    <t xml:space="preserve">LUCAS DO RIO VERDE/MT</t>
  </si>
  <si>
    <t xml:space="preserve">R$40.435.445,43</t>
  </si>
  <si>
    <t xml:space="preserve">R$74.465,42</t>
  </si>
  <si>
    <t xml:space="preserve">R$1.133,90</t>
  </si>
  <si>
    <t xml:space="preserve">R$63.286.340,00</t>
  </si>
  <si>
    <t xml:space="preserve">R$84.284.605,21</t>
  </si>
  <si>
    <t xml:space="preserve">26/09/2023</t>
  </si>
  <si>
    <t xml:space="preserve">R$35.309,01</t>
  </si>
  <si>
    <t xml:space="preserve">R$583,51</t>
  </si>
  <si>
    <t xml:space="preserve">R$2.341.544,54</t>
  </si>
  <si>
    <t xml:space="preserve">R$22.046.885,00</t>
  </si>
  <si>
    <t xml:space="preserve">R$84.619.111,58</t>
  </si>
  <si>
    <t xml:space="preserve">28/09/2023</t>
  </si>
  <si>
    <t xml:space="preserve">R$105.633,81</t>
  </si>
  <si>
    <t xml:space="preserve">R$1.716,13</t>
  </si>
  <si>
    <t xml:space="preserve">R$5.260.373,56</t>
  </si>
  <si>
    <t xml:space="preserve">R$27.482.325,00</t>
  </si>
  <si>
    <t xml:space="preserve">R$85.036.087,18</t>
  </si>
  <si>
    <t xml:space="preserve">30/09/2023</t>
  </si>
  <si>
    <t xml:space="preserve">R$28.116,34</t>
  </si>
  <si>
    <t xml:space="preserve">R$521,87</t>
  </si>
  <si>
    <t xml:space="preserve">R$23.103.185,31</t>
  </si>
  <si>
    <t xml:space="preserve">R$41.938.845,00</t>
  </si>
  <si>
    <t xml:space="preserve">R$85.672.404,32</t>
  </si>
  <si>
    <t xml:space="preserve">03/10/2023</t>
  </si>
  <si>
    <t xml:space="preserve">R$21.983,71</t>
  </si>
  <si>
    <t xml:space="preserve">R$530,47</t>
  </si>
  <si>
    <t xml:space="preserve">R$27.517.283,71</t>
  </si>
  <si>
    <t xml:space="preserve">R$41.561.080,00</t>
  </si>
  <si>
    <t xml:space="preserve">R$86.302.989,82</t>
  </si>
  <si>
    <t xml:space="preserve">05/10/2023</t>
  </si>
  <si>
    <t xml:space="preserve">R$32.744.242,80</t>
  </si>
  <si>
    <t xml:space="preserve">R$88.671,63</t>
  </si>
  <si>
    <t xml:space="preserve">R$1.465,49</t>
  </si>
  <si>
    <t xml:space="preserve">R$49.214.595,00</t>
  </si>
  <si>
    <t xml:space="preserve">R$87.049.698,28</t>
  </si>
  <si>
    <t xml:space="preserve">07/10/2023</t>
  </si>
  <si>
    <t xml:space="preserve">R$36.721,15</t>
  </si>
  <si>
    <t xml:space="preserve">R$928,62</t>
  </si>
  <si>
    <t xml:space="preserve">R$3.720.432,27</t>
  </si>
  <si>
    <t xml:space="preserve">R$35.029.845,00</t>
  </si>
  <si>
    <t xml:space="preserve">R$87.581.188,61</t>
  </si>
  <si>
    <t xml:space="preserve">10/10/2023</t>
  </si>
  <si>
    <t xml:space="preserve">R$44.282,29</t>
  </si>
  <si>
    <t xml:space="preserve">R$1.004,13</t>
  </si>
  <si>
    <t xml:space="preserve">R$6.901.765,34</t>
  </si>
  <si>
    <t xml:space="preserve">R$29.953.940,00</t>
  </si>
  <si>
    <t xml:space="preserve">R$88.035.664,78</t>
  </si>
  <si>
    <t xml:space="preserve">14/10/2023</t>
  </si>
  <si>
    <t xml:space="preserve">R$37.626,65</t>
  </si>
  <si>
    <t xml:space="preserve">R$659,40</t>
  </si>
  <si>
    <t xml:space="preserve">R$27.346.426,59</t>
  </si>
  <si>
    <t xml:space="preserve">R$58.082.435,00</t>
  </si>
  <si>
    <t xml:space="preserve">R$88.916.920,55</t>
  </si>
  <si>
    <t xml:space="preserve">17/10/2023</t>
  </si>
  <si>
    <t xml:space="preserve">R$48.487,58</t>
  </si>
  <si>
    <t xml:space="preserve">R$1.068,35</t>
  </si>
  <si>
    <t xml:space="preserve">R$32.258.984,41</t>
  </si>
  <si>
    <t xml:space="preserve">R$46.254.340,00</t>
  </si>
  <si>
    <t xml:space="preserve">R$89.618.714,54</t>
  </si>
  <si>
    <t xml:space="preserve">19/10/2023</t>
  </si>
  <si>
    <t xml:space="preserve">R$100.459,57</t>
  </si>
  <si>
    <t xml:space="preserve">R$1.591,64</t>
  </si>
  <si>
    <t xml:space="preserve">R$37.810.697,36</t>
  </si>
  <si>
    <t xml:space="preserve">R$52.272.325,00</t>
  </si>
  <si>
    <t xml:space="preserve">R$90.411.816,41</t>
  </si>
  <si>
    <t xml:space="preserve">21/10/2023</t>
  </si>
  <si>
    <t xml:space="preserve">R$84.014,29</t>
  </si>
  <si>
    <t xml:space="preserve">R$1.459,02</t>
  </si>
  <si>
    <t xml:space="preserve">R$44.929.803,07</t>
  </si>
  <si>
    <t xml:space="preserve">R$67.030.160,00</t>
  </si>
  <si>
    <t xml:space="preserve">R$91.428.831,53</t>
  </si>
  <si>
    <t xml:space="preserve">24/10/2023</t>
  </si>
  <si>
    <t xml:space="preserve">R$90.552,96</t>
  </si>
  <si>
    <t xml:space="preserve">R$1.771,43</t>
  </si>
  <si>
    <t xml:space="preserve">R$51.268.509,88</t>
  </si>
  <si>
    <t xml:space="preserve">R$59.682.290,00</t>
  </si>
  <si>
    <t xml:space="preserve">R$92.334.361,10</t>
  </si>
  <si>
    <t xml:space="preserve">26/10/2023</t>
  </si>
  <si>
    <t xml:space="preserve">R$52.779,21</t>
  </si>
  <si>
    <t xml:space="preserve">R$936,78</t>
  </si>
  <si>
    <t xml:space="preserve">R$78.338.906,99</t>
  </si>
  <si>
    <t xml:space="preserve">R$69.572.195,00</t>
  </si>
  <si>
    <t xml:space="preserve">R$93.389.945,23</t>
  </si>
  <si>
    <t xml:space="preserve">28/10/2023</t>
  </si>
  <si>
    <t xml:space="preserve">R$44.304,85</t>
  </si>
  <si>
    <t xml:space="preserve">R$1.137,99</t>
  </si>
  <si>
    <t xml:space="preserve">R$89.438.435,62</t>
  </si>
  <si>
    <t xml:space="preserve">R$104.507.955,00</t>
  </si>
  <si>
    <t xml:space="preserve">R$94.975.592,19</t>
  </si>
  <si>
    <t xml:space="preserve">01/11/2023</t>
  </si>
  <si>
    <t xml:space="preserve">GOIANIA/GO</t>
  </si>
  <si>
    <t xml:space="preserve">R$104.876.676,04</t>
  </si>
  <si>
    <t xml:space="preserve">R$44.109,26</t>
  </si>
  <si>
    <t xml:space="preserve">R$985,63</t>
  </si>
  <si>
    <t xml:space="preserve">R$145.359.230,00</t>
  </si>
  <si>
    <t xml:space="preserve">R$97.181.055,12</t>
  </si>
  <si>
    <t xml:space="preserve">04/11/2023</t>
  </si>
  <si>
    <t xml:space="preserve">R$28.805,98</t>
  </si>
  <si>
    <t xml:space="preserve">R$764,85</t>
  </si>
  <si>
    <t xml:space="preserve">R$4.032.837,37</t>
  </si>
  <si>
    <t xml:space="preserve">R$37.971.305,00</t>
  </si>
  <si>
    <t xml:space="preserve">R$97.757.174,76</t>
  </si>
  <si>
    <t xml:space="preserve">07/11/2023</t>
  </si>
  <si>
    <t xml:space="preserve">R$63.674,08</t>
  </si>
  <si>
    <t xml:space="preserve">R$1.435,03</t>
  </si>
  <si>
    <t xml:space="preserve">R$7.668.962,65</t>
  </si>
  <si>
    <t xml:space="preserve">R$34.236.050,00</t>
  </si>
  <si>
    <t xml:space="preserve">R$98.276.621,25</t>
  </si>
  <si>
    <t xml:space="preserve">09/11/2023</t>
  </si>
  <si>
    <t xml:space="preserve">FLORIANOPOLIS/SC</t>
  </si>
  <si>
    <t xml:space="preserve">R$11.906.870,24</t>
  </si>
  <si>
    <t xml:space="preserve">R$34.857,25</t>
  </si>
  <si>
    <t xml:space="preserve">R$800,81</t>
  </si>
  <si>
    <t xml:space="preserve">R$24.165.201,83</t>
  </si>
  <si>
    <t xml:space="preserve">R$39.902.150,00</t>
  </si>
  <si>
    <t xml:space="preserve">R$98.882.036,64</t>
  </si>
  <si>
    <t xml:space="preserve">11/11/2023</t>
  </si>
  <si>
    <t xml:space="preserve">R$57.391,95</t>
  </si>
  <si>
    <t xml:space="preserve">R$1.195,53</t>
  </si>
  <si>
    <t xml:space="preserve">R$30.191.355,90</t>
  </si>
  <si>
    <t xml:space="preserve">R$56.739.440,00</t>
  </si>
  <si>
    <t xml:space="preserve">R$99.742.915,80</t>
  </si>
  <si>
    <t xml:space="preserve">14/11/2023</t>
  </si>
  <si>
    <t xml:space="preserve">R$47.313,97</t>
  </si>
  <si>
    <t xml:space="preserve">R$1.062,00</t>
  </si>
  <si>
    <t xml:space="preserve">R$35.595.109,06</t>
  </si>
  <si>
    <t xml:space="preserve">R$50.879.205,00</t>
  </si>
  <si>
    <t xml:space="preserve">R$100.514.880,56</t>
  </si>
  <si>
    <t xml:space="preserve">18/11/2023</t>
  </si>
  <si>
    <t xml:space="preserve">R$62.551,38</t>
  </si>
  <si>
    <t xml:space="preserve">R$941,40</t>
  </si>
  <si>
    <t xml:space="preserve">R$44.352.302,43</t>
  </si>
  <si>
    <t xml:space="preserve">R$82.453.625,00</t>
  </si>
  <si>
    <t xml:space="preserve">R$101.765.908,19</t>
  </si>
  <si>
    <t xml:space="preserve">21/11/2023</t>
  </si>
  <si>
    <t xml:space="preserve">ARACRUZ/ES</t>
  </si>
  <si>
    <t xml:space="preserve">R$50.248.574,29</t>
  </si>
  <si>
    <t xml:space="preserve">R$41.036,33</t>
  </si>
  <si>
    <t xml:space="preserve">R$962,65</t>
  </si>
  <si>
    <t xml:space="preserve">R$55.516.530,00</t>
  </si>
  <si>
    <t xml:space="preserve">R$102.608.232,75</t>
  </si>
  <si>
    <t xml:space="preserve">23/11/2023</t>
  </si>
  <si>
    <t xml:space="preserve">R$64.043,99</t>
  </si>
  <si>
    <t xml:space="preserve">R$1.629,97</t>
  </si>
  <si>
    <t xml:space="preserve">R$20.814.298,17</t>
  </si>
  <si>
    <t xml:space="preserve">R$25.548.505,00</t>
  </si>
  <si>
    <t xml:space="preserve">R$102.995.867,45</t>
  </si>
  <si>
    <t xml:space="preserve">25/11/2023</t>
  </si>
  <si>
    <t xml:space="preserve">R$49.487,39</t>
  </si>
  <si>
    <t xml:space="preserve">R$920,86</t>
  </si>
  <si>
    <t xml:space="preserve">R$26.010.474,08</t>
  </si>
  <si>
    <t xml:space="preserve">R$48.924.755,00</t>
  </si>
  <si>
    <t xml:space="preserve">R$103.738.178,31</t>
  </si>
  <si>
    <t xml:space="preserve">28/11/2023</t>
  </si>
  <si>
    <t xml:space="preserve">R$91.906,90</t>
  </si>
  <si>
    <t xml:space="preserve">R$1.445,07</t>
  </si>
  <si>
    <t xml:space="preserve">R$30.750.935,39</t>
  </si>
  <si>
    <t xml:space="preserve">R$44.633.960,00</t>
  </si>
  <si>
    <t xml:space="preserve">R$104.415.387,08</t>
  </si>
  <si>
    <t xml:space="preserve">30/11/2023</t>
  </si>
  <si>
    <t xml:space="preserve">R$35.852.142,15</t>
  </si>
  <si>
    <t xml:space="preserve">R$69.230,66</t>
  </si>
  <si>
    <t xml:space="preserve">R$1.317,36</t>
  </si>
  <si>
    <t xml:space="preserve">R$48.030.570,00</t>
  </si>
  <si>
    <t xml:space="preserve">R$105.144.130,92</t>
  </si>
  <si>
    <t xml:space="preserve">02/12/2023</t>
  </si>
  <si>
    <t xml:space="preserve">R$47.216,63</t>
  </si>
  <si>
    <t xml:space="preserve">R$1.024,96</t>
  </si>
  <si>
    <t xml:space="preserve">R$3.653.076,00</t>
  </si>
  <si>
    <t xml:space="preserve">R$34.395.650,00</t>
  </si>
  <si>
    <t xml:space="preserve">R$105.665.998,93</t>
  </si>
  <si>
    <t xml:space="preserve">05/12/2023</t>
  </si>
  <si>
    <t xml:space="preserve">R$73.841,14</t>
  </si>
  <si>
    <t xml:space="preserve">R$1.408,06</t>
  </si>
  <si>
    <t xml:space="preserve">R$20.718.216,36</t>
  </si>
  <si>
    <t xml:space="preserve">R$30.737.525,00</t>
  </si>
  <si>
    <t xml:space="preserve">R$106.132.364,05</t>
  </si>
  <si>
    <t xml:space="preserve">07/12/2023</t>
  </si>
  <si>
    <t xml:space="preserve">R$43.607,57</t>
  </si>
  <si>
    <t xml:space="preserve">R$894,51</t>
  </si>
  <si>
    <t xml:space="preserve">R$25.216.681,21</t>
  </si>
  <si>
    <t xml:space="preserve">R$42.355.435,00</t>
  </si>
  <si>
    <t xml:space="preserve">R$106.775.001,90</t>
  </si>
  <si>
    <t xml:space="preserve">09/12/2023</t>
  </si>
  <si>
    <t xml:space="preserve">MARIANA/MG</t>
  </si>
  <si>
    <t xml:space="preserve">R$30.781.665,32</t>
  </si>
  <si>
    <t xml:space="preserve">R$43.157,02</t>
  </si>
  <si>
    <t xml:space="preserve">R$968,73</t>
  </si>
  <si>
    <t xml:space="preserve">R$52.397.280,00</t>
  </si>
  <si>
    <t xml:space="preserve">R$107.569.999,65</t>
  </si>
  <si>
    <t xml:space="preserve">12/12/2023</t>
  </si>
  <si>
    <t xml:space="preserve">R$23.963,56</t>
  </si>
  <si>
    <t xml:space="preserve">R$1.109,81</t>
  </si>
  <si>
    <t xml:space="preserve">R$2.869.320,94</t>
  </si>
  <si>
    <t xml:space="preserve">R$27.016.180,00</t>
  </si>
  <si>
    <t xml:space="preserve">R$107.979.902,65</t>
  </si>
  <si>
    <t xml:space="preserve">14/12/2023</t>
  </si>
  <si>
    <t xml:space="preserve">R$110.323,58</t>
  </si>
  <si>
    <t xml:space="preserve">R$1.929,36</t>
  </si>
  <si>
    <t xml:space="preserve">R$6.120.963,38</t>
  </si>
  <si>
    <t xml:space="preserve">R$30.615.940,00</t>
  </si>
  <si>
    <t xml:space="preserve">R$108.444.423,02</t>
  </si>
  <si>
    <t xml:space="preserve">16/12/2023</t>
  </si>
  <si>
    <t xml:space="preserve">R$36.773,28</t>
  </si>
  <si>
    <t xml:space="preserve">R$1.013,60</t>
  </si>
  <si>
    <t xml:space="preserve">R$132.418.255,11</t>
  </si>
  <si>
    <t xml:space="preserve">R$40.819.870,00</t>
  </si>
  <si>
    <t xml:space="preserve">R$570.000.000,00</t>
  </si>
  <si>
    <t xml:space="preserve">31/12/2023</t>
  </si>
  <si>
    <t xml:space="preserve">CANAL ELETRONICO; SALVADOR/BA; BOM DESPACHO/MG; REDENCAO/PA; IPIRA/SC</t>
  </si>
  <si>
    <t xml:space="preserve">R$117.778.204,25</t>
  </si>
  <si>
    <t xml:space="preserve">R$70.083,58</t>
  </si>
  <si>
    <t xml:space="preserve">R$1.215,71</t>
  </si>
  <si>
    <t xml:space="preserve">R$2.426.252.750,00</t>
  </si>
  <si>
    <t xml:space="preserve">04/01/2024</t>
  </si>
  <si>
    <t xml:space="preserve">R$98.282,79</t>
  </si>
  <si>
    <t xml:space="preserve">R$1.516,85</t>
  </si>
  <si>
    <t xml:space="preserve">R$2.896.755,93</t>
  </si>
  <si>
    <t xml:space="preserve">R$27.274.495,00</t>
  </si>
  <si>
    <t xml:space="preserve">R$413.822,29</t>
  </si>
  <si>
    <t xml:space="preserve">06/01/2024</t>
  </si>
  <si>
    <t xml:space="preserve">R$6.480.136,97</t>
  </si>
  <si>
    <t xml:space="preserve">R$88.421,09</t>
  </si>
  <si>
    <t xml:space="preserve">R$1.151,65</t>
  </si>
  <si>
    <t xml:space="preserve">R$33.739.435,00</t>
  </si>
  <si>
    <t xml:space="preserve">R$925.733,88</t>
  </si>
  <si>
    <t xml:space="preserve">09/01/2024</t>
  </si>
  <si>
    <t xml:space="preserve">R$67.909,40</t>
  </si>
  <si>
    <t xml:space="preserve">R$1.191,50</t>
  </si>
  <si>
    <t xml:space="preserve">R$2.376.828,79</t>
  </si>
  <si>
    <t xml:space="preserve">R$22.379.105,00</t>
  </si>
  <si>
    <t xml:space="preserve">R$1.265.280,85</t>
  </si>
  <si>
    <t xml:space="preserve">11/01/2024</t>
  </si>
  <si>
    <t xml:space="preserve">R$30.629,56</t>
  </si>
  <si>
    <t xml:space="preserve">R$823,05</t>
  </si>
  <si>
    <t xml:space="preserve">R$12.446.609,84</t>
  </si>
  <si>
    <t xml:space="preserve">R$26.031.315,00</t>
  </si>
  <si>
    <t xml:space="preserve">R$1.660.241,00</t>
  </si>
  <si>
    <t xml:space="preserve">13/01/2024</t>
  </si>
  <si>
    <t xml:space="preserve">R$125.186,63</t>
  </si>
  <si>
    <t xml:space="preserve">R$1.581,90</t>
  </si>
  <si>
    <t xml:space="preserve">R$16.828.141,84</t>
  </si>
  <si>
    <t xml:space="preserve">R$41.254.450,00</t>
  </si>
  <si>
    <t xml:space="preserve">R$2.286.174,15</t>
  </si>
  <si>
    <t xml:space="preserve">16/01/2024</t>
  </si>
  <si>
    <t xml:space="preserve">R$30.526,54</t>
  </si>
  <si>
    <t xml:space="preserve">R$654,51</t>
  </si>
  <si>
    <t xml:space="preserve">R$20.764.458,36</t>
  </si>
  <si>
    <t xml:space="preserve">R$37.062.510,00</t>
  </si>
  <si>
    <t xml:space="preserve">R$2.848.505,10</t>
  </si>
  <si>
    <t xml:space="preserve">18/01/2024</t>
  </si>
  <si>
    <t xml:space="preserve">R$52.422,61</t>
  </si>
  <si>
    <t xml:space="preserve">R$909,50</t>
  </si>
  <si>
    <t xml:space="preserve">R$25.303.152,50</t>
  </si>
  <si>
    <t xml:space="preserve">R$42.734.215,00</t>
  </si>
  <si>
    <t xml:space="preserve">R$3.496.890,00</t>
  </si>
  <si>
    <t xml:space="preserve">20/01/2024</t>
  </si>
  <si>
    <t xml:space="preserve">R$41.657,90</t>
  </si>
  <si>
    <t xml:space="preserve">R$829,12</t>
  </si>
  <si>
    <t xml:space="preserve">R$31.135.258,03</t>
  </si>
  <si>
    <t xml:space="preserve">R$54.912.370,00</t>
  </si>
  <si>
    <t xml:space="preserve">R$4.330.047,94</t>
  </si>
  <si>
    <t xml:space="preserve">23/01/2024</t>
  </si>
  <si>
    <t xml:space="preserve">R$56.509,22</t>
  </si>
  <si>
    <t xml:space="preserve">R$1.174,04</t>
  </si>
  <si>
    <t xml:space="preserve">R$51.358.790,77</t>
  </si>
  <si>
    <t xml:space="preserve">R$49.005.920,00</t>
  </si>
  <si>
    <t xml:space="preserve">R$5.073.590,27</t>
  </si>
  <si>
    <t xml:space="preserve">25/01/2024</t>
  </si>
  <si>
    <t xml:space="preserve">R$49.683,45</t>
  </si>
  <si>
    <t xml:space="preserve">R$1.044,64</t>
  </si>
  <si>
    <t xml:space="preserve">R$57.765.340,28</t>
  </si>
  <si>
    <t xml:space="preserve">R$60.321.065,00</t>
  </si>
  <si>
    <t xml:space="preserve">R$5.988.811,64</t>
  </si>
  <si>
    <t xml:space="preserve">27/01/2024</t>
  </si>
  <si>
    <t xml:space="preserve">R$61.715,90</t>
  </si>
  <si>
    <t xml:space="preserve">R$1.099,80</t>
  </si>
  <si>
    <t xml:space="preserve">R$66.064.504,78</t>
  </si>
  <si>
    <t xml:space="preserve">R$78.141.040,00</t>
  </si>
  <si>
    <t xml:space="preserve">R$76.000.000,00</t>
  </si>
  <si>
    <t xml:space="preserve">R$7.174.406,59</t>
  </si>
  <si>
    <t xml:space="preserve">30/01/2024</t>
  </si>
  <si>
    <t xml:space="preserve">R$53.385,65</t>
  </si>
  <si>
    <t xml:space="preserve">R$1.065,29</t>
  </si>
  <si>
    <t xml:space="preserve">R$74.226.889,43</t>
  </si>
  <si>
    <t xml:space="preserve">R$76.853.185,00</t>
  </si>
  <si>
    <t xml:space="preserve">R$83.000.000,00</t>
  </si>
  <si>
    <t xml:space="preserve">R$8.340.461,55</t>
  </si>
  <si>
    <t xml:space="preserve">01/02/2024</t>
  </si>
  <si>
    <t xml:space="preserve">R$40.113,14</t>
  </si>
  <si>
    <t xml:space="preserve">R$858,18</t>
  </si>
  <si>
    <t xml:space="preserve">R$83.389.575,60</t>
  </si>
  <si>
    <t xml:space="preserve">R$86.271.555,00</t>
  </si>
  <si>
    <t xml:space="preserve">R$9.649.416,73</t>
  </si>
  <si>
    <t xml:space="preserve">03/02/2024</t>
  </si>
  <si>
    <t xml:space="preserve">R$94.839.718,02</t>
  </si>
  <si>
    <t xml:space="preserve">R$57.025,61</t>
  </si>
  <si>
    <t xml:space="preserve">R$1.071,39</t>
  </si>
  <si>
    <t xml:space="preserve">R$27.330.868,55</t>
  </si>
  <si>
    <t xml:space="preserve">R$107.809.170,00</t>
  </si>
  <si>
    <t xml:space="preserve">R$11.285.151,38</t>
  </si>
  <si>
    <t xml:space="preserve">06/02/2024</t>
  </si>
  <si>
    <t xml:space="preserve">R$92.155,98</t>
  </si>
  <si>
    <t xml:space="preserve">R$1.343,87</t>
  </si>
  <si>
    <t xml:space="preserve">R$32.084.176,71</t>
  </si>
  <si>
    <t xml:space="preserve">R$44.754.920,00</t>
  </si>
  <si>
    <t xml:space="preserve">R$11.964.195,42</t>
  </si>
  <si>
    <t xml:space="preserve">08/02/2024</t>
  </si>
  <si>
    <t xml:space="preserve">R$52.029,49</t>
  </si>
  <si>
    <t xml:space="preserve">R$1.260,93</t>
  </si>
  <si>
    <t xml:space="preserve">R$37.451.429,01</t>
  </si>
  <si>
    <t xml:space="preserve">R$50.535.530,00</t>
  </si>
  <si>
    <t xml:space="preserve">R$12.730.945,76</t>
  </si>
  <si>
    <t xml:space="preserve">10/02/2024</t>
  </si>
  <si>
    <t xml:space="preserve">R$74.293,74</t>
  </si>
  <si>
    <t xml:space="preserve">R$1.270,15</t>
  </si>
  <si>
    <t xml:space="preserve">R$44.294.273,62</t>
  </si>
  <si>
    <t xml:space="preserve">R$64.429.015,00</t>
  </si>
  <si>
    <t xml:space="preserve">R$13.708.494,99</t>
  </si>
  <si>
    <t xml:space="preserve">15/02/2024</t>
  </si>
  <si>
    <t xml:space="preserve">R$34.625,31</t>
  </si>
  <si>
    <t xml:space="preserve">R$794,96</t>
  </si>
  <si>
    <t xml:space="preserve">R$51.182.887,82</t>
  </si>
  <si>
    <t xml:space="preserve">R$64.859.960,00</t>
  </si>
  <si>
    <t xml:space="preserve">R$14.692.582,75</t>
  </si>
  <si>
    <t xml:space="preserve">17/02/2024</t>
  </si>
  <si>
    <t xml:space="preserve">R$65.325,01</t>
  </si>
  <si>
    <t xml:space="preserve">R$1.231,40</t>
  </si>
  <si>
    <t xml:space="preserve">R$78.913.962,98</t>
  </si>
  <si>
    <t xml:space="preserve">R$73.646.500,00</t>
  </si>
  <si>
    <t xml:space="preserve">R$87.000.000,00</t>
  </si>
  <si>
    <t xml:space="preserve">R$15.809.984,28</t>
  </si>
  <si>
    <t xml:space="preserve">20/02/2024</t>
  </si>
  <si>
    <t xml:space="preserve">R$63.167,59</t>
  </si>
  <si>
    <t xml:space="preserve">R$924,47</t>
  </si>
  <si>
    <t xml:space="preserve">R$86.710.173,90</t>
  </si>
  <si>
    <t xml:space="preserve">R$73.405.465,00</t>
  </si>
  <si>
    <t xml:space="preserve">R$16.923.728,71</t>
  </si>
  <si>
    <t xml:space="preserve">22/02/2024</t>
  </si>
  <si>
    <t xml:space="preserve">R$65.378,35</t>
  </si>
  <si>
    <t xml:space="preserve">R$1.094,28</t>
  </si>
  <si>
    <t xml:space="preserve">R$95.983.576,61</t>
  </si>
  <si>
    <t xml:space="preserve">R$87.314.010,00</t>
  </si>
  <si>
    <t xml:space="preserve">R$18.248.500,53</t>
  </si>
  <si>
    <t xml:space="preserve">24/02/2024</t>
  </si>
  <si>
    <t xml:space="preserve">R$44.288,17</t>
  </si>
  <si>
    <t xml:space="preserve">R$660,45</t>
  </si>
  <si>
    <t xml:space="preserve">R$108.384.264,47</t>
  </si>
  <si>
    <t xml:space="preserve">R$116.759.060,00</t>
  </si>
  <si>
    <t xml:space="preserve">R$20.020.027,39</t>
  </si>
  <si>
    <t xml:space="preserve">27/02/2024</t>
  </si>
  <si>
    <t xml:space="preserve">R$55.729,62</t>
  </si>
  <si>
    <t xml:space="preserve">R$1.332,97</t>
  </si>
  <si>
    <t xml:space="preserve">R$120.395.462,35</t>
  </si>
  <si>
    <t xml:space="preserve">R$113.091.805,00</t>
  </si>
  <si>
    <t xml:space="preserve">R$21.735.912,81</t>
  </si>
  <si>
    <t xml:space="preserve">29/02/2024</t>
  </si>
  <si>
    <t xml:space="preserve">R$45.680,09</t>
  </si>
  <si>
    <t xml:space="preserve">R$983,74</t>
  </si>
  <si>
    <t xml:space="preserve">R$167.299.669,74</t>
  </si>
  <si>
    <t xml:space="preserve">R$120.428.650,00</t>
  </si>
  <si>
    <t xml:space="preserve">R$185.000.000,00</t>
  </si>
  <si>
    <t xml:space="preserve">R$23.563.116,53</t>
  </si>
  <si>
    <t xml:space="preserve">02/03/2024</t>
  </si>
  <si>
    <t xml:space="preserve">R$40.004,66</t>
  </si>
  <si>
    <t xml:space="preserve">R$185.649.175,09</t>
  </si>
  <si>
    <t xml:space="preserve">R$172.770.335,00</t>
  </si>
  <si>
    <t xml:space="preserve">R$205.000.000,00</t>
  </si>
  <si>
    <t xml:space="preserve">R$26.184.474,45</t>
  </si>
  <si>
    <t xml:space="preserve">As Loterias CAIXA informam que os sorteios desta terça-feira estão com atraso por questões operacionais. Acompanhe a transmissão pelo perfil das Loterias CAIXA no Facebook e no canal da CAIXA no YouTube.</t>
  </si>
  <si>
    <t xml:space="preserve">05/03/2024</t>
  </si>
  <si>
    <t xml:space="preserve">R$206.475.189,75</t>
  </si>
  <si>
    <t xml:space="preserve">R$39.392,16</t>
  </si>
  <si>
    <t xml:space="preserve">R$968,91</t>
  </si>
  <si>
    <t xml:space="preserve">R$196.087.985,00</t>
  </si>
  <si>
    <t xml:space="preserve">R$29.159.619,41</t>
  </si>
  <si>
    <t xml:space="preserve">07/03/2024</t>
  </si>
  <si>
    <t xml:space="preserve">R$18.712,71</t>
  </si>
  <si>
    <t xml:space="preserve">R$561,82</t>
  </si>
  <si>
    <t xml:space="preserve">R$3.378.136,11</t>
  </si>
  <si>
    <t xml:space="preserve">R$31.806.945,00</t>
  </si>
  <si>
    <t xml:space="preserve">R$29.642.210,29</t>
  </si>
  <si>
    <t xml:space="preserve">09/03/2024</t>
  </si>
  <si>
    <t xml:space="preserve">R$57.263,31</t>
  </si>
  <si>
    <t xml:space="preserve">R$1.118,83</t>
  </si>
  <si>
    <t xml:space="preserve">R$7.913.992,91</t>
  </si>
  <si>
    <t xml:space="preserve">R$42.707.500,00</t>
  </si>
  <si>
    <t xml:space="preserve">R$30.290.189,86</t>
  </si>
  <si>
    <t xml:space="preserve">12/03/2024</t>
  </si>
  <si>
    <t xml:space="preserve">R$51.309,67</t>
  </si>
  <si>
    <t xml:space="preserve">R$1.093,26</t>
  </si>
  <si>
    <t xml:space="preserve">R$44.132.062,41</t>
  </si>
  <si>
    <t xml:space="preserve">R$38.267.220,00</t>
  </si>
  <si>
    <t xml:space="preserve">R$30.870.799,26</t>
  </si>
  <si>
    <t xml:space="preserve">14/03/2024</t>
  </si>
  <si>
    <t xml:space="preserve">R$39.206,07</t>
  </si>
  <si>
    <t xml:space="preserve">R$992,73</t>
  </si>
  <si>
    <t xml:space="preserve">R$50.343.129,05</t>
  </si>
  <si>
    <t xml:space="preserve">R$58.480.490,00</t>
  </si>
  <si>
    <t xml:space="preserve">R$31.758.094,51</t>
  </si>
  <si>
    <t xml:space="preserve">16/03/2024</t>
  </si>
  <si>
    <t xml:space="preserve">R$59.349,01</t>
  </si>
  <si>
    <t xml:space="preserve">R$1.068,70</t>
  </si>
  <si>
    <t xml:space="preserve">R$58.214.681,45</t>
  </si>
  <si>
    <t xml:space="preserve">R$74.114.845,00</t>
  </si>
  <si>
    <t xml:space="preserve">R$32.882.602,02</t>
  </si>
  <si>
    <t xml:space="preserve">19/03/2024</t>
  </si>
  <si>
    <t xml:space="preserve">R$57.510,24</t>
  </si>
  <si>
    <t xml:space="preserve">R$1.172,67</t>
  </si>
  <si>
    <t xml:space="preserve">R$65.312.656,12</t>
  </si>
  <si>
    <t xml:space="preserve">R$66.831.200,00</t>
  </si>
  <si>
    <t xml:space="preserve">R$33.896.598,41</t>
  </si>
  <si>
    <t xml:space="preserve">21/03/2024</t>
  </si>
  <si>
    <t xml:space="preserve">R$24.864,59</t>
  </si>
  <si>
    <t xml:space="preserve">R$661,42</t>
  </si>
  <si>
    <t xml:space="preserve">R$73.190.804,53</t>
  </si>
  <si>
    <t xml:space="preserve">R$74.176.950,00</t>
  </si>
  <si>
    <t xml:space="preserve">R$35.022.048,20</t>
  </si>
  <si>
    <t xml:space="preserve">23/03/2024</t>
  </si>
  <si>
    <t xml:space="preserve">R$24.404,31</t>
  </si>
  <si>
    <t xml:space="preserve">R$647,89</t>
  </si>
  <si>
    <t xml:space="preserve">R$107.270.294,56</t>
  </si>
  <si>
    <t xml:space="preserve">R$91.428.080,00</t>
  </si>
  <si>
    <t xml:space="preserve">R$36.409.240,77</t>
  </si>
  <si>
    <t xml:space="preserve">26/03/2024</t>
  </si>
  <si>
    <t xml:space="preserve">R$118.265.926,76</t>
  </si>
  <si>
    <t xml:space="preserve">R$32.797,02</t>
  </si>
  <si>
    <t xml:space="preserve">R$834,93</t>
  </si>
  <si>
    <t xml:space="preserve">R$103.529.715,00</t>
  </si>
  <si>
    <t xml:space="preserve">R$37.980.045,39</t>
  </si>
  <si>
    <t xml:space="preserve">30/03/2024</t>
  </si>
  <si>
    <t xml:space="preserve">R$39.391,36</t>
  </si>
  <si>
    <t xml:space="preserve">R$696,55</t>
  </si>
  <si>
    <t xml:space="preserve">R$4.789.159,57</t>
  </si>
  <si>
    <t xml:space="preserve">R$45.092.480,00</t>
  </si>
  <si>
    <t xml:space="preserve">R$38.664.211,06</t>
  </si>
  <si>
    <t xml:space="preserve">02/04/2024</t>
  </si>
  <si>
    <t xml:space="preserve">R$47.089,69</t>
  </si>
  <si>
    <t xml:space="preserve">R$863,73</t>
  </si>
  <si>
    <t xml:space="preserve">R$8.519.158,47</t>
  </si>
  <si>
    <t xml:space="preserve">R$35.119.920,00</t>
  </si>
  <si>
    <t xml:space="preserve">R$39.197.068,05</t>
  </si>
  <si>
    <t xml:space="preserve">04/04/2024</t>
  </si>
  <si>
    <t xml:space="preserve">R$17.344,12</t>
  </si>
  <si>
    <t xml:space="preserve">R$521,19</t>
  </si>
  <si>
    <t xml:space="preserve">R$12.544.819,94</t>
  </si>
  <si>
    <t xml:space="preserve">R$37.903.740,00</t>
  </si>
  <si>
    <t xml:space="preserve">R$39.772.162,55</t>
  </si>
  <si>
    <t xml:space="preserve">06/04/2024</t>
  </si>
  <si>
    <t xml:space="preserve">R$48.796,35</t>
  </si>
  <si>
    <t xml:space="preserve">R$933,87</t>
  </si>
  <si>
    <t xml:space="preserve">R$36.417.795,99</t>
  </si>
  <si>
    <t xml:space="preserve">R$52.473.285,00</t>
  </si>
  <si>
    <t xml:space="preserve">R$40.568.313,49</t>
  </si>
  <si>
    <t xml:space="preserve">09/04/2024</t>
  </si>
  <si>
    <t xml:space="preserve">R$64.962,49</t>
  </si>
  <si>
    <t xml:space="preserve">R$1.146,01</t>
  </si>
  <si>
    <t xml:space="preserve">R$42.281.515,25</t>
  </si>
  <si>
    <t xml:space="preserve">R$55.210.030,00</t>
  </si>
  <si>
    <t xml:space="preserve">R$41.405.987,67</t>
  </si>
  <si>
    <t xml:space="preserve">11/04/2024</t>
  </si>
  <si>
    <t xml:space="preserve">R$49.876,99</t>
  </si>
  <si>
    <t xml:space="preserve">R$1.090,84</t>
  </si>
  <si>
    <t xml:space="preserve">R$48.621.142,88</t>
  </si>
  <si>
    <t xml:space="preserve">R$59.690.960,00</t>
  </si>
  <si>
    <t xml:space="preserve">R$42.311.648,77</t>
  </si>
  <si>
    <t xml:space="preserve">13/04/2024</t>
  </si>
  <si>
    <t xml:space="preserve">R$41.893,09</t>
  </si>
  <si>
    <t xml:space="preserve">R$944,05</t>
  </si>
  <si>
    <t xml:space="preserve">R$56.261.119,91</t>
  </si>
  <si>
    <t xml:space="preserve">R$71.934.440,00</t>
  </si>
  <si>
    <t xml:space="preserve">R$66.000.000,00</t>
  </si>
  <si>
    <t xml:space="preserve">R$43.403.074,07</t>
  </si>
  <si>
    <t xml:space="preserve">16/04/2024</t>
  </si>
  <si>
    <t xml:space="preserve">R$55.368,20</t>
  </si>
  <si>
    <t xml:space="preserve">R$1.107,90</t>
  </si>
  <si>
    <t xml:space="preserve">R$62.992.727,03</t>
  </si>
  <si>
    <t xml:space="preserve">R$63.381.655,00</t>
  </si>
  <si>
    <t xml:space="preserve">R$44.364.732,24</t>
  </si>
  <si>
    <t xml:space="preserve">18/04/2024</t>
  </si>
  <si>
    <t xml:space="preserve">R$49.552,51</t>
  </si>
  <si>
    <t xml:space="preserve">R$1.131,00</t>
  </si>
  <si>
    <t xml:space="preserve">R$91.292.256,11</t>
  </si>
  <si>
    <t xml:space="preserve">R$67.037.760,00</t>
  </si>
  <si>
    <t xml:space="preserve">R$45.381.862,66</t>
  </si>
  <si>
    <t xml:space="preserve">20/04/2024</t>
  </si>
  <si>
    <t xml:space="preserve">R$102.128.925,42</t>
  </si>
  <si>
    <t xml:space="preserve">R$40.570,78</t>
  </si>
  <si>
    <t xml:space="preserve">R$1.004,41</t>
  </si>
  <si>
    <t xml:space="preserve">R$102.032.995,00</t>
  </si>
  <si>
    <t xml:space="preserve">R$46.929.958,29</t>
  </si>
  <si>
    <t xml:space="preserve">23/04/2024</t>
  </si>
  <si>
    <t xml:space="preserve">R$58.527,17</t>
  </si>
  <si>
    <t xml:space="preserve">R$1.146,65</t>
  </si>
  <si>
    <t xml:space="preserve">R$2.587.516,86</t>
  </si>
  <si>
    <t xml:space="preserve">R$24.362.845,00</t>
  </si>
  <si>
    <t xml:space="preserve">R$47.299.603,57</t>
  </si>
  <si>
    <t xml:space="preserve">25/04/2024</t>
  </si>
  <si>
    <t xml:space="preserve">R$5.581.371,93</t>
  </si>
  <si>
    <t xml:space="preserve">R$52.426,96</t>
  </si>
  <si>
    <t xml:space="preserve">R$1.233,01</t>
  </si>
  <si>
    <t xml:space="preserve">R$28.188.735,00</t>
  </si>
  <si>
    <t xml:space="preserve">R$47.727.297,17</t>
  </si>
  <si>
    <t xml:space="preserve">27/04/2024</t>
  </si>
  <si>
    <t xml:space="preserve">R$88.273,53</t>
  </si>
  <si>
    <t xml:space="preserve">R$1.529,87</t>
  </si>
  <si>
    <t xml:space="preserve">R$3.414.791,50</t>
  </si>
  <si>
    <t xml:space="preserve">R$32.152.075,00</t>
  </si>
  <si>
    <t xml:space="preserve">R$48.215.124,55</t>
  </si>
  <si>
    <t xml:space="preserve">30/04/2024</t>
  </si>
  <si>
    <t xml:space="preserve">R$45.515,78</t>
  </si>
  <si>
    <t xml:space="preserve">R$1.201,83</t>
  </si>
  <si>
    <t xml:space="preserve">R$21.206.489,72</t>
  </si>
  <si>
    <t xml:space="preserve">R$30.788.310,00</t>
  </si>
  <si>
    <t xml:space="preserve">R$48.682.260,19</t>
  </si>
  <si>
    <t xml:space="preserve">04/05/2024</t>
  </si>
  <si>
    <t xml:space="preserve">R$1.878,49</t>
  </si>
  <si>
    <t xml:space="preserve">R$809,63</t>
  </si>
  <si>
    <t xml:space="preserve">R$28.393.381,84</t>
  </si>
  <si>
    <t xml:space="preserve">R$67.668.405,00</t>
  </si>
  <si>
    <t xml:space="preserve">R$49.708.959,08</t>
  </si>
  <si>
    <t xml:space="preserve">07/05/2024</t>
  </si>
  <si>
    <t xml:space="preserve">R$36.177,87</t>
  </si>
  <si>
    <t xml:space="preserve">R$33.791.501,76</t>
  </si>
  <si>
    <t xml:space="preserve">R$50.826.165,00</t>
  </si>
  <si>
    <t xml:space="preserve">R$50.480.119,09</t>
  </si>
  <si>
    <t xml:space="preserve">09/05/2024</t>
  </si>
  <si>
    <t xml:space="preserve">R$43.867,37</t>
  </si>
  <si>
    <t xml:space="preserve">R$888,20</t>
  </si>
  <si>
    <t xml:space="preserve">R$39.609.700,48</t>
  </si>
  <si>
    <t xml:space="preserve">R$54.781.430,00</t>
  </si>
  <si>
    <t xml:space="preserve">R$51.311.290,34</t>
  </si>
  <si>
    <t xml:space="preserve">11/05/2024</t>
  </si>
  <si>
    <t xml:space="preserve">FUNDAO/ES</t>
  </si>
  <si>
    <t xml:space="preserve">R$46.726.380,41</t>
  </si>
  <si>
    <t xml:space="preserve">R$38.633,40</t>
  </si>
  <si>
    <t xml:space="preserve">R$906,24</t>
  </si>
  <si>
    <t xml:space="preserve">R$67.007.320,00</t>
  </si>
  <si>
    <t xml:space="preserve">R$52.327.958,92</t>
  </si>
  <si>
    <t xml:space="preserve">14/05/2024</t>
  </si>
  <si>
    <t xml:space="preserve">R$49.929,37</t>
  </si>
  <si>
    <t xml:space="preserve">R$1.021,57</t>
  </si>
  <si>
    <t xml:space="preserve">R$20.235.141,61</t>
  </si>
  <si>
    <t xml:space="preserve">R$24.247.860,00</t>
  </si>
  <si>
    <t xml:space="preserve">R$52.695.859,60</t>
  </si>
  <si>
    <t xml:space="preserve">16/05/2024</t>
  </si>
  <si>
    <t xml:space="preserve">R$54.241,82</t>
  </si>
  <si>
    <t xml:space="preserve">R$991,57</t>
  </si>
  <si>
    <t xml:space="preserve">R$24.331.826,68</t>
  </si>
  <si>
    <t xml:space="preserve">R$38.572.465,00</t>
  </si>
  <si>
    <t xml:space="preserve">R$53.281.100,35</t>
  </si>
  <si>
    <t xml:space="preserve">18/05/2024</t>
  </si>
  <si>
    <t xml:space="preserve">R$69.387,92</t>
  </si>
  <si>
    <t xml:space="preserve">R$1.233,28</t>
  </si>
  <si>
    <t xml:space="preserve">R$30.467.179,58</t>
  </si>
  <si>
    <t xml:space="preserve">R$57.767.605,00</t>
  </si>
  <si>
    <t xml:space="preserve">R$54.157.579,35</t>
  </si>
  <si>
    <t xml:space="preserve">21/05/2024</t>
  </si>
  <si>
    <t xml:space="preserve">R$47.840,90</t>
  </si>
  <si>
    <t xml:space="preserve">R$1.183,27</t>
  </si>
  <si>
    <t xml:space="preserve">R$35.578.601,91</t>
  </si>
  <si>
    <t xml:space="preserve">R$48.126.755,00</t>
  </si>
  <si>
    <t xml:space="preserve">R$54.887.782,55</t>
  </si>
  <si>
    <t xml:space="preserve">23/05/2024</t>
  </si>
  <si>
    <t xml:space="preserve">R$34.712,93</t>
  </si>
  <si>
    <t xml:space="preserve">R$861,25</t>
  </si>
  <si>
    <t xml:space="preserve">R$40.886.025,40</t>
  </si>
  <si>
    <t xml:space="preserve">R$49.972.210,00</t>
  </si>
  <si>
    <t xml:space="preserve">R$55.645.985,92</t>
  </si>
  <si>
    <t xml:space="preserve">25/05/2024</t>
  </si>
  <si>
    <t xml:space="preserve">R$62.041,66</t>
  </si>
  <si>
    <t xml:space="preserve">R$1.390,75</t>
  </si>
  <si>
    <t xml:space="preserve">R$64.847.955,03</t>
  </si>
  <si>
    <t xml:space="preserve">R$63.488.445,00</t>
  </si>
  <si>
    <t xml:space="preserve">R$56.609.264,36</t>
  </si>
  <si>
    <t xml:space="preserve">28/05/2024</t>
  </si>
  <si>
    <t xml:space="preserve">R$39.704,60</t>
  </si>
  <si>
    <t xml:space="preserve">R$1.056,23</t>
  </si>
  <si>
    <t xml:space="preserve">R$71.942.539,55</t>
  </si>
  <si>
    <t xml:space="preserve">R$66.799.280,00</t>
  </si>
  <si>
    <t xml:space="preserve">R$57.622.776,45</t>
  </si>
  <si>
    <t xml:space="preserve">01/06/2024</t>
  </si>
  <si>
    <t xml:space="preserve">R$45.794,77</t>
  </si>
  <si>
    <t xml:space="preserve">R$915,08</t>
  </si>
  <si>
    <t xml:space="preserve">R$82.571.747,91</t>
  </si>
  <si>
    <t xml:space="preserve">R$100.079.640,00</t>
  </si>
  <si>
    <t xml:space="preserve">R$59.141.234,81</t>
  </si>
  <si>
    <t xml:space="preserve">04/06/2024</t>
  </si>
  <si>
    <t xml:space="preserve">R$51.300,81</t>
  </si>
  <si>
    <t xml:space="preserve">R$1.115,98</t>
  </si>
  <si>
    <t xml:space="preserve">R$91.454.887,45</t>
  </si>
  <si>
    <t xml:space="preserve">R$83.639.475,00</t>
  </si>
  <si>
    <t xml:space="preserve">R$60.410.254,76</t>
  </si>
  <si>
    <t xml:space="preserve">06/06/2024</t>
  </si>
  <si>
    <t xml:space="preserve">R$47.166,50</t>
  </si>
  <si>
    <t xml:space="preserve">R$1.058,19</t>
  </si>
  <si>
    <t xml:space="preserve">R$101.620.509,10</t>
  </si>
  <si>
    <t xml:space="preserve">R$95.714.725,00</t>
  </si>
  <si>
    <t xml:space="preserve">R$112.000.000,00</t>
  </si>
  <si>
    <t xml:space="preserve">R$61.862.486,44</t>
  </si>
  <si>
    <t xml:space="preserve">08/06/2024</t>
  </si>
  <si>
    <t xml:space="preserve">R$114.104.458,33</t>
  </si>
  <si>
    <t xml:space="preserve">R$49.467,16</t>
  </si>
  <si>
    <t xml:space="preserve">R$1.239,46</t>
  </si>
  <si>
    <t xml:space="preserve">R$30.961.230,65</t>
  </si>
  <si>
    <t xml:space="preserve">R$117.543.010,00</t>
  </si>
  <si>
    <t xml:space="preserve">R$63.645.907,77</t>
  </si>
  <si>
    <t xml:space="preserve">11/06/2024</t>
  </si>
  <si>
    <t xml:space="preserve">R$41.177,36</t>
  </si>
  <si>
    <t xml:space="preserve">R$809,75</t>
  </si>
  <si>
    <t xml:space="preserve">R$35.664.118,40</t>
  </si>
  <si>
    <t xml:space="preserve">R$44.280.185,00</t>
  </si>
  <si>
    <t xml:space="preserve">R$64.317.748,89</t>
  </si>
  <si>
    <t xml:space="preserve">13/06/2024</t>
  </si>
  <si>
    <t xml:space="preserve">R$39.700,69</t>
  </si>
  <si>
    <t xml:space="preserve">R$854,25</t>
  </si>
  <si>
    <t xml:space="preserve">R$40.710.284,71</t>
  </si>
  <si>
    <t xml:space="preserve">R$47.512.335,00</t>
  </si>
  <si>
    <t xml:space="preserve">R$65.038.629,81</t>
  </si>
  <si>
    <t xml:space="preserve">15/06/2024</t>
  </si>
  <si>
    <t xml:space="preserve">R$52.990,78</t>
  </si>
  <si>
    <t xml:space="preserve">R$1.205,31</t>
  </si>
  <si>
    <t xml:space="preserve">R$47.250.462,90</t>
  </si>
  <si>
    <t xml:space="preserve">R$61.579.250,00</t>
  </si>
  <si>
    <t xml:space="preserve">R$65.972.940,99</t>
  </si>
  <si>
    <t xml:space="preserve">18/06/2024</t>
  </si>
  <si>
    <t xml:space="preserve">R$41.783,52</t>
  </si>
  <si>
    <t xml:space="preserve">R$798,43</t>
  </si>
  <si>
    <t xml:space="preserve">R$53.023.186,23</t>
  </si>
  <si>
    <t xml:space="preserve">R$54.353.255,00</t>
  </si>
  <si>
    <t xml:space="preserve">R$66.797.615,77</t>
  </si>
  <si>
    <t xml:space="preserve">20/06/2024</t>
  </si>
  <si>
    <t xml:space="preserve">R$40.920,93</t>
  </si>
  <si>
    <t xml:space="preserve">R$925,49</t>
  </si>
  <si>
    <t xml:space="preserve">R$76.588.962,21</t>
  </si>
  <si>
    <t xml:space="preserve">R$56.070.170,00</t>
  </si>
  <si>
    <t xml:space="preserve">R$86.000.000,00</t>
  </si>
  <si>
    <t xml:space="preserve">R$67.648.340,43</t>
  </si>
  <si>
    <t xml:space="preserve">22/06/2024</t>
  </si>
  <si>
    <t xml:space="preserve">R$38.469,76</t>
  </si>
  <si>
    <t xml:space="preserve">R$854,00</t>
  </si>
  <si>
    <t xml:space="preserve">R$84.242.420,69</t>
  </si>
  <si>
    <t xml:space="preserve">R$72.061.375,00</t>
  </si>
  <si>
    <t xml:space="preserve">R$93.000.000,00</t>
  </si>
  <si>
    <t xml:space="preserve">R$68.741.691,65</t>
  </si>
  <si>
    <t xml:space="preserve">25/06/2024</t>
  </si>
  <si>
    <t xml:space="preserve">R$75.394,71</t>
  </si>
  <si>
    <t xml:space="preserve">R$1.152,52</t>
  </si>
  <si>
    <t xml:space="preserve">R$91.603.324,78</t>
  </si>
  <si>
    <t xml:space="preserve">R$69.306.820,00</t>
  </si>
  <si>
    <t xml:space="preserve">R$69.793.249,39</t>
  </si>
  <si>
    <t xml:space="preserve">27/06/2024</t>
  </si>
  <si>
    <t xml:space="preserve">R$46.113,19</t>
  </si>
  <si>
    <t xml:space="preserve">R$955,13</t>
  </si>
  <si>
    <t xml:space="preserve">R$100.097.859,57</t>
  </si>
  <si>
    <t xml:space="preserve">R$79.980.555,00</t>
  </si>
  <si>
    <t xml:space="preserve">R$71.006.754,38</t>
  </si>
  <si>
    <t xml:space="preserve">29/06/2024</t>
  </si>
  <si>
    <t xml:space="preserve">R$40.291,15</t>
  </si>
  <si>
    <t xml:space="preserve">R$847,80</t>
  </si>
  <si>
    <t xml:space="preserve">R$111.008.279,37</t>
  </si>
  <si>
    <t xml:space="preserve">R$102.727.395,00</t>
  </si>
  <si>
    <t xml:space="preserve">R$72.565.385,79</t>
  </si>
  <si>
    <t xml:space="preserve">02/07/2024</t>
  </si>
  <si>
    <t xml:space="preserve">R$54.826,38</t>
  </si>
  <si>
    <t xml:space="preserve">R$961,37</t>
  </si>
  <si>
    <t xml:space="preserve">R$149.420.149,67</t>
  </si>
  <si>
    <t xml:space="preserve">R$96.994.915,00</t>
  </si>
  <si>
    <t xml:space="preserve">R$74.037.041,15</t>
  </si>
  <si>
    <t xml:space="preserve">04/07/2024</t>
  </si>
  <si>
    <t xml:space="preserve">RIO DE JANEIRO/RJ; GARIBALDI/RS; PLANALTO/RS</t>
  </si>
  <si>
    <t xml:space="preserve">R$54.262.775,07</t>
  </si>
  <si>
    <t xml:space="preserve">R$22.892,78</t>
  </si>
  <si>
    <t xml:space="preserve">R$726,50</t>
  </si>
  <si>
    <t xml:space="preserve">R$125.868.470,00</t>
  </si>
  <si>
    <t xml:space="preserve">R$75.946.780,52</t>
  </si>
  <si>
    <t xml:space="preserve">06/07/2024</t>
  </si>
  <si>
    <t xml:space="preserve">R$63.470,58</t>
  </si>
  <si>
    <t xml:space="preserve">R$1.277,07</t>
  </si>
  <si>
    <t xml:space="preserve">R$4.092.181,87</t>
  </si>
  <si>
    <t xml:space="preserve">R$38.530.065,00</t>
  </si>
  <si>
    <t xml:space="preserve">R$76.531.377,95</t>
  </si>
  <si>
    <t xml:space="preserve">10/07/2024</t>
  </si>
  <si>
    <t xml:space="preserve">R$22.625,51</t>
  </si>
  <si>
    <t xml:space="preserve">R$780,58</t>
  </si>
  <si>
    <t xml:space="preserve">R$8.593.467,61</t>
  </si>
  <si>
    <t xml:space="preserve">R$42.381.995,00</t>
  </si>
  <si>
    <t xml:space="preserve">R$77.174.418,78</t>
  </si>
  <si>
    <t xml:space="preserve">13/07/2024</t>
  </si>
  <si>
    <t xml:space="preserve">R$80.512,78</t>
  </si>
  <si>
    <t xml:space="preserve">R$1.619,97</t>
  </si>
  <si>
    <t xml:space="preserve">R$14.674.301,02</t>
  </si>
  <si>
    <t xml:space="preserve">R$57.254.275,00</t>
  </si>
  <si>
    <t xml:space="preserve">R$78.043.109,29</t>
  </si>
  <si>
    <t xml:space="preserve">16/07/2024</t>
  </si>
  <si>
    <t xml:space="preserve">R$58.239,89</t>
  </si>
  <si>
    <t xml:space="preserve">R$930,93</t>
  </si>
  <si>
    <t xml:space="preserve">R$39.813.945,76</t>
  </si>
  <si>
    <t xml:space="preserve">R$43.435.840,00</t>
  </si>
  <si>
    <t xml:space="preserve">R$78.702.139,58</t>
  </si>
  <si>
    <t xml:space="preserve">18/07/2024</t>
  </si>
  <si>
    <t xml:space="preserve">R$14.652,96</t>
  </si>
  <si>
    <t xml:space="preserve">R$713,25</t>
  </si>
  <si>
    <t xml:space="preserve">R$45.239.396,05</t>
  </si>
  <si>
    <t xml:space="preserve">R$51.083.495,00</t>
  </si>
  <si>
    <t xml:space="preserve">R$79.477.203,92</t>
  </si>
  <si>
    <t xml:space="preserve">20/07/2024</t>
  </si>
  <si>
    <t xml:space="preserve">R$60.964,39</t>
  </si>
  <si>
    <t xml:space="preserve">R$1.049,72</t>
  </si>
  <si>
    <t xml:space="preserve">R$51.977.565,20</t>
  </si>
  <si>
    <t xml:space="preserve">R$63.443.440,00</t>
  </si>
  <si>
    <t xml:space="preserve">R$80.439.799,53</t>
  </si>
  <si>
    <t xml:space="preserve">23/07/2024</t>
  </si>
  <si>
    <t xml:space="preserve">R$51.676,02</t>
  </si>
  <si>
    <t xml:space="preserve">R$1.104,11</t>
  </si>
  <si>
    <t xml:space="preserve">R$58.165.088,29</t>
  </si>
  <si>
    <t xml:space="preserve">R$58.258.815,00</t>
  </si>
  <si>
    <t xml:space="preserve">R$81.323.731,42</t>
  </si>
  <si>
    <t xml:space="preserve">25/07/2024</t>
  </si>
  <si>
    <t xml:space="preserve">R$78.111,86</t>
  </si>
  <si>
    <t xml:space="preserve">R$1.358,99</t>
  </si>
  <si>
    <t xml:space="preserve">R$64.640.150,13</t>
  </si>
  <si>
    <t xml:space="preserve">R$60.966.145,00</t>
  </si>
  <si>
    <t xml:space="preserve">R$82.248.740,26</t>
  </si>
  <si>
    <t xml:space="preserve">27/07/2024</t>
  </si>
  <si>
    <t xml:space="preserve">R$68.839,98</t>
  </si>
  <si>
    <t xml:space="preserve">R$1.244,36</t>
  </si>
  <si>
    <t xml:space="preserve">R$93.875.508,28</t>
  </si>
  <si>
    <t xml:space="preserve">R$78.803.210,00</t>
  </si>
  <si>
    <t xml:space="preserve">R$83.444.381,98</t>
  </si>
  <si>
    <t xml:space="preserve">30/07/2024</t>
  </si>
  <si>
    <t xml:space="preserve">CANAL ELETRONICO; IPATINGA/MG; VARGINHA/MG</t>
  </si>
  <si>
    <t xml:space="preserve">R$34.222.694,19</t>
  </si>
  <si>
    <t xml:space="preserve">R$18.866,05</t>
  </si>
  <si>
    <t xml:space="preserve">R$508,29</t>
  </si>
  <si>
    <t xml:space="preserve">R$82.786.755,00</t>
  </si>
  <si>
    <t xml:space="preserve">R$84.700.464,03</t>
  </si>
  <si>
    <t xml:space="preserve">01/08/2024</t>
  </si>
  <si>
    <t xml:space="preserve">R$32.726,42</t>
  </si>
  <si>
    <t xml:space="preserve">R$826,85</t>
  </si>
  <si>
    <t xml:space="preserve">R$2.893.704,06</t>
  </si>
  <si>
    <t xml:space="preserve">R$27.245.760,00</t>
  </si>
  <si>
    <t xml:space="preserve">R$85.113.850,33</t>
  </si>
  <si>
    <t xml:space="preserve">03/08/2024</t>
  </si>
  <si>
    <t xml:space="preserve">R$71.775,30</t>
  </si>
  <si>
    <t xml:space="preserve">R$1.640,57</t>
  </si>
  <si>
    <t xml:space="preserve">R$7.124.669,40</t>
  </si>
  <si>
    <t xml:space="preserve">R$39.836.785,00</t>
  </si>
  <si>
    <t xml:space="preserve">R$85.718.273,96</t>
  </si>
  <si>
    <t xml:space="preserve">06/08/2024</t>
  </si>
  <si>
    <t xml:space="preserve">R$69.018,98</t>
  </si>
  <si>
    <t xml:space="preserve">R$1.417,03</t>
  </si>
  <si>
    <t xml:space="preserve">R$11.066.015,91</t>
  </si>
  <si>
    <t xml:space="preserve">R$37.109.870,00</t>
  </si>
  <si>
    <t xml:space="preserve">R$86.281.323,47</t>
  </si>
  <si>
    <t xml:space="preserve">08/08/2024</t>
  </si>
  <si>
    <t xml:space="preserve">R$89.213,21</t>
  </si>
  <si>
    <t xml:space="preserve">R$1.346,80</t>
  </si>
  <si>
    <t xml:space="preserve">R$30.774.827,98</t>
  </si>
  <si>
    <t xml:space="preserve">R$41.778.435,00</t>
  </si>
  <si>
    <t xml:space="preserve">R$86.915.206,80</t>
  </si>
  <si>
    <t xml:space="preserve">10/08/2024</t>
  </si>
  <si>
    <t xml:space="preserve">R$58.765,70</t>
  </si>
  <si>
    <t xml:space="preserve">R$965,34</t>
  </si>
  <si>
    <t xml:space="preserve">R$36.945.226,17</t>
  </si>
  <si>
    <t xml:space="preserve">R$58.097.575,00</t>
  </si>
  <si>
    <t xml:space="preserve">R$87.796.692,27</t>
  </si>
  <si>
    <t xml:space="preserve">13/08/2024</t>
  </si>
  <si>
    <t xml:space="preserve">R$40.942,72</t>
  </si>
  <si>
    <t xml:space="preserve">R$919,60</t>
  </si>
  <si>
    <t xml:space="preserve">R$42.450.945,43</t>
  </si>
  <si>
    <t xml:space="preserve">R$51.839.270,00</t>
  </si>
  <si>
    <t xml:space="preserve">R$88.583.223,61</t>
  </si>
  <si>
    <t xml:space="preserve">15/08/2024</t>
  </si>
  <si>
    <t xml:space="preserve">R$74.103,86</t>
  </si>
  <si>
    <t xml:space="preserve">R$1.273,66</t>
  </si>
  <si>
    <t xml:space="preserve">R$48.320.750,91</t>
  </si>
  <si>
    <t xml:space="preserve">R$55.267.335,00</t>
  </si>
  <si>
    <t xml:space="preserve">R$89.421.767,26</t>
  </si>
  <si>
    <t xml:space="preserve">17/08/2024</t>
  </si>
  <si>
    <t xml:space="preserve">R$75.241,53</t>
  </si>
  <si>
    <t xml:space="preserve">R$1.176,46</t>
  </si>
  <si>
    <t xml:space="preserve">R$55.528.098,06</t>
  </si>
  <si>
    <t xml:space="preserve">R$67.861.000,00</t>
  </si>
  <si>
    <t xml:space="preserve">R$90.451.388,30</t>
  </si>
  <si>
    <t xml:space="preserve">20/08/2024</t>
  </si>
  <si>
    <t xml:space="preserve">VARZEA PAULISTA/SP</t>
  </si>
  <si>
    <t xml:space="preserve">R$62.156.999,34</t>
  </si>
  <si>
    <t xml:space="preserve">R$58.041,07</t>
  </si>
  <si>
    <t xml:space="preserve">R$1.537,77</t>
  </si>
  <si>
    <t xml:space="preserve">R$19.725.936,28</t>
  </si>
  <si>
    <t xml:space="preserve">R$62.414.625,00</t>
  </si>
  <si>
    <t xml:space="preserve">R$91.398.374,21</t>
  </si>
  <si>
    <t xml:space="preserve">22/08/2024</t>
  </si>
  <si>
    <t xml:space="preserve">R$35.663,33</t>
  </si>
  <si>
    <t xml:space="preserve">R$907,07</t>
  </si>
  <si>
    <t xml:space="preserve">R$24.061.846,85</t>
  </si>
  <si>
    <t xml:space="preserve">R$40.824.900,00</t>
  </si>
  <si>
    <t xml:space="preserve">R$92.017.790,02</t>
  </si>
  <si>
    <t xml:space="preserve">24/08/2024</t>
  </si>
  <si>
    <t xml:space="preserve">CANAL ELETRONICO; RIO DE JANEIRO/RJ</t>
  </si>
  <si>
    <t xml:space="preserve">R$14.946.866,27</t>
  </si>
  <si>
    <t xml:space="preserve">R$58.627,43</t>
  </si>
  <si>
    <t xml:space="preserve">R$1.044,74</t>
  </si>
  <si>
    <t xml:space="preserve">R$54.910.300,00</t>
  </si>
  <si>
    <t xml:space="preserve">R$92.850.916,57</t>
  </si>
  <si>
    <t xml:space="preserve">27/08/2024</t>
  </si>
  <si>
    <t xml:space="preserve">R$62.653,90</t>
  </si>
  <si>
    <t xml:space="preserve">R$1.444,60</t>
  </si>
  <si>
    <t xml:space="preserve">R$2.769.961,70</t>
  </si>
  <si>
    <t xml:space="preserve">R$26.080.660,00</t>
  </si>
  <si>
    <t xml:space="preserve">R$93.246.625,39</t>
  </si>
  <si>
    <t xml:space="preserve">29/08/2024</t>
  </si>
  <si>
    <t xml:space="preserve">R$46.680,86</t>
  </si>
  <si>
    <t xml:space="preserve">R$691,05</t>
  </si>
  <si>
    <t xml:space="preserve">R$5.865.639,48</t>
  </si>
  <si>
    <t xml:space="preserve">R$29.147.450,00</t>
  </si>
  <si>
    <t xml:space="preserve">R$93.688.865,10</t>
  </si>
  <si>
    <t xml:space="preserve">31/08/2024</t>
  </si>
  <si>
    <t xml:space="preserve">R$99.848,97</t>
  </si>
  <si>
    <t xml:space="preserve">R$1.308,63</t>
  </si>
  <si>
    <t xml:space="preserve">R$23.432.471,91</t>
  </si>
  <si>
    <t xml:space="preserve">R$43.295.510,00</t>
  </si>
  <si>
    <t xml:space="preserve">R$94.345.766,23</t>
  </si>
  <si>
    <t xml:space="preserve">03/09/2024</t>
  </si>
  <si>
    <t xml:space="preserve">R$73.311,94</t>
  </si>
  <si>
    <t xml:space="preserve">R$1.563,15</t>
  </si>
  <si>
    <t xml:space="preserve">R$28.159.162,88</t>
  </si>
  <si>
    <t xml:space="preserve">R$44.504.305,00</t>
  </si>
  <si>
    <t xml:space="preserve">R$95.021.007,82</t>
  </si>
  <si>
    <t xml:space="preserve">06/09/2024</t>
  </si>
  <si>
    <t xml:space="preserve">R$37.663,95</t>
  </si>
  <si>
    <t xml:space="preserve">R$737,49</t>
  </si>
  <si>
    <t xml:space="preserve">R$34.680.972,48</t>
  </si>
  <si>
    <t xml:space="preserve">R$61.406.300,00</t>
  </si>
  <si>
    <t xml:space="preserve">R$95.952.694,93</t>
  </si>
  <si>
    <t xml:space="preserve">10/09/2024</t>
  </si>
  <si>
    <t xml:space="preserve">R$64.804,31</t>
  </si>
  <si>
    <t xml:space="preserve">R$1.165,21</t>
  </si>
  <si>
    <t xml:space="preserve">R$40.769.166,60</t>
  </si>
  <si>
    <t xml:space="preserve">R$57.323.580,00</t>
  </si>
  <si>
    <t xml:space="preserve">R$96.822.436,96</t>
  </si>
  <si>
    <t xml:space="preserve">12/09/2024</t>
  </si>
  <si>
    <t xml:space="preserve">R$37.812,04</t>
  </si>
  <si>
    <t xml:space="preserve">R$857,88</t>
  </si>
  <si>
    <t xml:space="preserve">R$46.898.697,74</t>
  </si>
  <si>
    <t xml:space="preserve">R$57.712.790,00</t>
  </si>
  <si>
    <t xml:space="preserve">R$97.698.084,28</t>
  </si>
  <si>
    <t xml:space="preserve">14/09/2024</t>
  </si>
  <si>
    <t xml:space="preserve">R$60.519,72</t>
  </si>
  <si>
    <t xml:space="preserve">R$1.148,81</t>
  </si>
  <si>
    <t xml:space="preserve">R$73.631.799,74</t>
  </si>
  <si>
    <t xml:space="preserve">R$69.278.750,00</t>
  </si>
  <si>
    <t xml:space="preserve">R$98.749.216,12</t>
  </si>
  <si>
    <t xml:space="preserve">17/09/2024</t>
  </si>
  <si>
    <t xml:space="preserve">TIMBAUBA/PE</t>
  </si>
  <si>
    <t xml:space="preserve">R$81.473.638,46</t>
  </si>
  <si>
    <t xml:space="preserve">R$53.212,48</t>
  </si>
  <si>
    <t xml:space="preserve">R$1.045,45</t>
  </si>
  <si>
    <t xml:space="preserve">R$73.835.075,00</t>
  </si>
  <si>
    <t xml:space="preserve">R$99.869.478,80</t>
  </si>
  <si>
    <t xml:space="preserve">19/09/2024</t>
  </si>
  <si>
    <t xml:space="preserve">R$37.686,21</t>
  </si>
  <si>
    <t xml:space="preserve">R$929,07</t>
  </si>
  <si>
    <t xml:space="preserve">R$2.638.034,46</t>
  </si>
  <si>
    <t xml:space="preserve">R$24.838.495,00</t>
  </si>
  <si>
    <t xml:space="preserve">R$100.246.340,88</t>
  </si>
  <si>
    <t xml:space="preserve">21/09/2024</t>
  </si>
  <si>
    <t xml:space="preserve">R$49.417,01</t>
  </si>
  <si>
    <t xml:space="preserve">R$1.062,38</t>
  </si>
  <si>
    <t xml:space="preserve">R$6.279.287,43</t>
  </si>
  <si>
    <t xml:space="preserve">R$34.284.330,00</t>
  </si>
  <si>
    <t xml:space="preserve">R$100.766.519,89</t>
  </si>
  <si>
    <t xml:space="preserve">24/09/2024</t>
  </si>
  <si>
    <t xml:space="preserve">R$89.854,85</t>
  </si>
  <si>
    <t xml:space="preserve">R$1.554,58</t>
  </si>
  <si>
    <t xml:space="preserve">R$9.755.251,27</t>
  </si>
  <si>
    <t xml:space="preserve">R$32.728.045,00</t>
  </si>
  <si>
    <t xml:space="preserve">R$101.263.086,17</t>
  </si>
  <si>
    <t xml:space="preserve">26/09/2024</t>
  </si>
  <si>
    <t xml:space="preserve">R$76.136,21</t>
  </si>
  <si>
    <t xml:space="preserve">R$1.079,66</t>
  </si>
  <si>
    <t xml:space="preserve">R$26.983.312,46</t>
  </si>
  <si>
    <t xml:space="preserve">R$35.654.495,00</t>
  </si>
  <si>
    <t xml:space="preserve">R$101.804.054,00</t>
  </si>
  <si>
    <t xml:space="preserve">28/09/2024</t>
  </si>
  <si>
    <t xml:space="preserve">R$35.036,92</t>
  </si>
  <si>
    <t xml:space="preserve">R$796,25</t>
  </si>
  <si>
    <t xml:space="preserve">R$32.985.690,39</t>
  </si>
  <si>
    <t xml:space="preserve">R$56.515.575,00</t>
  </si>
  <si>
    <t xml:space="preserve">R$102.661.536,58</t>
  </si>
  <si>
    <t xml:space="preserve">01/10/2024</t>
  </si>
  <si>
    <t xml:space="preserve">R$59.449,24</t>
  </si>
  <si>
    <t xml:space="preserve">R$1.179,22</t>
  </si>
  <si>
    <t xml:space="preserve">R$38.570.789,67</t>
  </si>
  <si>
    <t xml:space="preserve">R$52.586.675,00</t>
  </si>
  <si>
    <t xml:space="preserve">R$103.459.407,92</t>
  </si>
  <si>
    <t xml:space="preserve">03/10/2024</t>
  </si>
  <si>
    <t xml:space="preserve">R$50.508,99</t>
  </si>
  <si>
    <t xml:space="preserve">R$800,72</t>
  </si>
  <si>
    <t xml:space="preserve">R$44.339.447,91</t>
  </si>
  <si>
    <t xml:space="preserve">R$54.314.980,00</t>
  </si>
  <si>
    <t xml:space="preserve">R$104.283.501,96</t>
  </si>
  <si>
    <t xml:space="preserve">05/10/2024</t>
  </si>
  <si>
    <t xml:space="preserve">R$52.087.219,71</t>
  </si>
  <si>
    <t xml:space="preserve">R$55.341,23</t>
  </si>
  <si>
    <t xml:space="preserve">R$1.304,20</t>
  </si>
  <si>
    <t xml:space="preserve">R$72.949.385,00</t>
  </si>
  <si>
    <t xml:space="preserve">R$105.390.326,52</t>
  </si>
  <si>
    <t xml:space="preserve">08/10/2024</t>
  </si>
  <si>
    <t xml:space="preserve">R$56.155,17</t>
  </si>
  <si>
    <t xml:space="preserve">R$1.115,85</t>
  </si>
  <si>
    <t xml:space="preserve">R$20.496.633,12</t>
  </si>
  <si>
    <t xml:space="preserve">R$27.271.375,00</t>
  </si>
  <si>
    <t xml:space="preserve">R$105.804.101,46</t>
  </si>
  <si>
    <t xml:space="preserve">11/10/2024</t>
  </si>
  <si>
    <t xml:space="preserve">R$86.257,83</t>
  </si>
  <si>
    <t xml:space="preserve">R$1.513,15</t>
  </si>
  <si>
    <t xml:space="preserve">R$26.693.577,35</t>
  </si>
  <si>
    <t xml:space="preserve">R$58.347.520,00</t>
  </si>
  <si>
    <t xml:space="preserve">R$106.689.379,22</t>
  </si>
  <si>
    <t xml:space="preserve">16/10/2024</t>
  </si>
  <si>
    <t xml:space="preserve">R$54.038,72</t>
  </si>
  <si>
    <t xml:space="preserve">R$1.067,39</t>
  </si>
  <si>
    <t xml:space="preserve">R$33.761.273,32</t>
  </si>
  <si>
    <t xml:space="preserve">R$66.546.110,00</t>
  </si>
  <si>
    <t xml:space="preserve">R$107.699.050,10</t>
  </si>
  <si>
    <t xml:space="preserve">19/10/2024</t>
  </si>
  <si>
    <t xml:space="preserve">R$48.723,85</t>
  </si>
  <si>
    <t xml:space="preserve">R$958,31</t>
  </si>
  <si>
    <t xml:space="preserve">R$41.839.173,61</t>
  </si>
  <si>
    <t xml:space="preserve">R$76.057.720,00</t>
  </si>
  <si>
    <t xml:space="preserve">R$108.853.035,88</t>
  </si>
  <si>
    <t xml:space="preserve">22/10/2024</t>
  </si>
  <si>
    <t xml:space="preserve">R$55.255,44</t>
  </si>
  <si>
    <t xml:space="preserve">R$1.122,31</t>
  </si>
  <si>
    <t xml:space="preserve">R$48.251.712,69</t>
  </si>
  <si>
    <t xml:space="preserve">R$60.377.460,00</t>
  </si>
  <si>
    <t xml:space="preserve">R$109.769.112,90</t>
  </si>
  <si>
    <t xml:space="preserve">24/10/2024</t>
  </si>
  <si>
    <t xml:space="preserve">R$25.356,30</t>
  </si>
  <si>
    <t xml:space="preserve">R$748,05</t>
  </si>
  <si>
    <t xml:space="preserve">R$76.119.201,02</t>
  </si>
  <si>
    <t xml:space="preserve">R$60.251.195,00</t>
  </si>
  <si>
    <t xml:space="preserve">R$110.683.274,17</t>
  </si>
  <si>
    <t xml:space="preserve">26/10/2024</t>
  </si>
  <si>
    <t xml:space="preserve">R$58.927,35</t>
  </si>
  <si>
    <t xml:space="preserve">R$1.167,85</t>
  </si>
  <si>
    <t xml:space="preserve">R$85.345.983,41</t>
  </si>
  <si>
    <t xml:space="preserve">R$86.875.055,00</t>
  </si>
  <si>
    <t xml:space="preserve">R$112.001.385,96</t>
  </si>
  <si>
    <t xml:space="preserve">29/10/2024</t>
  </si>
  <si>
    <t xml:space="preserve">R$40.720,36</t>
  </si>
  <si>
    <t xml:space="preserve">R$746,24</t>
  </si>
  <si>
    <t xml:space="preserve">R$94.872.404,79</t>
  </si>
  <si>
    <t xml:space="preserve">R$89.696.315,00</t>
  </si>
  <si>
    <t xml:space="preserve">R$113.362.303,30</t>
  </si>
  <si>
    <t xml:space="preserve">01/11/2024</t>
  </si>
  <si>
    <t xml:space="preserve">R$68.004,21</t>
  </si>
  <si>
    <t xml:space="preserve">R$1.079,83</t>
  </si>
  <si>
    <t xml:space="preserve">R$109.779.643,28</t>
  </si>
  <si>
    <t xml:space="preserve">R$140.359.565,00</t>
  </si>
  <si>
    <t xml:space="preserve">R$127.000.000,00</t>
  </si>
  <si>
    <t xml:space="preserve">R$115.491.908,82</t>
  </si>
  <si>
    <t xml:space="preserve">05/11/2024</t>
  </si>
  <si>
    <t xml:space="preserve">R$36.233,07</t>
  </si>
  <si>
    <t xml:space="preserve">R$810,19</t>
  </si>
  <si>
    <t xml:space="preserve">R$124.597.061,03</t>
  </si>
  <si>
    <t xml:space="preserve">R$139.513.855,00</t>
  </si>
  <si>
    <t xml:space="preserve">R$117.608.682,80</t>
  </si>
  <si>
    <t xml:space="preserve">07/11/2024</t>
  </si>
  <si>
    <t xml:space="preserve">R$51.793,93</t>
  </si>
  <si>
    <t xml:space="preserve">R$897,06</t>
  </si>
  <si>
    <t xml:space="preserve">R$179.929.945,23</t>
  </si>
  <si>
    <t xml:space="preserve">R$143.733.535,00</t>
  </si>
  <si>
    <t xml:space="preserve">R$119.789.479,88</t>
  </si>
  <si>
    <t xml:space="preserve">09/11/2024</t>
  </si>
  <si>
    <t xml:space="preserve">CUIABA/MT</t>
  </si>
  <si>
    <t xml:space="preserve">R$201.963.763,26</t>
  </si>
  <si>
    <t xml:space="preserve">R$49.426,51</t>
  </si>
  <si>
    <t xml:space="preserve">R$892,48</t>
  </si>
  <si>
    <t xml:space="preserve">R$207.460.095,00</t>
  </si>
  <si>
    <t xml:space="preserve">R$122.937.168,19</t>
  </si>
  <si>
    <t xml:space="preserve">13/11/2024</t>
  </si>
  <si>
    <t xml:space="preserve">R$50.046,40</t>
  </si>
  <si>
    <t xml:space="preserve">R$811,18</t>
  </si>
  <si>
    <t xml:space="preserve">R$4.056.392,07</t>
  </si>
  <si>
    <t xml:space="preserve">R$38.193.085,00</t>
  </si>
  <si>
    <t xml:space="preserve">R$123.516.652,79</t>
  </si>
  <si>
    <t xml:space="preserve">16/11/2024</t>
  </si>
  <si>
    <t xml:space="preserve">R$71.370,47</t>
  </si>
  <si>
    <t xml:space="preserve">R$973,28</t>
  </si>
  <si>
    <t xml:space="preserve">R$8.920.853,28</t>
  </si>
  <si>
    <t xml:space="preserve">R$45.801.485,00</t>
  </si>
  <si>
    <t xml:space="preserve">R$124.211.575,83</t>
  </si>
  <si>
    <t xml:space="preserve">19/11/2024</t>
  </si>
  <si>
    <t xml:space="preserve">R$33.750,59</t>
  </si>
  <si>
    <t xml:space="preserve">R$806,65</t>
  </si>
  <si>
    <t xml:space="preserve">R$13.272.903,14</t>
  </si>
  <si>
    <t xml:space="preserve">R$40.976.860,00</t>
  </si>
  <si>
    <t xml:space="preserve">R$124.833.297,25</t>
  </si>
  <si>
    <t xml:space="preserve">23/11/2024</t>
  </si>
  <si>
    <t xml:space="preserve">R$71.315,77</t>
  </si>
  <si>
    <t xml:space="preserve">R$1.444,90</t>
  </si>
  <si>
    <t xml:space="preserve">R$46.804.905,63</t>
  </si>
  <si>
    <t xml:space="preserve">R$65.557.240,00</t>
  </si>
  <si>
    <t xml:space="preserve">R$125.827.964,49</t>
  </si>
  <si>
    <t xml:space="preserve">26/11/2024</t>
  </si>
  <si>
    <t xml:space="preserve">R$47.024,00</t>
  </si>
  <si>
    <t xml:space="preserve">R$1.198,12</t>
  </si>
  <si>
    <t xml:space="preserve">R$53.128.396,09</t>
  </si>
  <si>
    <t xml:space="preserve">R$59.539.020,00</t>
  </si>
  <si>
    <t xml:space="preserve">R$126.731.320,29</t>
  </si>
  <si>
    <t xml:space="preserve">28/11/2024</t>
  </si>
  <si>
    <t xml:space="preserve">R$30.340,43</t>
  </si>
  <si>
    <t xml:space="preserve">R$759,34</t>
  </si>
  <si>
    <t xml:space="preserve">R$59.388.105,24</t>
  </si>
  <si>
    <t xml:space="preserve">R$58.938.485,00</t>
  </si>
  <si>
    <t xml:space="preserve">R$127.625.564,46</t>
  </si>
  <si>
    <t xml:space="preserve">30/11/2024</t>
  </si>
  <si>
    <t xml:space="preserve">R$120.206,97</t>
  </si>
  <si>
    <t xml:space="preserve">R$1.370,74</t>
  </si>
  <si>
    <t xml:space="preserve">R$67.359.725,28</t>
  </si>
  <si>
    <t xml:space="preserve">R$75.057.035,00</t>
  </si>
  <si>
    <t xml:space="preserve">R$128.764.367,34</t>
  </si>
  <si>
    <t xml:space="preserve">03/12/2024</t>
  </si>
  <si>
    <t xml:space="preserve">ARARAS/SP</t>
  </si>
  <si>
    <t xml:space="preserve">R$74.745.172,19</t>
  </si>
  <si>
    <t xml:space="preserve">R$100.231,07</t>
  </si>
  <si>
    <t xml:space="preserve">R$1.427,23</t>
  </si>
  <si>
    <t xml:space="preserve">R$68.839.190,00</t>
  </si>
  <si>
    <t xml:space="preserve">R$129.819.431,21</t>
  </si>
  <si>
    <t xml:space="preserve">05/12/2024</t>
  </si>
  <si>
    <t xml:space="preserve">R$77.162,16</t>
  </si>
  <si>
    <t xml:space="preserve">R$1.271,20</t>
  </si>
  <si>
    <t xml:space="preserve">R$22.423.669,36</t>
  </si>
  <si>
    <t xml:space="preserve">R$27.822.560,00</t>
  </si>
  <si>
    <t xml:space="preserve">R$130.245.853,69</t>
  </si>
  <si>
    <t xml:space="preserve">07/12/2024</t>
  </si>
  <si>
    <t xml:space="preserve">R$28.019.522,26</t>
  </si>
  <si>
    <t xml:space="preserve">R$50.629,15</t>
  </si>
  <si>
    <t xml:space="preserve">R$1.130,40</t>
  </si>
  <si>
    <t xml:space="preserve">R$52.158.520,00</t>
  </si>
  <si>
    <t xml:space="preserve">R$131.045.261,25</t>
  </si>
  <si>
    <t xml:space="preserve">10/12/2024</t>
  </si>
  <si>
    <t xml:space="preserve">R$22.055,23</t>
  </si>
  <si>
    <t xml:space="preserve">R$505,50</t>
  </si>
  <si>
    <t xml:space="preserve">R$3.087.731,41</t>
  </si>
  <si>
    <t xml:space="preserve">R$28.780.510,00</t>
  </si>
  <si>
    <t xml:space="preserve">R$131.486.365,74</t>
  </si>
  <si>
    <t xml:space="preserve">12/12/2024</t>
  </si>
  <si>
    <t xml:space="preserve">R$104.535,16</t>
  </si>
  <si>
    <t xml:space="preserve">R$1.327,43</t>
  </si>
  <si>
    <t xml:space="preserve">R$6.553.897,39</t>
  </si>
  <si>
    <t xml:space="preserve">R$32.307.870,00</t>
  </si>
  <si>
    <t xml:space="preserve">R$131.981.532,32</t>
  </si>
  <si>
    <t xml:space="preserve">14/12/2024</t>
  </si>
  <si>
    <t xml:space="preserve">R$42.563,82</t>
  </si>
  <si>
    <t xml:space="preserve">R$1.070,51</t>
  </si>
  <si>
    <t xml:space="preserve">R$11.258.319,36</t>
  </si>
  <si>
    <t xml:space="preserve">R$43.849.560,00</t>
  </si>
  <si>
    <t xml:space="preserve">R$132.653.592,61</t>
  </si>
  <si>
    <t xml:space="preserve">17/12/2024</t>
  </si>
  <si>
    <t xml:space="preserve">R$60.526,40</t>
  </si>
  <si>
    <t xml:space="preserve">R$674,43</t>
  </si>
  <si>
    <t xml:space="preserve">R$162.208.744,02</t>
  </si>
  <si>
    <t xml:space="preserve">R$40.530.585,00</t>
  </si>
  <si>
    <t xml:space="preserve">R$600.000.000,00</t>
  </si>
  <si>
    <t xml:space="preserve">31/12/2024</t>
  </si>
  <si>
    <t xml:space="preserve">BRASILIA/DF; NOVA LIMA/MG; CURITIBA/PR; PINHAIS/PR; OSASCO/SP; TUPA/SP</t>
  </si>
  <si>
    <t xml:space="preserve">R$79.435.770,67</t>
  </si>
  <si>
    <t xml:space="preserve">R$65.895,79</t>
  </si>
  <si>
    <t xml:space="preserve">R$1.086,04</t>
  </si>
  <si>
    <t xml:space="preserve">R$2.490.296.805,00</t>
  </si>
  <si>
    <t xml:space="preserve">04/01/2025</t>
  </si>
  <si>
    <t xml:space="preserve">R$85.719,03</t>
  </si>
  <si>
    <t xml:space="preserve">R$1.320,87</t>
  </si>
  <si>
    <t xml:space="preserve">R$3.789.683,27</t>
  </si>
  <si>
    <t xml:space="preserve">R$35.323.350,00</t>
  </si>
  <si>
    <t xml:space="preserve">R$541.383,34</t>
  </si>
  <si>
    <t xml:space="preserve">07/01/2025</t>
  </si>
  <si>
    <t xml:space="preserve">R$62.783,24</t>
  </si>
  <si>
    <t xml:space="preserve">R$1.045,74</t>
  </si>
  <si>
    <t xml:space="preserve">R$7.259.283,46</t>
  </si>
  <si>
    <t xml:space="preserve">R$32.339.880,00</t>
  </si>
  <si>
    <t xml:space="preserve">R$1.037.040,53</t>
  </si>
  <si>
    <t xml:space="preserve">09/01/2025</t>
  </si>
  <si>
    <t xml:space="preserve">R$82.554,02</t>
  </si>
  <si>
    <t xml:space="preserve">R$1.326,25</t>
  </si>
  <si>
    <t xml:space="preserve">R$11.213.186,49</t>
  </si>
  <si>
    <t xml:space="preserve">R$36.854.030,00</t>
  </si>
  <si>
    <t xml:space="preserve">R$1.601.883,83</t>
  </si>
  <si>
    <t xml:space="preserve">11/01/2025</t>
  </si>
  <si>
    <t xml:space="preserve">R$34.367,81</t>
  </si>
  <si>
    <t xml:space="preserve">R$867,66</t>
  </si>
  <si>
    <t xml:space="preserve">R$26.715.956,92</t>
  </si>
  <si>
    <t xml:space="preserve">R$48.388.165,00</t>
  </si>
  <si>
    <t xml:space="preserve">R$2.343.505,06</t>
  </si>
  <si>
    <t xml:space="preserve">14/01/2025</t>
  </si>
  <si>
    <t xml:space="preserve">R$75.919,13</t>
  </si>
  <si>
    <t xml:space="preserve">R$1.253,44</t>
  </si>
  <si>
    <t xml:space="preserve">R$32.030.295,88</t>
  </si>
  <si>
    <t xml:space="preserve">R$49.534.550,00</t>
  </si>
  <si>
    <t xml:space="preserve">R$3.102.696,36</t>
  </si>
  <si>
    <t xml:space="preserve">16/01/2025</t>
  </si>
  <si>
    <t xml:space="preserve">R$37.397.174,16</t>
  </si>
  <si>
    <t xml:space="preserve">R$46.245,21</t>
  </si>
  <si>
    <t xml:space="preserve">R$853,58</t>
  </si>
  <si>
    <t xml:space="preserve">R$50.024.265,00</t>
  </si>
  <si>
    <t xml:space="preserve">R$3.869.393,26</t>
  </si>
  <si>
    <t xml:space="preserve">18/01/2025</t>
  </si>
  <si>
    <t xml:space="preserve">R$84.887,14</t>
  </si>
  <si>
    <t xml:space="preserve">R$1.588,02</t>
  </si>
  <si>
    <t xml:space="preserve">R$3.440.163,20</t>
  </si>
  <si>
    <t xml:space="preserve">R$32.065.500,00</t>
  </si>
  <si>
    <t xml:space="preserve">R$4.360.845,16</t>
  </si>
  <si>
    <t xml:space="preserve">21/01/2025</t>
  </si>
  <si>
    <t xml:space="preserve">R$18.948,77</t>
  </si>
  <si>
    <t xml:space="preserve">R$507,16</t>
  </si>
  <si>
    <t xml:space="preserve">R$6.511.858,64</t>
  </si>
  <si>
    <t xml:space="preserve">R$28.631.040,00</t>
  </si>
  <si>
    <t xml:space="preserve">R$4.799.658,81</t>
  </si>
  <si>
    <t xml:space="preserve">23/01/2025</t>
  </si>
  <si>
    <t xml:space="preserve">R$74.753,51</t>
  </si>
  <si>
    <t xml:space="preserve">R$1.403,72</t>
  </si>
  <si>
    <t xml:space="preserve">R$23.149.708,40</t>
  </si>
  <si>
    <t xml:space="preserve">R$33.371.700,00</t>
  </si>
  <si>
    <t xml:space="preserve">R$5.311.130,18</t>
  </si>
  <si>
    <t xml:space="preserve">25/01/2025</t>
  </si>
  <si>
    <t xml:space="preserve">NOVA FRIBURGO/RJ</t>
  </si>
  <si>
    <t xml:space="preserve">R$28.892.942,60</t>
  </si>
  <si>
    <t xml:space="preserve">R$48.714,94</t>
  </si>
  <si>
    <t xml:space="preserve">R$1.030,28</t>
  </si>
  <si>
    <t xml:space="preserve">R$53.532.250,00</t>
  </si>
  <si>
    <t xml:space="preserve">R$6.131.592,22</t>
  </si>
  <si>
    <t xml:space="preserve">28/01/2025</t>
  </si>
  <si>
    <t xml:space="preserve">R$52.181,99</t>
  </si>
  <si>
    <t xml:space="preserve">R$854,04</t>
  </si>
  <si>
    <t xml:space="preserve">R$2.691.492,26</t>
  </si>
  <si>
    <t xml:space="preserve">R$25.087.195,00</t>
  </si>
  <si>
    <t xml:space="preserve">R$6.516.091,12</t>
  </si>
  <si>
    <t xml:space="preserve">30/01/2025</t>
  </si>
  <si>
    <t xml:space="preserve">R$126.372,19</t>
  </si>
  <si>
    <t xml:space="preserve">R$1.823,55</t>
  </si>
  <si>
    <t xml:space="preserve">R$5.717.773,74</t>
  </si>
  <si>
    <t xml:space="preserve">R$28.207.740,00</t>
  </si>
  <si>
    <t xml:space="preserve">R$6.948.417,06</t>
  </si>
  <si>
    <t xml:space="preserve">01/02/2025</t>
  </si>
  <si>
    <t xml:space="preserve">R$41.172,77</t>
  </si>
  <si>
    <t xml:space="preserve">R$993,55</t>
  </si>
  <si>
    <t xml:space="preserve">R$10.268.448,61</t>
  </si>
  <si>
    <t xml:space="preserve">R$42.416.495,00</t>
  </si>
  <si>
    <t xml:space="preserve">R$7.598.513,48</t>
  </si>
  <si>
    <t xml:space="preserve">04/02/2025</t>
  </si>
  <si>
    <t xml:space="preserve">R$71.366,18</t>
  </si>
  <si>
    <t xml:space="preserve">R$973,06</t>
  </si>
  <si>
    <t xml:space="preserve">R$26.969.989,79</t>
  </si>
  <si>
    <t xml:space="preserve">R$37.986.350,00</t>
  </si>
  <si>
    <t xml:space="preserve">R$8.180.711,28</t>
  </si>
  <si>
    <t xml:space="preserve">06/02/2025</t>
  </si>
  <si>
    <t xml:space="preserve">R$79.229,03</t>
  </si>
  <si>
    <t xml:space="preserve">R$1.653,66</t>
  </si>
  <si>
    <t xml:space="preserve">R$32.224.125,49</t>
  </si>
  <si>
    <t xml:space="preserve">R$48.973.400,00</t>
  </si>
  <si>
    <t xml:space="preserve">R$8.931.302,11</t>
  </si>
  <si>
    <t xml:space="preserve">08/02/2025</t>
  </si>
  <si>
    <t xml:space="preserve">R$58.626,58</t>
  </si>
  <si>
    <t xml:space="preserve">R$1.098,56</t>
  </si>
  <si>
    <t xml:space="preserve">R$39.027.894,03</t>
  </si>
  <si>
    <t xml:space="preserve">R$63.417.410,00</t>
  </si>
  <si>
    <t xml:space="preserve">R$9.903.269,06</t>
  </si>
  <si>
    <t xml:space="preserve">11/02/2025</t>
  </si>
  <si>
    <t xml:space="preserve">R$29.262,50</t>
  </si>
  <si>
    <t xml:space="preserve">R$662,27</t>
  </si>
  <si>
    <t xml:space="preserve">R$45.280.826,62</t>
  </si>
  <si>
    <t xml:space="preserve">R$58.283.110,00</t>
  </si>
  <si>
    <t xml:space="preserve">R$10.796.545,16</t>
  </si>
  <si>
    <t xml:space="preserve">13/02/2025</t>
  </si>
  <si>
    <t xml:space="preserve">R$90.736,78</t>
  </si>
  <si>
    <t xml:space="preserve">R$1.341,86</t>
  </si>
  <si>
    <t xml:space="preserve">R$51.966.694,29</t>
  </si>
  <si>
    <t xml:space="preserve">R$62.318.465,00</t>
  </si>
  <si>
    <t xml:space="preserve">R$11.751.669,12</t>
  </si>
  <si>
    <t xml:space="preserve">15/02/2025</t>
  </si>
  <si>
    <t xml:space="preserve">R$52.384,82</t>
  </si>
  <si>
    <t xml:space="preserve">R$1.056,16</t>
  </si>
  <si>
    <t xml:space="preserve">R$81.822.809,30</t>
  </si>
  <si>
    <t xml:space="preserve">R$80.950.840,00</t>
  </si>
  <si>
    <t xml:space="preserve">R$12.992.362,18</t>
  </si>
  <si>
    <t xml:space="preserve">18/02/2025</t>
  </si>
  <si>
    <t xml:space="preserve">R$99.629,63</t>
  </si>
  <si>
    <t xml:space="preserve">R$1.441,36</t>
  </si>
  <si>
    <t xml:space="preserve">R$91.916.863,20</t>
  </si>
  <si>
    <t xml:space="preserve">R$94.085.910,00</t>
  </si>
  <si>
    <t xml:space="preserve">R$14.434.369,90</t>
  </si>
  <si>
    <t xml:space="preserve">20/02/2025</t>
  </si>
  <si>
    <t xml:space="preserve">R$61.922,77</t>
  </si>
  <si>
    <t xml:space="preserve">R$1.110,70</t>
  </si>
  <si>
    <t xml:space="preserve">R$103.779.962,72</t>
  </si>
  <si>
    <t xml:space="preserve">R$110.575.050,00</t>
  </si>
  <si>
    <t xml:space="preserve">R$16.129.098,42</t>
  </si>
  <si>
    <t xml:space="preserve">22/02/2025</t>
  </si>
  <si>
    <t xml:space="preserve">R$32.222,01</t>
  </si>
  <si>
    <t xml:space="preserve">R$751,76</t>
  </si>
  <si>
    <t xml:space="preserve">R$117.906.766,98</t>
  </si>
  <si>
    <t xml:space="preserve">R$131.674.870,00</t>
  </si>
  <si>
    <t xml:space="preserve">R$18.147.213,33</t>
  </si>
  <si>
    <t xml:space="preserve">25/02/2025</t>
  </si>
  <si>
    <t xml:space="preserve">R$131.361.519,85</t>
  </si>
  <si>
    <t xml:space="preserve">R$35.629,31</t>
  </si>
  <si>
    <t xml:space="preserve">R$919,56</t>
  </si>
  <si>
    <t xml:space="preserve">R$125.410.730,00</t>
  </si>
  <si>
    <t xml:space="preserve">R$20.069.320,90</t>
  </si>
  <si>
    <t xml:space="preserve">27/02/2025</t>
  </si>
  <si>
    <t xml:space="preserve">R$40.597,32</t>
  </si>
  <si>
    <t xml:space="preserve">R$765,55</t>
  </si>
  <si>
    <t xml:space="preserve">R$35.644.920,28</t>
  </si>
  <si>
    <t xml:space="preserve">R$25.791.255,00</t>
  </si>
  <si>
    <t xml:space="preserve">R$20.464.610,58</t>
  </si>
  <si>
    <t xml:space="preserve">01/03/2025</t>
  </si>
  <si>
    <t xml:space="preserve">R$41.734.619,60</t>
  </si>
  <si>
    <t xml:space="preserve">R$35.546,63</t>
  </si>
  <si>
    <t xml:space="preserve">R$603,29</t>
  </si>
  <si>
    <t xml:space="preserve">R$56.761.625,00</t>
  </si>
  <si>
    <t xml:space="preserve">R$21.334.567,64</t>
  </si>
  <si>
    <t xml:space="preserve">06/03/2025</t>
  </si>
  <si>
    <t xml:space="preserve">R$43.932,93</t>
  </si>
  <si>
    <t xml:space="preserve">R$816,93</t>
  </si>
  <si>
    <t xml:space="preserve">R$3.237.162,94</t>
  </si>
  <si>
    <t xml:space="preserve">R$30.173.350,00</t>
  </si>
  <si>
    <t xml:space="preserve">R$21.797.019,49</t>
  </si>
  <si>
    <t xml:space="preserve">08/03/2025</t>
  </si>
  <si>
    <t xml:space="preserve">R$57.145,35</t>
  </si>
  <si>
    <t xml:space="preserve">R$1.251,35</t>
  </si>
  <si>
    <t xml:space="preserve">R$7.658.408,59</t>
  </si>
  <si>
    <t xml:space="preserve">R$41.210.095,00</t>
  </si>
  <si>
    <t xml:space="preserve">R$22.428.626,02</t>
  </si>
  <si>
    <t xml:space="preserve">11/03/2025</t>
  </si>
  <si>
    <t xml:space="preserve">CANAL ELETRONICO; ITAPIRA/SP</t>
  </si>
  <si>
    <t xml:space="preserve">R$5.958.829,78</t>
  </si>
  <si>
    <t xml:space="preserve">R$31.673,49</t>
  </si>
  <si>
    <t xml:space="preserve">R$785,70</t>
  </si>
  <si>
    <t xml:space="preserve">R$39.700.155,00</t>
  </si>
  <si>
    <t xml:space="preserve">R$23.037.090,46</t>
  </si>
  <si>
    <t xml:space="preserve">13/03/2025</t>
  </si>
  <si>
    <t xml:space="preserve">R$86.398,67</t>
  </si>
  <si>
    <t xml:space="preserve">R$2.132,13</t>
  </si>
  <si>
    <t xml:space="preserve">R$15.984.439,52</t>
  </si>
  <si>
    <t xml:space="preserve">R$26.702.565,00</t>
  </si>
  <si>
    <t xml:space="preserve">R$23.446.347,34</t>
  </si>
  <si>
    <t xml:space="preserve">15/03/2025</t>
  </si>
  <si>
    <t xml:space="preserve">R$21.465.552,71</t>
  </si>
  <si>
    <t xml:space="preserve">R$40.759,74</t>
  </si>
  <si>
    <t xml:space="preserve">R$1.021,05</t>
  </si>
  <si>
    <t xml:space="preserve">R$51.089.040,00</t>
  </si>
  <si>
    <t xml:space="preserve">R$24.229.363,53</t>
  </si>
  <si>
    <t xml:space="preserve">18/03/2025</t>
  </si>
  <si>
    <t xml:space="preserve">R$48.367,90</t>
  </si>
  <si>
    <t xml:space="preserve">R$679,86</t>
  </si>
  <si>
    <t xml:space="preserve">R$2.672.962,98</t>
  </si>
  <si>
    <t xml:space="preserve">R$24.914.485,00</t>
  </si>
  <si>
    <t xml:space="preserve">R$24.611.215,40</t>
  </si>
  <si>
    <t xml:space="preserve">20/03/2025</t>
  </si>
  <si>
    <t xml:space="preserve">R$85.292,36</t>
  </si>
  <si>
    <t xml:space="preserve">R$1.051,30</t>
  </si>
  <si>
    <t xml:space="preserve">R$5.815.312,89</t>
  </si>
  <si>
    <t xml:space="preserve">R$29.289.605,00</t>
  </si>
  <si>
    <t xml:space="preserve">R$25.060.122,54</t>
  </si>
  <si>
    <t xml:space="preserve">22/03/2025</t>
  </si>
  <si>
    <t xml:space="preserve">R$59.604,51</t>
  </si>
  <si>
    <t xml:space="preserve">R$1.376,08</t>
  </si>
  <si>
    <t xml:space="preserve">R$10.317.021,59</t>
  </si>
  <si>
    <t xml:space="preserve">R$41.960.085,00</t>
  </si>
  <si>
    <t xml:space="preserve">R$25.703.223,80</t>
  </si>
  <si>
    <t xml:space="preserve">25/03/2025</t>
  </si>
  <si>
    <t xml:space="preserve">R$73.167,72</t>
  </si>
  <si>
    <t xml:space="preserve">R$1.510,33</t>
  </si>
  <si>
    <t xml:space="preserve">R$26.612.869,46</t>
  </si>
  <si>
    <t xml:space="preserve">R$36.432.665,00</t>
  </si>
  <si>
    <t xml:space="preserve">R$26.261.609,04</t>
  </si>
  <si>
    <t xml:space="preserve">27/03/2025</t>
  </si>
  <si>
    <t xml:space="preserve">R$86.551,10</t>
  </si>
  <si>
    <t xml:space="preserve">R$1.661,45</t>
  </si>
  <si>
    <t xml:space="preserve">R$31.555.392,82</t>
  </si>
  <si>
    <t xml:space="preserve">R$46.068.885,00</t>
  </si>
  <si>
    <t xml:space="preserve">R$26.967.683,81</t>
  </si>
  <si>
    <t xml:space="preserve">29/03/2025</t>
  </si>
  <si>
    <t xml:space="preserve">R$48.408,41</t>
  </si>
  <si>
    <t xml:space="preserve">R$871,65</t>
  </si>
  <si>
    <t xml:space="preserve">R$38.154.224,06</t>
  </si>
  <si>
    <t xml:space="preserve">R$61.507.205,00</t>
  </si>
  <si>
    <t xml:space="preserve">R$27.910.373,99</t>
  </si>
  <si>
    <t xml:space="preserve">01/04/2025</t>
  </si>
  <si>
    <t xml:space="preserve">R$26.421,84</t>
  </si>
  <si>
    <t xml:space="preserve">R$678,48</t>
  </si>
  <si>
    <t xml:space="preserve">R$44.238.200,23</t>
  </si>
  <si>
    <t xml:space="preserve">R$56.708.280,00</t>
  </si>
  <si>
    <t xml:space="preserve">R$28.779.513,46</t>
  </si>
  <si>
    <t xml:space="preserve">03/04/2025</t>
  </si>
  <si>
    <t xml:space="preserve">R$50.494,97</t>
  </si>
  <si>
    <t xml:space="preserve">R$1.052,54</t>
  </si>
  <si>
    <t xml:space="preserve">R$51.028.444,89</t>
  </si>
  <si>
    <t xml:space="preserve">R$63.291.355,00</t>
  </si>
  <si>
    <t xml:space="preserve">R$29.749.548,43</t>
  </si>
  <si>
    <t xml:space="preserve">05/04/2025</t>
  </si>
  <si>
    <t xml:space="preserve">CRUZEIRO/SP</t>
  </si>
  <si>
    <t xml:space="preserve">R$59.714.933,41</t>
  </si>
  <si>
    <t xml:space="preserve">R$28.753,18</t>
  </si>
  <si>
    <t xml:space="preserve">R$791,96</t>
  </si>
  <si>
    <t xml:space="preserve">R$20.807.011,62</t>
  </si>
  <si>
    <t xml:space="preserve">R$80.966.100,00</t>
  </si>
  <si>
    <t xml:space="preserve">R$30.990.475,37</t>
  </si>
  <si>
    <t xml:space="preserve">08/04/2025</t>
  </si>
  <si>
    <t xml:space="preserve">R$100.669,78</t>
  </si>
  <si>
    <t xml:space="preserve">R$1.325,71</t>
  </si>
  <si>
    <t xml:space="preserve">R$25.443.119,55</t>
  </si>
  <si>
    <t xml:space="preserve">R$43.212.810,00</t>
  </si>
  <si>
    <t xml:space="preserve">R$31.652.776,52</t>
  </si>
  <si>
    <t xml:space="preserve">10/04/2025</t>
  </si>
  <si>
    <t xml:space="preserve">R$45.928,67</t>
  </si>
  <si>
    <t xml:space="preserve">R$923,25</t>
  </si>
  <si>
    <t xml:space="preserve">R$30.519.446,16</t>
  </si>
  <si>
    <t xml:space="preserve">R$47.316.055,00</t>
  </si>
  <si>
    <t xml:space="preserve">R$32.377.966,04</t>
  </si>
  <si>
    <t xml:space="preserve">12/04/2025</t>
  </si>
  <si>
    <t xml:space="preserve">R$61.845,62</t>
  </si>
  <si>
    <t xml:space="preserve">R$1.098,23</t>
  </si>
  <si>
    <t xml:space="preserve">R$37.127.162,24</t>
  </si>
  <si>
    <t xml:space="preserve">R$61.590.020,00</t>
  </si>
  <si>
    <t xml:space="preserve">R$33.321.925,49</t>
  </si>
  <si>
    <t xml:space="preserve">15/04/2025</t>
  </si>
  <si>
    <t xml:space="preserve">R$31.514,18</t>
  </si>
  <si>
    <t xml:space="preserve">R$849,28</t>
  </si>
  <si>
    <t xml:space="preserve">R$43.048.510,22</t>
  </si>
  <si>
    <t xml:space="preserve">R$55.192.435,00</t>
  </si>
  <si>
    <t xml:space="preserve">R$34.167.832,36</t>
  </si>
  <si>
    <t xml:space="preserve">19/04/2025</t>
  </si>
  <si>
    <t xml:space="preserve">CONCORDIA/SC</t>
  </si>
  <si>
    <t xml:space="preserve">R$52.035.653,48</t>
  </si>
  <si>
    <t xml:space="preserve">R$48.304,31</t>
  </si>
  <si>
    <t xml:space="preserve">R$961,85</t>
  </si>
  <si>
    <t xml:space="preserve">R$19.629.432,02</t>
  </si>
  <si>
    <t xml:space="preserve">R$83.768.480,00</t>
  </si>
  <si>
    <t xml:space="preserve">R$35.451.709,98</t>
  </si>
  <si>
    <t xml:space="preserve">24/04/2025</t>
  </si>
  <si>
    <t xml:space="preserve">BALNEARIO GAIVOTA/SC</t>
  </si>
  <si>
    <t xml:space="preserve">R$25.245.913,24</t>
  </si>
  <si>
    <t xml:space="preserve">R$50.815,78</t>
  </si>
  <si>
    <t xml:space="preserve">R$1.179,11</t>
  </si>
  <si>
    <t xml:space="preserve">R$52.350.795,00</t>
  </si>
  <si>
    <t xml:space="preserve">R$36.254.064,46</t>
  </si>
  <si>
    <t xml:space="preserve">26/04/2025</t>
  </si>
  <si>
    <t xml:space="preserve">R$38.163,34</t>
  </si>
  <si>
    <t xml:space="preserve">R$646,57</t>
  </si>
  <si>
    <t xml:space="preserve">R$3.515.044,19</t>
  </si>
  <si>
    <t xml:space="preserve">R$32.763.460,00</t>
  </si>
  <si>
    <t xml:space="preserve">R$36.756.213,65</t>
  </si>
  <si>
    <t xml:space="preserve">29/04/2025</t>
  </si>
  <si>
    <t xml:space="preserve">R$48.309,97</t>
  </si>
  <si>
    <t xml:space="preserve">R$1.494,16</t>
  </si>
  <si>
    <t xml:space="preserve">R$6.807.749,90</t>
  </si>
  <si>
    <t xml:space="preserve">R$30.691.060,00</t>
  </si>
  <si>
    <t xml:space="preserve">R$37.226.600,19</t>
  </si>
  <si>
    <t xml:space="preserve">03/05/2025</t>
  </si>
  <si>
    <t xml:space="preserve">R$42.013,90</t>
  </si>
  <si>
    <t xml:space="preserve">R$842,76</t>
  </si>
  <si>
    <t xml:space="preserve">R$12.844.483,43</t>
  </si>
  <si>
    <t xml:space="preserve">R$56.267.935,00</t>
  </si>
  <si>
    <t xml:space="preserve">R$38.088.990,71</t>
  </si>
  <si>
    <t xml:space="preserve">06/05/2025</t>
  </si>
  <si>
    <t xml:space="preserve">R$33.331,53</t>
  </si>
  <si>
    <t xml:space="preserve">R$832,15</t>
  </si>
  <si>
    <t xml:space="preserve">R$32.148.100,21</t>
  </si>
  <si>
    <t xml:space="preserve">R$44.067.590,00</t>
  </si>
  <si>
    <t xml:space="preserve">R$38.764.392,64</t>
  </si>
  <si>
    <t xml:space="preserve">08/05/2025</t>
  </si>
  <si>
    <t xml:space="preserve">R$25.909,13</t>
  </si>
  <si>
    <t xml:space="preserve">R$664,13</t>
  </si>
  <si>
    <t xml:space="preserve">R$37.827.652,42</t>
  </si>
  <si>
    <t xml:space="preserve">R$52.938.675,00</t>
  </si>
  <si>
    <t xml:space="preserve">R$39.575.757,26</t>
  </si>
  <si>
    <t xml:space="preserve">10/05/2025</t>
  </si>
  <si>
    <t xml:space="preserve">R$72.740,95</t>
  </si>
  <si>
    <t xml:space="preserve">R$963,80</t>
  </si>
  <si>
    <t xml:space="preserve">R$45.197.458,72</t>
  </si>
  <si>
    <t xml:space="preserve">R$68.693.405,00</t>
  </si>
  <si>
    <t xml:space="preserve">R$40.628.586,75</t>
  </si>
  <si>
    <t xml:space="preserve">13/05/2025</t>
  </si>
  <si>
    <t xml:space="preserve">R$26.070,20</t>
  </si>
  <si>
    <t xml:space="preserve">R$634,72</t>
  </si>
  <si>
    <t xml:space="preserve">R$51.872.800,07</t>
  </si>
  <si>
    <t xml:space="preserve">R$62.220.350,00</t>
  </si>
  <si>
    <t xml:space="preserve">R$41.582.206,96</t>
  </si>
  <si>
    <t xml:space="preserve">15/05/2025</t>
  </si>
  <si>
    <t xml:space="preserve">R$23.280,53</t>
  </si>
  <si>
    <t xml:space="preserve">R$695,73</t>
  </si>
  <si>
    <t xml:space="preserve">R$59.249.050,47</t>
  </si>
  <si>
    <t xml:space="preserve">R$68.753.470,00</t>
  </si>
  <si>
    <t xml:space="preserve">R$42.635.957,04</t>
  </si>
  <si>
    <t xml:space="preserve">17/05/2025</t>
  </si>
  <si>
    <t xml:space="preserve">R$64.445,11</t>
  </si>
  <si>
    <t xml:space="preserve">R$912,70</t>
  </si>
  <si>
    <t xml:space="preserve">R$91.170.754,36</t>
  </si>
  <si>
    <t xml:space="preserve">R$85.202.850,00</t>
  </si>
  <si>
    <t xml:space="preserve">R$43.941.818,53</t>
  </si>
  <si>
    <t xml:space="preserve">20/05/2025</t>
  </si>
  <si>
    <t xml:space="preserve">GOIANIA/GO; CARAGUATATUBA/SP</t>
  </si>
  <si>
    <t xml:space="preserve">R$51.507.067,95</t>
  </si>
  <si>
    <t xml:space="preserve">R$68.396,43</t>
  </si>
  <si>
    <t xml:space="preserve">R$1.254,90</t>
  </si>
  <si>
    <t xml:space="preserve">R$110.391.260,00</t>
  </si>
  <si>
    <t xml:space="preserve">R$45.633.730,18</t>
  </si>
  <si>
    <t xml:space="preserve">22/05/2025</t>
  </si>
  <si>
    <t xml:space="preserve">R$2.784.095,20</t>
  </si>
  <si>
    <t xml:space="preserve">R$27.479,38</t>
  </si>
  <si>
    <t xml:space="preserve">R$556,18</t>
  </si>
  <si>
    <t xml:space="preserve">R$25.950.340,00</t>
  </si>
  <si>
    <t xml:space="preserve">R$46.031.458,09</t>
  </si>
  <si>
    <t xml:space="preserve">24/05/2025</t>
  </si>
  <si>
    <t xml:space="preserve">R$22.898,73</t>
  </si>
  <si>
    <t xml:space="preserve">R$531,17</t>
  </si>
  <si>
    <t xml:space="preserve">R$3.458.912,41</t>
  </si>
  <si>
    <t xml:space="preserve">R$32.240.260,00</t>
  </si>
  <si>
    <t xml:space="preserve">R$46.525.588,44</t>
  </si>
  <si>
    <t xml:space="preserve">27/05/2025</t>
  </si>
  <si>
    <t xml:space="preserve">R$62.629,59</t>
  </si>
  <si>
    <t xml:space="preserve">R$952,51</t>
  </si>
  <si>
    <t xml:space="preserve">R$6.804.650,96</t>
  </si>
  <si>
    <t xml:space="preserve">R$31.185.375,00</t>
  </si>
  <si>
    <t xml:space="preserve">R$47.003.551,11</t>
  </si>
  <si>
    <t xml:space="preserve">29/05/2025</t>
  </si>
  <si>
    <t xml:space="preserve">R$49.689,38</t>
  </si>
  <si>
    <t xml:space="preserve">R$1.114,23</t>
  </si>
  <si>
    <t xml:space="preserve">R$26.388.067,09</t>
  </si>
  <si>
    <t xml:space="preserve">R$34.980.080,00</t>
  </si>
  <si>
    <t xml:space="preserve">R$47.539.673,32</t>
  </si>
  <si>
    <t xml:space="preserve">31/05/2025</t>
  </si>
  <si>
    <t xml:space="preserve">R$34.085,94</t>
  </si>
  <si>
    <t xml:space="preserve">R$800,86</t>
  </si>
  <si>
    <t xml:space="preserve">R$32.415.897,54</t>
  </si>
  <si>
    <t xml:space="preserve">R$56.184.950,00</t>
  </si>
  <si>
    <t xml:space="preserve">R$48.400.791,96</t>
  </si>
  <si>
    <t xml:space="preserve">03/06/2025</t>
  </si>
  <si>
    <t xml:space="preserve">R$59.987,23</t>
  </si>
  <si>
    <t xml:space="preserve">R$1.122,84</t>
  </si>
  <si>
    <t xml:space="preserve">R$38.272.544,85</t>
  </si>
  <si>
    <t xml:space="preserve">R$54.589.365,00</t>
  </si>
  <si>
    <t xml:space="preserve">R$49.237.455,88</t>
  </si>
  <si>
    <t xml:space="preserve">05/06/2025</t>
  </si>
  <si>
    <t xml:space="preserve">R$37.891,21</t>
  </si>
  <si>
    <t xml:space="preserve">R$876,47</t>
  </si>
  <si>
    <t xml:space="preserve">R$44.065.911,96</t>
  </si>
  <si>
    <t xml:space="preserve">R$53.999.535,00</t>
  </si>
  <si>
    <t xml:space="preserve">R$50.065.079,76</t>
  </si>
  <si>
    <t xml:space="preserve">07/06/2025</t>
  </si>
  <si>
    <t xml:space="preserve">R$44.356,88</t>
  </si>
  <si>
    <t xml:space="preserve">R$681,13</t>
  </si>
  <si>
    <t xml:space="preserve">R$51.828.366,02</t>
  </si>
  <si>
    <t xml:space="preserve">R$72.353.245,00</t>
  </si>
  <si>
    <t xml:space="preserve">R$51.174.001,79</t>
  </si>
  <si>
    <t xml:space="preserve">10/06/2025</t>
  </si>
  <si>
    <t xml:space="preserve">R$29.299,33</t>
  </si>
  <si>
    <t xml:space="preserve">R$613,09</t>
  </si>
  <si>
    <t xml:space="preserve">R$79.509.843,99</t>
  </si>
  <si>
    <t xml:space="preserve">R$66.908.725,00</t>
  </si>
  <si>
    <t xml:space="preserve">R$52.199.478,38</t>
  </si>
  <si>
    <t xml:space="preserve">12/06/2025</t>
  </si>
  <si>
    <t xml:space="preserve">R$77.957,21</t>
  </si>
  <si>
    <t xml:space="preserve">R$1.459,06</t>
  </si>
  <si>
    <t xml:space="preserve">R$88.269.772,11</t>
  </si>
  <si>
    <t xml:space="preserve">R$81.650.625,00</t>
  </si>
  <si>
    <t xml:space="preserve">R$53.450.896,71</t>
  </si>
  <si>
    <t xml:space="preserve">14/06/2025</t>
  </si>
  <si>
    <t xml:space="preserve">R$102.600,96</t>
  </si>
  <si>
    <t xml:space="preserve">R$1.555,75</t>
  </si>
  <si>
    <t xml:space="preserve">R$99.798.879,53</t>
  </si>
  <si>
    <t xml:space="preserve">R$107.461.935,00</t>
  </si>
  <si>
    <t xml:space="preserve">R$55.097.912,06</t>
  </si>
  <si>
    <t xml:space="preserve">17/06/2025</t>
  </si>
  <si>
    <t xml:space="preserve">R$36.981,33</t>
  </si>
  <si>
    <t xml:space="preserve">R$891,01</t>
  </si>
  <si>
    <t xml:space="preserve">R$110.971.133,93</t>
  </si>
  <si>
    <t xml:space="preserve">R$104.135.735,00</t>
  </si>
  <si>
    <t xml:space="preserve">R$56.693.948,42</t>
  </si>
  <si>
    <t xml:space="preserve">21/06/2025</t>
  </si>
  <si>
    <t xml:space="preserve">MATOZINHOS/MG</t>
  </si>
  <si>
    <t xml:space="preserve">R$127.048.366,05</t>
  </si>
  <si>
    <t xml:space="preserve">R$75.238,28</t>
  </si>
  <si>
    <t xml:space="preserve">R$1.349,50</t>
  </si>
  <si>
    <t xml:space="preserve">R$149.854.660,00</t>
  </si>
  <si>
    <t xml:space="preserve">R$58.990.695,88</t>
  </si>
  <si>
    <t xml:space="preserve">24/06/2025</t>
  </si>
  <si>
    <t xml:space="preserve">R$17.732,87</t>
  </si>
  <si>
    <t xml:space="preserve">R$1.353,90</t>
  </si>
  <si>
    <t xml:space="preserve">R$34.296.841,89</t>
  </si>
  <si>
    <t xml:space="preserve">R$25.271.475,00</t>
  </si>
  <si>
    <t xml:space="preserve">R$59.378.019,15</t>
  </si>
  <si>
    <t xml:space="preserve">26/06/2025</t>
  </si>
  <si>
    <t xml:space="preserve">R$46.466,44</t>
  </si>
  <si>
    <t xml:space="preserve">R$1.049,49</t>
  </si>
  <si>
    <t xml:space="preserve">R$38.747.837,27</t>
  </si>
  <si>
    <t xml:space="preserve">R$41.487.390,00</t>
  </si>
  <si>
    <t xml:space="preserve">R$60.013.875,65</t>
  </si>
  <si>
    <t xml:space="preserve">28/06/2025</t>
  </si>
  <si>
    <t xml:space="preserve">R$53.142,41</t>
  </si>
  <si>
    <t xml:space="preserve">R$982,38</t>
  </si>
  <si>
    <t xml:space="preserve">R$44.719.365,89</t>
  </si>
  <si>
    <t xml:space="preserve">R$55.660.165,00</t>
  </si>
  <si>
    <t xml:space="preserve">R$60.866.951,19</t>
  </si>
  <si>
    <t xml:space="preserve">01/07/2025</t>
  </si>
  <si>
    <t xml:space="preserve">R$50.722.168,24</t>
  </si>
  <si>
    <t xml:space="preserve">R$33.594,47</t>
  </si>
  <si>
    <t xml:space="preserve">R$867,70</t>
  </si>
  <si>
    <t xml:space="preserve">R$55.951.665,00</t>
  </si>
  <si>
    <t xml:space="preserve">R$61.724.494,40</t>
  </si>
  <si>
    <t xml:space="preserve">03/07/2025</t>
  </si>
  <si>
    <t xml:space="preserve">R$57.548,57</t>
  </si>
  <si>
    <t xml:space="preserve">R$1.423,81</t>
  </si>
  <si>
    <t xml:space="preserve">R$2.862.283,80</t>
  </si>
  <si>
    <t xml:space="preserve">R$26.679.130,00</t>
  </si>
  <si>
    <t xml:space="preserve">R$62.133.392,10</t>
  </si>
  <si>
    <t xml:space="preserve">05/07/2025</t>
  </si>
  <si>
    <t xml:space="preserve">R$26.769,73</t>
  </si>
  <si>
    <t xml:space="preserve">R$970,84</t>
  </si>
  <si>
    <t xml:space="preserve">R$21.972.823,60</t>
  </si>
  <si>
    <t xml:space="preserve">R$39.988.640,00</t>
  </si>
  <si>
    <t xml:space="preserve">R$62.746.278,01</t>
  </si>
  <si>
    <t xml:space="preserve">08/07/2025</t>
  </si>
  <si>
    <t xml:space="preserve">R$63.448,68</t>
  </si>
  <si>
    <t xml:space="preserve">R$1.100,46</t>
  </si>
  <si>
    <t xml:space="preserve">R$26.764.868,86</t>
  </si>
  <si>
    <t xml:space="preserve">R$44.666.290,00</t>
  </si>
  <si>
    <t xml:space="preserve">R$63.430.855,92</t>
  </si>
  <si>
    <t xml:space="preserve">10/07/2025</t>
  </si>
  <si>
    <t xml:space="preserve">R$43.588,00</t>
  </si>
  <si>
    <t xml:space="preserve">R$889,96</t>
  </si>
  <si>
    <t xml:space="preserve">R$31.662.783,44</t>
  </si>
  <si>
    <t xml:space="preserve">R$45.653.090,00</t>
  </si>
  <si>
    <t xml:space="preserve">R$64.130.558,01</t>
  </si>
  <si>
    <t xml:space="preserve">12/07/2025</t>
  </si>
  <si>
    <t xml:space="preserve">R$96.688,72</t>
  </si>
  <si>
    <t xml:space="preserve">R$1.689,22</t>
  </si>
  <si>
    <t xml:space="preserve">R$38.609.104,58</t>
  </si>
  <si>
    <t xml:space="preserve">R$64.746.132,00</t>
  </si>
  <si>
    <t xml:space="preserve">R$65.122.889,62</t>
  </si>
  <si>
    <t xml:space="preserve">15/07/2025</t>
  </si>
  <si>
    <t xml:space="preserve">R$45.115.606,88</t>
  </si>
  <si>
    <t xml:space="preserve">R$26.962,60</t>
  </si>
  <si>
    <t xml:space="preserve">R$721,24</t>
  </si>
  <si>
    <t xml:space="preserve">R$60.646.614,00</t>
  </si>
  <si>
    <t xml:space="preserve">R$66.052.389,96</t>
  </si>
  <si>
    <t xml:space="preserve">17/07/2025</t>
  </si>
  <si>
    <t xml:space="preserve">R$71.317,50</t>
  </si>
  <si>
    <t xml:space="preserve">R$1.399,81</t>
  </si>
  <si>
    <t xml:space="preserve">R$19.467.800,15</t>
  </si>
  <si>
    <t xml:space="preserve">R$28.164.198,00</t>
  </si>
  <si>
    <t xml:space="preserve">R$66.484.048,56</t>
  </si>
  <si>
    <t xml:space="preserve">19/07/2025</t>
  </si>
  <si>
    <t xml:space="preserve">R$60.620,89</t>
  </si>
  <si>
    <t xml:space="preserve">R$1.262,93</t>
  </si>
  <si>
    <t xml:space="preserve">R$24.939.632,94</t>
  </si>
  <si>
    <t xml:space="preserve">R$51.002.538,00</t>
  </si>
  <si>
    <t xml:space="preserve">R$67.265.738,97</t>
  </si>
  <si>
    <t xml:space="preserve">22/07/2025</t>
  </si>
  <si>
    <t xml:space="preserve">R$70.587,08</t>
  </si>
  <si>
    <t xml:space="preserve">R$1.375,83</t>
  </si>
  <si>
    <t xml:space="preserve">R$30.270.815,08</t>
  </si>
  <si>
    <t xml:space="preserve">R$49.691.544,00</t>
  </si>
  <si>
    <t xml:space="preserve">R$68.027.336,43</t>
  </si>
  <si>
    <t xml:space="preserve">24/07/2025</t>
  </si>
  <si>
    <t xml:space="preserve">R$68.977,98</t>
  </si>
  <si>
    <t xml:space="preserve">R$1.115,24</t>
  </si>
  <si>
    <t xml:space="preserve">R$35.607.531,86</t>
  </si>
  <si>
    <t xml:space="preserve">R$49.743.132,00</t>
  </si>
  <si>
    <t xml:space="preserve">R$68.789.724,55</t>
  </si>
  <si>
    <t xml:space="preserve">26/07/2025</t>
  </si>
  <si>
    <t xml:space="preserve">R$119.274,80</t>
  </si>
  <si>
    <t xml:space="preserve">R$1.877,60</t>
  </si>
  <si>
    <t xml:space="preserve">R$42.638.467,14</t>
  </si>
  <si>
    <t xml:space="preserve">R$65.534.814,00</t>
  </si>
  <si>
    <t xml:space="preserve">R$69.794.143,90</t>
  </si>
  <si>
    <t xml:space="preserve">29/07/2025</t>
  </si>
  <si>
    <t xml:space="preserve">R$67.184,51</t>
  </si>
  <si>
    <t xml:space="preserve">R$1.139,20</t>
  </si>
  <si>
    <t xml:space="preserve">R$67.683.670,18</t>
  </si>
  <si>
    <t xml:space="preserve">R$59.985.450,00</t>
  </si>
  <si>
    <t xml:space="preserve">R$70.713.510,91</t>
  </si>
  <si>
    <t xml:space="preserve">31/07/2025</t>
  </si>
  <si>
    <t xml:space="preserve">R$87.028,54</t>
  </si>
  <si>
    <t xml:space="preserve">R$1.431,84</t>
  </si>
  <si>
    <t xml:space="preserve">R$75.218.509,80</t>
  </si>
  <si>
    <t xml:space="preserve">R$70.231.668,00</t>
  </si>
  <si>
    <t xml:space="preserve">R$71.789.916,58</t>
  </si>
  <si>
    <t xml:space="preserve">02/08/2025</t>
  </si>
  <si>
    <t xml:space="preserve">R$47.035,94</t>
  </si>
  <si>
    <t xml:space="preserve">R$950,41</t>
  </si>
  <si>
    <t xml:space="preserve">R$86.507.134,73</t>
  </si>
  <si>
    <t xml:space="preserve">R$92.067.864,00</t>
  </si>
  <si>
    <t xml:space="preserve">R$74.612.072,83</t>
  </si>
  <si>
    <t xml:space="preserve">05/08/2025</t>
  </si>
  <si>
    <t xml:space="preserve">BARRA DE SAO FRANCISCO/ES</t>
  </si>
  <si>
    <t xml:space="preserve">R$99.592.255,98</t>
  </si>
  <si>
    <t xml:space="preserve">R$36.347,56</t>
  </si>
  <si>
    <t xml:space="preserve">R$917,04</t>
  </si>
  <si>
    <t xml:space="preserve">R$106.719.744,00</t>
  </si>
  <si>
    <t xml:space="preserve">R$77.883.353,15</t>
  </si>
  <si>
    <t xml:space="preserve">07/08/2025</t>
  </si>
  <si>
    <t xml:space="preserve">R$61.349,01</t>
  </si>
  <si>
    <t xml:space="preserve">R$1.363,78</t>
  </si>
  <si>
    <t xml:space="preserve">R$3.775.323,78</t>
  </si>
  <si>
    <t xml:space="preserve">R$30.790.818,00</t>
  </si>
  <si>
    <t xml:space="preserve">R$78.827.184,10</t>
  </si>
  <si>
    <t xml:space="preserve">09/08/2025</t>
  </si>
  <si>
    <t xml:space="preserve">R$32.574,43</t>
  </si>
  <si>
    <t xml:space="preserve">R$890,92</t>
  </si>
  <si>
    <t xml:space="preserve">R$32.693.374,71</t>
  </si>
  <si>
    <t xml:space="preserve">R$45.777.120,00</t>
  </si>
  <si>
    <t xml:space="preserve">R$80.230.390,18</t>
  </si>
  <si>
    <t xml:space="preserve">12/08/2025</t>
  </si>
  <si>
    <t xml:space="preserve">R$40.487,59</t>
  </si>
  <si>
    <t xml:space="preserve">R$1.226,03</t>
  </si>
  <si>
    <t xml:space="preserve">R$39.295.966,90</t>
  </si>
  <si>
    <t xml:space="preserve">R$53.849.478,00</t>
  </si>
  <si>
    <t xml:space="preserve">R$81.881.038,24</t>
  </si>
  <si>
    <t xml:space="preserve">14/08/2025</t>
  </si>
  <si>
    <t xml:space="preserve">R$59.141,96</t>
  </si>
  <si>
    <t xml:space="preserve">R$1.190,77</t>
  </si>
  <si>
    <t xml:space="preserve">R$46.211.026,95</t>
  </si>
  <si>
    <t xml:space="preserve">R$56.397.906,00</t>
  </si>
  <si>
    <t xml:space="preserve">R$83.609.803,26</t>
  </si>
  <si>
    <t xml:space="preserve">16/08/2025</t>
  </si>
  <si>
    <t xml:space="preserve">R$40.125,94</t>
  </si>
  <si>
    <t xml:space="preserve">R$941,23</t>
  </si>
  <si>
    <t xml:space="preserve">R$54.853.537,55</t>
  </si>
  <si>
    <t xml:space="preserve">R$70.486.662,00</t>
  </si>
  <si>
    <t xml:space="preserve">R$85.770.430,92</t>
  </si>
  <si>
    <t xml:space="preserve">19/08/2025</t>
  </si>
  <si>
    <t xml:space="preserve">CAXIAS/MA</t>
  </si>
  <si>
    <t xml:space="preserve">R$63.090.150,68</t>
  </si>
  <si>
    <t xml:space="preserve">R$52.488,22</t>
  </si>
  <si>
    <t xml:space="preserve">R$1.180,75</t>
  </si>
  <si>
    <t xml:space="preserve">R$67.176.240,00</t>
  </si>
  <si>
    <t xml:space="preserve">R$87.829.584,22</t>
  </si>
  <si>
    <t xml:space="preserve">21/08/2025</t>
  </si>
  <si>
    <t xml:space="preserve">R$110.552,20</t>
  </si>
  <si>
    <t xml:space="preserve">R$1.531,33</t>
  </si>
  <si>
    <t xml:space="preserve">R$21.990.716,19</t>
  </si>
  <si>
    <t xml:space="preserve">R$27.742.848,00</t>
  </si>
  <si>
    <t xml:space="preserve">R$88.679.985,76</t>
  </si>
  <si>
    <t xml:space="preserve">23/08/2025</t>
  </si>
  <si>
    <t xml:space="preserve">R$50.671,85</t>
  </si>
  <si>
    <t xml:space="preserve">R$981,75</t>
  </si>
  <si>
    <t xml:space="preserve">R$28.071.338,07</t>
  </si>
  <si>
    <t xml:space="preserve">R$49.592.388,00</t>
  </si>
  <si>
    <t xml:space="preserve">R$90.200.141,23</t>
  </si>
  <si>
    <t xml:space="preserve">26/08/2025</t>
  </si>
  <si>
    <t xml:space="preserve">R$33.707.841,37</t>
  </si>
  <si>
    <t xml:space="preserve">R$42.601,48</t>
  </si>
  <si>
    <t xml:space="preserve">R$929,09</t>
  </si>
  <si>
    <t xml:space="preserve">R$45.970.242,00</t>
  </si>
  <si>
    <t xml:space="preserve">R$91.609.267,08</t>
  </si>
  <si>
    <t xml:space="preserve">28/08/2025</t>
  </si>
  <si>
    <t xml:space="preserve">R$49.173,21</t>
  </si>
  <si>
    <t xml:space="preserve">R$1.432,29</t>
  </si>
  <si>
    <t xml:space="preserve">R$3.328.648,01</t>
  </si>
  <si>
    <t xml:space="preserve">R$27.147.816,00</t>
  </si>
  <si>
    <t xml:space="preserve">R$92.441.429,09</t>
  </si>
  <si>
    <t xml:space="preserve">30/08/2025</t>
  </si>
  <si>
    <t xml:space="preserve">R$54.694,54</t>
  </si>
  <si>
    <t xml:space="preserve">R$1.319,99</t>
  </si>
  <si>
    <t xml:space="preserve">R$8.377.374,41</t>
  </si>
  <si>
    <t xml:space="preserve">R$41.176.446,00</t>
  </si>
  <si>
    <t xml:space="preserve">R$93.703.610,70</t>
  </si>
  <si>
    <t xml:space="preserve">02/09/2025</t>
  </si>
  <si>
    <t xml:space="preserve">R$81.227,49</t>
  </si>
  <si>
    <t xml:space="preserve">R$1.401,61</t>
  </si>
  <si>
    <t xml:space="preserve">R$26.789.809,43</t>
  </si>
  <si>
    <t xml:space="preserve">R$38.729.358,00</t>
  </si>
  <si>
    <t xml:space="preserve">R$94.890.781,72</t>
  </si>
  <si>
    <t xml:space="preserve">04/09/2025</t>
  </si>
  <si>
    <t xml:space="preserve">R$22.501,55</t>
  </si>
  <si>
    <t xml:space="preserve">R$613,82</t>
  </si>
  <si>
    <t xml:space="preserve">R$32.328.651,54</t>
  </si>
  <si>
    <t xml:space="preserve">R$45.173.736,00</t>
  </si>
  <si>
    <t xml:space="preserve">R$96.275.492,28</t>
  </si>
  <si>
    <t xml:space="preserve">06/09/2025</t>
  </si>
  <si>
    <t xml:space="preserve">R$30.684,05</t>
  </si>
  <si>
    <t xml:space="preserve">R$950,57</t>
  </si>
  <si>
    <t xml:space="preserve">R$39.598.410,70</t>
  </si>
  <si>
    <t xml:space="preserve">R$59.290.764,00</t>
  </si>
  <si>
    <t xml:space="preserve">R$98.092.932,07</t>
  </si>
  <si>
    <t xml:space="preserve">09/09/2025</t>
  </si>
  <si>
    <t xml:space="preserve">R$34.049,50</t>
  </si>
  <si>
    <t xml:space="preserve">R$991,05</t>
  </si>
  <si>
    <t xml:space="preserve">R$46.722.614,20</t>
  </si>
  <si>
    <t xml:space="preserve">R$58.103.640,00</t>
  </si>
  <si>
    <t xml:space="preserve">R$99.873.982,95</t>
  </si>
  <si>
    <t xml:space="preserve">11/09/2025</t>
  </si>
  <si>
    <t xml:space="preserve">TERESOPOLIS/RJ</t>
  </si>
  <si>
    <t xml:space="preserve">R$53.944.790,09</t>
  </si>
  <si>
    <t xml:space="preserve">R$63.438,03</t>
  </si>
  <si>
    <t xml:space="preserve">R$1.007,29</t>
  </si>
  <si>
    <t xml:space="preserve">R$58.902.684,00</t>
  </si>
  <si>
    <t xml:space="preserve">R$101.679.526,94</t>
  </si>
  <si>
    <t xml:space="preserve">13/09/2025</t>
  </si>
  <si>
    <t xml:space="preserve">R$62.315,01</t>
  </si>
  <si>
    <t xml:space="preserve">R$1.468,33</t>
  </si>
  <si>
    <t xml:space="preserve">R$21.473.522,01</t>
  </si>
  <si>
    <t xml:space="preserve">R$34.403.214,00</t>
  </si>
  <si>
    <t xml:space="preserve">R$102.734.088,66</t>
  </si>
  <si>
    <t xml:space="preserve">16/09/2025</t>
  </si>
  <si>
    <t xml:space="preserve">R$50.164,01</t>
  </si>
  <si>
    <t xml:space="preserve">R$1.030,47</t>
  </si>
  <si>
    <t xml:space="preserve">R$26.567.098,65</t>
  </si>
  <si>
    <t xml:space="preserve">R$41.542.236,00</t>
  </si>
  <si>
    <t xml:space="preserve">R$104.007.482,84</t>
  </si>
  <si>
    <t xml:space="preserve">18/09/2025</t>
  </si>
  <si>
    <t xml:space="preserve">R$34.291,78</t>
  </si>
  <si>
    <t xml:space="preserve">R$889,49</t>
  </si>
  <si>
    <t xml:space="preserve">R$32.159.296,11</t>
  </si>
  <si>
    <t xml:space="preserve">R$45.608.892,00</t>
  </si>
  <si>
    <t xml:space="preserve">R$105.405.532,21</t>
  </si>
  <si>
    <t xml:space="preserve">20/09/2025</t>
  </si>
  <si>
    <t xml:space="preserve">R$49.174,73</t>
  </si>
  <si>
    <t xml:space="preserve">R$1.125,79</t>
  </si>
  <si>
    <t xml:space="preserve">R$39.422.025,91</t>
  </si>
  <si>
    <t xml:space="preserve">R$59.233.434,00</t>
  </si>
  <si>
    <t xml:space="preserve">R$107.221.214,67</t>
  </si>
  <si>
    <t xml:space="preserve">23/09/2025</t>
  </si>
  <si>
    <t xml:space="preserve">R$46.464,77</t>
  </si>
  <si>
    <t xml:space="preserve">R$1.232,30</t>
  </si>
  <si>
    <t xml:space="preserve">R$45.998.578,26</t>
  </si>
  <si>
    <t xml:space="preserve">R$53.637.102,00</t>
  </si>
  <si>
    <t xml:space="preserve">R$108.865.352,77</t>
  </si>
  <si>
    <t xml:space="preserve">25/09/2025</t>
  </si>
  <si>
    <t xml:space="preserve">R$34.524,56</t>
  </si>
  <si>
    <t xml:space="preserve">R$909,21</t>
  </si>
  <si>
    <t xml:space="preserve">R$70.354.628,91</t>
  </si>
  <si>
    <t xml:space="preserve">R$57.181.530,00</t>
  </si>
  <si>
    <t xml:space="preserve">R$110.618.138,22</t>
  </si>
  <si>
    <t xml:space="preserve">27/09/2025</t>
  </si>
  <si>
    <t xml:space="preserve">R$80.688.743,70</t>
  </si>
  <si>
    <t xml:space="preserve">R$28.705,88</t>
  </si>
  <si>
    <t xml:space="preserve">R$829,13</t>
  </si>
  <si>
    <t xml:space="preserve">R$84.283.062,00</t>
  </si>
  <si>
    <t xml:space="preserve">R$113.201.666,94</t>
  </si>
  <si>
    <t xml:space="preserve">30/09/2025</t>
  </si>
  <si>
    <t xml:space="preserve">R$32.378,25</t>
  </si>
  <si>
    <t xml:space="preserve">R$762,43</t>
  </si>
  <si>
    <t xml:space="preserve">R$3.188.011,81</t>
  </si>
  <si>
    <t xml:space="preserve">R$26.000.814,00</t>
  </si>
  <si>
    <t xml:space="preserve">R$113.998.669,91</t>
  </si>
  <si>
    <t xml:space="preserve">02/10/2025</t>
  </si>
  <si>
    <t xml:space="preserve">R$97.420,54</t>
  </si>
  <si>
    <t xml:space="preserve">R$1.435,75</t>
  </si>
  <si>
    <t xml:space="preserve">R$7.084.833,28</t>
  </si>
  <si>
    <t xml:space="preserve">R$31.781.730,00</t>
  </si>
  <si>
    <t xml:space="preserve">R$114.972.875,29</t>
  </si>
  <si>
    <t xml:space="preserve">04/10/2025</t>
  </si>
  <si>
    <t xml:space="preserve">R$63.029,43</t>
  </si>
  <si>
    <t xml:space="preserve">R$1.096,01</t>
  </si>
  <si>
    <t xml:space="preserve">R$12.708.997,90</t>
  </si>
  <si>
    <t xml:space="preserve">R$45.869.610,00</t>
  </si>
  <si>
    <t xml:space="preserve">R$116.378.916,46</t>
  </si>
  <si>
    <t xml:space="preserve">07/10/2025</t>
  </si>
  <si>
    <t xml:space="preserve">NOVA LIMA/MG</t>
  </si>
  <si>
    <t xml:space="preserve">R$17.924.306,92</t>
  </si>
  <si>
    <t xml:space="preserve">R$70.623,98</t>
  </si>
  <si>
    <t xml:space="preserve">R$1.309,23</t>
  </si>
  <si>
    <t xml:space="preserve">R$15.542.131,93</t>
  </si>
  <si>
    <t xml:space="preserve">R$42.535.062,00</t>
  </si>
  <si>
    <t xml:space="preserve">R$117.682.743,72</t>
  </si>
  <si>
    <t xml:space="preserve">09/10/2025</t>
  </si>
  <si>
    <t xml:space="preserve">R$9.392,04</t>
  </si>
  <si>
    <t xml:space="preserve">R$321,74</t>
  </si>
  <si>
    <t xml:space="preserve">R$20.483.790,09</t>
  </si>
  <si>
    <t xml:space="preserve">R$40.303.218,00</t>
  </si>
  <si>
    <t xml:space="preserve">R$118.918.158,27</t>
  </si>
  <si>
    <t xml:space="preserve">11/10/2025</t>
  </si>
  <si>
    <t xml:space="preserve">R$60.602,48</t>
  </si>
  <si>
    <t xml:space="preserve">R$1.211,46</t>
  </si>
  <si>
    <t xml:space="preserve">R$27.010.210,81</t>
  </si>
  <si>
    <t xml:space="preserve">R$53.228.238,00</t>
  </si>
  <si>
    <t xml:space="preserve">R$120.549.763,46</t>
  </si>
  <si>
    <t xml:space="preserve">14/10/2025</t>
  </si>
  <si>
    <t xml:space="preserve">R$45.167,65</t>
  </si>
  <si>
    <t xml:space="preserve">R$963,70</t>
  </si>
  <si>
    <t xml:space="preserve">R$32.986.238,51</t>
  </si>
  <si>
    <t xml:space="preserve">R$48.739.338,00</t>
  </si>
  <si>
    <t xml:space="preserve">R$122.043.770,41</t>
  </si>
  <si>
    <t xml:space="preserve">16/10/2025</t>
  </si>
  <si>
    <t xml:space="preserve">R$43.893,90</t>
  </si>
  <si>
    <t xml:space="preserve">R$889,20</t>
  </si>
  <si>
    <t xml:space="preserve">R$39.604.087,81</t>
  </si>
  <si>
    <t xml:space="preserve">R$53.973.912,00</t>
  </si>
  <si>
    <t xml:space="preserve">R$123.698.232,75</t>
  </si>
  <si>
    <t xml:space="preserve">18/10/2025</t>
  </si>
  <si>
    <t xml:space="preserve">R$48.914,30</t>
  </si>
  <si>
    <t xml:space="preserve">R$931,23</t>
  </si>
  <si>
    <t xml:space="preserve">R$65.668.762,25</t>
  </si>
  <si>
    <t xml:space="preserve">R$67.512.198,00</t>
  </si>
  <si>
    <t xml:space="preserve">R$125.767.684,16</t>
  </si>
  <si>
    <t xml:space="preserve">21/10/2025</t>
  </si>
  <si>
    <t xml:space="preserve">R$40.435,71</t>
  </si>
  <si>
    <t xml:space="preserve">R$901,57</t>
  </si>
  <si>
    <t xml:space="preserve">R$74.377.992,41</t>
  </si>
  <si>
    <t xml:space="preserve">R$71.030.814,00</t>
  </si>
  <si>
    <t xml:space="preserve">R$127.944.991,72</t>
  </si>
  <si>
    <t xml:space="preserve">23/10/2025</t>
  </si>
  <si>
    <t xml:space="preserve">R$22.307,65</t>
  </si>
  <si>
    <t xml:space="preserve">R$735,73</t>
  </si>
  <si>
    <t xml:space="preserve">R$83.850.164,47</t>
  </si>
  <si>
    <t xml:space="preserve">R$77.253.222,00</t>
  </si>
  <si>
    <t xml:space="preserve">R$130.313.034,74</t>
  </si>
  <si>
    <t xml:space="preserve">25/10/2025</t>
  </si>
  <si>
    <t xml:space="preserve">OURINHOS/SP</t>
  </si>
  <si>
    <t xml:space="preserve">R$96.166.949,14</t>
  </si>
  <si>
    <t xml:space="preserve">R$27.798,30</t>
  </si>
  <si>
    <t xml:space="preserve">R$960,58</t>
  </si>
  <si>
    <t xml:space="preserve">R$100.453.338,00</t>
  </si>
  <si>
    <t xml:space="preserve">R$133.392.230,93</t>
  </si>
  <si>
    <t xml:space="preserve">28/10/2025</t>
  </si>
  <si>
    <t xml:space="preserve">R$85.025,66</t>
  </si>
  <si>
    <t xml:space="preserve">R$1.366,22</t>
  </si>
  <si>
    <t xml:space="preserve">R$3.139.408,90</t>
  </si>
  <si>
    <t xml:space="preserve">R$25.604.418,00</t>
  </si>
  <si>
    <t xml:space="preserve">R$134.177.083,16</t>
  </si>
  <si>
    <t xml:space="preserve">30/10/2025</t>
  </si>
  <si>
    <t xml:space="preserve">R$37.328,03</t>
  </si>
  <si>
    <t xml:space="preserve">R$680,49</t>
  </si>
  <si>
    <t xml:space="preserve">R$27.158.891,52</t>
  </si>
  <si>
    <t xml:space="preserve">R$29.038.914,00</t>
  </si>
  <si>
    <t xml:space="preserve">R$135.067.213,01</t>
  </si>
  <si>
    <t xml:space="preserve">01/11/2025</t>
  </si>
  <si>
    <t xml:space="preserve">R$48.378,50</t>
  </si>
  <si>
    <t xml:space="preserve">R$1.074,08</t>
  </si>
  <si>
    <t xml:space="preserve">R$33.857.453,60</t>
  </si>
  <si>
    <t xml:space="preserve">R$54.632.190,00</t>
  </si>
  <si>
    <t xml:space="preserve">R$136.741.853,53</t>
  </si>
  <si>
    <t xml:space="preserve">04/11/2025</t>
  </si>
  <si>
    <t xml:space="preserve">R$34.125,04</t>
  </si>
  <si>
    <t xml:space="preserve">R$647,65</t>
  </si>
  <si>
    <t xml:space="preserve">R$40.262.461,22</t>
  </si>
  <si>
    <t xml:space="preserve">R$52.238.016,00</t>
  </si>
  <si>
    <t xml:space="preserve">R$138.343.105,44</t>
  </si>
  <si>
    <t xml:space="preserve">06/11/2025</t>
  </si>
  <si>
    <t xml:space="preserve">R$32.512,40</t>
  </si>
  <si>
    <t xml:space="preserve">R$815,81</t>
  </si>
  <si>
    <t xml:space="preserve">R$47.065.056,14</t>
  </si>
  <si>
    <t xml:space="preserve">R$55.480.662,00</t>
  </si>
  <si>
    <t xml:space="preserve">R$140.043.754,18</t>
  </si>
  <si>
    <t xml:space="preserve">08/11/2025</t>
  </si>
  <si>
    <t xml:space="preserve">R$44.047,10</t>
  </si>
  <si>
    <t xml:space="preserve">R$952,43</t>
  </si>
  <si>
    <t xml:space="preserve">R$55.874.476,00</t>
  </si>
  <si>
    <t xml:space="preserve">R$71.847.942,00</t>
  </si>
  <si>
    <t xml:space="preserve">R$142.246.109,16</t>
  </si>
  <si>
    <t xml:space="preserve">11/11/2025</t>
  </si>
  <si>
    <t xml:space="preserve">R$34.767,00</t>
  </si>
  <si>
    <t xml:space="preserve">R$1.061,00</t>
  </si>
  <si>
    <t xml:space="preserve">R$84.435.557,25</t>
  </si>
  <si>
    <t xml:space="preserve">R$67.180.236,00</t>
  </si>
  <si>
    <t xml:space="preserve">R$144.305.384,94</t>
  </si>
  <si>
    <t xml:space="preserve">14/11/2025</t>
  </si>
  <si>
    <t xml:space="preserve">R$99.085.707,38</t>
  </si>
  <si>
    <t xml:space="preserve">R$28.007,64</t>
  </si>
  <si>
    <t xml:space="preserve">R$568,96</t>
  </si>
  <si>
    <t xml:space="preserve">R$119.483.820,00</t>
  </si>
  <si>
    <t xml:space="preserve">R$147.967.922,49</t>
  </si>
  <si>
    <t xml:space="preserve">18/11/2025</t>
  </si>
  <si>
    <t xml:space="preserve">R$50.276,06</t>
  </si>
  <si>
    <t xml:space="preserve">R$1.305,93</t>
  </si>
  <si>
    <t xml:space="preserve">R$3.712.693,81</t>
  </si>
  <si>
    <t xml:space="preserve">R$30.280.020,00</t>
  </si>
  <si>
    <t xml:space="preserve">R$148.896.095,95</t>
  </si>
  <si>
    <t xml:space="preserve">22/11/2025</t>
  </si>
  <si>
    <t xml:space="preserve">R$80.236,08</t>
  </si>
  <si>
    <t xml:space="preserve">R$1.643,73</t>
  </si>
  <si>
    <t xml:space="preserve">R$10.131.579,88</t>
  </si>
  <si>
    <t xml:space="preserve">R$52.351.206,00</t>
  </si>
  <si>
    <t xml:space="preserve">R$150.500.817,48</t>
  </si>
  <si>
    <t xml:space="preserve">25/11/2025</t>
  </si>
  <si>
    <t xml:space="preserve">R$14.986.158,02</t>
  </si>
  <si>
    <t xml:space="preserve">R$75.130,37</t>
  </si>
  <si>
    <t xml:space="preserve">R$1.512,01</t>
  </si>
  <si>
    <t xml:space="preserve">R$39.593.010,00</t>
  </si>
  <si>
    <t xml:space="preserve">R$151.714.462,03</t>
  </si>
  <si>
    <t xml:space="preserve">27/11/2025</t>
  </si>
  <si>
    <t xml:space="preserve">R$77.570,03</t>
  </si>
  <si>
    <t xml:space="preserve">R$1.082,17</t>
  </si>
  <si>
    <t xml:space="preserve">R$21.109.311,21</t>
  </si>
  <si>
    <t xml:space="preserve">R$25.305.852,00</t>
  </si>
  <si>
    <t xml:space="preserve">R$152.490.162,33</t>
  </si>
  <si>
    <t xml:space="preserve">29/11/2025</t>
  </si>
  <si>
    <t xml:space="preserve">R$27.233.418,65</t>
  </si>
  <si>
    <t xml:space="preserve">R$9.853,14</t>
  </si>
  <si>
    <t xml:space="preserve">R$326,73</t>
  </si>
  <si>
    <t xml:space="preserve">R$49.947.048,00</t>
  </si>
  <si>
    <t xml:space="preserve">R$154.021.189,21</t>
  </si>
  <si>
    <t xml:space="preserve">02/12/2025</t>
  </si>
  <si>
    <t xml:space="preserve">R$22.485,09</t>
  </si>
  <si>
    <t xml:space="preserve">R$665,80</t>
  </si>
  <si>
    <t xml:space="preserve">R$3.320.874,90</t>
  </si>
  <si>
    <t xml:space="preserve">R$27.084.420,00</t>
  </si>
  <si>
    <t xml:space="preserve">R$154.851.407,95</t>
  </si>
  <si>
    <t xml:space="preserve">04/12/2025</t>
  </si>
  <si>
    <t xml:space="preserve">R$14.699,14</t>
  </si>
  <si>
    <t xml:space="preserve">R$911,11</t>
  </si>
  <si>
    <t xml:space="preserve">R$7.210.491,94</t>
  </si>
  <si>
    <t xml:space="preserve">R$31.722.972,00</t>
  </si>
  <si>
    <t xml:space="preserve">R$155.823.812,22</t>
  </si>
  <si>
    <t xml:space="preserve">06/12/2025</t>
  </si>
  <si>
    <t xml:space="preserve">R$42.694,24</t>
  </si>
  <si>
    <t xml:space="preserve">R$1.084,28</t>
  </si>
  <si>
    <t xml:space="preserve">R$12.727.900,99</t>
  </si>
  <si>
    <t xml:space="preserve">R$44.998.932,00</t>
  </si>
  <si>
    <t xml:space="preserve">R$157.203.164,49</t>
  </si>
  <si>
    <t xml:space="preserve">09/12/2025</t>
  </si>
  <si>
    <t xml:space="preserve">R$56.175,26</t>
  </si>
  <si>
    <t xml:space="preserve">R$1.095,81</t>
  </si>
  <si>
    <t xml:space="preserve">R$30.598.063,28</t>
  </si>
  <si>
    <t xml:space="preserve">R$39.471.786,00</t>
  </si>
  <si>
    <t xml:space="preserve">R$158.413.093,16</t>
  </si>
  <si>
    <t xml:space="preserve">11/12/2025</t>
  </si>
  <si>
    <t xml:space="preserve">R$72.246,06</t>
  </si>
  <si>
    <t xml:space="preserve">R$1.476,77</t>
  </si>
  <si>
    <t xml:space="preserve">R$36.155.452,41</t>
  </si>
  <si>
    <t xml:space="preserve">R$45.325.002,00</t>
  </si>
  <si>
    <t xml:space="preserve">R$159.802.440,46</t>
  </si>
  <si>
    <t xml:space="preserve">13/12/2025</t>
  </si>
  <si>
    <t xml:space="preserve">R$51.339,54</t>
  </si>
  <si>
    <t xml:space="preserve">R$998,26</t>
  </si>
  <si>
    <t xml:space="preserve">R$43.106.035,86</t>
  </si>
  <si>
    <t xml:space="preserve">R$56.687.628,00</t>
  </si>
  <si>
    <t xml:space="preserve">R$161.540.086,33</t>
  </si>
  <si>
    <t xml:space="preserve">16/12/2025</t>
  </si>
  <si>
    <t xml:space="preserve">R$131.659,90</t>
  </si>
  <si>
    <t xml:space="preserve">R$1.701,29</t>
  </si>
  <si>
    <t xml:space="preserve">R$49.587.754,20</t>
  </si>
  <si>
    <t xml:space="preserve">R$52.863.654,00</t>
  </si>
  <si>
    <t xml:space="preserve">R$163.160.515,93</t>
  </si>
  <si>
    <t xml:space="preserve">18/12/2025</t>
  </si>
  <si>
    <t xml:space="preserve">R$33.795,16</t>
  </si>
  <si>
    <t xml:space="preserve">R$689,96</t>
  </si>
  <si>
    <t xml:space="preserve">R$55.930.844,72</t>
  </si>
  <si>
    <t xml:space="preserve">R$51.733.032,00</t>
  </si>
  <si>
    <t xml:space="preserve">R$164.746.288,57</t>
  </si>
  <si>
    <t xml:space="preserve">20/12/2025</t>
  </si>
  <si>
    <t xml:space="preserve">R$69.615,66</t>
  </si>
  <si>
    <t xml:space="preserve">R$1.071,64</t>
  </si>
  <si>
    <t xml:space="preserve">R$249.261.580,92</t>
  </si>
  <si>
    <t xml:space="preserve">R$66.385.644,00</t>
  </si>
  <si>
    <t xml:space="preserve">R$1.000.000.000,00</t>
  </si>
  <si>
    <t xml:space="preserve">01/01/2026</t>
  </si>
  <si>
    <t xml:space="preserve">06/01/2026</t>
  </si>
  <si>
    <t xml:space="preserve">08/01/2026</t>
  </si>
  <si>
    <t xml:space="preserve">10/01/2026</t>
  </si>
  <si>
    <t xml:space="preserve">13/01/2026</t>
  </si>
  <si>
    <t xml:space="preserve">15/01/2026</t>
  </si>
  <si>
    <t xml:space="preserve">17/01/2026</t>
  </si>
  <si>
    <t xml:space="preserve">20/01/2026</t>
  </si>
  <si>
    <t xml:space="preserve">22/01/2026</t>
  </si>
  <si>
    <t xml:space="preserve">24/01/2026</t>
  </si>
  <si>
    <t xml:space="preserve">10</t>
  </si>
  <si>
    <t xml:space="preserve">22</t>
  </si>
  <si>
    <t xml:space="preserve">32</t>
  </si>
  <si>
    <t xml:space="preserve">39</t>
  </si>
  <si>
    <t xml:space="preserve">53</t>
  </si>
  <si>
    <t xml:space="preserve">59</t>
  </si>
  <si>
    <t xml:space="preserve">03</t>
  </si>
  <si>
    <t xml:space="preserve">18</t>
  </si>
  <si>
    <t xml:space="preserve">33</t>
  </si>
  <si>
    <t xml:space="preserve">41</t>
  </si>
  <si>
    <t xml:space="preserve">47</t>
  </si>
  <si>
    <t xml:space="preserve">50</t>
  </si>
  <si>
    <t xml:space="preserve">02</t>
  </si>
  <si>
    <t xml:space="preserve">14</t>
  </si>
  <si>
    <t xml:space="preserve">21</t>
  </si>
  <si>
    <t xml:space="preserve">38</t>
  </si>
  <si>
    <t xml:space="preserve">43</t>
  </si>
  <si>
    <t xml:space="preserve">48</t>
  </si>
  <si>
    <t xml:space="preserve">06</t>
  </si>
  <si>
    <t xml:space="preserve">12</t>
  </si>
  <si>
    <t xml:space="preserve">26</t>
  </si>
  <si>
    <t xml:space="preserve">27</t>
  </si>
  <si>
    <t xml:space="preserve">44</t>
  </si>
  <si>
    <t xml:space="preserve">57</t>
  </si>
  <si>
    <t xml:space="preserve">08</t>
  </si>
  <si>
    <t xml:space="preserve">09</t>
  </si>
  <si>
    <t xml:space="preserve">19</t>
  </si>
  <si>
    <t xml:space="preserve">34</t>
  </si>
  <si>
    <t xml:space="preserve">37</t>
  </si>
  <si>
    <t xml:space="preserve">15</t>
  </si>
  <si>
    <t xml:space="preserve">42</t>
  </si>
  <si>
    <t xml:space="preserve">55</t>
  </si>
  <si>
    <t xml:space="preserve">25</t>
  </si>
  <si>
    <t xml:space="preserve">01</t>
  </si>
  <si>
    <t xml:space="preserve">04</t>
  </si>
  <si>
    <t xml:space="preserve">58</t>
  </si>
  <si>
    <t xml:space="preserve">29</t>
  </si>
  <si>
    <t xml:space="preserve">51</t>
  </si>
  <si>
    <t xml:space="preserve">60</t>
  </si>
  <si>
    <t xml:space="preserve">05</t>
  </si>
  <si>
    <t xml:space="preserve">07</t>
  </si>
  <si>
    <t xml:space="preserve">16</t>
  </si>
  <si>
    <t xml:space="preserve">30</t>
  </si>
  <si>
    <t xml:space="preserve">11</t>
  </si>
  <si>
    <t xml:space="preserve">28</t>
  </si>
  <si>
    <t xml:space="preserve">49</t>
  </si>
  <si>
    <t xml:space="preserve">36</t>
  </si>
  <si>
    <t xml:space="preserve">52</t>
  </si>
  <si>
    <t xml:space="preserve">23</t>
  </si>
  <si>
    <t xml:space="preserve">31</t>
  </si>
  <si>
    <t xml:space="preserve">17</t>
  </si>
  <si>
    <t xml:space="preserve">20</t>
  </si>
  <si>
    <t xml:space="preserve">13</t>
  </si>
  <si>
    <t xml:space="preserve">24</t>
  </si>
  <si>
    <t xml:space="preserve">45</t>
  </si>
  <si>
    <t xml:space="preserve">54</t>
  </si>
  <si>
    <t xml:space="preserve">35</t>
  </si>
  <si>
    <t xml:space="preserve">40</t>
  </si>
  <si>
    <t xml:space="preserve">46</t>
  </si>
  <si>
    <t xml:space="preserve">56</t>
  </si>
  <si>
    <t xml:space="preserve">57 </t>
  </si>
  <si>
    <t xml:space="preserve">-</t>
  </si>
  <si>
    <r>
      <rPr>
        <sz val="11"/>
        <color theme="1"/>
        <rFont val="Calibri"/>
        <family val="2"/>
        <charset val="1"/>
      </rPr>
      <t xml:space="preserve">5.</t>
    </r>
    <r>
      <rPr>
        <vertAlign val="superscript"/>
        <sz val="11"/>
        <color theme="1"/>
        <rFont val="Calibri"/>
        <family val="2"/>
        <charset val="1"/>
      </rPr>
      <t xml:space="preserve">o</t>
    </r>
  </si>
  <si>
    <t xml:space="preserve">doação</t>
  </si>
  <si>
    <t xml:space="preserve">itau</t>
  </si>
  <si>
    <t xml:space="preserve">aluguel</t>
  </si>
  <si>
    <t xml:space="preserve">receita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</si>
</sst>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2"/>
      <charset val="1"/>
    </font>
    <font>
      <vertAlign val="superscript"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8CF45"/>
        <bgColor rgb="FFC0C0C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A8CF4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A8CF45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965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pane xSplit="0" ySplit="1" topLeftCell="B2945" activePane="bottomLeft" state="frozen"/>
      <selection pane="topLeft" activeCell="A1" activeCellId="0" sqref="A1"/>
      <selection pane="bottomLeft" activeCell="A2966" activeCellId="0" sqref="A2966"/>
    </sheetView>
  </sheetViews>
  <sheetFormatPr defaultColWidth="8.453125" defaultRowHeight="13.8" zeroHeight="false" outlineLevelRow="0" outlineLevelCol="0"/>
  <cols>
    <col collapsed="false" customWidth="true" hidden="false" outlineLevel="0" max="1" min="1" style="1" width="11.53"/>
    <col collapsed="false" customWidth="true" hidden="false" outlineLevel="0" max="2" min="2" style="2" width="10.34"/>
    <col collapsed="false" customWidth="true" hidden="false" outlineLevel="0" max="8" min="3" style="1" width="5.97"/>
    <col collapsed="false" customWidth="true" hidden="false" outlineLevel="0" max="9" min="9" style="1" width="13.66"/>
    <col collapsed="false" customWidth="true" hidden="false" outlineLevel="0" max="11" min="10" style="1" width="12.33"/>
    <col collapsed="false" customWidth="true" hidden="false" outlineLevel="0" max="12" min="12" style="1" width="13.11"/>
    <col collapsed="false" customWidth="true" hidden="false" outlineLevel="0" max="13" min="13" style="1" width="12.67"/>
    <col collapsed="false" customWidth="true" hidden="false" outlineLevel="0" max="14" min="14" style="1" width="11.56"/>
    <col collapsed="false" customWidth="true" hidden="false" outlineLevel="0" max="15" min="15" style="1" width="12.67"/>
    <col collapsed="false" customWidth="true" hidden="false" outlineLevel="0" max="17" min="16" style="1" width="12.33"/>
    <col collapsed="false" customWidth="true" hidden="false" outlineLevel="0" max="18" min="18" style="1" width="12.44"/>
    <col collapsed="false" customWidth="true" hidden="false" outlineLevel="0" max="19" min="19" style="1" width="13.56"/>
    <col collapsed="false" customWidth="true" hidden="false" outlineLevel="0" max="20" min="20" style="1" width="14.11"/>
    <col collapsed="false" customWidth="true" hidden="false" outlineLevel="0" max="21" min="21" style="1" width="24.21"/>
    <col collapsed="false" customWidth="true" hidden="false" outlineLevel="0" max="22" min="22" style="1" width="25.44"/>
    <col collapsed="false" customWidth="true" hidden="false" outlineLevel="0" max="23" min="23" style="1" width="15.88"/>
    <col collapsed="false" customWidth="true" hidden="false" outlineLevel="0" max="24" min="24" style="1" width="16.44"/>
    <col collapsed="false" customWidth="true" hidden="false" outlineLevel="0" max="25" min="25" style="1" width="16.33"/>
    <col collapsed="false" customWidth="true" hidden="false" outlineLevel="0" max="26" min="26" style="1" width="14"/>
    <col collapsed="false" customWidth="false" hidden="false" outlineLevel="0" max="16384" min="27" style="1" width="8.45"/>
  </cols>
  <sheetData>
    <row r="1" customFormat="false" ht="23.4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</row>
    <row r="2" customFormat="false" ht="13.8" hidden="false" customHeight="false" outlineLevel="0" collapsed="false">
      <c r="A2" s="1" t="n">
        <v>1</v>
      </c>
      <c r="B2" s="2" t="s">
        <v>22</v>
      </c>
      <c r="C2" s="1" t="n">
        <v>4</v>
      </c>
      <c r="D2" s="1" t="n">
        <v>5</v>
      </c>
      <c r="E2" s="1" t="n">
        <v>30</v>
      </c>
      <c r="F2" s="1" t="n">
        <v>33</v>
      </c>
      <c r="G2" s="1" t="n">
        <v>41</v>
      </c>
      <c r="H2" s="1" t="n">
        <v>52</v>
      </c>
      <c r="I2" s="1" t="str">
        <f aca="false">RIGHT(("0"&amp;C2),2)&amp;RIGHT(("0"&amp;D2),2)&amp;RIGHT(("0"&amp;E2),2)&amp;RIGHT(("0"&amp;F2),2)&amp;RIGHT(("0"&amp;G2),2)&amp;RIGHT(("0"&amp;H2),2)</f>
        <v>040530334152</v>
      </c>
      <c r="J2" s="1" t="n">
        <f aca="false">COUNTIF(I:I,I2)</f>
        <v>1</v>
      </c>
      <c r="K2" s="1" t="n">
        <v>0</v>
      </c>
      <c r="M2" s="1" t="s">
        <v>23</v>
      </c>
      <c r="N2" s="1" t="n">
        <v>17</v>
      </c>
      <c r="O2" s="1" t="s">
        <v>24</v>
      </c>
      <c r="P2" s="1" t="n">
        <v>2016</v>
      </c>
      <c r="Q2" s="1" t="s">
        <v>25</v>
      </c>
      <c r="R2" s="1" t="s">
        <v>26</v>
      </c>
      <c r="S2" s="1" t="s">
        <v>23</v>
      </c>
      <c r="T2" s="1" t="s">
        <v>23</v>
      </c>
      <c r="U2" s="1" t="s">
        <v>23</v>
      </c>
    </row>
    <row r="3" customFormat="false" ht="13.8" hidden="false" customHeight="false" outlineLevel="0" collapsed="false">
      <c r="A3" s="1" t="n">
        <v>2</v>
      </c>
      <c r="B3" s="2" t="s">
        <v>27</v>
      </c>
      <c r="C3" s="1" t="n">
        <v>9</v>
      </c>
      <c r="D3" s="1" t="n">
        <v>37</v>
      </c>
      <c r="E3" s="1" t="n">
        <v>39</v>
      </c>
      <c r="F3" s="1" t="n">
        <v>41</v>
      </c>
      <c r="G3" s="1" t="n">
        <v>43</v>
      </c>
      <c r="H3" s="1" t="n">
        <v>49</v>
      </c>
      <c r="I3" s="1" t="str">
        <f aca="false">RIGHT(("0"&amp;C3),2)&amp;RIGHT(("0"&amp;D3),2)&amp;RIGHT(("0"&amp;E3),2)&amp;RIGHT(("0"&amp;F3),2)&amp;RIGHT(("0"&amp;G3),2)&amp;RIGHT(("0"&amp;H3),2)</f>
        <v>093739414349</v>
      </c>
      <c r="J3" s="1" t="n">
        <f aca="false">COUNTIF(I:I,I3)</f>
        <v>1</v>
      </c>
      <c r="K3" s="1" t="n">
        <v>1</v>
      </c>
      <c r="L3" s="1" t="s">
        <v>28</v>
      </c>
      <c r="M3" s="1" t="s">
        <v>29</v>
      </c>
      <c r="N3" s="1" t="n">
        <v>65</v>
      </c>
      <c r="O3" s="1" t="s">
        <v>30</v>
      </c>
      <c r="P3" s="1" t="n">
        <v>4488</v>
      </c>
      <c r="Q3" s="1" t="s">
        <v>31</v>
      </c>
      <c r="R3" s="1" t="s">
        <v>23</v>
      </c>
      <c r="S3" s="1" t="s">
        <v>23</v>
      </c>
      <c r="T3" s="1" t="s">
        <v>23</v>
      </c>
      <c r="U3" s="1" t="s">
        <v>23</v>
      </c>
    </row>
    <row r="4" customFormat="false" ht="13.8" hidden="false" customHeight="false" outlineLevel="0" collapsed="false">
      <c r="A4" s="1" t="n">
        <v>3</v>
      </c>
      <c r="B4" s="2" t="s">
        <v>32</v>
      </c>
      <c r="C4" s="1" t="n">
        <v>10</v>
      </c>
      <c r="D4" s="1" t="n">
        <v>11</v>
      </c>
      <c r="E4" s="1" t="n">
        <v>29</v>
      </c>
      <c r="F4" s="1" t="n">
        <v>30</v>
      </c>
      <c r="G4" s="1" t="n">
        <v>36</v>
      </c>
      <c r="H4" s="1" t="n">
        <v>47</v>
      </c>
      <c r="I4" s="1" t="str">
        <f aca="false">RIGHT(("0"&amp;C4),2)&amp;RIGHT(("0"&amp;D4),2)&amp;RIGHT(("0"&amp;E4),2)&amp;RIGHT(("0"&amp;F4),2)&amp;RIGHT(("0"&amp;G4),2)&amp;RIGHT(("0"&amp;H4),2)</f>
        <v>101129303647</v>
      </c>
      <c r="J4" s="1" t="n">
        <f aca="false">COUNTIF(I:I,I4)</f>
        <v>1</v>
      </c>
      <c r="K4" s="1" t="n">
        <v>2</v>
      </c>
      <c r="L4" s="1" t="s">
        <v>33</v>
      </c>
      <c r="M4" s="1" t="s">
        <v>34</v>
      </c>
      <c r="N4" s="1" t="n">
        <v>62</v>
      </c>
      <c r="O4" s="1" t="s">
        <v>35</v>
      </c>
      <c r="P4" s="1" t="n">
        <v>4261</v>
      </c>
      <c r="Q4" s="1" t="s">
        <v>36</v>
      </c>
      <c r="R4" s="1" t="s">
        <v>23</v>
      </c>
      <c r="S4" s="1" t="s">
        <v>23</v>
      </c>
      <c r="T4" s="1" t="s">
        <v>23</v>
      </c>
      <c r="U4" s="1" t="s">
        <v>23</v>
      </c>
    </row>
    <row r="5" customFormat="false" ht="13.8" hidden="false" customHeight="false" outlineLevel="0" collapsed="false">
      <c r="A5" s="1" t="n">
        <v>4</v>
      </c>
      <c r="B5" s="2" t="s">
        <v>37</v>
      </c>
      <c r="C5" s="1" t="n">
        <v>1</v>
      </c>
      <c r="D5" s="1" t="n">
        <v>5</v>
      </c>
      <c r="E5" s="1" t="n">
        <v>6</v>
      </c>
      <c r="F5" s="1" t="n">
        <v>27</v>
      </c>
      <c r="G5" s="1" t="n">
        <v>42</v>
      </c>
      <c r="H5" s="1" t="n">
        <v>59</v>
      </c>
      <c r="I5" s="1" t="str">
        <f aca="false">RIGHT(("0"&amp;C5),2)&amp;RIGHT(("0"&amp;D5),2)&amp;RIGHT(("0"&amp;E5),2)&amp;RIGHT(("0"&amp;F5),2)&amp;RIGHT(("0"&amp;G5),2)&amp;RIGHT(("0"&amp;H5),2)</f>
        <v>010506274259</v>
      </c>
      <c r="J5" s="1" t="n">
        <f aca="false">COUNTIF(I:I,I5)</f>
        <v>1</v>
      </c>
      <c r="K5" s="1" t="n">
        <v>0</v>
      </c>
      <c r="M5" s="1" t="s">
        <v>23</v>
      </c>
      <c r="N5" s="1" t="n">
        <v>39</v>
      </c>
      <c r="O5" s="1" t="s">
        <v>38</v>
      </c>
      <c r="P5" s="1" t="n">
        <v>3311</v>
      </c>
      <c r="Q5" s="1" t="s">
        <v>39</v>
      </c>
      <c r="R5" s="1" t="s">
        <v>40</v>
      </c>
      <c r="S5" s="1" t="s">
        <v>23</v>
      </c>
      <c r="T5" s="1" t="s">
        <v>23</v>
      </c>
      <c r="U5" s="1" t="s">
        <v>23</v>
      </c>
    </row>
    <row r="6" customFormat="false" ht="13.8" hidden="false" customHeight="false" outlineLevel="0" collapsed="false">
      <c r="A6" s="1" t="n">
        <v>5</v>
      </c>
      <c r="B6" s="2" t="s">
        <v>41</v>
      </c>
      <c r="C6" s="1" t="n">
        <v>1</v>
      </c>
      <c r="D6" s="1" t="n">
        <v>2</v>
      </c>
      <c r="E6" s="1" t="n">
        <v>6</v>
      </c>
      <c r="F6" s="1" t="n">
        <v>16</v>
      </c>
      <c r="G6" s="1" t="n">
        <v>19</v>
      </c>
      <c r="H6" s="1" t="n">
        <v>46</v>
      </c>
      <c r="I6" s="1" t="str">
        <f aca="false">RIGHT(("0"&amp;C6),2)&amp;RIGHT(("0"&amp;D6),2)&amp;RIGHT(("0"&amp;E6),2)&amp;RIGHT(("0"&amp;F6),2)&amp;RIGHT(("0"&amp;G6),2)&amp;RIGHT(("0"&amp;H6),2)</f>
        <v>010206161946</v>
      </c>
      <c r="J6" s="1" t="n">
        <f aca="false">COUNTIF(I:I,I6)</f>
        <v>1</v>
      </c>
      <c r="K6" s="1" t="n">
        <v>0</v>
      </c>
      <c r="M6" s="1" t="s">
        <v>23</v>
      </c>
      <c r="N6" s="1" t="n">
        <v>98</v>
      </c>
      <c r="O6" s="1" t="s">
        <v>42</v>
      </c>
      <c r="P6" s="1" t="n">
        <v>5399</v>
      </c>
      <c r="Q6" s="1" t="s">
        <v>43</v>
      </c>
      <c r="R6" s="1" t="s">
        <v>44</v>
      </c>
      <c r="S6" s="1" t="s">
        <v>23</v>
      </c>
      <c r="T6" s="1" t="s">
        <v>23</v>
      </c>
      <c r="U6" s="1" t="s">
        <v>23</v>
      </c>
    </row>
    <row r="7" customFormat="false" ht="13.8" hidden="false" customHeight="false" outlineLevel="0" collapsed="false">
      <c r="A7" s="1" t="n">
        <v>6</v>
      </c>
      <c r="B7" s="2" t="s">
        <v>45</v>
      </c>
      <c r="C7" s="1" t="n">
        <v>7</v>
      </c>
      <c r="D7" s="1" t="n">
        <v>13</v>
      </c>
      <c r="E7" s="1" t="n">
        <v>19</v>
      </c>
      <c r="F7" s="1" t="n">
        <v>22</v>
      </c>
      <c r="G7" s="1" t="n">
        <v>40</v>
      </c>
      <c r="H7" s="1" t="n">
        <v>47</v>
      </c>
      <c r="I7" s="1" t="str">
        <f aca="false">RIGHT(("0"&amp;C7),2)&amp;RIGHT(("0"&amp;D7),2)&amp;RIGHT(("0"&amp;E7),2)&amp;RIGHT(("0"&amp;F7),2)&amp;RIGHT(("0"&amp;G7),2)&amp;RIGHT(("0"&amp;H7),2)</f>
        <v>071319224047</v>
      </c>
      <c r="J7" s="1" t="n">
        <f aca="false">COUNTIF(I:I,I7)</f>
        <v>1</v>
      </c>
      <c r="K7" s="1" t="n">
        <v>0</v>
      </c>
      <c r="M7" s="1" t="s">
        <v>23</v>
      </c>
      <c r="N7" s="1" t="n">
        <v>109</v>
      </c>
      <c r="O7" s="1" t="s">
        <v>46</v>
      </c>
      <c r="P7" s="1" t="n">
        <v>7147</v>
      </c>
      <c r="Q7" s="1" t="s">
        <v>47</v>
      </c>
      <c r="R7" s="1" t="s">
        <v>48</v>
      </c>
      <c r="S7" s="1" t="s">
        <v>23</v>
      </c>
      <c r="T7" s="1" t="s">
        <v>23</v>
      </c>
      <c r="U7" s="1" t="s">
        <v>23</v>
      </c>
    </row>
    <row r="8" customFormat="false" ht="13.8" hidden="false" customHeight="false" outlineLevel="0" collapsed="false">
      <c r="A8" s="1" t="n">
        <v>7</v>
      </c>
      <c r="B8" s="2" t="s">
        <v>49</v>
      </c>
      <c r="C8" s="1" t="n">
        <v>3</v>
      </c>
      <c r="D8" s="1" t="n">
        <v>5</v>
      </c>
      <c r="E8" s="1" t="n">
        <v>20</v>
      </c>
      <c r="F8" s="1" t="n">
        <v>21</v>
      </c>
      <c r="G8" s="1" t="n">
        <v>38</v>
      </c>
      <c r="H8" s="1" t="n">
        <v>56</v>
      </c>
      <c r="I8" s="1" t="str">
        <f aca="false">RIGHT(("0"&amp;C8),2)&amp;RIGHT(("0"&amp;D8),2)&amp;RIGHT(("0"&amp;E8),2)&amp;RIGHT(("0"&amp;F8),2)&amp;RIGHT(("0"&amp;G8),2)&amp;RIGHT(("0"&amp;H8),2)</f>
        <v>030520213856</v>
      </c>
      <c r="J8" s="1" t="n">
        <f aca="false">COUNTIF(I:I,I8)</f>
        <v>1</v>
      </c>
      <c r="K8" s="1" t="n">
        <v>0</v>
      </c>
      <c r="M8" s="1" t="s">
        <v>23</v>
      </c>
      <c r="N8" s="1" t="n">
        <v>100</v>
      </c>
      <c r="O8" s="1" t="s">
        <v>50</v>
      </c>
      <c r="P8" s="1" t="n">
        <v>5736</v>
      </c>
      <c r="Q8" s="1" t="s">
        <v>51</v>
      </c>
      <c r="R8" s="1" t="s">
        <v>52</v>
      </c>
      <c r="S8" s="1" t="s">
        <v>23</v>
      </c>
      <c r="T8" s="1" t="s">
        <v>23</v>
      </c>
      <c r="U8" s="1" t="s">
        <v>23</v>
      </c>
    </row>
    <row r="9" customFormat="false" ht="13.8" hidden="false" customHeight="false" outlineLevel="0" collapsed="false">
      <c r="A9" s="1" t="n">
        <v>8</v>
      </c>
      <c r="B9" s="2" t="s">
        <v>53</v>
      </c>
      <c r="C9" s="1" t="n">
        <v>4</v>
      </c>
      <c r="D9" s="1" t="n">
        <v>17</v>
      </c>
      <c r="E9" s="1" t="n">
        <v>37</v>
      </c>
      <c r="F9" s="1" t="n">
        <v>38</v>
      </c>
      <c r="G9" s="1" t="n">
        <v>47</v>
      </c>
      <c r="H9" s="1" t="n">
        <v>53</v>
      </c>
      <c r="I9" s="1" t="str">
        <f aca="false">RIGHT(("0"&amp;C9),2)&amp;RIGHT(("0"&amp;D9),2)&amp;RIGHT(("0"&amp;E9),2)&amp;RIGHT(("0"&amp;F9),2)&amp;RIGHT(("0"&amp;G9),2)&amp;RIGHT(("0"&amp;H9),2)</f>
        <v>041737384753</v>
      </c>
      <c r="J9" s="1" t="n">
        <f aca="false">COUNTIF(I:I,I9)</f>
        <v>1</v>
      </c>
      <c r="K9" s="1" t="n">
        <v>0</v>
      </c>
      <c r="M9" s="1" t="s">
        <v>23</v>
      </c>
      <c r="N9" s="1" t="n">
        <v>60</v>
      </c>
      <c r="O9" s="1" t="s">
        <v>54</v>
      </c>
      <c r="P9" s="1" t="n">
        <v>5262</v>
      </c>
      <c r="Q9" s="1" t="s">
        <v>55</v>
      </c>
      <c r="R9" s="1" t="s">
        <v>56</v>
      </c>
      <c r="S9" s="1" t="s">
        <v>23</v>
      </c>
      <c r="T9" s="1" t="s">
        <v>23</v>
      </c>
      <c r="U9" s="1" t="s">
        <v>23</v>
      </c>
    </row>
    <row r="10" customFormat="false" ht="13.8" hidden="false" customHeight="false" outlineLevel="0" collapsed="false">
      <c r="A10" s="1" t="n">
        <v>9</v>
      </c>
      <c r="B10" s="2" t="s">
        <v>57</v>
      </c>
      <c r="C10" s="1" t="n">
        <v>8</v>
      </c>
      <c r="D10" s="1" t="n">
        <v>43</v>
      </c>
      <c r="E10" s="1" t="n">
        <v>54</v>
      </c>
      <c r="F10" s="1" t="n">
        <v>55</v>
      </c>
      <c r="G10" s="1" t="n">
        <v>56</v>
      </c>
      <c r="H10" s="1" t="n">
        <v>60</v>
      </c>
      <c r="I10" s="1" t="str">
        <f aca="false">RIGHT(("0"&amp;C10),2)&amp;RIGHT(("0"&amp;D10),2)&amp;RIGHT(("0"&amp;E10),2)&amp;RIGHT(("0"&amp;F10),2)&amp;RIGHT(("0"&amp;G10),2)&amp;RIGHT(("0"&amp;H10),2)</f>
        <v>084354555660</v>
      </c>
      <c r="J10" s="1" t="n">
        <f aca="false">COUNTIF(I:I,I10)</f>
        <v>1</v>
      </c>
      <c r="K10" s="1" t="n">
        <v>0</v>
      </c>
      <c r="M10" s="1" t="s">
        <v>23</v>
      </c>
      <c r="N10" s="1" t="n">
        <v>17</v>
      </c>
      <c r="O10" s="1" t="s">
        <v>58</v>
      </c>
      <c r="P10" s="1" t="n">
        <v>2175</v>
      </c>
      <c r="Q10" s="1" t="s">
        <v>59</v>
      </c>
      <c r="R10" s="1" t="s">
        <v>60</v>
      </c>
      <c r="S10" s="1" t="s">
        <v>23</v>
      </c>
      <c r="T10" s="1" t="s">
        <v>23</v>
      </c>
      <c r="U10" s="1" t="s">
        <v>23</v>
      </c>
    </row>
    <row r="11" customFormat="false" ht="13.8" hidden="false" customHeight="false" outlineLevel="0" collapsed="false">
      <c r="A11" s="1" t="n">
        <v>10</v>
      </c>
      <c r="B11" s="2" t="s">
        <v>61</v>
      </c>
      <c r="C11" s="1" t="n">
        <v>4</v>
      </c>
      <c r="D11" s="1" t="n">
        <v>18</v>
      </c>
      <c r="E11" s="1" t="n">
        <v>21</v>
      </c>
      <c r="F11" s="1" t="n">
        <v>25</v>
      </c>
      <c r="G11" s="1" t="n">
        <v>38</v>
      </c>
      <c r="H11" s="1" t="n">
        <v>57</v>
      </c>
      <c r="I11" s="1" t="str">
        <f aca="false">RIGHT(("0"&amp;C11),2)&amp;RIGHT(("0"&amp;D11),2)&amp;RIGHT(("0"&amp;E11),2)&amp;RIGHT(("0"&amp;F11),2)&amp;RIGHT(("0"&amp;G11),2)&amp;RIGHT(("0"&amp;H11),2)</f>
        <v>041821253857</v>
      </c>
      <c r="J11" s="1" t="n">
        <f aca="false">COUNTIF(I:I,I11)</f>
        <v>1</v>
      </c>
      <c r="K11" s="1" t="n">
        <v>0</v>
      </c>
      <c r="M11" s="1" t="s">
        <v>23</v>
      </c>
      <c r="N11" s="1" t="n">
        <v>251</v>
      </c>
      <c r="O11" s="1" t="s">
        <v>62</v>
      </c>
      <c r="P11" s="1" t="n">
        <v>12590</v>
      </c>
      <c r="Q11" s="1" t="s">
        <v>63</v>
      </c>
      <c r="R11" s="1" t="s">
        <v>64</v>
      </c>
      <c r="S11" s="1" t="s">
        <v>23</v>
      </c>
      <c r="T11" s="1" t="s">
        <v>23</v>
      </c>
      <c r="U11" s="1" t="s">
        <v>23</v>
      </c>
    </row>
    <row r="12" customFormat="false" ht="13.8" hidden="false" customHeight="false" outlineLevel="0" collapsed="false">
      <c r="A12" s="1" t="n">
        <v>11</v>
      </c>
      <c r="B12" s="2" t="s">
        <v>65</v>
      </c>
      <c r="C12" s="1" t="n">
        <v>15</v>
      </c>
      <c r="D12" s="1" t="n">
        <v>25</v>
      </c>
      <c r="E12" s="1" t="n">
        <v>37</v>
      </c>
      <c r="F12" s="1" t="n">
        <v>38</v>
      </c>
      <c r="G12" s="1" t="n">
        <v>58</v>
      </c>
      <c r="H12" s="1" t="n">
        <v>59</v>
      </c>
      <c r="I12" s="1" t="str">
        <f aca="false">RIGHT(("0"&amp;C12),2)&amp;RIGHT(("0"&amp;D12),2)&amp;RIGHT(("0"&amp;E12),2)&amp;RIGHT(("0"&amp;F12),2)&amp;RIGHT(("0"&amp;G12),2)&amp;RIGHT(("0"&amp;H12),2)</f>
        <v>152537385859</v>
      </c>
      <c r="J12" s="1" t="n">
        <f aca="false">COUNTIF(I:I,I12)</f>
        <v>1</v>
      </c>
      <c r="K12" s="1" t="n">
        <v>1</v>
      </c>
      <c r="L12" s="1" t="s">
        <v>66</v>
      </c>
      <c r="M12" s="1" t="s">
        <v>67</v>
      </c>
      <c r="N12" s="1" t="n">
        <v>148</v>
      </c>
      <c r="O12" s="1" t="s">
        <v>68</v>
      </c>
      <c r="P12" s="1" t="n">
        <v>9442</v>
      </c>
      <c r="Q12" s="1" t="s">
        <v>69</v>
      </c>
      <c r="R12" s="1" t="s">
        <v>23</v>
      </c>
      <c r="S12" s="1" t="s">
        <v>23</v>
      </c>
      <c r="T12" s="1" t="s">
        <v>23</v>
      </c>
      <c r="U12" s="1" t="s">
        <v>23</v>
      </c>
    </row>
    <row r="13" customFormat="false" ht="13.8" hidden="false" customHeight="false" outlineLevel="0" collapsed="false">
      <c r="A13" s="1" t="n">
        <v>12</v>
      </c>
      <c r="B13" s="2" t="s">
        <v>70</v>
      </c>
      <c r="C13" s="1" t="n">
        <v>4</v>
      </c>
      <c r="D13" s="1" t="n">
        <v>16</v>
      </c>
      <c r="E13" s="1" t="n">
        <v>19</v>
      </c>
      <c r="F13" s="1" t="n">
        <v>20</v>
      </c>
      <c r="G13" s="1" t="n">
        <v>27</v>
      </c>
      <c r="H13" s="1" t="n">
        <v>43</v>
      </c>
      <c r="I13" s="1" t="str">
        <f aca="false">RIGHT(("0"&amp;C13),2)&amp;RIGHT(("0"&amp;D13),2)&amp;RIGHT(("0"&amp;E13),2)&amp;RIGHT(("0"&amp;F13),2)&amp;RIGHT(("0"&amp;G13),2)&amp;RIGHT(("0"&amp;H13),2)</f>
        <v>041619202743</v>
      </c>
      <c r="J13" s="1" t="n">
        <f aca="false">COUNTIF(I:I,I13)</f>
        <v>1</v>
      </c>
      <c r="K13" s="1" t="n">
        <v>0</v>
      </c>
      <c r="M13" s="1" t="s">
        <v>23</v>
      </c>
      <c r="N13" s="1" t="n">
        <v>108</v>
      </c>
      <c r="O13" s="1" t="s">
        <v>71</v>
      </c>
      <c r="P13" s="1" t="n">
        <v>6454</v>
      </c>
      <c r="Q13" s="1" t="s">
        <v>72</v>
      </c>
      <c r="R13" s="1" t="s">
        <v>73</v>
      </c>
      <c r="S13" s="1" t="s">
        <v>23</v>
      </c>
      <c r="T13" s="1" t="s">
        <v>23</v>
      </c>
      <c r="U13" s="1" t="s">
        <v>23</v>
      </c>
    </row>
    <row r="14" customFormat="false" ht="13.8" hidden="false" customHeight="false" outlineLevel="0" collapsed="false">
      <c r="A14" s="1" t="n">
        <v>13</v>
      </c>
      <c r="B14" s="2" t="s">
        <v>74</v>
      </c>
      <c r="C14" s="1" t="n">
        <v>18</v>
      </c>
      <c r="D14" s="1" t="n">
        <v>32</v>
      </c>
      <c r="E14" s="1" t="n">
        <v>47</v>
      </c>
      <c r="F14" s="1" t="n">
        <v>50</v>
      </c>
      <c r="G14" s="1" t="n">
        <v>54</v>
      </c>
      <c r="H14" s="1" t="n">
        <v>56</v>
      </c>
      <c r="I14" s="1" t="str">
        <f aca="false">RIGHT(("0"&amp;C14),2)&amp;RIGHT(("0"&amp;D14),2)&amp;RIGHT(("0"&amp;E14),2)&amp;RIGHT(("0"&amp;F14),2)&amp;RIGHT(("0"&amp;G14),2)&amp;RIGHT(("0"&amp;H14),2)</f>
        <v>183247505456</v>
      </c>
      <c r="J14" s="1" t="n">
        <f aca="false">COUNTIF(I:I,I14)</f>
        <v>1</v>
      </c>
      <c r="K14" s="1" t="n">
        <v>0</v>
      </c>
      <c r="M14" s="1" t="s">
        <v>23</v>
      </c>
      <c r="N14" s="1" t="n">
        <v>43</v>
      </c>
      <c r="O14" s="1" t="s">
        <v>75</v>
      </c>
      <c r="P14" s="1" t="n">
        <v>2934</v>
      </c>
      <c r="Q14" s="1" t="s">
        <v>76</v>
      </c>
      <c r="R14" s="1" t="s">
        <v>77</v>
      </c>
      <c r="S14" s="1" t="s">
        <v>23</v>
      </c>
      <c r="T14" s="1" t="s">
        <v>23</v>
      </c>
      <c r="U14" s="1" t="s">
        <v>23</v>
      </c>
    </row>
    <row r="15" customFormat="false" ht="13.8" hidden="false" customHeight="false" outlineLevel="0" collapsed="false">
      <c r="A15" s="1" t="n">
        <v>14</v>
      </c>
      <c r="B15" s="2" t="s">
        <v>78</v>
      </c>
      <c r="C15" s="1" t="n">
        <v>2</v>
      </c>
      <c r="D15" s="1" t="n">
        <v>16</v>
      </c>
      <c r="E15" s="1" t="n">
        <v>23</v>
      </c>
      <c r="F15" s="1" t="n">
        <v>27</v>
      </c>
      <c r="G15" s="1" t="n">
        <v>47</v>
      </c>
      <c r="H15" s="1" t="n">
        <v>53</v>
      </c>
      <c r="I15" s="1" t="str">
        <f aca="false">RIGHT(("0"&amp;C15),2)&amp;RIGHT(("0"&amp;D15),2)&amp;RIGHT(("0"&amp;E15),2)&amp;RIGHT(("0"&amp;F15),2)&amp;RIGHT(("0"&amp;G15),2)&amp;RIGHT(("0"&amp;H15),2)</f>
        <v>021623274753</v>
      </c>
      <c r="J15" s="1" t="n">
        <f aca="false">COUNTIF(I:I,I15)</f>
        <v>1</v>
      </c>
      <c r="K15" s="1" t="n">
        <v>0</v>
      </c>
      <c r="M15" s="1" t="s">
        <v>23</v>
      </c>
      <c r="N15" s="1" t="n">
        <v>85</v>
      </c>
      <c r="O15" s="1" t="s">
        <v>79</v>
      </c>
      <c r="P15" s="1" t="n">
        <v>5323</v>
      </c>
      <c r="Q15" s="1" t="s">
        <v>80</v>
      </c>
      <c r="R15" s="1" t="s">
        <v>81</v>
      </c>
      <c r="S15" s="1" t="s">
        <v>23</v>
      </c>
      <c r="T15" s="1" t="s">
        <v>23</v>
      </c>
      <c r="U15" s="1" t="s">
        <v>23</v>
      </c>
    </row>
    <row r="16" customFormat="false" ht="13.8" hidden="false" customHeight="false" outlineLevel="0" collapsed="false">
      <c r="A16" s="1" t="n">
        <v>15</v>
      </c>
      <c r="B16" s="2" t="s">
        <v>82</v>
      </c>
      <c r="C16" s="1" t="n">
        <v>12</v>
      </c>
      <c r="D16" s="1" t="n">
        <v>33</v>
      </c>
      <c r="E16" s="1" t="n">
        <v>35</v>
      </c>
      <c r="F16" s="1" t="n">
        <v>51</v>
      </c>
      <c r="G16" s="1" t="n">
        <v>52</v>
      </c>
      <c r="H16" s="1" t="n">
        <v>60</v>
      </c>
      <c r="I16" s="1" t="str">
        <f aca="false">RIGHT(("0"&amp;C16),2)&amp;RIGHT(("0"&amp;D16),2)&amp;RIGHT(("0"&amp;E16),2)&amp;RIGHT(("0"&amp;F16),2)&amp;RIGHT(("0"&amp;G16),2)&amp;RIGHT(("0"&amp;H16),2)</f>
        <v>123335515260</v>
      </c>
      <c r="J16" s="1" t="n">
        <f aca="false">COUNTIF(I:I,I16)</f>
        <v>1</v>
      </c>
      <c r="K16" s="1" t="n">
        <v>0</v>
      </c>
      <c r="M16" s="1" t="s">
        <v>23</v>
      </c>
      <c r="N16" s="1" t="n">
        <v>57</v>
      </c>
      <c r="O16" s="1" t="s">
        <v>83</v>
      </c>
      <c r="P16" s="1" t="n">
        <v>3931</v>
      </c>
      <c r="Q16" s="1" t="s">
        <v>84</v>
      </c>
      <c r="R16" s="1" t="s">
        <v>85</v>
      </c>
      <c r="S16" s="1" t="s">
        <v>23</v>
      </c>
      <c r="T16" s="1" t="s">
        <v>23</v>
      </c>
      <c r="U16" s="1" t="s">
        <v>23</v>
      </c>
    </row>
    <row r="17" customFormat="false" ht="13.8" hidden="false" customHeight="false" outlineLevel="0" collapsed="false">
      <c r="A17" s="1" t="n">
        <v>16</v>
      </c>
      <c r="B17" s="2" t="s">
        <v>86</v>
      </c>
      <c r="C17" s="1" t="n">
        <v>20</v>
      </c>
      <c r="D17" s="1" t="n">
        <v>32</v>
      </c>
      <c r="E17" s="1" t="n">
        <v>34</v>
      </c>
      <c r="F17" s="1" t="n">
        <v>49</v>
      </c>
      <c r="G17" s="1" t="n">
        <v>58</v>
      </c>
      <c r="H17" s="1" t="n">
        <v>60</v>
      </c>
      <c r="I17" s="1" t="str">
        <f aca="false">RIGHT(("0"&amp;C17),2)&amp;RIGHT(("0"&amp;D17),2)&amp;RIGHT(("0"&amp;E17),2)&amp;RIGHT(("0"&amp;F17),2)&amp;RIGHT(("0"&amp;G17),2)&amp;RIGHT(("0"&amp;H17),2)</f>
        <v>203234495860</v>
      </c>
      <c r="J17" s="1" t="n">
        <f aca="false">COUNTIF(I:I,I17)</f>
        <v>1</v>
      </c>
      <c r="K17" s="1" t="n">
        <v>0</v>
      </c>
      <c r="M17" s="1" t="s">
        <v>23</v>
      </c>
      <c r="N17" s="1" t="n">
        <v>31</v>
      </c>
      <c r="O17" s="1" t="s">
        <v>87</v>
      </c>
      <c r="P17" s="1" t="n">
        <v>3250</v>
      </c>
      <c r="Q17" s="1" t="s">
        <v>88</v>
      </c>
      <c r="R17" s="1" t="s">
        <v>89</v>
      </c>
      <c r="S17" s="1" t="s">
        <v>23</v>
      </c>
      <c r="T17" s="1" t="s">
        <v>23</v>
      </c>
      <c r="U17" s="1" t="s">
        <v>23</v>
      </c>
    </row>
    <row r="18" customFormat="false" ht="13.8" hidden="false" customHeight="false" outlineLevel="0" collapsed="false">
      <c r="A18" s="1" t="n">
        <v>17</v>
      </c>
      <c r="B18" s="2" t="s">
        <v>90</v>
      </c>
      <c r="C18" s="1" t="n">
        <v>6</v>
      </c>
      <c r="D18" s="1" t="n">
        <v>10</v>
      </c>
      <c r="E18" s="1" t="n">
        <v>13</v>
      </c>
      <c r="F18" s="1" t="n">
        <v>19</v>
      </c>
      <c r="G18" s="1" t="n">
        <v>20</v>
      </c>
      <c r="H18" s="1" t="n">
        <v>51</v>
      </c>
      <c r="I18" s="1" t="str">
        <f aca="false">RIGHT(("0"&amp;C18),2)&amp;RIGHT(("0"&amp;D18),2)&amp;RIGHT(("0"&amp;E18),2)&amp;RIGHT(("0"&amp;F18),2)&amp;RIGHT(("0"&amp;G18),2)&amp;RIGHT(("0"&amp;H18),2)</f>
        <v>061013192051</v>
      </c>
      <c r="J18" s="1" t="n">
        <f aca="false">COUNTIF(I:I,I18)</f>
        <v>1</v>
      </c>
      <c r="K18" s="1" t="n">
        <v>1</v>
      </c>
      <c r="L18" s="1" t="s">
        <v>91</v>
      </c>
      <c r="M18" s="1" t="s">
        <v>92</v>
      </c>
      <c r="N18" s="1" t="n">
        <v>144</v>
      </c>
      <c r="O18" s="1" t="s">
        <v>93</v>
      </c>
      <c r="P18" s="1" t="n">
        <v>9376</v>
      </c>
      <c r="Q18" s="1" t="s">
        <v>94</v>
      </c>
      <c r="R18" s="1" t="s">
        <v>23</v>
      </c>
      <c r="S18" s="1" t="s">
        <v>23</v>
      </c>
      <c r="T18" s="1" t="s">
        <v>23</v>
      </c>
      <c r="U18" s="1" t="s">
        <v>23</v>
      </c>
    </row>
    <row r="19" customFormat="false" ht="13.8" hidden="false" customHeight="false" outlineLevel="0" collapsed="false">
      <c r="A19" s="1" t="n">
        <v>18</v>
      </c>
      <c r="B19" s="2" t="s">
        <v>95</v>
      </c>
      <c r="C19" s="1" t="n">
        <v>23</v>
      </c>
      <c r="D19" s="1" t="n">
        <v>27</v>
      </c>
      <c r="E19" s="1" t="n">
        <v>36</v>
      </c>
      <c r="F19" s="1" t="n">
        <v>37</v>
      </c>
      <c r="G19" s="1" t="n">
        <v>42</v>
      </c>
      <c r="H19" s="1" t="n">
        <v>56</v>
      </c>
      <c r="I19" s="1" t="str">
        <f aca="false">RIGHT(("0"&amp;C19),2)&amp;RIGHT(("0"&amp;D19),2)&amp;RIGHT(("0"&amp;E19),2)&amp;RIGHT(("0"&amp;F19),2)&amp;RIGHT(("0"&amp;G19),2)&amp;RIGHT(("0"&amp;H19),2)</f>
        <v>232736374256</v>
      </c>
      <c r="J19" s="1" t="n">
        <f aca="false">COUNTIF(I:I,I19)</f>
        <v>1</v>
      </c>
      <c r="K19" s="1" t="n">
        <v>0</v>
      </c>
      <c r="M19" s="1" t="s">
        <v>23</v>
      </c>
      <c r="N19" s="1" t="n">
        <v>52</v>
      </c>
      <c r="O19" s="1" t="s">
        <v>96</v>
      </c>
      <c r="P19" s="1" t="n">
        <v>4484</v>
      </c>
      <c r="Q19" s="1" t="s">
        <v>97</v>
      </c>
      <c r="R19" s="1" t="s">
        <v>98</v>
      </c>
      <c r="S19" s="1" t="s">
        <v>23</v>
      </c>
      <c r="T19" s="1" t="s">
        <v>23</v>
      </c>
      <c r="U19" s="1" t="s">
        <v>23</v>
      </c>
    </row>
    <row r="20" customFormat="false" ht="13.8" hidden="false" customHeight="false" outlineLevel="0" collapsed="false">
      <c r="A20" s="1" t="n">
        <v>19</v>
      </c>
      <c r="B20" s="2" t="s">
        <v>99</v>
      </c>
      <c r="C20" s="1" t="n">
        <v>5</v>
      </c>
      <c r="D20" s="1" t="n">
        <v>10</v>
      </c>
      <c r="E20" s="1" t="n">
        <v>12</v>
      </c>
      <c r="F20" s="1" t="n">
        <v>24</v>
      </c>
      <c r="G20" s="1" t="n">
        <v>25</v>
      </c>
      <c r="H20" s="1" t="n">
        <v>60</v>
      </c>
      <c r="I20" s="1" t="str">
        <f aca="false">RIGHT(("0"&amp;C20),2)&amp;RIGHT(("0"&amp;D20),2)&amp;RIGHT(("0"&amp;E20),2)&amp;RIGHT(("0"&amp;F20),2)&amp;RIGHT(("0"&amp;G20),2)&amp;RIGHT(("0"&amp;H20),2)</f>
        <v>051012242560</v>
      </c>
      <c r="J20" s="1" t="n">
        <f aca="false">COUNTIF(I:I,I20)</f>
        <v>1</v>
      </c>
      <c r="K20" s="1" t="n">
        <v>0</v>
      </c>
      <c r="M20" s="1" t="s">
        <v>23</v>
      </c>
      <c r="N20" s="1" t="n">
        <v>159</v>
      </c>
      <c r="O20" s="1" t="s">
        <v>100</v>
      </c>
      <c r="P20" s="1" t="n">
        <v>9250</v>
      </c>
      <c r="Q20" s="1" t="s">
        <v>101</v>
      </c>
      <c r="R20" s="1" t="s">
        <v>102</v>
      </c>
      <c r="S20" s="1" t="s">
        <v>23</v>
      </c>
      <c r="T20" s="1" t="s">
        <v>23</v>
      </c>
      <c r="U20" s="1" t="s">
        <v>23</v>
      </c>
    </row>
    <row r="21" customFormat="false" ht="13.8" hidden="false" customHeight="false" outlineLevel="0" collapsed="false">
      <c r="A21" s="1" t="n">
        <v>20</v>
      </c>
      <c r="B21" s="2" t="s">
        <v>103</v>
      </c>
      <c r="C21" s="1" t="n">
        <v>11</v>
      </c>
      <c r="D21" s="1" t="n">
        <v>25</v>
      </c>
      <c r="E21" s="1" t="n">
        <v>28</v>
      </c>
      <c r="F21" s="1" t="n">
        <v>30</v>
      </c>
      <c r="G21" s="1" t="n">
        <v>33</v>
      </c>
      <c r="H21" s="1" t="n">
        <v>51</v>
      </c>
      <c r="I21" s="1" t="str">
        <f aca="false">RIGHT(("0"&amp;C21),2)&amp;RIGHT(("0"&amp;D21),2)&amp;RIGHT(("0"&amp;E21),2)&amp;RIGHT(("0"&amp;F21),2)&amp;RIGHT(("0"&amp;G21),2)&amp;RIGHT(("0"&amp;H21),2)</f>
        <v>112528303351</v>
      </c>
      <c r="J21" s="1" t="n">
        <f aca="false">COUNTIF(I:I,I21)</f>
        <v>1</v>
      </c>
      <c r="K21" s="1" t="n">
        <v>0</v>
      </c>
      <c r="M21" s="1" t="s">
        <v>23</v>
      </c>
      <c r="N21" s="1" t="n">
        <v>72</v>
      </c>
      <c r="O21" s="1" t="s">
        <v>104</v>
      </c>
      <c r="P21" s="1" t="n">
        <v>5728</v>
      </c>
      <c r="Q21" s="1" t="s">
        <v>105</v>
      </c>
      <c r="R21" s="1" t="s">
        <v>106</v>
      </c>
      <c r="S21" s="1" t="s">
        <v>23</v>
      </c>
      <c r="T21" s="1" t="s">
        <v>23</v>
      </c>
      <c r="U21" s="1" t="s">
        <v>23</v>
      </c>
    </row>
    <row r="22" customFormat="false" ht="13.8" hidden="false" customHeight="false" outlineLevel="0" collapsed="false">
      <c r="A22" s="1" t="n">
        <v>21</v>
      </c>
      <c r="B22" s="2" t="s">
        <v>107</v>
      </c>
      <c r="C22" s="1" t="n">
        <v>6</v>
      </c>
      <c r="D22" s="1" t="n">
        <v>33</v>
      </c>
      <c r="E22" s="1" t="n">
        <v>36</v>
      </c>
      <c r="F22" s="1" t="n">
        <v>46</v>
      </c>
      <c r="G22" s="1" t="n">
        <v>49</v>
      </c>
      <c r="H22" s="1" t="n">
        <v>53</v>
      </c>
      <c r="I22" s="1" t="str">
        <f aca="false">RIGHT(("0"&amp;C22),2)&amp;RIGHT(("0"&amp;D22),2)&amp;RIGHT(("0"&amp;E22),2)&amp;RIGHT(("0"&amp;F22),2)&amp;RIGHT(("0"&amp;G22),2)&amp;RIGHT(("0"&amp;H22),2)</f>
        <v>063336464953</v>
      </c>
      <c r="J22" s="1" t="n">
        <f aca="false">COUNTIF(I:I,I22)</f>
        <v>1</v>
      </c>
      <c r="K22" s="1" t="n">
        <v>0</v>
      </c>
      <c r="M22" s="1" t="s">
        <v>23</v>
      </c>
      <c r="N22" s="1" t="n">
        <v>63</v>
      </c>
      <c r="O22" s="1" t="s">
        <v>108</v>
      </c>
      <c r="P22" s="1" t="n">
        <v>5030</v>
      </c>
      <c r="Q22" s="1" t="s">
        <v>109</v>
      </c>
      <c r="R22" s="1" t="s">
        <v>110</v>
      </c>
      <c r="S22" s="1" t="s">
        <v>23</v>
      </c>
      <c r="T22" s="1" t="s">
        <v>23</v>
      </c>
      <c r="U22" s="1" t="s">
        <v>23</v>
      </c>
    </row>
    <row r="23" customFormat="false" ht="13.8" hidden="false" customHeight="false" outlineLevel="0" collapsed="false">
      <c r="A23" s="1" t="n">
        <v>22</v>
      </c>
      <c r="B23" s="2" t="s">
        <v>111</v>
      </c>
      <c r="C23" s="1" t="n">
        <v>1</v>
      </c>
      <c r="D23" s="1" t="n">
        <v>9</v>
      </c>
      <c r="E23" s="1" t="n">
        <v>31</v>
      </c>
      <c r="F23" s="1" t="n">
        <v>38</v>
      </c>
      <c r="G23" s="1" t="n">
        <v>46</v>
      </c>
      <c r="H23" s="1" t="n">
        <v>56</v>
      </c>
      <c r="I23" s="1" t="str">
        <f aca="false">RIGHT(("0"&amp;C23),2)&amp;RIGHT(("0"&amp;D23),2)&amp;RIGHT(("0"&amp;E23),2)&amp;RIGHT(("0"&amp;F23),2)&amp;RIGHT(("0"&amp;G23),2)&amp;RIGHT(("0"&amp;H23),2)</f>
        <v>010931384656</v>
      </c>
      <c r="J23" s="1" t="n">
        <f aca="false">COUNTIF(I:I,I23)</f>
        <v>1</v>
      </c>
      <c r="K23" s="1" t="n">
        <v>0</v>
      </c>
      <c r="M23" s="1" t="s">
        <v>23</v>
      </c>
      <c r="N23" s="1" t="n">
        <v>47</v>
      </c>
      <c r="O23" s="1" t="s">
        <v>112</v>
      </c>
      <c r="P23" s="1" t="n">
        <v>4865</v>
      </c>
      <c r="Q23" s="1" t="s">
        <v>113</v>
      </c>
      <c r="R23" s="1" t="s">
        <v>114</v>
      </c>
      <c r="S23" s="1" t="s">
        <v>23</v>
      </c>
      <c r="T23" s="1" t="s">
        <v>23</v>
      </c>
      <c r="U23" s="1" t="s">
        <v>23</v>
      </c>
    </row>
    <row r="24" customFormat="false" ht="13.8" hidden="false" customHeight="false" outlineLevel="0" collapsed="false">
      <c r="A24" s="1" t="n">
        <v>23</v>
      </c>
      <c r="B24" s="2" t="s">
        <v>115</v>
      </c>
      <c r="C24" s="1" t="n">
        <v>17</v>
      </c>
      <c r="D24" s="1" t="n">
        <v>37</v>
      </c>
      <c r="E24" s="1" t="n">
        <v>39</v>
      </c>
      <c r="F24" s="1" t="n">
        <v>51</v>
      </c>
      <c r="G24" s="1" t="n">
        <v>52</v>
      </c>
      <c r="H24" s="1" t="n">
        <v>59</v>
      </c>
      <c r="I24" s="1" t="str">
        <f aca="false">RIGHT(("0"&amp;C24),2)&amp;RIGHT(("0"&amp;D24),2)&amp;RIGHT(("0"&amp;E24),2)&amp;RIGHT(("0"&amp;F24),2)&amp;RIGHT(("0"&amp;G24),2)&amp;RIGHT(("0"&amp;H24),2)</f>
        <v>173739515259</v>
      </c>
      <c r="J24" s="1" t="n">
        <f aca="false">COUNTIF(I:I,I24)</f>
        <v>1</v>
      </c>
      <c r="K24" s="1" t="n">
        <v>0</v>
      </c>
      <c r="M24" s="1" t="s">
        <v>23</v>
      </c>
      <c r="N24" s="1" t="n">
        <v>74</v>
      </c>
      <c r="O24" s="1" t="s">
        <v>116</v>
      </c>
      <c r="P24" s="1" t="n">
        <v>4897</v>
      </c>
      <c r="Q24" s="1" t="s">
        <v>117</v>
      </c>
      <c r="R24" s="1" t="s">
        <v>118</v>
      </c>
      <c r="S24" s="1" t="s">
        <v>23</v>
      </c>
      <c r="T24" s="1" t="s">
        <v>23</v>
      </c>
      <c r="U24" s="1" t="s">
        <v>23</v>
      </c>
    </row>
    <row r="25" customFormat="false" ht="13.8" hidden="false" customHeight="false" outlineLevel="0" collapsed="false">
      <c r="A25" s="1" t="n">
        <v>24</v>
      </c>
      <c r="B25" s="2" t="s">
        <v>119</v>
      </c>
      <c r="C25" s="1" t="n">
        <v>1</v>
      </c>
      <c r="D25" s="1" t="n">
        <v>8</v>
      </c>
      <c r="E25" s="1" t="n">
        <v>14</v>
      </c>
      <c r="F25" s="1" t="n">
        <v>28</v>
      </c>
      <c r="G25" s="1" t="n">
        <v>33</v>
      </c>
      <c r="H25" s="1" t="n">
        <v>43</v>
      </c>
      <c r="I25" s="1" t="str">
        <f aca="false">RIGHT(("0"&amp;C25),2)&amp;RIGHT(("0"&amp;D25),2)&amp;RIGHT(("0"&amp;E25),2)&amp;RIGHT(("0"&amp;F25),2)&amp;RIGHT(("0"&amp;G25),2)&amp;RIGHT(("0"&amp;H25),2)</f>
        <v>010814283343</v>
      </c>
      <c r="J25" s="1" t="n">
        <f aca="false">COUNTIF(I:I,I25)</f>
        <v>1</v>
      </c>
      <c r="K25" s="1" t="n">
        <v>1</v>
      </c>
      <c r="M25" s="1" t="s">
        <v>120</v>
      </c>
      <c r="N25" s="1" t="n">
        <v>227</v>
      </c>
      <c r="O25" s="1" t="s">
        <v>121</v>
      </c>
      <c r="P25" s="1" t="n">
        <v>13486</v>
      </c>
      <c r="Q25" s="1" t="s">
        <v>122</v>
      </c>
      <c r="R25" s="1" t="s">
        <v>23</v>
      </c>
      <c r="S25" s="1" t="s">
        <v>23</v>
      </c>
      <c r="T25" s="1" t="s">
        <v>23</v>
      </c>
      <c r="U25" s="1" t="s">
        <v>23</v>
      </c>
    </row>
    <row r="26" customFormat="false" ht="13.8" hidden="false" customHeight="false" outlineLevel="0" collapsed="false">
      <c r="A26" s="1" t="n">
        <v>25</v>
      </c>
      <c r="B26" s="2" t="s">
        <v>123</v>
      </c>
      <c r="C26" s="1" t="n">
        <v>24</v>
      </c>
      <c r="D26" s="1" t="n">
        <v>43</v>
      </c>
      <c r="E26" s="1" t="n">
        <v>50</v>
      </c>
      <c r="F26" s="1" t="n">
        <v>54</v>
      </c>
      <c r="G26" s="1" t="n">
        <v>55</v>
      </c>
      <c r="H26" s="1" t="n">
        <v>56</v>
      </c>
      <c r="I26" s="1" t="str">
        <f aca="false">RIGHT(("0"&amp;C26),2)&amp;RIGHT(("0"&amp;D26),2)&amp;RIGHT(("0"&amp;E26),2)&amp;RIGHT(("0"&amp;F26),2)&amp;RIGHT(("0"&amp;G26),2)&amp;RIGHT(("0"&amp;H26),2)</f>
        <v>244350545556</v>
      </c>
      <c r="J26" s="1" t="n">
        <f aca="false">COUNTIF(I:I,I26)</f>
        <v>1</v>
      </c>
      <c r="K26" s="1" t="n">
        <v>0</v>
      </c>
      <c r="M26" s="1" t="s">
        <v>23</v>
      </c>
      <c r="N26" s="1" t="n">
        <v>28</v>
      </c>
      <c r="O26" s="1" t="s">
        <v>124</v>
      </c>
      <c r="P26" s="1" t="n">
        <v>2741</v>
      </c>
      <c r="Q26" s="1" t="s">
        <v>125</v>
      </c>
      <c r="R26" s="1" t="s">
        <v>126</v>
      </c>
      <c r="S26" s="1" t="s">
        <v>23</v>
      </c>
      <c r="T26" s="1" t="s">
        <v>23</v>
      </c>
      <c r="U26" s="1" t="s">
        <v>23</v>
      </c>
    </row>
    <row r="27" customFormat="false" ht="13.8" hidden="false" customHeight="false" outlineLevel="0" collapsed="false">
      <c r="A27" s="1" t="n">
        <v>26</v>
      </c>
      <c r="B27" s="2" t="s">
        <v>127</v>
      </c>
      <c r="C27" s="1" t="n">
        <v>10</v>
      </c>
      <c r="D27" s="1" t="n">
        <v>22</v>
      </c>
      <c r="E27" s="1" t="n">
        <v>50</v>
      </c>
      <c r="F27" s="1" t="n">
        <v>53</v>
      </c>
      <c r="G27" s="1" t="n">
        <v>57</v>
      </c>
      <c r="H27" s="1" t="n">
        <v>58</v>
      </c>
      <c r="I27" s="1" t="str">
        <f aca="false">RIGHT(("0"&amp;C27),2)&amp;RIGHT(("0"&amp;D27),2)&amp;RIGHT(("0"&amp;E27),2)&amp;RIGHT(("0"&amp;F27),2)&amp;RIGHT(("0"&amp;G27),2)&amp;RIGHT(("0"&amp;H27),2)</f>
        <v>102250535758</v>
      </c>
      <c r="J27" s="1" t="n">
        <f aca="false">COUNTIF(I:I,I27)</f>
        <v>1</v>
      </c>
      <c r="K27" s="1" t="n">
        <v>0</v>
      </c>
      <c r="M27" s="1" t="s">
        <v>23</v>
      </c>
      <c r="N27" s="1" t="n">
        <v>16</v>
      </c>
      <c r="O27" s="1" t="s">
        <v>128</v>
      </c>
      <c r="P27" s="1" t="n">
        <v>1823</v>
      </c>
      <c r="Q27" s="1" t="s">
        <v>129</v>
      </c>
      <c r="R27" s="1" t="s">
        <v>130</v>
      </c>
      <c r="S27" s="1" t="s">
        <v>23</v>
      </c>
      <c r="T27" s="1" t="s">
        <v>23</v>
      </c>
      <c r="U27" s="1" t="s">
        <v>23</v>
      </c>
    </row>
    <row r="28" customFormat="false" ht="13.8" hidden="false" customHeight="false" outlineLevel="0" collapsed="false">
      <c r="A28" s="1" t="n">
        <v>27</v>
      </c>
      <c r="B28" s="2" t="s">
        <v>131</v>
      </c>
      <c r="C28" s="1" t="n">
        <v>13</v>
      </c>
      <c r="D28" s="1" t="n">
        <v>17</v>
      </c>
      <c r="E28" s="1" t="n">
        <v>20</v>
      </c>
      <c r="F28" s="1" t="n">
        <v>33</v>
      </c>
      <c r="G28" s="1" t="n">
        <v>44</v>
      </c>
      <c r="H28" s="1" t="n">
        <v>51</v>
      </c>
      <c r="I28" s="1" t="str">
        <f aca="false">RIGHT(("0"&amp;C28),2)&amp;RIGHT(("0"&amp;D28),2)&amp;RIGHT(("0"&amp;E28),2)&amp;RIGHT(("0"&amp;F28),2)&amp;RIGHT(("0"&amp;G28),2)&amp;RIGHT(("0"&amp;H28),2)</f>
        <v>131720334451</v>
      </c>
      <c r="J28" s="1" t="n">
        <f aca="false">COUNTIF(I:I,I28)</f>
        <v>1</v>
      </c>
      <c r="K28" s="1" t="n">
        <v>0</v>
      </c>
      <c r="M28" s="1" t="s">
        <v>23</v>
      </c>
      <c r="N28" s="1" t="n">
        <v>99</v>
      </c>
      <c r="O28" s="1" t="s">
        <v>132</v>
      </c>
      <c r="P28" s="1" t="n">
        <v>6466</v>
      </c>
      <c r="Q28" s="1" t="s">
        <v>133</v>
      </c>
      <c r="R28" s="1" t="s">
        <v>134</v>
      </c>
      <c r="S28" s="1" t="s">
        <v>23</v>
      </c>
      <c r="T28" s="1" t="s">
        <v>23</v>
      </c>
      <c r="U28" s="1" t="s">
        <v>23</v>
      </c>
    </row>
    <row r="29" customFormat="false" ht="13.8" hidden="false" customHeight="false" outlineLevel="0" collapsed="false">
      <c r="A29" s="1" t="n">
        <v>28</v>
      </c>
      <c r="B29" s="2" t="s">
        <v>135</v>
      </c>
      <c r="C29" s="1" t="n">
        <v>3</v>
      </c>
      <c r="D29" s="1" t="n">
        <v>6</v>
      </c>
      <c r="E29" s="1" t="n">
        <v>22</v>
      </c>
      <c r="F29" s="1" t="n">
        <v>24</v>
      </c>
      <c r="G29" s="1" t="n">
        <v>54</v>
      </c>
      <c r="H29" s="1" t="n">
        <v>60</v>
      </c>
      <c r="I29" s="1" t="str">
        <f aca="false">RIGHT(("0"&amp;C29),2)&amp;RIGHT(("0"&amp;D29),2)&amp;RIGHT(("0"&amp;E29),2)&amp;RIGHT(("0"&amp;F29),2)&amp;RIGHT(("0"&amp;G29),2)&amp;RIGHT(("0"&amp;H29),2)</f>
        <v>030622245460</v>
      </c>
      <c r="J29" s="1" t="n">
        <f aca="false">COUNTIF(I:I,I29)</f>
        <v>1</v>
      </c>
      <c r="K29" s="1" t="n">
        <v>0</v>
      </c>
      <c r="M29" s="1" t="s">
        <v>23</v>
      </c>
      <c r="N29" s="1" t="n">
        <v>50</v>
      </c>
      <c r="O29" s="1" t="s">
        <v>136</v>
      </c>
      <c r="P29" s="1" t="n">
        <v>4895</v>
      </c>
      <c r="Q29" s="1" t="s">
        <v>137</v>
      </c>
      <c r="R29" s="1" t="s">
        <v>138</v>
      </c>
      <c r="S29" s="1" t="s">
        <v>23</v>
      </c>
      <c r="T29" s="1" t="s">
        <v>23</v>
      </c>
      <c r="U29" s="1" t="s">
        <v>23</v>
      </c>
    </row>
    <row r="30" customFormat="false" ht="13.8" hidden="false" customHeight="false" outlineLevel="0" collapsed="false">
      <c r="A30" s="1" t="n">
        <v>29</v>
      </c>
      <c r="B30" s="2" t="s">
        <v>139</v>
      </c>
      <c r="C30" s="1" t="n">
        <v>3</v>
      </c>
      <c r="D30" s="1" t="n">
        <v>8</v>
      </c>
      <c r="E30" s="1" t="n">
        <v>14</v>
      </c>
      <c r="F30" s="1" t="n">
        <v>43</v>
      </c>
      <c r="G30" s="1" t="n">
        <v>56</v>
      </c>
      <c r="H30" s="1" t="n">
        <v>58</v>
      </c>
      <c r="I30" s="1" t="str">
        <f aca="false">RIGHT(("0"&amp;C30),2)&amp;RIGHT(("0"&amp;D30),2)&amp;RIGHT(("0"&amp;E30),2)&amp;RIGHT(("0"&amp;F30),2)&amp;RIGHT(("0"&amp;G30),2)&amp;RIGHT(("0"&amp;H30),2)</f>
        <v>030814435658</v>
      </c>
      <c r="J30" s="1" t="n">
        <f aca="false">COUNTIF(I:I,I30)</f>
        <v>1</v>
      </c>
      <c r="K30" s="1" t="n">
        <v>1</v>
      </c>
      <c r="L30" s="1" t="s">
        <v>140</v>
      </c>
      <c r="M30" s="1" t="s">
        <v>141</v>
      </c>
      <c r="N30" s="1" t="n">
        <v>44</v>
      </c>
      <c r="O30" s="1" t="s">
        <v>142</v>
      </c>
      <c r="P30" s="1" t="n">
        <v>5248</v>
      </c>
      <c r="Q30" s="1" t="s">
        <v>143</v>
      </c>
      <c r="R30" s="1" t="s">
        <v>23</v>
      </c>
      <c r="S30" s="1" t="s">
        <v>23</v>
      </c>
      <c r="T30" s="1" t="s">
        <v>23</v>
      </c>
      <c r="U30" s="1" t="s">
        <v>23</v>
      </c>
    </row>
    <row r="31" customFormat="false" ht="13.8" hidden="false" customHeight="false" outlineLevel="0" collapsed="false">
      <c r="A31" s="1" t="n">
        <v>30</v>
      </c>
      <c r="B31" s="2" t="s">
        <v>144</v>
      </c>
      <c r="C31" s="1" t="n">
        <v>7</v>
      </c>
      <c r="D31" s="1" t="n">
        <v>14</v>
      </c>
      <c r="E31" s="1" t="n">
        <v>15</v>
      </c>
      <c r="F31" s="1" t="n">
        <v>29</v>
      </c>
      <c r="G31" s="1" t="n">
        <v>38</v>
      </c>
      <c r="H31" s="1" t="n">
        <v>50</v>
      </c>
      <c r="I31" s="1" t="str">
        <f aca="false">RIGHT(("0"&amp;C31),2)&amp;RIGHT(("0"&amp;D31),2)&amp;RIGHT(("0"&amp;E31),2)&amp;RIGHT(("0"&amp;F31),2)&amp;RIGHT(("0"&amp;G31),2)&amp;RIGHT(("0"&amp;H31),2)</f>
        <v>071415293850</v>
      </c>
      <c r="J31" s="1" t="n">
        <f aca="false">COUNTIF(I:I,I31)</f>
        <v>1</v>
      </c>
      <c r="K31" s="1" t="n">
        <v>0</v>
      </c>
      <c r="M31" s="1" t="s">
        <v>23</v>
      </c>
      <c r="N31" s="1" t="n">
        <v>80</v>
      </c>
      <c r="O31" s="1" t="s">
        <v>145</v>
      </c>
      <c r="P31" s="1" t="n">
        <v>5885</v>
      </c>
      <c r="Q31" s="1" t="s">
        <v>146</v>
      </c>
      <c r="R31" s="1" t="s">
        <v>147</v>
      </c>
      <c r="S31" s="1" t="s">
        <v>23</v>
      </c>
      <c r="T31" s="1" t="s">
        <v>23</v>
      </c>
      <c r="U31" s="1" t="s">
        <v>23</v>
      </c>
    </row>
    <row r="32" customFormat="false" ht="13.8" hidden="false" customHeight="false" outlineLevel="0" collapsed="false">
      <c r="A32" s="1" t="n">
        <v>31</v>
      </c>
      <c r="B32" s="2" t="s">
        <v>148</v>
      </c>
      <c r="C32" s="1" t="n">
        <v>17</v>
      </c>
      <c r="D32" s="1" t="n">
        <v>19</v>
      </c>
      <c r="E32" s="1" t="n">
        <v>28</v>
      </c>
      <c r="F32" s="1" t="n">
        <v>45</v>
      </c>
      <c r="G32" s="1" t="n">
        <v>48</v>
      </c>
      <c r="H32" s="1" t="n">
        <v>56</v>
      </c>
      <c r="I32" s="1" t="str">
        <f aca="false">RIGHT(("0"&amp;C32),2)&amp;RIGHT(("0"&amp;D32),2)&amp;RIGHT(("0"&amp;E32),2)&amp;RIGHT(("0"&amp;F32),2)&amp;RIGHT(("0"&amp;G32),2)&amp;RIGHT(("0"&amp;H32),2)</f>
        <v>171928454856</v>
      </c>
      <c r="J32" s="1" t="n">
        <f aca="false">COUNTIF(I:I,I32)</f>
        <v>1</v>
      </c>
      <c r="K32" s="1" t="n">
        <v>0</v>
      </c>
      <c r="M32" s="1" t="s">
        <v>23</v>
      </c>
      <c r="N32" s="1" t="n">
        <v>103</v>
      </c>
      <c r="O32" s="1" t="s">
        <v>149</v>
      </c>
      <c r="P32" s="1" t="n">
        <v>5680</v>
      </c>
      <c r="Q32" s="1" t="s">
        <v>150</v>
      </c>
      <c r="R32" s="1" t="s">
        <v>151</v>
      </c>
      <c r="S32" s="1" t="s">
        <v>23</v>
      </c>
      <c r="T32" s="1" t="s">
        <v>23</v>
      </c>
      <c r="U32" s="1" t="s">
        <v>23</v>
      </c>
    </row>
    <row r="33" customFormat="false" ht="13.8" hidden="false" customHeight="false" outlineLevel="0" collapsed="false">
      <c r="A33" s="1" t="n">
        <v>32</v>
      </c>
      <c r="B33" s="2" t="s">
        <v>152</v>
      </c>
      <c r="C33" s="1" t="n">
        <v>5</v>
      </c>
      <c r="D33" s="1" t="n">
        <v>14</v>
      </c>
      <c r="E33" s="1" t="n">
        <v>33</v>
      </c>
      <c r="F33" s="1" t="n">
        <v>36</v>
      </c>
      <c r="G33" s="1" t="n">
        <v>43</v>
      </c>
      <c r="H33" s="1" t="n">
        <v>44</v>
      </c>
      <c r="I33" s="1" t="str">
        <f aca="false">RIGHT(("0"&amp;C33),2)&amp;RIGHT(("0"&amp;D33),2)&amp;RIGHT(("0"&amp;E33),2)&amp;RIGHT(("0"&amp;F33),2)&amp;RIGHT(("0"&amp;G33),2)&amp;RIGHT(("0"&amp;H33),2)</f>
        <v>051433364344</v>
      </c>
      <c r="J33" s="1" t="n">
        <f aca="false">COUNTIF(I:I,I33)</f>
        <v>1</v>
      </c>
      <c r="K33" s="1" t="n">
        <v>0</v>
      </c>
      <c r="M33" s="1" t="s">
        <v>23</v>
      </c>
      <c r="N33" s="1" t="n">
        <v>96</v>
      </c>
      <c r="O33" s="1" t="s">
        <v>153</v>
      </c>
      <c r="P33" s="1" t="n">
        <v>6876</v>
      </c>
      <c r="Q33" s="1" t="s">
        <v>154</v>
      </c>
      <c r="R33" s="1" t="s">
        <v>155</v>
      </c>
      <c r="S33" s="1" t="s">
        <v>23</v>
      </c>
      <c r="T33" s="1" t="s">
        <v>23</v>
      </c>
      <c r="U33" s="1" t="s">
        <v>23</v>
      </c>
    </row>
    <row r="34" customFormat="false" ht="13.8" hidden="false" customHeight="false" outlineLevel="0" collapsed="false">
      <c r="A34" s="1" t="n">
        <v>33</v>
      </c>
      <c r="B34" s="2" t="s">
        <v>156</v>
      </c>
      <c r="C34" s="1" t="n">
        <v>5</v>
      </c>
      <c r="D34" s="1" t="n">
        <v>17</v>
      </c>
      <c r="E34" s="1" t="n">
        <v>33</v>
      </c>
      <c r="F34" s="1" t="n">
        <v>39</v>
      </c>
      <c r="G34" s="1" t="n">
        <v>42</v>
      </c>
      <c r="H34" s="1" t="n">
        <v>49</v>
      </c>
      <c r="I34" s="1" t="str">
        <f aca="false">RIGHT(("0"&amp;C34),2)&amp;RIGHT(("0"&amp;D34),2)&amp;RIGHT(("0"&amp;E34),2)&amp;RIGHT(("0"&amp;F34),2)&amp;RIGHT(("0"&amp;G34),2)&amp;RIGHT(("0"&amp;H34),2)</f>
        <v>051733394249</v>
      </c>
      <c r="J34" s="1" t="n">
        <f aca="false">COUNTIF(I:I,I34)</f>
        <v>1</v>
      </c>
      <c r="K34" s="1" t="n">
        <v>1</v>
      </c>
      <c r="L34" s="1" t="s">
        <v>157</v>
      </c>
      <c r="M34" s="1" t="s">
        <v>158</v>
      </c>
      <c r="N34" s="1" t="n">
        <v>128</v>
      </c>
      <c r="O34" s="1" t="s">
        <v>159</v>
      </c>
      <c r="P34" s="1" t="n">
        <v>8722</v>
      </c>
      <c r="Q34" s="1" t="s">
        <v>160</v>
      </c>
      <c r="R34" s="1" t="s">
        <v>23</v>
      </c>
      <c r="S34" s="1" t="s">
        <v>23</v>
      </c>
      <c r="T34" s="1" t="s">
        <v>23</v>
      </c>
      <c r="U34" s="1" t="s">
        <v>23</v>
      </c>
    </row>
    <row r="35" customFormat="false" ht="13.8" hidden="false" customHeight="false" outlineLevel="0" collapsed="false">
      <c r="A35" s="1" t="n">
        <v>34</v>
      </c>
      <c r="B35" s="2" t="s">
        <v>161</v>
      </c>
      <c r="C35" s="1" t="n">
        <v>13</v>
      </c>
      <c r="D35" s="1" t="n">
        <v>15</v>
      </c>
      <c r="E35" s="1" t="n">
        <v>17</v>
      </c>
      <c r="F35" s="1" t="n">
        <v>40</v>
      </c>
      <c r="G35" s="1" t="n">
        <v>53</v>
      </c>
      <c r="H35" s="1" t="n">
        <v>57</v>
      </c>
      <c r="I35" s="1" t="str">
        <f aca="false">RIGHT(("0"&amp;C35),2)&amp;RIGHT(("0"&amp;D35),2)&amp;RIGHT(("0"&amp;E35),2)&amp;RIGHT(("0"&amp;F35),2)&amp;RIGHT(("0"&amp;G35),2)&amp;RIGHT(("0"&amp;H35),2)</f>
        <v>131517405357</v>
      </c>
      <c r="J35" s="1" t="n">
        <f aca="false">COUNTIF(I:I,I35)</f>
        <v>1</v>
      </c>
      <c r="K35" s="1" t="n">
        <v>0</v>
      </c>
      <c r="M35" s="1" t="s">
        <v>23</v>
      </c>
      <c r="N35" s="1" t="n">
        <v>51</v>
      </c>
      <c r="O35" s="1" t="s">
        <v>162</v>
      </c>
      <c r="P35" s="1" t="n">
        <v>2627</v>
      </c>
      <c r="Q35" s="1" t="s">
        <v>163</v>
      </c>
      <c r="R35" s="1" t="s">
        <v>164</v>
      </c>
      <c r="S35" s="1" t="s">
        <v>23</v>
      </c>
      <c r="T35" s="1" t="s">
        <v>23</v>
      </c>
      <c r="U35" s="1" t="s">
        <v>23</v>
      </c>
    </row>
    <row r="36" customFormat="false" ht="13.8" hidden="false" customHeight="false" outlineLevel="0" collapsed="false">
      <c r="A36" s="1" t="n">
        <v>35</v>
      </c>
      <c r="B36" s="2" t="s">
        <v>165</v>
      </c>
      <c r="C36" s="1" t="n">
        <v>4</v>
      </c>
      <c r="D36" s="1" t="n">
        <v>16</v>
      </c>
      <c r="E36" s="1" t="n">
        <v>21</v>
      </c>
      <c r="F36" s="1" t="n">
        <v>23</v>
      </c>
      <c r="G36" s="1" t="n">
        <v>54</v>
      </c>
      <c r="H36" s="1" t="n">
        <v>57</v>
      </c>
      <c r="I36" s="1" t="str">
        <f aca="false">RIGHT(("0"&amp;C36),2)&amp;RIGHT(("0"&amp;D36),2)&amp;RIGHT(("0"&amp;E36),2)&amp;RIGHT(("0"&amp;F36),2)&amp;RIGHT(("0"&amp;G36),2)&amp;RIGHT(("0"&amp;H36),2)</f>
        <v>041621235457</v>
      </c>
      <c r="J36" s="1" t="n">
        <f aca="false">COUNTIF(I:I,I36)</f>
        <v>1</v>
      </c>
      <c r="K36" s="1" t="n">
        <v>0</v>
      </c>
      <c r="M36" s="1" t="s">
        <v>23</v>
      </c>
      <c r="N36" s="1" t="n">
        <v>39</v>
      </c>
      <c r="O36" s="1" t="s">
        <v>166</v>
      </c>
      <c r="P36" s="1" t="n">
        <v>3576</v>
      </c>
      <c r="Q36" s="1" t="s">
        <v>167</v>
      </c>
      <c r="R36" s="1" t="s">
        <v>168</v>
      </c>
      <c r="S36" s="1" t="s">
        <v>23</v>
      </c>
      <c r="T36" s="1" t="s">
        <v>23</v>
      </c>
      <c r="U36" s="1" t="s">
        <v>23</v>
      </c>
    </row>
    <row r="37" customFormat="false" ht="13.8" hidden="false" customHeight="false" outlineLevel="0" collapsed="false">
      <c r="A37" s="1" t="n">
        <v>36</v>
      </c>
      <c r="B37" s="2" t="s">
        <v>169</v>
      </c>
      <c r="C37" s="1" t="n">
        <v>3</v>
      </c>
      <c r="D37" s="1" t="n">
        <v>13</v>
      </c>
      <c r="E37" s="1" t="n">
        <v>17</v>
      </c>
      <c r="F37" s="1" t="n">
        <v>25</v>
      </c>
      <c r="G37" s="1" t="n">
        <v>29</v>
      </c>
      <c r="H37" s="1" t="n">
        <v>51</v>
      </c>
      <c r="I37" s="1" t="str">
        <f aca="false">RIGHT(("0"&amp;C37),2)&amp;RIGHT(("0"&amp;D37),2)&amp;RIGHT(("0"&amp;E37),2)&amp;RIGHT(("0"&amp;F37),2)&amp;RIGHT(("0"&amp;G37),2)&amp;RIGHT(("0"&amp;H37),2)</f>
        <v>031317252951</v>
      </c>
      <c r="J37" s="1" t="n">
        <f aca="false">COUNTIF(I:I,I37)</f>
        <v>1</v>
      </c>
      <c r="K37" s="1" t="n">
        <v>0</v>
      </c>
      <c r="M37" s="1" t="s">
        <v>23</v>
      </c>
      <c r="N37" s="1" t="n">
        <v>143</v>
      </c>
      <c r="O37" s="1" t="s">
        <v>170</v>
      </c>
      <c r="P37" s="1" t="n">
        <v>8548</v>
      </c>
      <c r="Q37" s="1" t="s">
        <v>171</v>
      </c>
      <c r="R37" s="1" t="s">
        <v>172</v>
      </c>
      <c r="S37" s="1" t="s">
        <v>23</v>
      </c>
      <c r="T37" s="1" t="s">
        <v>23</v>
      </c>
      <c r="U37" s="1" t="s">
        <v>23</v>
      </c>
    </row>
    <row r="38" customFormat="false" ht="13.8" hidden="false" customHeight="false" outlineLevel="0" collapsed="false">
      <c r="A38" s="1" t="n">
        <v>37</v>
      </c>
      <c r="B38" s="2" t="s">
        <v>173</v>
      </c>
      <c r="C38" s="1" t="n">
        <v>6</v>
      </c>
      <c r="D38" s="1" t="n">
        <v>7</v>
      </c>
      <c r="E38" s="1" t="n">
        <v>22</v>
      </c>
      <c r="F38" s="1" t="n">
        <v>38</v>
      </c>
      <c r="G38" s="1" t="n">
        <v>52</v>
      </c>
      <c r="H38" s="1" t="n">
        <v>60</v>
      </c>
      <c r="I38" s="1" t="str">
        <f aca="false">RIGHT(("0"&amp;C38),2)&amp;RIGHT(("0"&amp;D38),2)&amp;RIGHT(("0"&amp;E38),2)&amp;RIGHT(("0"&amp;F38),2)&amp;RIGHT(("0"&amp;G38),2)&amp;RIGHT(("0"&amp;H38),2)</f>
        <v>060722385260</v>
      </c>
      <c r="J38" s="1" t="n">
        <f aca="false">COUNTIF(I:I,I38)</f>
        <v>1</v>
      </c>
      <c r="K38" s="1" t="n">
        <v>0</v>
      </c>
      <c r="M38" s="1" t="s">
        <v>23</v>
      </c>
      <c r="N38" s="1" t="n">
        <v>47</v>
      </c>
      <c r="O38" s="1" t="s">
        <v>174</v>
      </c>
      <c r="P38" s="1" t="n">
        <v>3695</v>
      </c>
      <c r="Q38" s="1" t="s">
        <v>175</v>
      </c>
      <c r="R38" s="1" t="s">
        <v>176</v>
      </c>
      <c r="S38" s="1" t="s">
        <v>23</v>
      </c>
      <c r="T38" s="1" t="s">
        <v>23</v>
      </c>
      <c r="U38" s="1" t="s">
        <v>23</v>
      </c>
    </row>
    <row r="39" customFormat="false" ht="13.8" hidden="false" customHeight="false" outlineLevel="0" collapsed="false">
      <c r="A39" s="1" t="n">
        <v>38</v>
      </c>
      <c r="B39" s="2" t="s">
        <v>177</v>
      </c>
      <c r="C39" s="1" t="n">
        <v>10</v>
      </c>
      <c r="D39" s="1" t="n">
        <v>42</v>
      </c>
      <c r="E39" s="1" t="n">
        <v>43</v>
      </c>
      <c r="F39" s="1" t="n">
        <v>45</v>
      </c>
      <c r="G39" s="1" t="n">
        <v>54</v>
      </c>
      <c r="H39" s="1" t="n">
        <v>55</v>
      </c>
      <c r="I39" s="1" t="str">
        <f aca="false">RIGHT(("0"&amp;C39),2)&amp;RIGHT(("0"&amp;D39),2)&amp;RIGHT(("0"&amp;E39),2)&amp;RIGHT(("0"&amp;F39),2)&amp;RIGHT(("0"&amp;G39),2)&amp;RIGHT(("0"&amp;H39),2)</f>
        <v>104243455455</v>
      </c>
      <c r="J39" s="1" t="n">
        <f aca="false">COUNTIF(I:I,I39)</f>
        <v>1</v>
      </c>
      <c r="K39" s="1" t="n">
        <v>0</v>
      </c>
      <c r="M39" s="1" t="s">
        <v>23</v>
      </c>
      <c r="N39" s="1" t="n">
        <v>24</v>
      </c>
      <c r="O39" s="1" t="s">
        <v>178</v>
      </c>
      <c r="P39" s="1" t="n">
        <v>1999</v>
      </c>
      <c r="Q39" s="1" t="s">
        <v>179</v>
      </c>
      <c r="R39" s="1" t="s">
        <v>180</v>
      </c>
      <c r="S39" s="1" t="s">
        <v>23</v>
      </c>
      <c r="T39" s="1" t="s">
        <v>23</v>
      </c>
      <c r="U39" s="1" t="s">
        <v>23</v>
      </c>
    </row>
    <row r="40" customFormat="false" ht="13.8" hidden="false" customHeight="false" outlineLevel="0" collapsed="false">
      <c r="A40" s="1" t="n">
        <v>39</v>
      </c>
      <c r="B40" s="2" t="s">
        <v>181</v>
      </c>
      <c r="C40" s="1" t="n">
        <v>12</v>
      </c>
      <c r="D40" s="1" t="n">
        <v>16</v>
      </c>
      <c r="E40" s="1" t="n">
        <v>37</v>
      </c>
      <c r="F40" s="1" t="n">
        <v>45</v>
      </c>
      <c r="G40" s="1" t="n">
        <v>52</v>
      </c>
      <c r="H40" s="1" t="n">
        <v>56</v>
      </c>
      <c r="I40" s="1" t="str">
        <f aca="false">RIGHT(("0"&amp;C40),2)&amp;RIGHT(("0"&amp;D40),2)&amp;RIGHT(("0"&amp;E40),2)&amp;RIGHT(("0"&amp;F40),2)&amp;RIGHT(("0"&amp;G40),2)&amp;RIGHT(("0"&amp;H40),2)</f>
        <v>121637455256</v>
      </c>
      <c r="J40" s="1" t="n">
        <f aca="false">COUNTIF(I:I,I40)</f>
        <v>1</v>
      </c>
      <c r="K40" s="1" t="n">
        <v>0</v>
      </c>
      <c r="M40" s="1" t="s">
        <v>23</v>
      </c>
      <c r="N40" s="1" t="n">
        <v>73</v>
      </c>
      <c r="O40" s="1" t="s">
        <v>182</v>
      </c>
      <c r="P40" s="1" t="n">
        <v>4444</v>
      </c>
      <c r="Q40" s="1" t="s">
        <v>183</v>
      </c>
      <c r="R40" s="1" t="s">
        <v>184</v>
      </c>
      <c r="S40" s="1" t="s">
        <v>23</v>
      </c>
      <c r="T40" s="1" t="s">
        <v>23</v>
      </c>
      <c r="U40" s="1" t="s">
        <v>23</v>
      </c>
    </row>
    <row r="41" customFormat="false" ht="13.8" hidden="false" customHeight="false" outlineLevel="0" collapsed="false">
      <c r="A41" s="1" t="n">
        <v>40</v>
      </c>
      <c r="B41" s="2" t="s">
        <v>185</v>
      </c>
      <c r="C41" s="1" t="n">
        <v>3</v>
      </c>
      <c r="D41" s="1" t="n">
        <v>5</v>
      </c>
      <c r="E41" s="1" t="n">
        <v>8</v>
      </c>
      <c r="F41" s="1" t="n">
        <v>12</v>
      </c>
      <c r="G41" s="1" t="n">
        <v>46</v>
      </c>
      <c r="H41" s="1" t="n">
        <v>47</v>
      </c>
      <c r="I41" s="1" t="str">
        <f aca="false">RIGHT(("0"&amp;C41),2)&amp;RIGHT(("0"&amp;D41),2)&amp;RIGHT(("0"&amp;E41),2)&amp;RIGHT(("0"&amp;F41),2)&amp;RIGHT(("0"&amp;G41),2)&amp;RIGHT(("0"&amp;H41),2)</f>
        <v>030508124647</v>
      </c>
      <c r="J41" s="1" t="n">
        <f aca="false">COUNTIF(I:I,I41)</f>
        <v>1</v>
      </c>
      <c r="K41" s="1" t="n">
        <v>0</v>
      </c>
      <c r="M41" s="1" t="s">
        <v>23</v>
      </c>
      <c r="N41" s="1" t="n">
        <v>189</v>
      </c>
      <c r="O41" s="1" t="s">
        <v>186</v>
      </c>
      <c r="P41" s="1" t="n">
        <v>12117</v>
      </c>
      <c r="Q41" s="1" t="s">
        <v>187</v>
      </c>
      <c r="R41" s="1" t="s">
        <v>188</v>
      </c>
      <c r="S41" s="1" t="s">
        <v>23</v>
      </c>
      <c r="T41" s="1" t="s">
        <v>23</v>
      </c>
      <c r="U41" s="1" t="s">
        <v>23</v>
      </c>
    </row>
    <row r="42" customFormat="false" ht="13.8" hidden="false" customHeight="false" outlineLevel="0" collapsed="false">
      <c r="A42" s="1" t="n">
        <v>41</v>
      </c>
      <c r="B42" s="2" t="s">
        <v>189</v>
      </c>
      <c r="C42" s="1" t="n">
        <v>12</v>
      </c>
      <c r="D42" s="1" t="n">
        <v>26</v>
      </c>
      <c r="E42" s="1" t="n">
        <v>35</v>
      </c>
      <c r="F42" s="1" t="n">
        <v>38</v>
      </c>
      <c r="G42" s="1" t="n">
        <v>39</v>
      </c>
      <c r="H42" s="1" t="n">
        <v>47</v>
      </c>
      <c r="I42" s="1" t="str">
        <f aca="false">RIGHT(("0"&amp;C42),2)&amp;RIGHT(("0"&amp;D42),2)&amp;RIGHT(("0"&amp;E42),2)&amp;RIGHT(("0"&amp;F42),2)&amp;RIGHT(("0"&amp;G42),2)&amp;RIGHT(("0"&amp;H42),2)</f>
        <v>122635383947</v>
      </c>
      <c r="J42" s="1" t="n">
        <f aca="false">COUNTIF(I:I,I42)</f>
        <v>1</v>
      </c>
      <c r="K42" s="1" t="n">
        <v>1</v>
      </c>
      <c r="L42" s="1" t="s">
        <v>190</v>
      </c>
      <c r="M42" s="1" t="s">
        <v>191</v>
      </c>
      <c r="N42" s="1" t="n">
        <v>148</v>
      </c>
      <c r="O42" s="1" t="s">
        <v>192</v>
      </c>
      <c r="P42" s="1" t="n">
        <v>10182</v>
      </c>
      <c r="Q42" s="1" t="s">
        <v>193</v>
      </c>
      <c r="R42" s="1" t="s">
        <v>23</v>
      </c>
      <c r="S42" s="1" t="s">
        <v>23</v>
      </c>
      <c r="T42" s="1" t="s">
        <v>23</v>
      </c>
      <c r="U42" s="1" t="s">
        <v>23</v>
      </c>
      <c r="V42" s="1" t="s">
        <v>194</v>
      </c>
    </row>
    <row r="43" customFormat="false" ht="13.8" hidden="false" customHeight="false" outlineLevel="0" collapsed="false">
      <c r="A43" s="1" t="n">
        <v>42</v>
      </c>
      <c r="B43" s="2" t="s">
        <v>195</v>
      </c>
      <c r="C43" s="1" t="n">
        <v>7</v>
      </c>
      <c r="D43" s="1" t="n">
        <v>11</v>
      </c>
      <c r="E43" s="1" t="n">
        <v>19</v>
      </c>
      <c r="F43" s="1" t="n">
        <v>24</v>
      </c>
      <c r="G43" s="1" t="n">
        <v>33</v>
      </c>
      <c r="H43" s="1" t="n">
        <v>36</v>
      </c>
      <c r="I43" s="1" t="str">
        <f aca="false">RIGHT(("0"&amp;C43),2)&amp;RIGHT(("0"&amp;D43),2)&amp;RIGHT(("0"&amp;E43),2)&amp;RIGHT(("0"&amp;F43),2)&amp;RIGHT(("0"&amp;G43),2)&amp;RIGHT(("0"&amp;H43),2)</f>
        <v>071119243336</v>
      </c>
      <c r="J43" s="1" t="n">
        <f aca="false">COUNTIF(I:I,I43)</f>
        <v>1</v>
      </c>
      <c r="K43" s="1" t="n">
        <v>0</v>
      </c>
      <c r="M43" s="1" t="s">
        <v>23</v>
      </c>
      <c r="N43" s="1" t="n">
        <v>201</v>
      </c>
      <c r="O43" s="1" t="s">
        <v>196</v>
      </c>
      <c r="P43" s="1" t="n">
        <v>9580</v>
      </c>
      <c r="Q43" s="1" t="s">
        <v>197</v>
      </c>
      <c r="R43" s="1" t="s">
        <v>198</v>
      </c>
      <c r="S43" s="1" t="s">
        <v>23</v>
      </c>
      <c r="T43" s="1" t="s">
        <v>23</v>
      </c>
      <c r="U43" s="1" t="s">
        <v>23</v>
      </c>
    </row>
    <row r="44" customFormat="false" ht="13.8" hidden="false" customHeight="false" outlineLevel="0" collapsed="false">
      <c r="A44" s="1" t="n">
        <v>43</v>
      </c>
      <c r="B44" s="2" t="s">
        <v>199</v>
      </c>
      <c r="C44" s="1" t="n">
        <v>2</v>
      </c>
      <c r="D44" s="1" t="n">
        <v>6</v>
      </c>
      <c r="E44" s="1" t="n">
        <v>17</v>
      </c>
      <c r="F44" s="1" t="n">
        <v>25</v>
      </c>
      <c r="G44" s="1" t="n">
        <v>26</v>
      </c>
      <c r="H44" s="1" t="n">
        <v>58</v>
      </c>
      <c r="I44" s="1" t="str">
        <f aca="false">RIGHT(("0"&amp;C44),2)&amp;RIGHT(("0"&amp;D44),2)&amp;RIGHT(("0"&amp;E44),2)&amp;RIGHT(("0"&amp;F44),2)&amp;RIGHT(("0"&amp;G44),2)&amp;RIGHT(("0"&amp;H44),2)</f>
        <v>020617252658</v>
      </c>
      <c r="J44" s="1" t="n">
        <f aca="false">COUNTIF(I:I,I44)</f>
        <v>1</v>
      </c>
      <c r="K44" s="1" t="n">
        <v>0</v>
      </c>
      <c r="M44" s="1" t="s">
        <v>23</v>
      </c>
      <c r="N44" s="1" t="n">
        <v>75</v>
      </c>
      <c r="O44" s="1" t="s">
        <v>200</v>
      </c>
      <c r="P44" s="1" t="n">
        <v>5070</v>
      </c>
      <c r="Q44" s="1" t="s">
        <v>201</v>
      </c>
      <c r="R44" s="1" t="s">
        <v>202</v>
      </c>
      <c r="S44" s="1" t="s">
        <v>23</v>
      </c>
      <c r="T44" s="1" t="s">
        <v>23</v>
      </c>
      <c r="U44" s="1" t="s">
        <v>23</v>
      </c>
    </row>
    <row r="45" customFormat="false" ht="13.8" hidden="false" customHeight="false" outlineLevel="0" collapsed="false">
      <c r="A45" s="1" t="n">
        <v>44</v>
      </c>
      <c r="B45" s="2" t="s">
        <v>203</v>
      </c>
      <c r="C45" s="1" t="n">
        <v>14</v>
      </c>
      <c r="D45" s="1" t="n">
        <v>18</v>
      </c>
      <c r="E45" s="1" t="n">
        <v>29</v>
      </c>
      <c r="F45" s="1" t="n">
        <v>38</v>
      </c>
      <c r="G45" s="1" t="n">
        <v>44</v>
      </c>
      <c r="H45" s="1" t="n">
        <v>47</v>
      </c>
      <c r="I45" s="1" t="str">
        <f aca="false">RIGHT(("0"&amp;C45),2)&amp;RIGHT(("0"&amp;D45),2)&amp;RIGHT(("0"&amp;E45),2)&amp;RIGHT(("0"&amp;F45),2)&amp;RIGHT(("0"&amp;G45),2)&amp;RIGHT(("0"&amp;H45),2)</f>
        <v>141829384447</v>
      </c>
      <c r="J45" s="1" t="n">
        <f aca="false">COUNTIF(I:I,I45)</f>
        <v>1</v>
      </c>
      <c r="K45" s="1" t="n">
        <v>0</v>
      </c>
      <c r="M45" s="1" t="s">
        <v>23</v>
      </c>
      <c r="N45" s="1" t="n">
        <v>103</v>
      </c>
      <c r="O45" s="1" t="s">
        <v>204</v>
      </c>
      <c r="P45" s="1" t="n">
        <v>7742</v>
      </c>
      <c r="Q45" s="1" t="s">
        <v>205</v>
      </c>
      <c r="R45" s="1" t="s">
        <v>206</v>
      </c>
      <c r="S45" s="1" t="s">
        <v>23</v>
      </c>
      <c r="T45" s="1" t="s">
        <v>23</v>
      </c>
      <c r="U45" s="1" t="s">
        <v>23</v>
      </c>
    </row>
    <row r="46" customFormat="false" ht="13.8" hidden="false" customHeight="false" outlineLevel="0" collapsed="false">
      <c r="A46" s="1" t="n">
        <v>45</v>
      </c>
      <c r="B46" s="2" t="s">
        <v>207</v>
      </c>
      <c r="C46" s="1" t="n">
        <v>7</v>
      </c>
      <c r="D46" s="1" t="n">
        <v>30</v>
      </c>
      <c r="E46" s="1" t="n">
        <v>37</v>
      </c>
      <c r="F46" s="1" t="n">
        <v>44</v>
      </c>
      <c r="G46" s="1" t="n">
        <v>53</v>
      </c>
      <c r="H46" s="1" t="n">
        <v>55</v>
      </c>
      <c r="I46" s="1" t="str">
        <f aca="false">RIGHT(("0"&amp;C46),2)&amp;RIGHT(("0"&amp;D46),2)&amp;RIGHT(("0"&amp;E46),2)&amp;RIGHT(("0"&amp;F46),2)&amp;RIGHT(("0"&amp;G46),2)&amp;RIGHT(("0"&amp;H46),2)</f>
        <v>073037445355</v>
      </c>
      <c r="J46" s="1" t="n">
        <f aca="false">COUNTIF(I:I,I46)</f>
        <v>1</v>
      </c>
      <c r="K46" s="1" t="n">
        <v>0</v>
      </c>
      <c r="M46" s="1" t="s">
        <v>23</v>
      </c>
      <c r="N46" s="1" t="n">
        <v>33</v>
      </c>
      <c r="O46" s="1" t="s">
        <v>208</v>
      </c>
      <c r="P46" s="1" t="n">
        <v>3004</v>
      </c>
      <c r="Q46" s="1" t="s">
        <v>209</v>
      </c>
      <c r="R46" s="1" t="s">
        <v>210</v>
      </c>
      <c r="S46" s="1" t="s">
        <v>23</v>
      </c>
      <c r="T46" s="1" t="s">
        <v>23</v>
      </c>
      <c r="U46" s="1" t="s">
        <v>23</v>
      </c>
    </row>
    <row r="47" customFormat="false" ht="13.8" hidden="false" customHeight="false" outlineLevel="0" collapsed="false">
      <c r="A47" s="1" t="n">
        <v>46</v>
      </c>
      <c r="B47" s="2" t="s">
        <v>211</v>
      </c>
      <c r="C47" s="1" t="n">
        <v>1</v>
      </c>
      <c r="D47" s="1" t="n">
        <v>23</v>
      </c>
      <c r="E47" s="1" t="n">
        <v>24</v>
      </c>
      <c r="F47" s="1" t="n">
        <v>32</v>
      </c>
      <c r="G47" s="1" t="n">
        <v>46</v>
      </c>
      <c r="H47" s="1" t="n">
        <v>60</v>
      </c>
      <c r="I47" s="1" t="str">
        <f aca="false">RIGHT(("0"&amp;C47),2)&amp;RIGHT(("0"&amp;D47),2)&amp;RIGHT(("0"&amp;E47),2)&amp;RIGHT(("0"&amp;F47),2)&amp;RIGHT(("0"&amp;G47),2)&amp;RIGHT(("0"&amp;H47),2)</f>
        <v>012324324660</v>
      </c>
      <c r="J47" s="1" t="n">
        <f aca="false">COUNTIF(I:I,I47)</f>
        <v>1</v>
      </c>
      <c r="K47" s="1" t="n">
        <v>0</v>
      </c>
      <c r="M47" s="1" t="s">
        <v>23</v>
      </c>
      <c r="N47" s="1" t="n">
        <v>91</v>
      </c>
      <c r="O47" s="1" t="s">
        <v>212</v>
      </c>
      <c r="P47" s="1" t="n">
        <v>6263</v>
      </c>
      <c r="Q47" s="1" t="s">
        <v>213</v>
      </c>
      <c r="R47" s="1" t="s">
        <v>214</v>
      </c>
      <c r="S47" s="1" t="s">
        <v>23</v>
      </c>
      <c r="T47" s="1" t="s">
        <v>23</v>
      </c>
      <c r="U47" s="1" t="s">
        <v>23</v>
      </c>
    </row>
    <row r="48" customFormat="false" ht="13.8" hidden="false" customHeight="false" outlineLevel="0" collapsed="false">
      <c r="A48" s="1" t="n">
        <v>47</v>
      </c>
      <c r="B48" s="2" t="s">
        <v>215</v>
      </c>
      <c r="C48" s="1" t="n">
        <v>3</v>
      </c>
      <c r="D48" s="1" t="n">
        <v>17</v>
      </c>
      <c r="E48" s="1" t="n">
        <v>25</v>
      </c>
      <c r="F48" s="1" t="n">
        <v>35</v>
      </c>
      <c r="G48" s="1" t="n">
        <v>48</v>
      </c>
      <c r="H48" s="1" t="n">
        <v>56</v>
      </c>
      <c r="I48" s="1" t="str">
        <f aca="false">RIGHT(("0"&amp;C48),2)&amp;RIGHT(("0"&amp;D48),2)&amp;RIGHT(("0"&amp;E48),2)&amp;RIGHT(("0"&amp;F48),2)&amp;RIGHT(("0"&amp;G48),2)&amp;RIGHT(("0"&amp;H48),2)</f>
        <v>031725354856</v>
      </c>
      <c r="J48" s="1" t="n">
        <f aca="false">COUNTIF(I:I,I48)</f>
        <v>1</v>
      </c>
      <c r="K48" s="1" t="n">
        <v>0</v>
      </c>
      <c r="M48" s="1" t="s">
        <v>23</v>
      </c>
      <c r="N48" s="1" t="n">
        <v>210</v>
      </c>
      <c r="O48" s="1" t="s">
        <v>216</v>
      </c>
      <c r="P48" s="1" t="n">
        <v>10873</v>
      </c>
      <c r="Q48" s="1" t="s">
        <v>217</v>
      </c>
      <c r="R48" s="1" t="s">
        <v>218</v>
      </c>
      <c r="S48" s="1" t="s">
        <v>23</v>
      </c>
      <c r="T48" s="1" t="s">
        <v>23</v>
      </c>
      <c r="U48" s="1" t="s">
        <v>23</v>
      </c>
    </row>
    <row r="49" customFormat="false" ht="13.8" hidden="false" customHeight="false" outlineLevel="0" collapsed="false">
      <c r="A49" s="1" t="n">
        <v>48</v>
      </c>
      <c r="B49" s="2" t="s">
        <v>219</v>
      </c>
      <c r="C49" s="1" t="n">
        <v>2</v>
      </c>
      <c r="D49" s="1" t="n">
        <v>5</v>
      </c>
      <c r="E49" s="1" t="n">
        <v>28</v>
      </c>
      <c r="F49" s="1" t="n">
        <v>34</v>
      </c>
      <c r="G49" s="1" t="n">
        <v>47</v>
      </c>
      <c r="H49" s="1" t="n">
        <v>50</v>
      </c>
      <c r="I49" s="1" t="str">
        <f aca="false">RIGHT(("0"&amp;C49),2)&amp;RIGHT(("0"&amp;D49),2)&amp;RIGHT(("0"&amp;E49),2)&amp;RIGHT(("0"&amp;F49),2)&amp;RIGHT(("0"&amp;G49),2)&amp;RIGHT(("0"&amp;H49),2)</f>
        <v>020528344750</v>
      </c>
      <c r="J49" s="1" t="n">
        <f aca="false">COUNTIF(I:I,I49)</f>
        <v>1</v>
      </c>
      <c r="K49" s="1" t="n">
        <v>0</v>
      </c>
      <c r="M49" s="1" t="s">
        <v>23</v>
      </c>
      <c r="N49" s="1" t="n">
        <v>132</v>
      </c>
      <c r="O49" s="1" t="s">
        <v>220</v>
      </c>
      <c r="P49" s="1" t="n">
        <v>7454</v>
      </c>
      <c r="Q49" s="1" t="s">
        <v>221</v>
      </c>
      <c r="R49" s="1" t="s">
        <v>222</v>
      </c>
      <c r="S49" s="1" t="s">
        <v>23</v>
      </c>
      <c r="T49" s="1" t="s">
        <v>23</v>
      </c>
      <c r="U49" s="1" t="s">
        <v>23</v>
      </c>
    </row>
    <row r="50" customFormat="false" ht="13.8" hidden="false" customHeight="false" outlineLevel="0" collapsed="false">
      <c r="A50" s="1" t="n">
        <v>49</v>
      </c>
      <c r="B50" s="2" t="s">
        <v>223</v>
      </c>
      <c r="C50" s="1" t="n">
        <v>7</v>
      </c>
      <c r="D50" s="1" t="n">
        <v>13</v>
      </c>
      <c r="E50" s="1" t="n">
        <v>33</v>
      </c>
      <c r="F50" s="1" t="n">
        <v>35</v>
      </c>
      <c r="G50" s="1" t="n">
        <v>43</v>
      </c>
      <c r="H50" s="1" t="n">
        <v>55</v>
      </c>
      <c r="I50" s="1" t="str">
        <f aca="false">RIGHT(("0"&amp;C50),2)&amp;RIGHT(("0"&amp;D50),2)&amp;RIGHT(("0"&amp;E50),2)&amp;RIGHT(("0"&amp;F50),2)&amp;RIGHT(("0"&amp;G50),2)&amp;RIGHT(("0"&amp;H50),2)</f>
        <v>071333354355</v>
      </c>
      <c r="J50" s="1" t="n">
        <f aca="false">COUNTIF(I:I,I50)</f>
        <v>1</v>
      </c>
      <c r="K50" s="1" t="n">
        <v>1</v>
      </c>
      <c r="L50" s="1" t="s">
        <v>66</v>
      </c>
      <c r="M50" s="1" t="s">
        <v>224</v>
      </c>
      <c r="N50" s="1" t="n">
        <v>155</v>
      </c>
      <c r="O50" s="1" t="s">
        <v>225</v>
      </c>
      <c r="P50" s="1" t="n">
        <v>9830</v>
      </c>
      <c r="Q50" s="1" t="s">
        <v>226</v>
      </c>
      <c r="R50" s="1" t="s">
        <v>23</v>
      </c>
      <c r="S50" s="1" t="s">
        <v>23</v>
      </c>
      <c r="T50" s="1" t="s">
        <v>23</v>
      </c>
      <c r="U50" s="1" t="s">
        <v>23</v>
      </c>
      <c r="V50" s="1" t="s">
        <v>227</v>
      </c>
    </row>
    <row r="51" customFormat="false" ht="13.8" hidden="false" customHeight="false" outlineLevel="0" collapsed="false">
      <c r="A51" s="1" t="n">
        <v>50</v>
      </c>
      <c r="B51" s="2" t="s">
        <v>228</v>
      </c>
      <c r="C51" s="1" t="n">
        <v>6</v>
      </c>
      <c r="D51" s="1" t="n">
        <v>16</v>
      </c>
      <c r="E51" s="1" t="n">
        <v>21</v>
      </c>
      <c r="F51" s="1" t="n">
        <v>44</v>
      </c>
      <c r="G51" s="1" t="n">
        <v>57</v>
      </c>
      <c r="H51" s="1" t="n">
        <v>58</v>
      </c>
      <c r="I51" s="1" t="str">
        <f aca="false">RIGHT(("0"&amp;C51),2)&amp;RIGHT(("0"&amp;D51),2)&amp;RIGHT(("0"&amp;E51),2)&amp;RIGHT(("0"&amp;F51),2)&amp;RIGHT(("0"&amp;G51),2)&amp;RIGHT(("0"&amp;H51),2)</f>
        <v>061621445758</v>
      </c>
      <c r="J51" s="1" t="n">
        <f aca="false">COUNTIF(I:I,I51)</f>
        <v>1</v>
      </c>
      <c r="K51" s="1" t="n">
        <v>0</v>
      </c>
      <c r="M51" s="1" t="s">
        <v>23</v>
      </c>
      <c r="N51" s="1" t="n">
        <v>31</v>
      </c>
      <c r="O51" s="1" t="s">
        <v>229</v>
      </c>
      <c r="P51" s="1" t="n">
        <v>2800</v>
      </c>
      <c r="Q51" s="1" t="s">
        <v>230</v>
      </c>
      <c r="R51" s="1" t="s">
        <v>231</v>
      </c>
      <c r="S51" s="1" t="s">
        <v>23</v>
      </c>
      <c r="T51" s="1" t="s">
        <v>23</v>
      </c>
      <c r="U51" s="1" t="s">
        <v>23</v>
      </c>
    </row>
    <row r="52" customFormat="false" ht="13.8" hidden="false" customHeight="false" outlineLevel="0" collapsed="false">
      <c r="A52" s="1" t="n">
        <v>51</v>
      </c>
      <c r="B52" s="2" t="s">
        <v>232</v>
      </c>
      <c r="C52" s="1" t="n">
        <v>17</v>
      </c>
      <c r="D52" s="1" t="n">
        <v>23</v>
      </c>
      <c r="E52" s="1" t="n">
        <v>24</v>
      </c>
      <c r="F52" s="1" t="n">
        <v>25</v>
      </c>
      <c r="G52" s="1" t="n">
        <v>42</v>
      </c>
      <c r="H52" s="1" t="n">
        <v>47</v>
      </c>
      <c r="I52" s="1" t="str">
        <f aca="false">RIGHT(("0"&amp;C52),2)&amp;RIGHT(("0"&amp;D52),2)&amp;RIGHT(("0"&amp;E52),2)&amp;RIGHT(("0"&amp;F52),2)&amp;RIGHT(("0"&amp;G52),2)&amp;RIGHT(("0"&amp;H52),2)</f>
        <v>172324254247</v>
      </c>
      <c r="J52" s="1" t="n">
        <f aca="false">COUNTIF(I:I,I52)</f>
        <v>1</v>
      </c>
      <c r="K52" s="1" t="n">
        <v>0</v>
      </c>
      <c r="M52" s="1" t="s">
        <v>23</v>
      </c>
      <c r="N52" s="1" t="n">
        <v>143</v>
      </c>
      <c r="O52" s="1" t="s">
        <v>233</v>
      </c>
      <c r="P52" s="1" t="n">
        <v>9361</v>
      </c>
      <c r="Q52" s="1" t="s">
        <v>234</v>
      </c>
      <c r="R52" s="1" t="s">
        <v>235</v>
      </c>
      <c r="S52" s="1" t="s">
        <v>23</v>
      </c>
      <c r="T52" s="1" t="s">
        <v>23</v>
      </c>
      <c r="U52" s="1" t="s">
        <v>23</v>
      </c>
    </row>
    <row r="53" customFormat="false" ht="13.8" hidden="false" customHeight="false" outlineLevel="0" collapsed="false">
      <c r="A53" s="1" t="n">
        <v>52</v>
      </c>
      <c r="B53" s="2" t="s">
        <v>236</v>
      </c>
      <c r="C53" s="1" t="n">
        <v>15</v>
      </c>
      <c r="D53" s="1" t="n">
        <v>30</v>
      </c>
      <c r="E53" s="1" t="n">
        <v>38</v>
      </c>
      <c r="F53" s="1" t="n">
        <v>46</v>
      </c>
      <c r="G53" s="1" t="n">
        <v>58</v>
      </c>
      <c r="H53" s="1" t="n">
        <v>59</v>
      </c>
      <c r="I53" s="1" t="str">
        <f aca="false">RIGHT(("0"&amp;C53),2)&amp;RIGHT(("0"&amp;D53),2)&amp;RIGHT(("0"&amp;E53),2)&amp;RIGHT(("0"&amp;F53),2)&amp;RIGHT(("0"&amp;G53),2)&amp;RIGHT(("0"&amp;H53),2)</f>
        <v>153038465859</v>
      </c>
      <c r="J53" s="1" t="n">
        <f aca="false">COUNTIF(I:I,I53)</f>
        <v>1</v>
      </c>
      <c r="K53" s="1" t="n">
        <v>0</v>
      </c>
      <c r="M53" s="1" t="s">
        <v>23</v>
      </c>
      <c r="N53" s="1" t="n">
        <v>77</v>
      </c>
      <c r="O53" s="1" t="s">
        <v>237</v>
      </c>
      <c r="P53" s="1" t="n">
        <v>6442</v>
      </c>
      <c r="Q53" s="1" t="s">
        <v>238</v>
      </c>
      <c r="R53" s="1" t="s">
        <v>239</v>
      </c>
      <c r="S53" s="1" t="s">
        <v>23</v>
      </c>
      <c r="T53" s="1" t="s">
        <v>23</v>
      </c>
      <c r="U53" s="1" t="s">
        <v>23</v>
      </c>
    </row>
    <row r="54" customFormat="false" ht="13.8" hidden="false" customHeight="false" outlineLevel="0" collapsed="false">
      <c r="A54" s="1" t="n">
        <v>53</v>
      </c>
      <c r="B54" s="2" t="s">
        <v>240</v>
      </c>
      <c r="C54" s="1" t="n">
        <v>3</v>
      </c>
      <c r="D54" s="1" t="n">
        <v>13</v>
      </c>
      <c r="E54" s="1" t="n">
        <v>16</v>
      </c>
      <c r="F54" s="1" t="n">
        <v>38</v>
      </c>
      <c r="G54" s="1" t="n">
        <v>42</v>
      </c>
      <c r="H54" s="1" t="n">
        <v>46</v>
      </c>
      <c r="I54" s="1" t="str">
        <f aca="false">RIGHT(("0"&amp;C54),2)&amp;RIGHT(("0"&amp;D54),2)&amp;RIGHT(("0"&amp;E54),2)&amp;RIGHT(("0"&amp;F54),2)&amp;RIGHT(("0"&amp;G54),2)&amp;RIGHT(("0"&amp;H54),2)</f>
        <v>031316384246</v>
      </c>
      <c r="J54" s="1" t="n">
        <f aca="false">COUNTIF(I:I,I54)</f>
        <v>1</v>
      </c>
      <c r="K54" s="1" t="n">
        <v>0</v>
      </c>
      <c r="M54" s="1" t="s">
        <v>23</v>
      </c>
      <c r="N54" s="1" t="n">
        <v>210</v>
      </c>
      <c r="O54" s="1" t="s">
        <v>241</v>
      </c>
      <c r="P54" s="1" t="n">
        <v>10941</v>
      </c>
      <c r="Q54" s="1" t="s">
        <v>242</v>
      </c>
      <c r="R54" s="1" t="s">
        <v>243</v>
      </c>
      <c r="S54" s="1" t="s">
        <v>23</v>
      </c>
      <c r="T54" s="1" t="s">
        <v>23</v>
      </c>
      <c r="U54" s="1" t="s">
        <v>23</v>
      </c>
    </row>
    <row r="55" customFormat="false" ht="13.8" hidden="false" customHeight="false" outlineLevel="0" collapsed="false">
      <c r="A55" s="1" t="n">
        <v>54</v>
      </c>
      <c r="B55" s="2" t="s">
        <v>244</v>
      </c>
      <c r="C55" s="1" t="n">
        <v>5</v>
      </c>
      <c r="D55" s="1" t="n">
        <v>9</v>
      </c>
      <c r="E55" s="1" t="n">
        <v>18</v>
      </c>
      <c r="F55" s="1" t="n">
        <v>21</v>
      </c>
      <c r="G55" s="1" t="n">
        <v>36</v>
      </c>
      <c r="H55" s="1" t="n">
        <v>56</v>
      </c>
      <c r="I55" s="1" t="str">
        <f aca="false">RIGHT(("0"&amp;C55),2)&amp;RIGHT(("0"&amp;D55),2)&amp;RIGHT(("0"&amp;E55),2)&amp;RIGHT(("0"&amp;F55),2)&amp;RIGHT(("0"&amp;G55),2)&amp;RIGHT(("0"&amp;H55),2)</f>
        <v>050918213656</v>
      </c>
      <c r="J55" s="1" t="n">
        <f aca="false">COUNTIF(I:I,I55)</f>
        <v>1</v>
      </c>
      <c r="K55" s="1" t="n">
        <v>2</v>
      </c>
      <c r="L55" s="1" t="s">
        <v>245</v>
      </c>
      <c r="M55" s="1" t="s">
        <v>246</v>
      </c>
      <c r="N55" s="1" t="n">
        <v>207</v>
      </c>
      <c r="O55" s="1" t="s">
        <v>247</v>
      </c>
      <c r="P55" s="1" t="n">
        <v>13067</v>
      </c>
      <c r="Q55" s="1" t="s">
        <v>248</v>
      </c>
      <c r="R55" s="1" t="s">
        <v>23</v>
      </c>
      <c r="S55" s="1" t="s">
        <v>23</v>
      </c>
      <c r="T55" s="1" t="s">
        <v>23</v>
      </c>
      <c r="U55" s="1" t="s">
        <v>23</v>
      </c>
      <c r="V55" s="1" t="s">
        <v>249</v>
      </c>
    </row>
    <row r="56" customFormat="false" ht="13.8" hidden="false" customHeight="false" outlineLevel="0" collapsed="false">
      <c r="A56" s="1" t="n">
        <v>55</v>
      </c>
      <c r="B56" s="2" t="s">
        <v>250</v>
      </c>
      <c r="C56" s="1" t="n">
        <v>2</v>
      </c>
      <c r="D56" s="1" t="n">
        <v>14</v>
      </c>
      <c r="E56" s="1" t="n">
        <v>23</v>
      </c>
      <c r="F56" s="1" t="n">
        <v>29</v>
      </c>
      <c r="G56" s="1" t="n">
        <v>38</v>
      </c>
      <c r="H56" s="1" t="n">
        <v>52</v>
      </c>
      <c r="I56" s="1" t="str">
        <f aca="false">RIGHT(("0"&amp;C56),2)&amp;RIGHT(("0"&amp;D56),2)&amp;RIGHT(("0"&amp;E56),2)&amp;RIGHT(("0"&amp;F56),2)&amp;RIGHT(("0"&amp;G56),2)&amp;RIGHT(("0"&amp;H56),2)</f>
        <v>021423293852</v>
      </c>
      <c r="J56" s="1" t="n">
        <f aca="false">COUNTIF(I:I,I56)</f>
        <v>1</v>
      </c>
      <c r="K56" s="1" t="n">
        <v>0</v>
      </c>
      <c r="M56" s="1" t="s">
        <v>23</v>
      </c>
      <c r="N56" s="1" t="n">
        <v>66</v>
      </c>
      <c r="O56" s="1" t="s">
        <v>251</v>
      </c>
      <c r="P56" s="1" t="n">
        <v>3840</v>
      </c>
      <c r="Q56" s="1" t="s">
        <v>252</v>
      </c>
      <c r="R56" s="1" t="s">
        <v>253</v>
      </c>
      <c r="S56" s="1" t="s">
        <v>23</v>
      </c>
      <c r="T56" s="1" t="s">
        <v>23</v>
      </c>
      <c r="U56" s="1" t="s">
        <v>23</v>
      </c>
    </row>
    <row r="57" customFormat="false" ht="13.8" hidden="false" customHeight="false" outlineLevel="0" collapsed="false">
      <c r="A57" s="1" t="n">
        <v>56</v>
      </c>
      <c r="B57" s="2" t="s">
        <v>254</v>
      </c>
      <c r="C57" s="1" t="n">
        <v>2</v>
      </c>
      <c r="D57" s="1" t="n">
        <v>7</v>
      </c>
      <c r="E57" s="1" t="n">
        <v>20</v>
      </c>
      <c r="F57" s="1" t="n">
        <v>35</v>
      </c>
      <c r="G57" s="1" t="n">
        <v>51</v>
      </c>
      <c r="H57" s="1" t="n">
        <v>59</v>
      </c>
      <c r="I57" s="1" t="str">
        <f aca="false">RIGHT(("0"&amp;C57),2)&amp;RIGHT(("0"&amp;D57),2)&amp;RIGHT(("0"&amp;E57),2)&amp;RIGHT(("0"&amp;F57),2)&amp;RIGHT(("0"&amp;G57),2)&amp;RIGHT(("0"&amp;H57),2)</f>
        <v>020720355159</v>
      </c>
      <c r="J57" s="1" t="n">
        <f aca="false">COUNTIF(I:I,I57)</f>
        <v>1</v>
      </c>
      <c r="K57" s="1" t="n">
        <v>0</v>
      </c>
      <c r="M57" s="1" t="s">
        <v>23</v>
      </c>
      <c r="N57" s="1" t="n">
        <v>48</v>
      </c>
      <c r="O57" s="1" t="s">
        <v>255</v>
      </c>
      <c r="P57" s="1" t="n">
        <v>2599</v>
      </c>
      <c r="Q57" s="1" t="s">
        <v>256</v>
      </c>
      <c r="R57" s="1" t="s">
        <v>257</v>
      </c>
      <c r="S57" s="1" t="s">
        <v>23</v>
      </c>
      <c r="T57" s="1" t="s">
        <v>23</v>
      </c>
      <c r="U57" s="1" t="s">
        <v>23</v>
      </c>
    </row>
    <row r="58" customFormat="false" ht="13.8" hidden="false" customHeight="false" outlineLevel="0" collapsed="false">
      <c r="A58" s="1" t="n">
        <v>57</v>
      </c>
      <c r="B58" s="2" t="s">
        <v>258</v>
      </c>
      <c r="C58" s="1" t="n">
        <v>7</v>
      </c>
      <c r="D58" s="1" t="n">
        <v>16</v>
      </c>
      <c r="E58" s="1" t="n">
        <v>17</v>
      </c>
      <c r="F58" s="1" t="n">
        <v>27</v>
      </c>
      <c r="G58" s="1" t="n">
        <v>34</v>
      </c>
      <c r="H58" s="1" t="n">
        <v>59</v>
      </c>
      <c r="I58" s="1" t="str">
        <f aca="false">RIGHT(("0"&amp;C58),2)&amp;RIGHT(("0"&amp;D58),2)&amp;RIGHT(("0"&amp;E58),2)&amp;RIGHT(("0"&amp;F58),2)&amp;RIGHT(("0"&amp;G58),2)&amp;RIGHT(("0"&amp;H58),2)</f>
        <v>071617273459</v>
      </c>
      <c r="J58" s="1" t="n">
        <f aca="false">COUNTIF(I:I,I58)</f>
        <v>1</v>
      </c>
      <c r="K58" s="1" t="n">
        <v>0</v>
      </c>
      <c r="M58" s="1" t="s">
        <v>23</v>
      </c>
      <c r="N58" s="1" t="n">
        <v>79</v>
      </c>
      <c r="O58" s="1" t="s">
        <v>259</v>
      </c>
      <c r="P58" s="1" t="n">
        <v>6173</v>
      </c>
      <c r="Q58" s="1" t="s">
        <v>260</v>
      </c>
      <c r="R58" s="1" t="s">
        <v>261</v>
      </c>
      <c r="S58" s="1" t="s">
        <v>23</v>
      </c>
      <c r="T58" s="1" t="s">
        <v>23</v>
      </c>
      <c r="U58" s="1" t="s">
        <v>23</v>
      </c>
    </row>
    <row r="59" customFormat="false" ht="13.8" hidden="false" customHeight="false" outlineLevel="0" collapsed="false">
      <c r="A59" s="1" t="n">
        <v>58</v>
      </c>
      <c r="B59" s="2" t="s">
        <v>262</v>
      </c>
      <c r="C59" s="1" t="n">
        <v>12</v>
      </c>
      <c r="D59" s="1" t="n">
        <v>27</v>
      </c>
      <c r="E59" s="1" t="n">
        <v>30</v>
      </c>
      <c r="F59" s="1" t="n">
        <v>37</v>
      </c>
      <c r="G59" s="1" t="n">
        <v>44</v>
      </c>
      <c r="H59" s="1" t="n">
        <v>49</v>
      </c>
      <c r="I59" s="1" t="str">
        <f aca="false">RIGHT(("0"&amp;C59),2)&amp;RIGHT(("0"&amp;D59),2)&amp;RIGHT(("0"&amp;E59),2)&amp;RIGHT(("0"&amp;F59),2)&amp;RIGHT(("0"&amp;G59),2)&amp;RIGHT(("0"&amp;H59),2)</f>
        <v>122730374449</v>
      </c>
      <c r="J59" s="1" t="n">
        <f aca="false">COUNTIF(I:I,I59)</f>
        <v>1</v>
      </c>
      <c r="K59" s="1" t="n">
        <v>1</v>
      </c>
      <c r="L59" s="1" t="s">
        <v>91</v>
      </c>
      <c r="M59" s="1" t="s">
        <v>263</v>
      </c>
      <c r="N59" s="1" t="n">
        <v>65</v>
      </c>
      <c r="O59" s="1" t="s">
        <v>264</v>
      </c>
      <c r="P59" s="1" t="n">
        <v>5040</v>
      </c>
      <c r="Q59" s="1" t="s">
        <v>265</v>
      </c>
      <c r="R59" s="1" t="s">
        <v>23</v>
      </c>
      <c r="S59" s="1" t="s">
        <v>23</v>
      </c>
      <c r="T59" s="1" t="s">
        <v>23</v>
      </c>
      <c r="U59" s="1" t="s">
        <v>23</v>
      </c>
      <c r="V59" s="1" t="s">
        <v>266</v>
      </c>
    </row>
    <row r="60" customFormat="false" ht="13.8" hidden="false" customHeight="false" outlineLevel="0" collapsed="false">
      <c r="A60" s="1" t="n">
        <v>59</v>
      </c>
      <c r="B60" s="2" t="s">
        <v>267</v>
      </c>
      <c r="C60" s="1" t="n">
        <v>2</v>
      </c>
      <c r="D60" s="1" t="n">
        <v>8</v>
      </c>
      <c r="E60" s="1" t="n">
        <v>13</v>
      </c>
      <c r="F60" s="1" t="n">
        <v>28</v>
      </c>
      <c r="G60" s="1" t="n">
        <v>34</v>
      </c>
      <c r="H60" s="1" t="n">
        <v>54</v>
      </c>
      <c r="I60" s="1" t="str">
        <f aca="false">RIGHT(("0"&amp;C60),2)&amp;RIGHT(("0"&amp;D60),2)&amp;RIGHT(("0"&amp;E60),2)&amp;RIGHT(("0"&amp;F60),2)&amp;RIGHT(("0"&amp;G60),2)&amp;RIGHT(("0"&amp;H60),2)</f>
        <v>020813283454</v>
      </c>
      <c r="J60" s="1" t="n">
        <f aca="false">COUNTIF(I:I,I60)</f>
        <v>1</v>
      </c>
      <c r="K60" s="1" t="n">
        <v>0</v>
      </c>
      <c r="M60" s="1" t="s">
        <v>23</v>
      </c>
      <c r="N60" s="1" t="n">
        <v>90</v>
      </c>
      <c r="O60" s="1" t="s">
        <v>268</v>
      </c>
      <c r="P60" s="1" t="n">
        <v>5351</v>
      </c>
      <c r="Q60" s="1" t="s">
        <v>269</v>
      </c>
      <c r="R60" s="1" t="s">
        <v>270</v>
      </c>
      <c r="S60" s="1" t="s">
        <v>23</v>
      </c>
      <c r="T60" s="1" t="s">
        <v>23</v>
      </c>
      <c r="U60" s="1" t="s">
        <v>23</v>
      </c>
    </row>
    <row r="61" customFormat="false" ht="13.8" hidden="false" customHeight="false" outlineLevel="0" collapsed="false">
      <c r="A61" s="1" t="n">
        <v>60</v>
      </c>
      <c r="B61" s="2" t="s">
        <v>271</v>
      </c>
      <c r="C61" s="1" t="n">
        <v>3</v>
      </c>
      <c r="D61" s="1" t="n">
        <v>14</v>
      </c>
      <c r="E61" s="1" t="n">
        <v>15</v>
      </c>
      <c r="F61" s="1" t="n">
        <v>20</v>
      </c>
      <c r="G61" s="1" t="n">
        <v>21</v>
      </c>
      <c r="H61" s="1" t="n">
        <v>38</v>
      </c>
      <c r="I61" s="1" t="str">
        <f aca="false">RIGHT(("0"&amp;C61),2)&amp;RIGHT(("0"&amp;D61),2)&amp;RIGHT(("0"&amp;E61),2)&amp;RIGHT(("0"&amp;F61),2)&amp;RIGHT(("0"&amp;G61),2)&amp;RIGHT(("0"&amp;H61),2)</f>
        <v>031415202138</v>
      </c>
      <c r="J61" s="1" t="n">
        <f aca="false">COUNTIF(I:I,I61)</f>
        <v>1</v>
      </c>
      <c r="K61" s="1" t="n">
        <v>0</v>
      </c>
      <c r="M61" s="1" t="s">
        <v>23</v>
      </c>
      <c r="N61" s="1" t="n">
        <v>129</v>
      </c>
      <c r="O61" s="1" t="s">
        <v>272</v>
      </c>
      <c r="P61" s="1" t="n">
        <v>7914</v>
      </c>
      <c r="Q61" s="1" t="s">
        <v>273</v>
      </c>
      <c r="R61" s="1" t="s">
        <v>274</v>
      </c>
      <c r="S61" s="1" t="s">
        <v>23</v>
      </c>
      <c r="T61" s="1" t="s">
        <v>23</v>
      </c>
      <c r="U61" s="1" t="s">
        <v>23</v>
      </c>
    </row>
    <row r="62" customFormat="false" ht="13.8" hidden="false" customHeight="false" outlineLevel="0" collapsed="false">
      <c r="A62" s="1" t="n">
        <v>61</v>
      </c>
      <c r="B62" s="2" t="s">
        <v>275</v>
      </c>
      <c r="C62" s="1" t="n">
        <v>8</v>
      </c>
      <c r="D62" s="1" t="n">
        <v>18</v>
      </c>
      <c r="E62" s="1" t="n">
        <v>29</v>
      </c>
      <c r="F62" s="1" t="n">
        <v>42</v>
      </c>
      <c r="G62" s="1" t="n">
        <v>44</v>
      </c>
      <c r="H62" s="1" t="n">
        <v>59</v>
      </c>
      <c r="I62" s="1" t="str">
        <f aca="false">RIGHT(("0"&amp;C62),2)&amp;RIGHT(("0"&amp;D62),2)&amp;RIGHT(("0"&amp;E62),2)&amp;RIGHT(("0"&amp;F62),2)&amp;RIGHT(("0"&amp;G62),2)&amp;RIGHT(("0"&amp;H62),2)</f>
        <v>081829424459</v>
      </c>
      <c r="J62" s="1" t="n">
        <f aca="false">COUNTIF(I:I,I62)</f>
        <v>1</v>
      </c>
      <c r="K62" s="1" t="n">
        <v>0</v>
      </c>
      <c r="M62" s="1" t="s">
        <v>23</v>
      </c>
      <c r="N62" s="1" t="n">
        <v>52</v>
      </c>
      <c r="O62" s="1" t="s">
        <v>276</v>
      </c>
      <c r="P62" s="1" t="n">
        <v>3866</v>
      </c>
      <c r="Q62" s="1" t="s">
        <v>277</v>
      </c>
      <c r="R62" s="1" t="s">
        <v>278</v>
      </c>
      <c r="S62" s="1" t="s">
        <v>23</v>
      </c>
      <c r="T62" s="1" t="s">
        <v>23</v>
      </c>
      <c r="U62" s="1" t="s">
        <v>23</v>
      </c>
    </row>
    <row r="63" customFormat="false" ht="13.8" hidden="false" customHeight="false" outlineLevel="0" collapsed="false">
      <c r="A63" s="1" t="n">
        <v>62</v>
      </c>
      <c r="B63" s="2" t="s">
        <v>279</v>
      </c>
      <c r="C63" s="1" t="n">
        <v>6</v>
      </c>
      <c r="D63" s="1" t="n">
        <v>8</v>
      </c>
      <c r="E63" s="1" t="n">
        <v>13</v>
      </c>
      <c r="F63" s="1" t="n">
        <v>24</v>
      </c>
      <c r="G63" s="1" t="n">
        <v>31</v>
      </c>
      <c r="H63" s="1" t="n">
        <v>52</v>
      </c>
      <c r="I63" s="1" t="str">
        <f aca="false">RIGHT(("0"&amp;C63),2)&amp;RIGHT(("0"&amp;D63),2)&amp;RIGHT(("0"&amp;E63),2)&amp;RIGHT(("0"&amp;F63),2)&amp;RIGHT(("0"&amp;G63),2)&amp;RIGHT(("0"&amp;H63),2)</f>
        <v>060813243152</v>
      </c>
      <c r="J63" s="1" t="n">
        <f aca="false">COUNTIF(I:I,I63)</f>
        <v>1</v>
      </c>
      <c r="K63" s="1" t="n">
        <v>0</v>
      </c>
      <c r="M63" s="1" t="s">
        <v>23</v>
      </c>
      <c r="N63" s="1" t="n">
        <v>119</v>
      </c>
      <c r="O63" s="1" t="s">
        <v>280</v>
      </c>
      <c r="P63" s="1" t="n">
        <v>8613</v>
      </c>
      <c r="Q63" s="1" t="s">
        <v>281</v>
      </c>
      <c r="R63" s="1" t="s">
        <v>282</v>
      </c>
      <c r="S63" s="1" t="s">
        <v>23</v>
      </c>
      <c r="T63" s="1" t="s">
        <v>23</v>
      </c>
      <c r="U63" s="1" t="s">
        <v>23</v>
      </c>
    </row>
    <row r="64" customFormat="false" ht="13.8" hidden="false" customHeight="false" outlineLevel="0" collapsed="false">
      <c r="A64" s="1" t="n">
        <v>63</v>
      </c>
      <c r="B64" s="2" t="s">
        <v>283</v>
      </c>
      <c r="C64" s="1" t="n">
        <v>9</v>
      </c>
      <c r="D64" s="1" t="n">
        <v>25</v>
      </c>
      <c r="E64" s="1" t="n">
        <v>26</v>
      </c>
      <c r="F64" s="1" t="n">
        <v>40</v>
      </c>
      <c r="G64" s="1" t="n">
        <v>41</v>
      </c>
      <c r="H64" s="1" t="n">
        <v>49</v>
      </c>
      <c r="I64" s="1" t="str">
        <f aca="false">RIGHT(("0"&amp;C64),2)&amp;RIGHT(("0"&amp;D64),2)&amp;RIGHT(("0"&amp;E64),2)&amp;RIGHT(("0"&amp;F64),2)&amp;RIGHT(("0"&amp;G64),2)&amp;RIGHT(("0"&amp;H64),2)</f>
        <v>092526404149</v>
      </c>
      <c r="J64" s="1" t="n">
        <f aca="false">COUNTIF(I:I,I64)</f>
        <v>1</v>
      </c>
      <c r="K64" s="1" t="n">
        <v>1</v>
      </c>
      <c r="L64" s="1" t="s">
        <v>157</v>
      </c>
      <c r="M64" s="1" t="s">
        <v>284</v>
      </c>
      <c r="N64" s="1" t="n">
        <v>82</v>
      </c>
      <c r="O64" s="1" t="s">
        <v>285</v>
      </c>
      <c r="P64" s="1" t="n">
        <v>6359</v>
      </c>
      <c r="Q64" s="1" t="s">
        <v>286</v>
      </c>
      <c r="R64" s="1" t="s">
        <v>23</v>
      </c>
      <c r="S64" s="1" t="s">
        <v>23</v>
      </c>
      <c r="T64" s="1" t="s">
        <v>23</v>
      </c>
      <c r="U64" s="1" t="s">
        <v>23</v>
      </c>
    </row>
    <row r="65" customFormat="false" ht="13.8" hidden="false" customHeight="false" outlineLevel="0" collapsed="false">
      <c r="A65" s="1" t="n">
        <v>64</v>
      </c>
      <c r="B65" s="2" t="s">
        <v>287</v>
      </c>
      <c r="C65" s="1" t="n">
        <v>8</v>
      </c>
      <c r="D65" s="1" t="n">
        <v>12</v>
      </c>
      <c r="E65" s="1" t="n">
        <v>23</v>
      </c>
      <c r="F65" s="1" t="n">
        <v>50</v>
      </c>
      <c r="G65" s="1" t="n">
        <v>54</v>
      </c>
      <c r="H65" s="1" t="n">
        <v>60</v>
      </c>
      <c r="I65" s="1" t="str">
        <f aca="false">RIGHT(("0"&amp;C65),2)&amp;RIGHT(("0"&amp;D65),2)&amp;RIGHT(("0"&amp;E65),2)&amp;RIGHT(("0"&amp;F65),2)&amp;RIGHT(("0"&amp;G65),2)&amp;RIGHT(("0"&amp;H65),2)</f>
        <v>081223505460</v>
      </c>
      <c r="J65" s="1" t="n">
        <f aca="false">COUNTIF(I:I,I65)</f>
        <v>1</v>
      </c>
      <c r="K65" s="1" t="n">
        <v>0</v>
      </c>
      <c r="M65" s="1" t="s">
        <v>23</v>
      </c>
      <c r="N65" s="1" t="n">
        <v>29</v>
      </c>
      <c r="O65" s="1" t="s">
        <v>288</v>
      </c>
      <c r="P65" s="1" t="n">
        <v>2441</v>
      </c>
      <c r="Q65" s="1" t="s">
        <v>289</v>
      </c>
      <c r="R65" s="1" t="s">
        <v>290</v>
      </c>
      <c r="S65" s="1" t="s">
        <v>23</v>
      </c>
      <c r="T65" s="1" t="s">
        <v>23</v>
      </c>
      <c r="U65" s="1" t="s">
        <v>23</v>
      </c>
    </row>
    <row r="66" customFormat="false" ht="13.8" hidden="false" customHeight="false" outlineLevel="0" collapsed="false">
      <c r="A66" s="1" t="n">
        <v>65</v>
      </c>
      <c r="B66" s="2" t="s">
        <v>291</v>
      </c>
      <c r="C66" s="1" t="n">
        <v>1</v>
      </c>
      <c r="D66" s="1" t="n">
        <v>5</v>
      </c>
      <c r="E66" s="1" t="n">
        <v>20</v>
      </c>
      <c r="F66" s="1" t="n">
        <v>25</v>
      </c>
      <c r="G66" s="1" t="n">
        <v>32</v>
      </c>
      <c r="H66" s="1" t="n">
        <v>34</v>
      </c>
      <c r="I66" s="1" t="str">
        <f aca="false">RIGHT(("0"&amp;C66),2)&amp;RIGHT(("0"&amp;D66),2)&amp;RIGHT(("0"&amp;E66),2)&amp;RIGHT(("0"&amp;F66),2)&amp;RIGHT(("0"&amp;G66),2)&amp;RIGHT(("0"&amp;H66),2)</f>
        <v>010520253234</v>
      </c>
      <c r="J66" s="1" t="n">
        <f aca="false">COUNTIF(I:I,I66)</f>
        <v>1</v>
      </c>
      <c r="K66" s="1" t="n">
        <v>0</v>
      </c>
      <c r="M66" s="1" t="s">
        <v>23</v>
      </c>
      <c r="N66" s="1" t="n">
        <v>61</v>
      </c>
      <c r="O66" s="1" t="s">
        <v>292</v>
      </c>
      <c r="P66" s="1" t="n">
        <v>4932</v>
      </c>
      <c r="Q66" s="1" t="s">
        <v>293</v>
      </c>
      <c r="R66" s="1" t="s">
        <v>294</v>
      </c>
      <c r="S66" s="1" t="s">
        <v>23</v>
      </c>
      <c r="T66" s="1" t="s">
        <v>23</v>
      </c>
      <c r="U66" s="1" t="s">
        <v>23</v>
      </c>
    </row>
    <row r="67" customFormat="false" ht="13.8" hidden="false" customHeight="false" outlineLevel="0" collapsed="false">
      <c r="A67" s="1" t="n">
        <v>66</v>
      </c>
      <c r="B67" s="2" t="s">
        <v>295</v>
      </c>
      <c r="C67" s="1" t="n">
        <v>12</v>
      </c>
      <c r="D67" s="1" t="n">
        <v>13</v>
      </c>
      <c r="E67" s="1" t="n">
        <v>15</v>
      </c>
      <c r="F67" s="1" t="n">
        <v>26</v>
      </c>
      <c r="G67" s="1" t="n">
        <v>33</v>
      </c>
      <c r="H67" s="1" t="n">
        <v>48</v>
      </c>
      <c r="I67" s="1" t="str">
        <f aca="false">RIGHT(("0"&amp;C67),2)&amp;RIGHT(("0"&amp;D67),2)&amp;RIGHT(("0"&amp;E67),2)&amp;RIGHT(("0"&amp;F67),2)&amp;RIGHT(("0"&amp;G67),2)&amp;RIGHT(("0"&amp;H67),2)</f>
        <v>121315263348</v>
      </c>
      <c r="J67" s="1" t="n">
        <f aca="false">COUNTIF(I:I,I67)</f>
        <v>1</v>
      </c>
      <c r="K67" s="1" t="n">
        <v>0</v>
      </c>
      <c r="M67" s="1" t="s">
        <v>23</v>
      </c>
      <c r="N67" s="1" t="n">
        <v>102</v>
      </c>
      <c r="O67" s="1" t="s">
        <v>296</v>
      </c>
      <c r="P67" s="1" t="n">
        <v>7686</v>
      </c>
      <c r="Q67" s="1" t="s">
        <v>297</v>
      </c>
      <c r="R67" s="1" t="s">
        <v>298</v>
      </c>
      <c r="S67" s="1" t="s">
        <v>23</v>
      </c>
      <c r="T67" s="1" t="s">
        <v>23</v>
      </c>
      <c r="U67" s="1" t="s">
        <v>23</v>
      </c>
    </row>
    <row r="68" customFormat="false" ht="13.8" hidden="false" customHeight="false" outlineLevel="0" collapsed="false">
      <c r="A68" s="1" t="n">
        <v>67</v>
      </c>
      <c r="B68" s="2" t="s">
        <v>299</v>
      </c>
      <c r="C68" s="1" t="n">
        <v>12</v>
      </c>
      <c r="D68" s="1" t="n">
        <v>14</v>
      </c>
      <c r="E68" s="1" t="n">
        <v>17</v>
      </c>
      <c r="F68" s="1" t="n">
        <v>27</v>
      </c>
      <c r="G68" s="1" t="n">
        <v>47</v>
      </c>
      <c r="H68" s="1" t="n">
        <v>52</v>
      </c>
      <c r="I68" s="1" t="str">
        <f aca="false">RIGHT(("0"&amp;C68),2)&amp;RIGHT(("0"&amp;D68),2)&amp;RIGHT(("0"&amp;E68),2)&amp;RIGHT(("0"&amp;F68),2)&amp;RIGHT(("0"&amp;G68),2)&amp;RIGHT(("0"&amp;H68),2)</f>
        <v>121417274752</v>
      </c>
      <c r="J68" s="1" t="n">
        <f aca="false">COUNTIF(I:I,I68)</f>
        <v>1</v>
      </c>
      <c r="K68" s="1" t="n">
        <v>0</v>
      </c>
      <c r="M68" s="1" t="s">
        <v>23</v>
      </c>
      <c r="N68" s="1" t="n">
        <v>83</v>
      </c>
      <c r="O68" s="1" t="s">
        <v>300</v>
      </c>
      <c r="P68" s="1" t="n">
        <v>5479</v>
      </c>
      <c r="Q68" s="1" t="s">
        <v>301</v>
      </c>
      <c r="R68" s="1" t="s">
        <v>302</v>
      </c>
      <c r="S68" s="1" t="s">
        <v>23</v>
      </c>
      <c r="T68" s="1" t="s">
        <v>23</v>
      </c>
      <c r="U68" s="1" t="s">
        <v>23</v>
      </c>
    </row>
    <row r="69" customFormat="false" ht="13.8" hidden="false" customHeight="false" outlineLevel="0" collapsed="false">
      <c r="A69" s="1" t="n">
        <v>68</v>
      </c>
      <c r="B69" s="2" t="s">
        <v>303</v>
      </c>
      <c r="C69" s="1" t="n">
        <v>1</v>
      </c>
      <c r="D69" s="1" t="n">
        <v>3</v>
      </c>
      <c r="E69" s="1" t="n">
        <v>12</v>
      </c>
      <c r="F69" s="1" t="n">
        <v>13</v>
      </c>
      <c r="G69" s="1" t="n">
        <v>53</v>
      </c>
      <c r="H69" s="1" t="n">
        <v>59</v>
      </c>
      <c r="I69" s="1" t="str">
        <f aca="false">RIGHT(("0"&amp;C69),2)&amp;RIGHT(("0"&amp;D69),2)&amp;RIGHT(("0"&amp;E69),2)&amp;RIGHT(("0"&amp;F69),2)&amp;RIGHT(("0"&amp;G69),2)&amp;RIGHT(("0"&amp;H69),2)</f>
        <v>010312135359</v>
      </c>
      <c r="J69" s="1" t="n">
        <f aca="false">COUNTIF(I:I,I69)</f>
        <v>1</v>
      </c>
      <c r="K69" s="1" t="n">
        <v>0</v>
      </c>
      <c r="M69" s="1" t="s">
        <v>23</v>
      </c>
      <c r="N69" s="1" t="n">
        <v>49</v>
      </c>
      <c r="O69" s="1" t="s">
        <v>304</v>
      </c>
      <c r="P69" s="1" t="n">
        <v>4758</v>
      </c>
      <c r="Q69" s="1" t="s">
        <v>305</v>
      </c>
      <c r="R69" s="1" t="s">
        <v>306</v>
      </c>
      <c r="S69" s="1" t="s">
        <v>23</v>
      </c>
      <c r="T69" s="1" t="s">
        <v>23</v>
      </c>
      <c r="U69" s="1" t="s">
        <v>23</v>
      </c>
    </row>
    <row r="70" customFormat="false" ht="13.8" hidden="false" customHeight="false" outlineLevel="0" collapsed="false">
      <c r="A70" s="1" t="n">
        <v>69</v>
      </c>
      <c r="B70" s="2" t="s">
        <v>307</v>
      </c>
      <c r="C70" s="1" t="n">
        <v>25</v>
      </c>
      <c r="D70" s="1" t="n">
        <v>34</v>
      </c>
      <c r="E70" s="1" t="n">
        <v>45</v>
      </c>
      <c r="F70" s="1" t="n">
        <v>53</v>
      </c>
      <c r="G70" s="1" t="n">
        <v>56</v>
      </c>
      <c r="H70" s="1" t="n">
        <v>58</v>
      </c>
      <c r="I70" s="1" t="str">
        <f aca="false">RIGHT(("0"&amp;C70),2)&amp;RIGHT(("0"&amp;D70),2)&amp;RIGHT(("0"&amp;E70),2)&amp;RIGHT(("0"&amp;F70),2)&amp;RIGHT(("0"&amp;G70),2)&amp;RIGHT(("0"&amp;H70),2)</f>
        <v>253445535658</v>
      </c>
      <c r="J70" s="1" t="n">
        <f aca="false">COUNTIF(I:I,I70)</f>
        <v>1</v>
      </c>
      <c r="K70" s="1" t="n">
        <v>0</v>
      </c>
      <c r="M70" s="1" t="s">
        <v>23</v>
      </c>
      <c r="N70" s="1" t="n">
        <v>55</v>
      </c>
      <c r="O70" s="1" t="s">
        <v>308</v>
      </c>
      <c r="P70" s="1" t="n">
        <v>3661</v>
      </c>
      <c r="Q70" s="1" t="s">
        <v>309</v>
      </c>
      <c r="R70" s="1" t="s">
        <v>310</v>
      </c>
      <c r="S70" s="1" t="s">
        <v>23</v>
      </c>
      <c r="T70" s="1" t="s">
        <v>23</v>
      </c>
      <c r="U70" s="1" t="s">
        <v>23</v>
      </c>
    </row>
    <row r="71" customFormat="false" ht="13.8" hidden="false" customHeight="false" outlineLevel="0" collapsed="false">
      <c r="A71" s="1" t="n">
        <v>70</v>
      </c>
      <c r="B71" s="2" t="s">
        <v>311</v>
      </c>
      <c r="C71" s="1" t="n">
        <v>17</v>
      </c>
      <c r="D71" s="1" t="n">
        <v>23</v>
      </c>
      <c r="E71" s="1" t="n">
        <v>27</v>
      </c>
      <c r="F71" s="1" t="n">
        <v>40</v>
      </c>
      <c r="G71" s="1" t="n">
        <v>43</v>
      </c>
      <c r="H71" s="1" t="n">
        <v>58</v>
      </c>
      <c r="I71" s="1" t="str">
        <f aca="false">RIGHT(("0"&amp;C71),2)&amp;RIGHT(("0"&amp;D71),2)&amp;RIGHT(("0"&amp;E71),2)&amp;RIGHT(("0"&amp;F71),2)&amp;RIGHT(("0"&amp;G71),2)&amp;RIGHT(("0"&amp;H71),2)</f>
        <v>172327404358</v>
      </c>
      <c r="J71" s="1" t="n">
        <f aca="false">COUNTIF(I:I,I71)</f>
        <v>1</v>
      </c>
      <c r="K71" s="1" t="n">
        <v>0</v>
      </c>
      <c r="M71" s="1" t="s">
        <v>23</v>
      </c>
      <c r="N71" s="1" t="n">
        <v>95</v>
      </c>
      <c r="O71" s="1" t="s">
        <v>312</v>
      </c>
      <c r="P71" s="1" t="n">
        <v>6071</v>
      </c>
      <c r="Q71" s="1" t="s">
        <v>313</v>
      </c>
      <c r="R71" s="1" t="s">
        <v>314</v>
      </c>
      <c r="S71" s="1" t="s">
        <v>23</v>
      </c>
      <c r="T71" s="1" t="s">
        <v>23</v>
      </c>
      <c r="U71" s="1" t="s">
        <v>23</v>
      </c>
    </row>
    <row r="72" customFormat="false" ht="13.8" hidden="false" customHeight="false" outlineLevel="0" collapsed="false">
      <c r="A72" s="1" t="n">
        <v>71</v>
      </c>
      <c r="B72" s="2" t="s">
        <v>315</v>
      </c>
      <c r="C72" s="1" t="n">
        <v>16</v>
      </c>
      <c r="D72" s="1" t="n">
        <v>27</v>
      </c>
      <c r="E72" s="1" t="n">
        <v>33</v>
      </c>
      <c r="F72" s="1" t="n">
        <v>43</v>
      </c>
      <c r="G72" s="1" t="n">
        <v>45</v>
      </c>
      <c r="H72" s="1" t="n">
        <v>53</v>
      </c>
      <c r="I72" s="1" t="str">
        <f aca="false">RIGHT(("0"&amp;C72),2)&amp;RIGHT(("0"&amp;D72),2)&amp;RIGHT(("0"&amp;E72),2)&amp;RIGHT(("0"&amp;F72),2)&amp;RIGHT(("0"&amp;G72),2)&amp;RIGHT(("0"&amp;H72),2)</f>
        <v>162733434553</v>
      </c>
      <c r="J72" s="1" t="n">
        <f aca="false">COUNTIF(I:I,I72)</f>
        <v>1</v>
      </c>
      <c r="K72" s="1" t="n">
        <v>0</v>
      </c>
      <c r="M72" s="1" t="s">
        <v>23</v>
      </c>
      <c r="N72" s="1" t="n">
        <v>115</v>
      </c>
      <c r="O72" s="1" t="s">
        <v>316</v>
      </c>
      <c r="P72" s="1" t="n">
        <v>7430</v>
      </c>
      <c r="Q72" s="1" t="s">
        <v>317</v>
      </c>
      <c r="R72" s="1" t="s">
        <v>318</v>
      </c>
      <c r="S72" s="1" t="s">
        <v>23</v>
      </c>
      <c r="T72" s="1" t="s">
        <v>23</v>
      </c>
      <c r="U72" s="1" t="s">
        <v>23</v>
      </c>
    </row>
    <row r="73" customFormat="false" ht="13.8" hidden="false" customHeight="false" outlineLevel="0" collapsed="false">
      <c r="A73" s="1" t="n">
        <v>72</v>
      </c>
      <c r="B73" s="2" t="s">
        <v>319</v>
      </c>
      <c r="C73" s="1" t="n">
        <v>1</v>
      </c>
      <c r="D73" s="1" t="n">
        <v>19</v>
      </c>
      <c r="E73" s="1" t="n">
        <v>34</v>
      </c>
      <c r="F73" s="1" t="n">
        <v>43</v>
      </c>
      <c r="G73" s="1" t="n">
        <v>44</v>
      </c>
      <c r="H73" s="1" t="n">
        <v>48</v>
      </c>
      <c r="I73" s="1" t="str">
        <f aca="false">RIGHT(("0"&amp;C73),2)&amp;RIGHT(("0"&amp;D73),2)&amp;RIGHT(("0"&amp;E73),2)&amp;RIGHT(("0"&amp;F73),2)&amp;RIGHT(("0"&amp;G73),2)&amp;RIGHT(("0"&amp;H73),2)</f>
        <v>011934434448</v>
      </c>
      <c r="J73" s="1" t="n">
        <f aca="false">COUNTIF(I:I,I73)</f>
        <v>1</v>
      </c>
      <c r="K73" s="1" t="n">
        <v>0</v>
      </c>
      <c r="M73" s="1" t="s">
        <v>23</v>
      </c>
      <c r="N73" s="1" t="n">
        <v>85</v>
      </c>
      <c r="O73" s="1" t="s">
        <v>320</v>
      </c>
      <c r="P73" s="1" t="n">
        <v>7982</v>
      </c>
      <c r="Q73" s="1" t="s">
        <v>321</v>
      </c>
      <c r="R73" s="1" t="s">
        <v>322</v>
      </c>
      <c r="S73" s="1" t="s">
        <v>23</v>
      </c>
      <c r="T73" s="1" t="s">
        <v>23</v>
      </c>
      <c r="U73" s="1" t="s">
        <v>23</v>
      </c>
    </row>
    <row r="74" customFormat="false" ht="13.8" hidden="false" customHeight="false" outlineLevel="0" collapsed="false">
      <c r="A74" s="1" t="n">
        <v>73</v>
      </c>
      <c r="B74" s="2" t="s">
        <v>323</v>
      </c>
      <c r="C74" s="1" t="n">
        <v>25</v>
      </c>
      <c r="D74" s="1" t="n">
        <v>26</v>
      </c>
      <c r="E74" s="1" t="n">
        <v>28</v>
      </c>
      <c r="F74" s="1" t="n">
        <v>45</v>
      </c>
      <c r="G74" s="1" t="n">
        <v>51</v>
      </c>
      <c r="H74" s="1" t="n">
        <v>57</v>
      </c>
      <c r="I74" s="1" t="str">
        <f aca="false">RIGHT(("0"&amp;C74),2)&amp;RIGHT(("0"&amp;D74),2)&amp;RIGHT(("0"&amp;E74),2)&amp;RIGHT(("0"&amp;F74),2)&amp;RIGHT(("0"&amp;G74),2)&amp;RIGHT(("0"&amp;H74),2)</f>
        <v>252628455157</v>
      </c>
      <c r="J74" s="1" t="n">
        <f aca="false">COUNTIF(I:I,I74)</f>
        <v>1</v>
      </c>
      <c r="K74" s="1" t="n">
        <v>1</v>
      </c>
      <c r="L74" s="1" t="s">
        <v>190</v>
      </c>
      <c r="M74" s="1" t="s">
        <v>324</v>
      </c>
      <c r="N74" s="1" t="n">
        <v>95</v>
      </c>
      <c r="O74" s="1" t="s">
        <v>325</v>
      </c>
      <c r="P74" s="1" t="n">
        <v>8222</v>
      </c>
      <c r="Q74" s="1" t="s">
        <v>326</v>
      </c>
      <c r="R74" s="1" t="s">
        <v>23</v>
      </c>
      <c r="S74" s="1" t="s">
        <v>23</v>
      </c>
      <c r="T74" s="1" t="s">
        <v>23</v>
      </c>
      <c r="U74" s="1" t="s">
        <v>23</v>
      </c>
      <c r="V74" s="1" t="s">
        <v>327</v>
      </c>
    </row>
    <row r="75" customFormat="false" ht="13.8" hidden="false" customHeight="false" outlineLevel="0" collapsed="false">
      <c r="A75" s="1" t="n">
        <v>74</v>
      </c>
      <c r="B75" s="2" t="s">
        <v>328</v>
      </c>
      <c r="C75" s="1" t="n">
        <v>2</v>
      </c>
      <c r="D75" s="1" t="n">
        <v>24</v>
      </c>
      <c r="E75" s="1" t="n">
        <v>34</v>
      </c>
      <c r="F75" s="1" t="n">
        <v>37</v>
      </c>
      <c r="G75" s="1" t="n">
        <v>38</v>
      </c>
      <c r="H75" s="1" t="n">
        <v>50</v>
      </c>
      <c r="I75" s="1" t="str">
        <f aca="false">RIGHT(("0"&amp;C75),2)&amp;RIGHT(("0"&amp;D75),2)&amp;RIGHT(("0"&amp;E75),2)&amp;RIGHT(("0"&amp;F75),2)&amp;RIGHT(("0"&amp;G75),2)&amp;RIGHT(("0"&amp;H75),2)</f>
        <v>022434373850</v>
      </c>
      <c r="J75" s="1" t="n">
        <f aca="false">COUNTIF(I:I,I75)</f>
        <v>1</v>
      </c>
      <c r="K75" s="1" t="n">
        <v>0</v>
      </c>
      <c r="M75" s="1" t="s">
        <v>23</v>
      </c>
      <c r="N75" s="1" t="n">
        <v>40</v>
      </c>
      <c r="O75" s="1" t="s">
        <v>329</v>
      </c>
      <c r="P75" s="1" t="n">
        <v>3321</v>
      </c>
      <c r="Q75" s="1" t="s">
        <v>330</v>
      </c>
      <c r="R75" s="1" t="s">
        <v>331</v>
      </c>
      <c r="S75" s="1" t="s">
        <v>23</v>
      </c>
      <c r="T75" s="1" t="s">
        <v>23</v>
      </c>
      <c r="U75" s="1" t="s">
        <v>23</v>
      </c>
    </row>
    <row r="76" customFormat="false" ht="13.8" hidden="false" customHeight="false" outlineLevel="0" collapsed="false">
      <c r="A76" s="1" t="n">
        <v>75</v>
      </c>
      <c r="B76" s="2" t="s">
        <v>332</v>
      </c>
      <c r="C76" s="1" t="n">
        <v>21</v>
      </c>
      <c r="D76" s="1" t="n">
        <v>24</v>
      </c>
      <c r="E76" s="1" t="n">
        <v>35</v>
      </c>
      <c r="F76" s="1" t="n">
        <v>36</v>
      </c>
      <c r="G76" s="1" t="n">
        <v>37</v>
      </c>
      <c r="H76" s="1" t="n">
        <v>49</v>
      </c>
      <c r="I76" s="1" t="str">
        <f aca="false">RIGHT(("0"&amp;C76),2)&amp;RIGHT(("0"&amp;D76),2)&amp;RIGHT(("0"&amp;E76),2)&amp;RIGHT(("0"&amp;F76),2)&amp;RIGHT(("0"&amp;G76),2)&amp;RIGHT(("0"&amp;H76),2)</f>
        <v>212435363749</v>
      </c>
      <c r="J76" s="1" t="n">
        <f aca="false">COUNTIF(I:I,I76)</f>
        <v>1</v>
      </c>
      <c r="K76" s="1" t="n">
        <v>0</v>
      </c>
      <c r="M76" s="1" t="s">
        <v>23</v>
      </c>
      <c r="N76" s="1" t="n">
        <v>70</v>
      </c>
      <c r="O76" s="1" t="s">
        <v>333</v>
      </c>
      <c r="P76" s="1" t="n">
        <v>5032</v>
      </c>
      <c r="Q76" s="1" t="s">
        <v>334</v>
      </c>
      <c r="R76" s="1" t="s">
        <v>335</v>
      </c>
      <c r="S76" s="1" t="s">
        <v>23</v>
      </c>
      <c r="T76" s="1" t="s">
        <v>23</v>
      </c>
      <c r="U76" s="1" t="s">
        <v>23</v>
      </c>
    </row>
    <row r="77" customFormat="false" ht="13.8" hidden="false" customHeight="false" outlineLevel="0" collapsed="false">
      <c r="A77" s="1" t="n">
        <v>76</v>
      </c>
      <c r="B77" s="2" t="s">
        <v>336</v>
      </c>
      <c r="C77" s="1" t="n">
        <v>8</v>
      </c>
      <c r="D77" s="1" t="n">
        <v>17</v>
      </c>
      <c r="E77" s="1" t="n">
        <v>18</v>
      </c>
      <c r="F77" s="1" t="n">
        <v>23</v>
      </c>
      <c r="G77" s="1" t="n">
        <v>33</v>
      </c>
      <c r="H77" s="1" t="n">
        <v>53</v>
      </c>
      <c r="I77" s="1" t="str">
        <f aca="false">RIGHT(("0"&amp;C77),2)&amp;RIGHT(("0"&amp;D77),2)&amp;RIGHT(("0"&amp;E77),2)&amp;RIGHT(("0"&amp;F77),2)&amp;RIGHT(("0"&amp;G77),2)&amp;RIGHT(("0"&amp;H77),2)</f>
        <v>081718233353</v>
      </c>
      <c r="J77" s="1" t="n">
        <f aca="false">COUNTIF(I:I,I77)</f>
        <v>1</v>
      </c>
      <c r="K77" s="1" t="n">
        <v>0</v>
      </c>
      <c r="M77" s="1" t="s">
        <v>23</v>
      </c>
      <c r="N77" s="1" t="n">
        <v>92</v>
      </c>
      <c r="O77" s="1" t="s">
        <v>337</v>
      </c>
      <c r="P77" s="1" t="n">
        <v>6399</v>
      </c>
      <c r="Q77" s="1" t="s">
        <v>338</v>
      </c>
      <c r="R77" s="1" t="s">
        <v>339</v>
      </c>
      <c r="S77" s="1" t="s">
        <v>23</v>
      </c>
      <c r="T77" s="1" t="s">
        <v>23</v>
      </c>
      <c r="U77" s="1" t="s">
        <v>23</v>
      </c>
    </row>
    <row r="78" customFormat="false" ht="13.8" hidden="false" customHeight="false" outlineLevel="0" collapsed="false">
      <c r="A78" s="1" t="n">
        <v>77</v>
      </c>
      <c r="B78" s="2" t="s">
        <v>340</v>
      </c>
      <c r="C78" s="1" t="n">
        <v>21</v>
      </c>
      <c r="D78" s="1" t="n">
        <v>29</v>
      </c>
      <c r="E78" s="1" t="n">
        <v>40</v>
      </c>
      <c r="F78" s="1" t="n">
        <v>49</v>
      </c>
      <c r="G78" s="1" t="n">
        <v>54</v>
      </c>
      <c r="H78" s="1" t="n">
        <v>57</v>
      </c>
      <c r="I78" s="1" t="str">
        <f aca="false">RIGHT(("0"&amp;C78),2)&amp;RIGHT(("0"&amp;D78),2)&amp;RIGHT(("0"&amp;E78),2)&amp;RIGHT(("0"&amp;F78),2)&amp;RIGHT(("0"&amp;G78),2)&amp;RIGHT(("0"&amp;H78),2)</f>
        <v>212940495457</v>
      </c>
      <c r="J78" s="1" t="n">
        <f aca="false">COUNTIF(I:I,I78)</f>
        <v>1</v>
      </c>
      <c r="K78" s="1" t="n">
        <v>0</v>
      </c>
      <c r="M78" s="1" t="s">
        <v>23</v>
      </c>
      <c r="N78" s="1" t="n">
        <v>20</v>
      </c>
      <c r="O78" s="1" t="s">
        <v>341</v>
      </c>
      <c r="P78" s="1" t="n">
        <v>2635</v>
      </c>
      <c r="Q78" s="1" t="s">
        <v>342</v>
      </c>
      <c r="R78" s="1" t="s">
        <v>343</v>
      </c>
      <c r="S78" s="1" t="s">
        <v>23</v>
      </c>
      <c r="T78" s="1" t="s">
        <v>23</v>
      </c>
      <c r="U78" s="1" t="s">
        <v>23</v>
      </c>
    </row>
    <row r="79" customFormat="false" ht="13.8" hidden="false" customHeight="false" outlineLevel="0" collapsed="false">
      <c r="A79" s="1" t="n">
        <v>78</v>
      </c>
      <c r="B79" s="2" t="s">
        <v>344</v>
      </c>
      <c r="C79" s="1" t="n">
        <v>12</v>
      </c>
      <c r="D79" s="1" t="n">
        <v>22</v>
      </c>
      <c r="E79" s="1" t="n">
        <v>25</v>
      </c>
      <c r="F79" s="1" t="n">
        <v>31</v>
      </c>
      <c r="G79" s="1" t="n">
        <v>32</v>
      </c>
      <c r="H79" s="1" t="n">
        <v>46</v>
      </c>
      <c r="I79" s="1" t="str">
        <f aca="false">RIGHT(("0"&amp;C79),2)&amp;RIGHT(("0"&amp;D79),2)&amp;RIGHT(("0"&amp;E79),2)&amp;RIGHT(("0"&amp;F79),2)&amp;RIGHT(("0"&amp;G79),2)&amp;RIGHT(("0"&amp;H79),2)</f>
        <v>122225313246</v>
      </c>
      <c r="J79" s="1" t="n">
        <f aca="false">COUNTIF(I:I,I79)</f>
        <v>1</v>
      </c>
      <c r="K79" s="1" t="n">
        <v>0</v>
      </c>
      <c r="M79" s="1" t="s">
        <v>23</v>
      </c>
      <c r="N79" s="1" t="n">
        <v>103</v>
      </c>
      <c r="O79" s="1" t="s">
        <v>345</v>
      </c>
      <c r="P79" s="1" t="n">
        <v>5984</v>
      </c>
      <c r="Q79" s="1" t="s">
        <v>346</v>
      </c>
      <c r="R79" s="1" t="s">
        <v>347</v>
      </c>
      <c r="S79" s="1" t="s">
        <v>23</v>
      </c>
      <c r="T79" s="1" t="s">
        <v>23</v>
      </c>
      <c r="U79" s="1" t="s">
        <v>23</v>
      </c>
    </row>
    <row r="80" customFormat="false" ht="13.8" hidden="false" customHeight="false" outlineLevel="0" collapsed="false">
      <c r="A80" s="1" t="n">
        <v>79</v>
      </c>
      <c r="B80" s="2" t="s">
        <v>348</v>
      </c>
      <c r="C80" s="1" t="n">
        <v>2</v>
      </c>
      <c r="D80" s="1" t="n">
        <v>13</v>
      </c>
      <c r="E80" s="1" t="n">
        <v>17</v>
      </c>
      <c r="F80" s="1" t="n">
        <v>25</v>
      </c>
      <c r="G80" s="1" t="n">
        <v>31</v>
      </c>
      <c r="H80" s="1" t="n">
        <v>43</v>
      </c>
      <c r="I80" s="1" t="str">
        <f aca="false">RIGHT(("0"&amp;C80),2)&amp;RIGHT(("0"&amp;D80),2)&amp;RIGHT(("0"&amp;E80),2)&amp;RIGHT(("0"&amp;F80),2)&amp;RIGHT(("0"&amp;G80),2)&amp;RIGHT(("0"&amp;H80),2)</f>
        <v>021317253143</v>
      </c>
      <c r="J80" s="1" t="n">
        <f aca="false">COUNTIF(I:I,I80)</f>
        <v>1</v>
      </c>
      <c r="K80" s="1" t="n">
        <v>1</v>
      </c>
      <c r="L80" s="1" t="s">
        <v>140</v>
      </c>
      <c r="M80" s="1" t="s">
        <v>349</v>
      </c>
      <c r="N80" s="1" t="n">
        <v>247</v>
      </c>
      <c r="O80" s="1" t="s">
        <v>350</v>
      </c>
      <c r="P80" s="1" t="n">
        <v>13375</v>
      </c>
      <c r="Q80" s="1" t="s">
        <v>351</v>
      </c>
      <c r="R80" s="1" t="s">
        <v>23</v>
      </c>
      <c r="S80" s="1" t="s">
        <v>23</v>
      </c>
      <c r="T80" s="1" t="s">
        <v>23</v>
      </c>
      <c r="U80" s="1" t="s">
        <v>23</v>
      </c>
      <c r="V80" s="1" t="s">
        <v>352</v>
      </c>
    </row>
    <row r="81" customFormat="false" ht="13.8" hidden="false" customHeight="false" outlineLevel="0" collapsed="false">
      <c r="A81" s="1" t="n">
        <v>80</v>
      </c>
      <c r="B81" s="2" t="s">
        <v>353</v>
      </c>
      <c r="C81" s="1" t="n">
        <v>23</v>
      </c>
      <c r="D81" s="1" t="n">
        <v>28</v>
      </c>
      <c r="E81" s="1" t="n">
        <v>37</v>
      </c>
      <c r="F81" s="1" t="n">
        <v>40</v>
      </c>
      <c r="G81" s="1" t="n">
        <v>48</v>
      </c>
      <c r="H81" s="1" t="n">
        <v>51</v>
      </c>
      <c r="I81" s="1" t="str">
        <f aca="false">RIGHT(("0"&amp;C81),2)&amp;RIGHT(("0"&amp;D81),2)&amp;RIGHT(("0"&amp;E81),2)&amp;RIGHT(("0"&amp;F81),2)&amp;RIGHT(("0"&amp;G81),2)&amp;RIGHT(("0"&amp;H81),2)</f>
        <v>232837404851</v>
      </c>
      <c r="J81" s="1" t="n">
        <f aca="false">COUNTIF(I:I,I81)</f>
        <v>1</v>
      </c>
      <c r="K81" s="1" t="n">
        <v>0</v>
      </c>
      <c r="M81" s="1" t="s">
        <v>23</v>
      </c>
      <c r="N81" s="1" t="n">
        <v>43</v>
      </c>
      <c r="O81" s="1" t="s">
        <v>354</v>
      </c>
      <c r="P81" s="1" t="n">
        <v>4284</v>
      </c>
      <c r="Q81" s="1" t="s">
        <v>355</v>
      </c>
      <c r="R81" s="1" t="s">
        <v>356</v>
      </c>
      <c r="S81" s="1" t="s">
        <v>23</v>
      </c>
      <c r="T81" s="1" t="s">
        <v>23</v>
      </c>
      <c r="U81" s="1" t="s">
        <v>23</v>
      </c>
    </row>
    <row r="82" customFormat="false" ht="13.8" hidden="false" customHeight="false" outlineLevel="0" collapsed="false">
      <c r="A82" s="1" t="n">
        <v>81</v>
      </c>
      <c r="B82" s="2" t="s">
        <v>357</v>
      </c>
      <c r="C82" s="1" t="n">
        <v>10</v>
      </c>
      <c r="D82" s="1" t="n">
        <v>23</v>
      </c>
      <c r="E82" s="1" t="n">
        <v>41</v>
      </c>
      <c r="F82" s="1" t="n">
        <v>47</v>
      </c>
      <c r="G82" s="1" t="n">
        <v>54</v>
      </c>
      <c r="H82" s="1" t="n">
        <v>60</v>
      </c>
      <c r="I82" s="1" t="str">
        <f aca="false">RIGHT(("0"&amp;C82),2)&amp;RIGHT(("0"&amp;D82),2)&amp;RIGHT(("0"&amp;E82),2)&amp;RIGHT(("0"&amp;F82),2)&amp;RIGHT(("0"&amp;G82),2)&amp;RIGHT(("0"&amp;H82),2)</f>
        <v>102341475460</v>
      </c>
      <c r="J82" s="1" t="n">
        <f aca="false">COUNTIF(I:I,I82)</f>
        <v>1</v>
      </c>
      <c r="K82" s="1" t="n">
        <v>0</v>
      </c>
      <c r="M82" s="1" t="s">
        <v>23</v>
      </c>
      <c r="N82" s="1" t="n">
        <v>62</v>
      </c>
      <c r="O82" s="1" t="s">
        <v>358</v>
      </c>
      <c r="P82" s="1" t="n">
        <v>4870</v>
      </c>
      <c r="Q82" s="1" t="s">
        <v>359</v>
      </c>
      <c r="R82" s="1" t="s">
        <v>360</v>
      </c>
      <c r="S82" s="1" t="s">
        <v>23</v>
      </c>
      <c r="T82" s="1" t="s">
        <v>23</v>
      </c>
      <c r="U82" s="1" t="s">
        <v>23</v>
      </c>
    </row>
    <row r="83" customFormat="false" ht="13.8" hidden="false" customHeight="false" outlineLevel="0" collapsed="false">
      <c r="A83" s="1" t="n">
        <v>82</v>
      </c>
      <c r="B83" s="2" t="s">
        <v>361</v>
      </c>
      <c r="C83" s="1" t="n">
        <v>15</v>
      </c>
      <c r="D83" s="1" t="n">
        <v>18</v>
      </c>
      <c r="E83" s="1" t="n">
        <v>29</v>
      </c>
      <c r="F83" s="1" t="n">
        <v>36</v>
      </c>
      <c r="G83" s="1" t="n">
        <v>51</v>
      </c>
      <c r="H83" s="1" t="n">
        <v>53</v>
      </c>
      <c r="I83" s="1" t="str">
        <f aca="false">RIGHT(("0"&amp;C83),2)&amp;RIGHT(("0"&amp;D83),2)&amp;RIGHT(("0"&amp;E83),2)&amp;RIGHT(("0"&amp;F83),2)&amp;RIGHT(("0"&amp;G83),2)&amp;RIGHT(("0"&amp;H83),2)</f>
        <v>151829365153</v>
      </c>
      <c r="J83" s="1" t="n">
        <f aca="false">COUNTIF(I:I,I83)</f>
        <v>1</v>
      </c>
      <c r="K83" s="1" t="n">
        <v>1</v>
      </c>
      <c r="L83" s="1" t="s">
        <v>190</v>
      </c>
      <c r="M83" s="1" t="s">
        <v>362</v>
      </c>
      <c r="N83" s="1" t="n">
        <v>77</v>
      </c>
      <c r="O83" s="1" t="s">
        <v>363</v>
      </c>
      <c r="P83" s="1" t="n">
        <v>5889</v>
      </c>
      <c r="Q83" s="1" t="s">
        <v>364</v>
      </c>
      <c r="R83" s="1" t="s">
        <v>23</v>
      </c>
      <c r="S83" s="1" t="s">
        <v>23</v>
      </c>
      <c r="T83" s="1" t="s">
        <v>23</v>
      </c>
      <c r="U83" s="1" t="s">
        <v>23</v>
      </c>
      <c r="V83" s="1" t="s">
        <v>365</v>
      </c>
    </row>
    <row r="84" customFormat="false" ht="13.8" hidden="false" customHeight="false" outlineLevel="0" collapsed="false">
      <c r="A84" s="1" t="n">
        <v>83</v>
      </c>
      <c r="B84" s="2" t="s">
        <v>366</v>
      </c>
      <c r="C84" s="1" t="n">
        <v>4</v>
      </c>
      <c r="D84" s="1" t="n">
        <v>15</v>
      </c>
      <c r="E84" s="1" t="n">
        <v>16</v>
      </c>
      <c r="F84" s="1" t="n">
        <v>24</v>
      </c>
      <c r="G84" s="1" t="n">
        <v>42</v>
      </c>
      <c r="H84" s="1" t="n">
        <v>57</v>
      </c>
      <c r="I84" s="1" t="str">
        <f aca="false">RIGHT(("0"&amp;C84),2)&amp;RIGHT(("0"&amp;D84),2)&amp;RIGHT(("0"&amp;E84),2)&amp;RIGHT(("0"&amp;F84),2)&amp;RIGHT(("0"&amp;G84),2)&amp;RIGHT(("0"&amp;H84),2)</f>
        <v>041516244257</v>
      </c>
      <c r="J84" s="1" t="n">
        <f aca="false">COUNTIF(I:I,I84)</f>
        <v>1</v>
      </c>
      <c r="K84" s="1" t="n">
        <v>0</v>
      </c>
      <c r="M84" s="1" t="s">
        <v>23</v>
      </c>
      <c r="N84" s="1" t="n">
        <v>76</v>
      </c>
      <c r="O84" s="1" t="s">
        <v>367</v>
      </c>
      <c r="P84" s="1" t="n">
        <v>4756</v>
      </c>
      <c r="Q84" s="1" t="s">
        <v>368</v>
      </c>
      <c r="R84" s="1" t="s">
        <v>369</v>
      </c>
      <c r="S84" s="1" t="s">
        <v>23</v>
      </c>
      <c r="T84" s="1" t="s">
        <v>23</v>
      </c>
      <c r="U84" s="1" t="s">
        <v>23</v>
      </c>
    </row>
    <row r="85" customFormat="false" ht="13.8" hidden="false" customHeight="false" outlineLevel="0" collapsed="false">
      <c r="A85" s="1" t="n">
        <v>84</v>
      </c>
      <c r="B85" s="2" t="s">
        <v>370</v>
      </c>
      <c r="C85" s="1" t="n">
        <v>4</v>
      </c>
      <c r="D85" s="1" t="n">
        <v>6</v>
      </c>
      <c r="E85" s="1" t="n">
        <v>10</v>
      </c>
      <c r="F85" s="1" t="n">
        <v>25</v>
      </c>
      <c r="G85" s="1" t="n">
        <v>34</v>
      </c>
      <c r="H85" s="1" t="n">
        <v>40</v>
      </c>
      <c r="I85" s="1" t="str">
        <f aca="false">RIGHT(("0"&amp;C85),2)&amp;RIGHT(("0"&amp;D85),2)&amp;RIGHT(("0"&amp;E85),2)&amp;RIGHT(("0"&amp;F85),2)&amp;RIGHT(("0"&amp;G85),2)&amp;RIGHT(("0"&amp;H85),2)</f>
        <v>040610253440</v>
      </c>
      <c r="J85" s="1" t="n">
        <f aca="false">COUNTIF(I:I,I85)</f>
        <v>1</v>
      </c>
      <c r="K85" s="1" t="n">
        <v>0</v>
      </c>
      <c r="M85" s="1" t="s">
        <v>23</v>
      </c>
      <c r="N85" s="1" t="n">
        <v>102</v>
      </c>
      <c r="O85" s="1" t="s">
        <v>371</v>
      </c>
      <c r="P85" s="1" t="n">
        <v>5546</v>
      </c>
      <c r="Q85" s="1" t="s">
        <v>372</v>
      </c>
      <c r="R85" s="1" t="s">
        <v>373</v>
      </c>
      <c r="S85" s="1" t="s">
        <v>23</v>
      </c>
      <c r="T85" s="1" t="s">
        <v>23</v>
      </c>
      <c r="U85" s="1" t="s">
        <v>23</v>
      </c>
    </row>
    <row r="86" customFormat="false" ht="13.8" hidden="false" customHeight="false" outlineLevel="0" collapsed="false">
      <c r="A86" s="1" t="n">
        <v>85</v>
      </c>
      <c r="B86" s="2" t="s">
        <v>374</v>
      </c>
      <c r="C86" s="1" t="n">
        <v>6</v>
      </c>
      <c r="D86" s="1" t="n">
        <v>15</v>
      </c>
      <c r="E86" s="1" t="n">
        <v>30</v>
      </c>
      <c r="F86" s="1" t="n">
        <v>37</v>
      </c>
      <c r="G86" s="1" t="n">
        <v>45</v>
      </c>
      <c r="H86" s="1" t="n">
        <v>47</v>
      </c>
      <c r="I86" s="1" t="str">
        <f aca="false">RIGHT(("0"&amp;C86),2)&amp;RIGHT(("0"&amp;D86),2)&amp;RIGHT(("0"&amp;E86),2)&amp;RIGHT(("0"&amp;F86),2)&amp;RIGHT(("0"&amp;G86),2)&amp;RIGHT(("0"&amp;H86),2)</f>
        <v>061530374547</v>
      </c>
      <c r="J86" s="1" t="n">
        <f aca="false">COUNTIF(I:I,I86)</f>
        <v>1</v>
      </c>
      <c r="K86" s="1" t="n">
        <v>0</v>
      </c>
      <c r="M86" s="1" t="s">
        <v>23</v>
      </c>
      <c r="N86" s="1" t="n">
        <v>45</v>
      </c>
      <c r="O86" s="1" t="s">
        <v>375</v>
      </c>
      <c r="P86" s="1" t="n">
        <v>4312</v>
      </c>
      <c r="Q86" s="1" t="s">
        <v>376</v>
      </c>
      <c r="R86" s="1" t="s">
        <v>377</v>
      </c>
      <c r="S86" s="1" t="s">
        <v>23</v>
      </c>
      <c r="T86" s="1" t="s">
        <v>23</v>
      </c>
      <c r="U86" s="1" t="s">
        <v>23</v>
      </c>
    </row>
    <row r="87" customFormat="false" ht="13.8" hidden="false" customHeight="false" outlineLevel="0" collapsed="false">
      <c r="A87" s="1" t="n">
        <v>86</v>
      </c>
      <c r="B87" s="2" t="s">
        <v>378</v>
      </c>
      <c r="C87" s="1" t="n">
        <v>6</v>
      </c>
      <c r="D87" s="1" t="n">
        <v>21</v>
      </c>
      <c r="E87" s="1" t="n">
        <v>22</v>
      </c>
      <c r="F87" s="1" t="n">
        <v>34</v>
      </c>
      <c r="G87" s="1" t="n">
        <v>36</v>
      </c>
      <c r="H87" s="1" t="n">
        <v>54</v>
      </c>
      <c r="I87" s="1" t="str">
        <f aca="false">RIGHT(("0"&amp;C87),2)&amp;RIGHT(("0"&amp;D87),2)&amp;RIGHT(("0"&amp;E87),2)&amp;RIGHT(("0"&amp;F87),2)&amp;RIGHT(("0"&amp;G87),2)&amp;RIGHT(("0"&amp;H87),2)</f>
        <v>062122343654</v>
      </c>
      <c r="J87" s="1" t="n">
        <f aca="false">COUNTIF(I:I,I87)</f>
        <v>1</v>
      </c>
      <c r="K87" s="1" t="n">
        <v>0</v>
      </c>
      <c r="M87" s="1" t="s">
        <v>23</v>
      </c>
      <c r="N87" s="1" t="n">
        <v>48</v>
      </c>
      <c r="O87" s="1" t="s">
        <v>379</v>
      </c>
      <c r="P87" s="1" t="n">
        <v>3752</v>
      </c>
      <c r="Q87" s="1" t="s">
        <v>380</v>
      </c>
      <c r="R87" s="1" t="s">
        <v>381</v>
      </c>
      <c r="S87" s="1" t="s">
        <v>23</v>
      </c>
      <c r="T87" s="1" t="s">
        <v>23</v>
      </c>
      <c r="U87" s="1" t="s">
        <v>23</v>
      </c>
    </row>
    <row r="88" customFormat="false" ht="13.8" hidden="false" customHeight="false" outlineLevel="0" collapsed="false">
      <c r="A88" s="1" t="n">
        <v>87</v>
      </c>
      <c r="B88" s="2" t="s">
        <v>382</v>
      </c>
      <c r="C88" s="1" t="n">
        <v>4</v>
      </c>
      <c r="D88" s="1" t="n">
        <v>5</v>
      </c>
      <c r="E88" s="1" t="n">
        <v>11</v>
      </c>
      <c r="F88" s="1" t="n">
        <v>28</v>
      </c>
      <c r="G88" s="1" t="n">
        <v>32</v>
      </c>
      <c r="H88" s="1" t="n">
        <v>40</v>
      </c>
      <c r="I88" s="1" t="str">
        <f aca="false">RIGHT(("0"&amp;C88),2)&amp;RIGHT(("0"&amp;D88),2)&amp;RIGHT(("0"&amp;E88),2)&amp;RIGHT(("0"&amp;F88),2)&amp;RIGHT(("0"&amp;G88),2)&amp;RIGHT(("0"&amp;H88),2)</f>
        <v>040511283240</v>
      </c>
      <c r="J88" s="1" t="n">
        <f aca="false">COUNTIF(I:I,I88)</f>
        <v>1</v>
      </c>
      <c r="K88" s="1" t="n">
        <v>0</v>
      </c>
      <c r="M88" s="1" t="s">
        <v>23</v>
      </c>
      <c r="N88" s="1" t="n">
        <v>64</v>
      </c>
      <c r="O88" s="1" t="s">
        <v>383</v>
      </c>
      <c r="P88" s="1" t="n">
        <v>5195</v>
      </c>
      <c r="Q88" s="1" t="s">
        <v>384</v>
      </c>
      <c r="R88" s="1" t="s">
        <v>385</v>
      </c>
      <c r="S88" s="1" t="s">
        <v>23</v>
      </c>
      <c r="T88" s="1" t="s">
        <v>23</v>
      </c>
      <c r="U88" s="1" t="s">
        <v>23</v>
      </c>
      <c r="V88" s="1" t="s">
        <v>386</v>
      </c>
    </row>
    <row r="89" customFormat="false" ht="13.8" hidden="false" customHeight="false" outlineLevel="0" collapsed="false">
      <c r="A89" s="1" t="n">
        <v>88</v>
      </c>
      <c r="B89" s="2" t="s">
        <v>387</v>
      </c>
      <c r="C89" s="1" t="n">
        <v>4</v>
      </c>
      <c r="D89" s="1" t="n">
        <v>18</v>
      </c>
      <c r="E89" s="1" t="n">
        <v>29</v>
      </c>
      <c r="F89" s="1" t="n">
        <v>37</v>
      </c>
      <c r="G89" s="1" t="n">
        <v>43</v>
      </c>
      <c r="H89" s="1" t="n">
        <v>45</v>
      </c>
      <c r="I89" s="1" t="str">
        <f aca="false">RIGHT(("0"&amp;C89),2)&amp;RIGHT(("0"&amp;D89),2)&amp;RIGHT(("0"&amp;E89),2)&amp;RIGHT(("0"&amp;F89),2)&amp;RIGHT(("0"&amp;G89),2)&amp;RIGHT(("0"&amp;H89),2)</f>
        <v>041829374345</v>
      </c>
      <c r="J89" s="1" t="n">
        <f aca="false">COUNTIF(I:I,I89)</f>
        <v>1</v>
      </c>
      <c r="K89" s="1" t="n">
        <v>0</v>
      </c>
      <c r="M89" s="1" t="s">
        <v>23</v>
      </c>
      <c r="N89" s="1" t="n">
        <v>110</v>
      </c>
      <c r="O89" s="1" t="s">
        <v>388</v>
      </c>
      <c r="P89" s="1" t="n">
        <v>6805</v>
      </c>
      <c r="Q89" s="1" t="s">
        <v>389</v>
      </c>
      <c r="R89" s="1" t="s">
        <v>390</v>
      </c>
      <c r="S89" s="1" t="s">
        <v>23</v>
      </c>
      <c r="T89" s="1" t="s">
        <v>23</v>
      </c>
      <c r="U89" s="1" t="s">
        <v>23</v>
      </c>
      <c r="V89" s="1" t="s">
        <v>391</v>
      </c>
    </row>
    <row r="90" customFormat="false" ht="13.8" hidden="false" customHeight="false" outlineLevel="0" collapsed="false">
      <c r="A90" s="1" t="n">
        <v>89</v>
      </c>
      <c r="B90" s="2" t="s">
        <v>392</v>
      </c>
      <c r="C90" s="1" t="n">
        <v>13</v>
      </c>
      <c r="D90" s="1" t="n">
        <v>34</v>
      </c>
      <c r="E90" s="1" t="n">
        <v>42</v>
      </c>
      <c r="F90" s="1" t="n">
        <v>44</v>
      </c>
      <c r="G90" s="1" t="n">
        <v>55</v>
      </c>
      <c r="H90" s="1" t="n">
        <v>59</v>
      </c>
      <c r="I90" s="1" t="str">
        <f aca="false">RIGHT(("0"&amp;C90),2)&amp;RIGHT(("0"&amp;D90),2)&amp;RIGHT(("0"&amp;E90),2)&amp;RIGHT(("0"&amp;F90),2)&amp;RIGHT(("0"&amp;G90),2)&amp;RIGHT(("0"&amp;H90),2)</f>
        <v>133442445559</v>
      </c>
      <c r="J90" s="1" t="n">
        <f aca="false">COUNTIF(I:I,I90)</f>
        <v>1</v>
      </c>
      <c r="K90" s="1" t="n">
        <v>0</v>
      </c>
      <c r="M90" s="1" t="s">
        <v>23</v>
      </c>
      <c r="N90" s="1" t="n">
        <v>36</v>
      </c>
      <c r="O90" s="1" t="s">
        <v>393</v>
      </c>
      <c r="P90" s="1" t="n">
        <v>3847</v>
      </c>
      <c r="Q90" s="1" t="s">
        <v>394</v>
      </c>
      <c r="R90" s="1" t="s">
        <v>395</v>
      </c>
      <c r="S90" s="1" t="s">
        <v>23</v>
      </c>
      <c r="T90" s="1" t="s">
        <v>23</v>
      </c>
      <c r="U90" s="1" t="s">
        <v>23</v>
      </c>
      <c r="V90" s="1" t="s">
        <v>396</v>
      </c>
    </row>
    <row r="91" customFormat="false" ht="13.8" hidden="false" customHeight="false" outlineLevel="0" collapsed="false">
      <c r="A91" s="1" t="n">
        <v>90</v>
      </c>
      <c r="B91" s="2" t="s">
        <v>397</v>
      </c>
      <c r="C91" s="1" t="n">
        <v>9</v>
      </c>
      <c r="D91" s="1" t="n">
        <v>21</v>
      </c>
      <c r="E91" s="1" t="n">
        <v>26</v>
      </c>
      <c r="F91" s="1" t="n">
        <v>40</v>
      </c>
      <c r="G91" s="1" t="n">
        <v>52</v>
      </c>
      <c r="H91" s="1" t="n">
        <v>54</v>
      </c>
      <c r="I91" s="1" t="str">
        <f aca="false">RIGHT(("0"&amp;C91),2)&amp;RIGHT(("0"&amp;D91),2)&amp;RIGHT(("0"&amp;E91),2)&amp;RIGHT(("0"&amp;F91),2)&amp;RIGHT(("0"&amp;G91),2)&amp;RIGHT(("0"&amp;H91),2)</f>
        <v>092126405254</v>
      </c>
      <c r="J91" s="1" t="n">
        <f aca="false">COUNTIF(I:I,I91)</f>
        <v>1</v>
      </c>
      <c r="K91" s="1" t="n">
        <v>1</v>
      </c>
      <c r="L91" s="1" t="s">
        <v>66</v>
      </c>
      <c r="M91" s="1" t="s">
        <v>398</v>
      </c>
      <c r="N91" s="1" t="n">
        <v>74</v>
      </c>
      <c r="O91" s="1" t="s">
        <v>399</v>
      </c>
      <c r="P91" s="1" t="n">
        <v>4763</v>
      </c>
      <c r="Q91" s="1" t="s">
        <v>400</v>
      </c>
      <c r="R91" s="1" t="s">
        <v>23</v>
      </c>
      <c r="S91" s="1" t="s">
        <v>23</v>
      </c>
      <c r="T91" s="1" t="s">
        <v>23</v>
      </c>
      <c r="U91" s="1" t="s">
        <v>23</v>
      </c>
      <c r="V91" s="1" t="s">
        <v>401</v>
      </c>
    </row>
    <row r="92" customFormat="false" ht="13.8" hidden="false" customHeight="false" outlineLevel="0" collapsed="false">
      <c r="A92" s="1" t="n">
        <v>91</v>
      </c>
      <c r="B92" s="2" t="s">
        <v>402</v>
      </c>
      <c r="C92" s="1" t="n">
        <v>2</v>
      </c>
      <c r="D92" s="1" t="n">
        <v>4</v>
      </c>
      <c r="E92" s="1" t="n">
        <v>10</v>
      </c>
      <c r="F92" s="1" t="n">
        <v>35</v>
      </c>
      <c r="G92" s="1" t="n">
        <v>39</v>
      </c>
      <c r="H92" s="1" t="n">
        <v>60</v>
      </c>
      <c r="I92" s="1" t="str">
        <f aca="false">RIGHT(("0"&amp;C92),2)&amp;RIGHT(("0"&amp;D92),2)&amp;RIGHT(("0"&amp;E92),2)&amp;RIGHT(("0"&amp;F92),2)&amp;RIGHT(("0"&amp;G92),2)&amp;RIGHT(("0"&amp;H92),2)</f>
        <v>020410353960</v>
      </c>
      <c r="J92" s="1" t="n">
        <f aca="false">COUNTIF(I:I,I92)</f>
        <v>1</v>
      </c>
      <c r="K92" s="1" t="n">
        <v>0</v>
      </c>
      <c r="M92" s="1" t="s">
        <v>23</v>
      </c>
      <c r="N92" s="1" t="n">
        <v>68</v>
      </c>
      <c r="O92" s="1" t="s">
        <v>403</v>
      </c>
      <c r="P92" s="1" t="n">
        <v>3878</v>
      </c>
      <c r="Q92" s="1" t="s">
        <v>404</v>
      </c>
      <c r="R92" s="1" t="s">
        <v>405</v>
      </c>
      <c r="S92" s="1" t="s">
        <v>23</v>
      </c>
      <c r="T92" s="1" t="s">
        <v>23</v>
      </c>
      <c r="U92" s="1" t="s">
        <v>23</v>
      </c>
    </row>
    <row r="93" customFormat="false" ht="13.8" hidden="false" customHeight="false" outlineLevel="0" collapsed="false">
      <c r="A93" s="1" t="n">
        <v>92</v>
      </c>
      <c r="B93" s="2" t="s">
        <v>406</v>
      </c>
      <c r="C93" s="1" t="n">
        <v>1</v>
      </c>
      <c r="D93" s="1" t="n">
        <v>3</v>
      </c>
      <c r="E93" s="1" t="n">
        <v>5</v>
      </c>
      <c r="F93" s="1" t="n">
        <v>23</v>
      </c>
      <c r="G93" s="1" t="n">
        <v>24</v>
      </c>
      <c r="H93" s="1" t="n">
        <v>51</v>
      </c>
      <c r="I93" s="1" t="str">
        <f aca="false">RIGHT(("0"&amp;C93),2)&amp;RIGHT(("0"&amp;D93),2)&amp;RIGHT(("0"&amp;E93),2)&amp;RIGHT(("0"&amp;F93),2)&amp;RIGHT(("0"&amp;G93),2)&amp;RIGHT(("0"&amp;H93),2)</f>
        <v>010305232451</v>
      </c>
      <c r="J93" s="1" t="n">
        <f aca="false">COUNTIF(I:I,I93)</f>
        <v>1</v>
      </c>
      <c r="K93" s="1" t="n">
        <v>0</v>
      </c>
      <c r="M93" s="1" t="s">
        <v>23</v>
      </c>
      <c r="N93" s="1" t="n">
        <v>75</v>
      </c>
      <c r="O93" s="1" t="s">
        <v>407</v>
      </c>
      <c r="P93" s="1" t="n">
        <v>5530</v>
      </c>
      <c r="Q93" s="1" t="s">
        <v>408</v>
      </c>
      <c r="R93" s="1" t="s">
        <v>409</v>
      </c>
      <c r="S93" s="1" t="s">
        <v>23</v>
      </c>
      <c r="T93" s="1" t="s">
        <v>23</v>
      </c>
      <c r="U93" s="1" t="s">
        <v>23</v>
      </c>
    </row>
    <row r="94" customFormat="false" ht="13.8" hidden="false" customHeight="false" outlineLevel="0" collapsed="false">
      <c r="A94" s="1" t="n">
        <v>93</v>
      </c>
      <c r="B94" s="2" t="s">
        <v>410</v>
      </c>
      <c r="C94" s="1" t="n">
        <v>2</v>
      </c>
      <c r="D94" s="1" t="n">
        <v>22</v>
      </c>
      <c r="E94" s="1" t="n">
        <v>28</v>
      </c>
      <c r="F94" s="1" t="n">
        <v>31</v>
      </c>
      <c r="G94" s="1" t="n">
        <v>36</v>
      </c>
      <c r="H94" s="1" t="n">
        <v>53</v>
      </c>
      <c r="I94" s="1" t="str">
        <f aca="false">RIGHT(("0"&amp;C94),2)&amp;RIGHT(("0"&amp;D94),2)&amp;RIGHT(("0"&amp;E94),2)&amp;RIGHT(("0"&amp;F94),2)&amp;RIGHT(("0"&amp;G94),2)&amp;RIGHT(("0"&amp;H94),2)</f>
        <v>022228313653</v>
      </c>
      <c r="J94" s="1" t="n">
        <f aca="false">COUNTIF(I:I,I94)</f>
        <v>1</v>
      </c>
      <c r="K94" s="1" t="n">
        <v>0</v>
      </c>
      <c r="M94" s="1" t="s">
        <v>23</v>
      </c>
      <c r="N94" s="1" t="n">
        <v>61</v>
      </c>
      <c r="O94" s="1" t="s">
        <v>411</v>
      </c>
      <c r="P94" s="1" t="n">
        <v>3795</v>
      </c>
      <c r="Q94" s="1" t="s">
        <v>412</v>
      </c>
      <c r="R94" s="1" t="s">
        <v>413</v>
      </c>
      <c r="S94" s="1" t="s">
        <v>23</v>
      </c>
      <c r="T94" s="1" t="s">
        <v>23</v>
      </c>
      <c r="U94" s="1" t="s">
        <v>23</v>
      </c>
    </row>
    <row r="95" customFormat="false" ht="13.8" hidden="false" customHeight="false" outlineLevel="0" collapsed="false">
      <c r="A95" s="1" t="n">
        <v>94</v>
      </c>
      <c r="B95" s="2" t="s">
        <v>414</v>
      </c>
      <c r="C95" s="1" t="n">
        <v>8</v>
      </c>
      <c r="D95" s="1" t="n">
        <v>18</v>
      </c>
      <c r="E95" s="1" t="n">
        <v>28</v>
      </c>
      <c r="F95" s="1" t="n">
        <v>51</v>
      </c>
      <c r="G95" s="1" t="n">
        <v>52</v>
      </c>
      <c r="H95" s="1" t="n">
        <v>55</v>
      </c>
      <c r="I95" s="1" t="str">
        <f aca="false">RIGHT(("0"&amp;C95),2)&amp;RIGHT(("0"&amp;D95),2)&amp;RIGHT(("0"&amp;E95),2)&amp;RIGHT(("0"&amp;F95),2)&amp;RIGHT(("0"&amp;G95),2)&amp;RIGHT(("0"&amp;H95),2)</f>
        <v>081828515255</v>
      </c>
      <c r="J95" s="1" t="n">
        <f aca="false">COUNTIF(I:I,I95)</f>
        <v>1</v>
      </c>
      <c r="K95" s="1" t="n">
        <v>0</v>
      </c>
      <c r="M95" s="1" t="s">
        <v>23</v>
      </c>
      <c r="N95" s="1" t="n">
        <v>25</v>
      </c>
      <c r="O95" s="1" t="s">
        <v>415</v>
      </c>
      <c r="P95" s="1" t="n">
        <v>2086</v>
      </c>
      <c r="Q95" s="1" t="s">
        <v>416</v>
      </c>
      <c r="R95" s="1" t="s">
        <v>417</v>
      </c>
      <c r="S95" s="1" t="s">
        <v>23</v>
      </c>
      <c r="T95" s="1" t="s">
        <v>23</v>
      </c>
      <c r="U95" s="1" t="s">
        <v>23</v>
      </c>
    </row>
    <row r="96" customFormat="false" ht="13.8" hidden="false" customHeight="false" outlineLevel="0" collapsed="false">
      <c r="A96" s="1" t="n">
        <v>95</v>
      </c>
      <c r="B96" s="2" t="s">
        <v>418</v>
      </c>
      <c r="C96" s="1" t="n">
        <v>6</v>
      </c>
      <c r="D96" s="1" t="n">
        <v>40</v>
      </c>
      <c r="E96" s="1" t="n">
        <v>45</v>
      </c>
      <c r="F96" s="1" t="n">
        <v>46</v>
      </c>
      <c r="G96" s="1" t="n">
        <v>50</v>
      </c>
      <c r="H96" s="1" t="n">
        <v>60</v>
      </c>
      <c r="I96" s="1" t="str">
        <f aca="false">RIGHT(("0"&amp;C96),2)&amp;RIGHT(("0"&amp;D96),2)&amp;RIGHT(("0"&amp;E96),2)&amp;RIGHT(("0"&amp;F96),2)&amp;RIGHT(("0"&amp;G96),2)&amp;RIGHT(("0"&amp;H96),2)</f>
        <v>064045465060</v>
      </c>
      <c r="J96" s="1" t="n">
        <f aca="false">COUNTIF(I:I,I96)</f>
        <v>1</v>
      </c>
      <c r="K96" s="1" t="n">
        <v>0</v>
      </c>
      <c r="M96" s="1" t="s">
        <v>23</v>
      </c>
      <c r="N96" s="1" t="n">
        <v>22</v>
      </c>
      <c r="O96" s="1" t="s">
        <v>419</v>
      </c>
      <c r="P96" s="1" t="n">
        <v>2185</v>
      </c>
      <c r="Q96" s="1" t="s">
        <v>420</v>
      </c>
      <c r="R96" s="1" t="s">
        <v>421</v>
      </c>
      <c r="S96" s="1" t="s">
        <v>23</v>
      </c>
      <c r="T96" s="1" t="s">
        <v>23</v>
      </c>
      <c r="U96" s="1" t="s">
        <v>23</v>
      </c>
    </row>
    <row r="97" customFormat="false" ht="13.8" hidden="false" customHeight="false" outlineLevel="0" collapsed="false">
      <c r="A97" s="1" t="n">
        <v>96</v>
      </c>
      <c r="B97" s="2" t="s">
        <v>422</v>
      </c>
      <c r="C97" s="1" t="n">
        <v>4</v>
      </c>
      <c r="D97" s="1" t="n">
        <v>7</v>
      </c>
      <c r="E97" s="1" t="n">
        <v>26</v>
      </c>
      <c r="F97" s="1" t="n">
        <v>40</v>
      </c>
      <c r="G97" s="1" t="n">
        <v>42</v>
      </c>
      <c r="H97" s="1" t="n">
        <v>58</v>
      </c>
      <c r="I97" s="1" t="str">
        <f aca="false">RIGHT(("0"&amp;C97),2)&amp;RIGHT(("0"&amp;D97),2)&amp;RIGHT(("0"&amp;E97),2)&amp;RIGHT(("0"&amp;F97),2)&amp;RIGHT(("0"&amp;G97),2)&amp;RIGHT(("0"&amp;H97),2)</f>
        <v>040726404258</v>
      </c>
      <c r="J97" s="1" t="n">
        <f aca="false">COUNTIF(I:I,I97)</f>
        <v>1</v>
      </c>
      <c r="K97" s="1" t="n">
        <v>1</v>
      </c>
      <c r="M97" s="1" t="s">
        <v>423</v>
      </c>
      <c r="N97" s="1" t="n">
        <v>62</v>
      </c>
      <c r="O97" s="1" t="s">
        <v>424</v>
      </c>
      <c r="P97" s="1" t="n">
        <v>3984</v>
      </c>
      <c r="Q97" s="1" t="s">
        <v>425</v>
      </c>
      <c r="R97" s="1" t="s">
        <v>23</v>
      </c>
      <c r="S97" s="1" t="s">
        <v>23</v>
      </c>
      <c r="T97" s="1" t="s">
        <v>23</v>
      </c>
      <c r="U97" s="1" t="s">
        <v>23</v>
      </c>
      <c r="V97" s="1" t="s">
        <v>365</v>
      </c>
    </row>
    <row r="98" customFormat="false" ht="13.8" hidden="false" customHeight="false" outlineLevel="0" collapsed="false">
      <c r="A98" s="1" t="n">
        <v>97</v>
      </c>
      <c r="B98" s="2" t="s">
        <v>426</v>
      </c>
      <c r="C98" s="1" t="n">
        <v>5</v>
      </c>
      <c r="D98" s="1" t="n">
        <v>11</v>
      </c>
      <c r="E98" s="1" t="n">
        <v>14</v>
      </c>
      <c r="F98" s="1" t="n">
        <v>35</v>
      </c>
      <c r="G98" s="1" t="n">
        <v>53</v>
      </c>
      <c r="H98" s="1" t="n">
        <v>56</v>
      </c>
      <c r="I98" s="1" t="str">
        <f aca="false">RIGHT(("0"&amp;C98),2)&amp;RIGHT(("0"&amp;D98),2)&amp;RIGHT(("0"&amp;E98),2)&amp;RIGHT(("0"&amp;F98),2)&amp;RIGHT(("0"&amp;G98),2)&amp;RIGHT(("0"&amp;H98),2)</f>
        <v>051114355356</v>
      </c>
      <c r="J98" s="1" t="n">
        <f aca="false">COUNTIF(I:I,I98)</f>
        <v>1</v>
      </c>
      <c r="K98" s="1" t="n">
        <v>1</v>
      </c>
      <c r="M98" s="1" t="s">
        <v>427</v>
      </c>
      <c r="N98" s="1" t="n">
        <v>56</v>
      </c>
      <c r="O98" s="1" t="s">
        <v>428</v>
      </c>
      <c r="P98" s="1" t="n">
        <v>3441</v>
      </c>
      <c r="Q98" s="1" t="s">
        <v>429</v>
      </c>
      <c r="R98" s="1" t="s">
        <v>23</v>
      </c>
      <c r="S98" s="1" t="s">
        <v>23</v>
      </c>
      <c r="T98" s="1" t="s">
        <v>23</v>
      </c>
      <c r="U98" s="1" t="s">
        <v>23</v>
      </c>
      <c r="V98" s="1" t="s">
        <v>430</v>
      </c>
    </row>
    <row r="99" customFormat="false" ht="13.8" hidden="false" customHeight="false" outlineLevel="0" collapsed="false">
      <c r="A99" s="1" t="n">
        <v>98</v>
      </c>
      <c r="B99" s="2" t="s">
        <v>431</v>
      </c>
      <c r="C99" s="1" t="n">
        <v>13</v>
      </c>
      <c r="D99" s="1" t="n">
        <v>14</v>
      </c>
      <c r="E99" s="1" t="n">
        <v>31</v>
      </c>
      <c r="F99" s="1" t="n">
        <v>33</v>
      </c>
      <c r="G99" s="1" t="n">
        <v>35</v>
      </c>
      <c r="H99" s="1" t="n">
        <v>43</v>
      </c>
      <c r="I99" s="1" t="str">
        <f aca="false">RIGHT(("0"&amp;C99),2)&amp;RIGHT(("0"&amp;D99),2)&amp;RIGHT(("0"&amp;E99),2)&amp;RIGHT(("0"&amp;F99),2)&amp;RIGHT(("0"&amp;G99),2)&amp;RIGHT(("0"&amp;H99),2)</f>
        <v>131431333543</v>
      </c>
      <c r="J99" s="1" t="n">
        <f aca="false">COUNTIF(I:I,I99)</f>
        <v>1</v>
      </c>
      <c r="K99" s="1" t="n">
        <v>0</v>
      </c>
      <c r="M99" s="1" t="s">
        <v>23</v>
      </c>
      <c r="N99" s="1" t="n">
        <v>89</v>
      </c>
      <c r="O99" s="1" t="s">
        <v>432</v>
      </c>
      <c r="P99" s="1" t="n">
        <v>4972</v>
      </c>
      <c r="Q99" s="1" t="s">
        <v>433</v>
      </c>
      <c r="R99" s="1" t="s">
        <v>434</v>
      </c>
      <c r="S99" s="1" t="s">
        <v>23</v>
      </c>
      <c r="T99" s="1" t="s">
        <v>23</v>
      </c>
      <c r="U99" s="1" t="s">
        <v>23</v>
      </c>
    </row>
    <row r="100" customFormat="false" ht="13.8" hidden="false" customHeight="false" outlineLevel="0" collapsed="false">
      <c r="A100" s="1" t="n">
        <v>99</v>
      </c>
      <c r="B100" s="2" t="s">
        <v>435</v>
      </c>
      <c r="C100" s="1" t="n">
        <v>11</v>
      </c>
      <c r="D100" s="1" t="n">
        <v>24</v>
      </c>
      <c r="E100" s="1" t="n">
        <v>30</v>
      </c>
      <c r="F100" s="1" t="n">
        <v>33</v>
      </c>
      <c r="G100" s="1" t="n">
        <v>46</v>
      </c>
      <c r="H100" s="1" t="n">
        <v>60</v>
      </c>
      <c r="I100" s="1" t="str">
        <f aca="false">RIGHT(("0"&amp;C100),2)&amp;RIGHT(("0"&amp;D100),2)&amp;RIGHT(("0"&amp;E100),2)&amp;RIGHT(("0"&amp;F100),2)&amp;RIGHT(("0"&amp;G100),2)&amp;RIGHT(("0"&amp;H100),2)</f>
        <v>112430334660</v>
      </c>
      <c r="J100" s="1" t="n">
        <f aca="false">COUNTIF(I:I,I100)</f>
        <v>1</v>
      </c>
      <c r="K100" s="1" t="n">
        <v>0</v>
      </c>
      <c r="M100" s="1" t="s">
        <v>23</v>
      </c>
      <c r="N100" s="1" t="n">
        <v>46</v>
      </c>
      <c r="O100" s="1" t="s">
        <v>436</v>
      </c>
      <c r="P100" s="1" t="n">
        <v>3015</v>
      </c>
      <c r="Q100" s="1" t="s">
        <v>437</v>
      </c>
      <c r="R100" s="1" t="s">
        <v>438</v>
      </c>
      <c r="S100" s="1" t="s">
        <v>23</v>
      </c>
      <c r="T100" s="1" t="s">
        <v>23</v>
      </c>
      <c r="U100" s="1" t="s">
        <v>23</v>
      </c>
      <c r="V100" s="1" t="s">
        <v>439</v>
      </c>
    </row>
    <row r="101" customFormat="false" ht="13.8" hidden="false" customHeight="false" outlineLevel="0" collapsed="false">
      <c r="A101" s="1" t="n">
        <v>100</v>
      </c>
      <c r="B101" s="2" t="s">
        <v>440</v>
      </c>
      <c r="C101" s="1" t="n">
        <v>14</v>
      </c>
      <c r="D101" s="1" t="n">
        <v>29</v>
      </c>
      <c r="E101" s="1" t="n">
        <v>30</v>
      </c>
      <c r="F101" s="1" t="n">
        <v>46</v>
      </c>
      <c r="G101" s="1" t="n">
        <v>48</v>
      </c>
      <c r="H101" s="1" t="n">
        <v>51</v>
      </c>
      <c r="I101" s="1" t="str">
        <f aca="false">RIGHT(("0"&amp;C101),2)&amp;RIGHT(("0"&amp;D101),2)&amp;RIGHT(("0"&amp;E101),2)&amp;RIGHT(("0"&amp;F101),2)&amp;RIGHT(("0"&amp;G101),2)&amp;RIGHT(("0"&amp;H101),2)</f>
        <v>142930464851</v>
      </c>
      <c r="J101" s="1" t="n">
        <f aca="false">COUNTIF(I:I,I101)</f>
        <v>1</v>
      </c>
      <c r="K101" s="1" t="n">
        <v>0</v>
      </c>
      <c r="M101" s="1" t="s">
        <v>23</v>
      </c>
      <c r="N101" s="1" t="n">
        <v>56</v>
      </c>
      <c r="O101" s="1" t="s">
        <v>441</v>
      </c>
      <c r="P101" s="1" t="n">
        <v>3600</v>
      </c>
      <c r="Q101" s="1" t="s">
        <v>442</v>
      </c>
      <c r="R101" s="1" t="s">
        <v>443</v>
      </c>
      <c r="S101" s="1" t="s">
        <v>23</v>
      </c>
      <c r="T101" s="1" t="s">
        <v>23</v>
      </c>
      <c r="U101" s="1" t="s">
        <v>23</v>
      </c>
    </row>
    <row r="102" customFormat="false" ht="13.8" hidden="false" customHeight="false" outlineLevel="0" collapsed="false">
      <c r="A102" s="1" t="n">
        <v>101</v>
      </c>
      <c r="B102" s="2" t="s">
        <v>444</v>
      </c>
      <c r="C102" s="1" t="n">
        <v>1</v>
      </c>
      <c r="D102" s="1" t="n">
        <v>18</v>
      </c>
      <c r="E102" s="1" t="n">
        <v>29</v>
      </c>
      <c r="F102" s="1" t="n">
        <v>31</v>
      </c>
      <c r="G102" s="1" t="n">
        <v>37</v>
      </c>
      <c r="H102" s="1" t="n">
        <v>39</v>
      </c>
      <c r="I102" s="1" t="str">
        <f aca="false">RIGHT(("0"&amp;C102),2)&amp;RIGHT(("0"&amp;D102),2)&amp;RIGHT(("0"&amp;E102),2)&amp;RIGHT(("0"&amp;F102),2)&amp;RIGHT(("0"&amp;G102),2)&amp;RIGHT(("0"&amp;H102),2)</f>
        <v>011829313739</v>
      </c>
      <c r="J102" s="1" t="n">
        <f aca="false">COUNTIF(I:I,I102)</f>
        <v>1</v>
      </c>
      <c r="K102" s="1" t="n">
        <v>0</v>
      </c>
      <c r="M102" s="1" t="s">
        <v>23</v>
      </c>
      <c r="N102" s="1" t="n">
        <v>52</v>
      </c>
      <c r="O102" s="1" t="s">
        <v>445</v>
      </c>
      <c r="P102" s="1" t="n">
        <v>4653</v>
      </c>
      <c r="Q102" s="1" t="s">
        <v>446</v>
      </c>
      <c r="R102" s="1" t="s">
        <v>447</v>
      </c>
      <c r="S102" s="1" t="s">
        <v>23</v>
      </c>
      <c r="T102" s="1" t="s">
        <v>23</v>
      </c>
      <c r="U102" s="1" t="s">
        <v>23</v>
      </c>
      <c r="V102" s="1" t="s">
        <v>448</v>
      </c>
    </row>
    <row r="103" customFormat="false" ht="13.8" hidden="false" customHeight="false" outlineLevel="0" collapsed="false">
      <c r="A103" s="1" t="n">
        <v>102</v>
      </c>
      <c r="B103" s="2" t="s">
        <v>449</v>
      </c>
      <c r="C103" s="1" t="n">
        <v>19</v>
      </c>
      <c r="D103" s="1" t="n">
        <v>20</v>
      </c>
      <c r="E103" s="1" t="n">
        <v>37</v>
      </c>
      <c r="F103" s="1" t="n">
        <v>42</v>
      </c>
      <c r="G103" s="1" t="n">
        <v>44</v>
      </c>
      <c r="H103" s="1" t="n">
        <v>56</v>
      </c>
      <c r="I103" s="1" t="str">
        <f aca="false">RIGHT(("0"&amp;C103),2)&amp;RIGHT(("0"&amp;D103),2)&amp;RIGHT(("0"&amp;E103),2)&amp;RIGHT(("0"&amp;F103),2)&amp;RIGHT(("0"&amp;G103),2)&amp;RIGHT(("0"&amp;H103),2)</f>
        <v>192037424456</v>
      </c>
      <c r="J103" s="1" t="n">
        <f aca="false">COUNTIF(I:I,I103)</f>
        <v>1</v>
      </c>
      <c r="K103" s="1" t="n">
        <v>1</v>
      </c>
      <c r="M103" s="1" t="s">
        <v>450</v>
      </c>
      <c r="N103" s="1" t="n">
        <v>73</v>
      </c>
      <c r="O103" s="1" t="s">
        <v>451</v>
      </c>
      <c r="P103" s="1" t="n">
        <v>6197</v>
      </c>
      <c r="Q103" s="1" t="s">
        <v>452</v>
      </c>
      <c r="R103" s="1" t="s">
        <v>23</v>
      </c>
      <c r="S103" s="1" t="s">
        <v>23</v>
      </c>
      <c r="T103" s="1" t="s">
        <v>23</v>
      </c>
      <c r="U103" s="1" t="s">
        <v>23</v>
      </c>
      <c r="V103" s="1" t="s">
        <v>430</v>
      </c>
    </row>
    <row r="104" customFormat="false" ht="13.8" hidden="false" customHeight="false" outlineLevel="0" collapsed="false">
      <c r="A104" s="1" t="n">
        <v>103</v>
      </c>
      <c r="B104" s="2" t="s">
        <v>453</v>
      </c>
      <c r="C104" s="1" t="n">
        <v>1</v>
      </c>
      <c r="D104" s="1" t="n">
        <v>7</v>
      </c>
      <c r="E104" s="1" t="n">
        <v>9</v>
      </c>
      <c r="F104" s="1" t="n">
        <v>49</v>
      </c>
      <c r="G104" s="1" t="n">
        <v>54</v>
      </c>
      <c r="H104" s="1" t="n">
        <v>57</v>
      </c>
      <c r="I104" s="1" t="str">
        <f aca="false">RIGHT(("0"&amp;C104),2)&amp;RIGHT(("0"&amp;D104),2)&amp;RIGHT(("0"&amp;E104),2)&amp;RIGHT(("0"&amp;F104),2)&amp;RIGHT(("0"&amp;G104),2)&amp;RIGHT(("0"&amp;H104),2)</f>
        <v>010709495457</v>
      </c>
      <c r="J104" s="1" t="n">
        <f aca="false">COUNTIF(I:I,I104)</f>
        <v>1</v>
      </c>
      <c r="K104" s="1" t="n">
        <v>1</v>
      </c>
      <c r="M104" s="1" t="s">
        <v>454</v>
      </c>
      <c r="N104" s="1" t="n">
        <v>28</v>
      </c>
      <c r="O104" s="1" t="s">
        <v>455</v>
      </c>
      <c r="P104" s="1" t="n">
        <v>2632</v>
      </c>
      <c r="Q104" s="1" t="s">
        <v>456</v>
      </c>
      <c r="R104" s="1" t="s">
        <v>23</v>
      </c>
      <c r="S104" s="1" t="s">
        <v>23</v>
      </c>
      <c r="T104" s="1" t="s">
        <v>23</v>
      </c>
      <c r="U104" s="1" t="s">
        <v>23</v>
      </c>
      <c r="V104" s="1" t="s">
        <v>457</v>
      </c>
    </row>
    <row r="105" customFormat="false" ht="13.8" hidden="false" customHeight="false" outlineLevel="0" collapsed="false">
      <c r="A105" s="1" t="n">
        <v>104</v>
      </c>
      <c r="B105" s="2" t="s">
        <v>458</v>
      </c>
      <c r="C105" s="1" t="n">
        <v>1</v>
      </c>
      <c r="D105" s="1" t="n">
        <v>4</v>
      </c>
      <c r="E105" s="1" t="n">
        <v>13</v>
      </c>
      <c r="F105" s="1" t="n">
        <v>21</v>
      </c>
      <c r="G105" s="1" t="n">
        <v>38</v>
      </c>
      <c r="H105" s="1" t="n">
        <v>52</v>
      </c>
      <c r="I105" s="1" t="str">
        <f aca="false">RIGHT(("0"&amp;C105),2)&amp;RIGHT(("0"&amp;D105),2)&amp;RIGHT(("0"&amp;E105),2)&amp;RIGHT(("0"&amp;F105),2)&amp;RIGHT(("0"&amp;G105),2)&amp;RIGHT(("0"&amp;H105),2)</f>
        <v>010413213852</v>
      </c>
      <c r="J105" s="1" t="n">
        <f aca="false">COUNTIF(I:I,I105)</f>
        <v>1</v>
      </c>
      <c r="K105" s="1" t="n">
        <v>0</v>
      </c>
      <c r="M105" s="1" t="s">
        <v>23</v>
      </c>
      <c r="N105" s="1" t="n">
        <v>37</v>
      </c>
      <c r="O105" s="1" t="s">
        <v>459</v>
      </c>
      <c r="P105" s="1" t="n">
        <v>2588</v>
      </c>
      <c r="Q105" s="1" t="s">
        <v>460</v>
      </c>
      <c r="R105" s="1" t="s">
        <v>461</v>
      </c>
      <c r="S105" s="1" t="s">
        <v>23</v>
      </c>
      <c r="T105" s="1" t="s">
        <v>23</v>
      </c>
      <c r="U105" s="1" t="s">
        <v>23</v>
      </c>
      <c r="V105" s="1" t="s">
        <v>462</v>
      </c>
    </row>
    <row r="106" customFormat="false" ht="13.8" hidden="false" customHeight="false" outlineLevel="0" collapsed="false">
      <c r="A106" s="1" t="n">
        <v>105</v>
      </c>
      <c r="B106" s="2" t="s">
        <v>463</v>
      </c>
      <c r="C106" s="1" t="n">
        <v>3</v>
      </c>
      <c r="D106" s="1" t="n">
        <v>13</v>
      </c>
      <c r="E106" s="1" t="n">
        <v>31</v>
      </c>
      <c r="F106" s="1" t="n">
        <v>43</v>
      </c>
      <c r="G106" s="1" t="n">
        <v>46</v>
      </c>
      <c r="H106" s="1" t="n">
        <v>49</v>
      </c>
      <c r="I106" s="1" t="str">
        <f aca="false">RIGHT(("0"&amp;C106),2)&amp;RIGHT(("0"&amp;D106),2)&amp;RIGHT(("0"&amp;E106),2)&amp;RIGHT(("0"&amp;F106),2)&amp;RIGHT(("0"&amp;G106),2)&amp;RIGHT(("0"&amp;H106),2)</f>
        <v>031331434649</v>
      </c>
      <c r="J106" s="1" t="n">
        <f aca="false">COUNTIF(I:I,I106)</f>
        <v>1</v>
      </c>
      <c r="K106" s="1" t="n">
        <v>0</v>
      </c>
      <c r="M106" s="1" t="s">
        <v>23</v>
      </c>
      <c r="N106" s="1" t="n">
        <v>55</v>
      </c>
      <c r="O106" s="1" t="s">
        <v>464</v>
      </c>
      <c r="P106" s="1" t="n">
        <v>4875</v>
      </c>
      <c r="Q106" s="1" t="s">
        <v>465</v>
      </c>
      <c r="R106" s="1" t="s">
        <v>466</v>
      </c>
      <c r="S106" s="1" t="s">
        <v>23</v>
      </c>
      <c r="T106" s="1" t="s">
        <v>23</v>
      </c>
      <c r="U106" s="1" t="s">
        <v>23</v>
      </c>
      <c r="V106" s="1" t="s">
        <v>467</v>
      </c>
    </row>
    <row r="107" customFormat="false" ht="13.8" hidden="false" customHeight="false" outlineLevel="0" collapsed="false">
      <c r="A107" s="1" t="n">
        <v>106</v>
      </c>
      <c r="B107" s="2" t="s">
        <v>468</v>
      </c>
      <c r="C107" s="1" t="n">
        <v>5</v>
      </c>
      <c r="D107" s="1" t="n">
        <v>16</v>
      </c>
      <c r="E107" s="1" t="n">
        <v>24</v>
      </c>
      <c r="F107" s="1" t="n">
        <v>35</v>
      </c>
      <c r="G107" s="1" t="n">
        <v>38</v>
      </c>
      <c r="H107" s="1" t="n">
        <v>39</v>
      </c>
      <c r="I107" s="1" t="str">
        <f aca="false">RIGHT(("0"&amp;C107),2)&amp;RIGHT(("0"&amp;D107),2)&amp;RIGHT(("0"&amp;E107),2)&amp;RIGHT(("0"&amp;F107),2)&amp;RIGHT(("0"&amp;G107),2)&amp;RIGHT(("0"&amp;H107),2)</f>
        <v>051624353839</v>
      </c>
      <c r="J107" s="1" t="n">
        <f aca="false">COUNTIF(I:I,I107)</f>
        <v>1</v>
      </c>
      <c r="K107" s="1" t="n">
        <v>0</v>
      </c>
      <c r="M107" s="1" t="s">
        <v>23</v>
      </c>
      <c r="N107" s="1" t="n">
        <v>94</v>
      </c>
      <c r="O107" s="1" t="s">
        <v>469</v>
      </c>
      <c r="P107" s="1" t="n">
        <v>5390</v>
      </c>
      <c r="Q107" s="1" t="s">
        <v>470</v>
      </c>
      <c r="R107" s="1" t="s">
        <v>471</v>
      </c>
      <c r="S107" s="1" t="s">
        <v>472</v>
      </c>
      <c r="T107" s="1" t="s">
        <v>473</v>
      </c>
      <c r="U107" s="1" t="s">
        <v>23</v>
      </c>
    </row>
    <row r="108" customFormat="false" ht="13.8" hidden="false" customHeight="false" outlineLevel="0" collapsed="false">
      <c r="A108" s="1" t="n">
        <v>107</v>
      </c>
      <c r="B108" s="2" t="s">
        <v>474</v>
      </c>
      <c r="C108" s="1" t="n">
        <v>2</v>
      </c>
      <c r="D108" s="1" t="n">
        <v>4</v>
      </c>
      <c r="E108" s="1" t="n">
        <v>16</v>
      </c>
      <c r="F108" s="1" t="n">
        <v>24</v>
      </c>
      <c r="G108" s="1" t="n">
        <v>51</v>
      </c>
      <c r="H108" s="1" t="n">
        <v>52</v>
      </c>
      <c r="I108" s="1" t="str">
        <f aca="false">RIGHT(("0"&amp;C108),2)&amp;RIGHT(("0"&amp;D108),2)&amp;RIGHT(("0"&amp;E108),2)&amp;RIGHT(("0"&amp;F108),2)&amp;RIGHT(("0"&amp;G108),2)&amp;RIGHT(("0"&amp;H108),2)</f>
        <v>020416245152</v>
      </c>
      <c r="J108" s="1" t="n">
        <f aca="false">COUNTIF(I:I,I108)</f>
        <v>1</v>
      </c>
      <c r="K108" s="1" t="n">
        <v>0</v>
      </c>
      <c r="M108" s="1" t="s">
        <v>23</v>
      </c>
      <c r="N108" s="1" t="n">
        <v>35</v>
      </c>
      <c r="O108" s="1" t="s">
        <v>475</v>
      </c>
      <c r="P108" s="1" t="n">
        <v>3554</v>
      </c>
      <c r="Q108" s="1" t="s">
        <v>476</v>
      </c>
      <c r="R108" s="1" t="s">
        <v>477</v>
      </c>
      <c r="S108" s="1" t="s">
        <v>23</v>
      </c>
      <c r="T108" s="1" t="s">
        <v>23</v>
      </c>
      <c r="U108" s="1" t="s">
        <v>23</v>
      </c>
      <c r="V108" s="1" t="s">
        <v>439</v>
      </c>
    </row>
    <row r="109" customFormat="false" ht="13.8" hidden="false" customHeight="false" outlineLevel="0" collapsed="false">
      <c r="A109" s="1" t="n">
        <v>108</v>
      </c>
      <c r="B109" s="2" t="s">
        <v>478</v>
      </c>
      <c r="C109" s="1" t="n">
        <v>21</v>
      </c>
      <c r="D109" s="1" t="n">
        <v>24</v>
      </c>
      <c r="E109" s="1" t="n">
        <v>29</v>
      </c>
      <c r="F109" s="1" t="n">
        <v>34</v>
      </c>
      <c r="G109" s="1" t="n">
        <v>59</v>
      </c>
      <c r="H109" s="1" t="n">
        <v>60</v>
      </c>
      <c r="I109" s="1" t="str">
        <f aca="false">RIGHT(("0"&amp;C109),2)&amp;RIGHT(("0"&amp;D109),2)&amp;RIGHT(("0"&amp;E109),2)&amp;RIGHT(("0"&amp;F109),2)&amp;RIGHT(("0"&amp;G109),2)&amp;RIGHT(("0"&amp;H109),2)</f>
        <v>212429345960</v>
      </c>
      <c r="J109" s="1" t="n">
        <f aca="false">COUNTIF(I:I,I109)</f>
        <v>1</v>
      </c>
      <c r="K109" s="1" t="n">
        <v>0</v>
      </c>
      <c r="M109" s="1" t="s">
        <v>23</v>
      </c>
      <c r="N109" s="1" t="n">
        <v>35</v>
      </c>
      <c r="O109" s="1" t="s">
        <v>479</v>
      </c>
      <c r="P109" s="1" t="n">
        <v>2453</v>
      </c>
      <c r="Q109" s="1" t="s">
        <v>480</v>
      </c>
      <c r="R109" s="1" t="s">
        <v>481</v>
      </c>
      <c r="S109" s="1" t="s">
        <v>23</v>
      </c>
      <c r="T109" s="1" t="s">
        <v>23</v>
      </c>
      <c r="U109" s="1" t="s">
        <v>23</v>
      </c>
    </row>
    <row r="110" customFormat="false" ht="13.8" hidden="false" customHeight="false" outlineLevel="0" collapsed="false">
      <c r="A110" s="1" t="n">
        <v>109</v>
      </c>
      <c r="B110" s="2" t="s">
        <v>482</v>
      </c>
      <c r="C110" s="1" t="n">
        <v>1</v>
      </c>
      <c r="D110" s="1" t="n">
        <v>13</v>
      </c>
      <c r="E110" s="1" t="n">
        <v>44</v>
      </c>
      <c r="F110" s="1" t="n">
        <v>48</v>
      </c>
      <c r="G110" s="1" t="n">
        <v>49</v>
      </c>
      <c r="H110" s="1" t="n">
        <v>54</v>
      </c>
      <c r="I110" s="1" t="str">
        <f aca="false">RIGHT(("0"&amp;C110),2)&amp;RIGHT(("0"&amp;D110),2)&amp;RIGHT(("0"&amp;E110),2)&amp;RIGHT(("0"&amp;F110),2)&amp;RIGHT(("0"&amp;G110),2)&amp;RIGHT(("0"&amp;H110),2)</f>
        <v>011344484954</v>
      </c>
      <c r="J110" s="1" t="n">
        <f aca="false">COUNTIF(I:I,I110)</f>
        <v>1</v>
      </c>
      <c r="K110" s="1" t="n">
        <v>0</v>
      </c>
      <c r="M110" s="1" t="s">
        <v>23</v>
      </c>
      <c r="N110" s="1" t="n">
        <v>39</v>
      </c>
      <c r="O110" s="1" t="s">
        <v>483</v>
      </c>
      <c r="P110" s="1" t="n">
        <v>3881</v>
      </c>
      <c r="Q110" s="1" t="s">
        <v>484</v>
      </c>
      <c r="R110" s="1" t="s">
        <v>485</v>
      </c>
      <c r="S110" s="1" t="s">
        <v>23</v>
      </c>
      <c r="T110" s="1" t="s">
        <v>23</v>
      </c>
      <c r="U110" s="1" t="s">
        <v>23</v>
      </c>
      <c r="V110" s="1" t="s">
        <v>467</v>
      </c>
    </row>
    <row r="111" customFormat="false" ht="13.8" hidden="false" customHeight="false" outlineLevel="0" collapsed="false">
      <c r="A111" s="1" t="n">
        <v>110</v>
      </c>
      <c r="B111" s="2" t="s">
        <v>486</v>
      </c>
      <c r="C111" s="1" t="n">
        <v>18</v>
      </c>
      <c r="D111" s="1" t="n">
        <v>31</v>
      </c>
      <c r="E111" s="1" t="n">
        <v>43</v>
      </c>
      <c r="F111" s="1" t="n">
        <v>52</v>
      </c>
      <c r="G111" s="1" t="n">
        <v>57</v>
      </c>
      <c r="H111" s="1" t="n">
        <v>58</v>
      </c>
      <c r="I111" s="1" t="str">
        <f aca="false">RIGHT(("0"&amp;C111),2)&amp;RIGHT(("0"&amp;D111),2)&amp;RIGHT(("0"&amp;E111),2)&amp;RIGHT(("0"&amp;F111),2)&amp;RIGHT(("0"&amp;G111),2)&amp;RIGHT(("0"&amp;H111),2)</f>
        <v>183143525758</v>
      </c>
      <c r="J111" s="1" t="n">
        <f aca="false">COUNTIF(I:I,I111)</f>
        <v>1</v>
      </c>
      <c r="K111" s="1" t="n">
        <v>0</v>
      </c>
      <c r="M111" s="1" t="s">
        <v>23</v>
      </c>
      <c r="N111" s="1" t="n">
        <v>35</v>
      </c>
      <c r="O111" s="1" t="s">
        <v>487</v>
      </c>
      <c r="P111" s="1" t="n">
        <v>3212</v>
      </c>
      <c r="Q111" s="1" t="s">
        <v>488</v>
      </c>
      <c r="R111" s="1" t="s">
        <v>489</v>
      </c>
      <c r="S111" s="1" t="s">
        <v>23</v>
      </c>
      <c r="T111" s="1" t="s">
        <v>23</v>
      </c>
      <c r="U111" s="1" t="s">
        <v>23</v>
      </c>
    </row>
    <row r="112" customFormat="false" ht="13.8" hidden="false" customHeight="false" outlineLevel="0" collapsed="false">
      <c r="A112" s="1" t="n">
        <v>111</v>
      </c>
      <c r="B112" s="2" t="s">
        <v>490</v>
      </c>
      <c r="C112" s="1" t="n">
        <v>4</v>
      </c>
      <c r="D112" s="1" t="n">
        <v>22</v>
      </c>
      <c r="E112" s="1" t="n">
        <v>25</v>
      </c>
      <c r="F112" s="1" t="n">
        <v>32</v>
      </c>
      <c r="G112" s="1" t="n">
        <v>33</v>
      </c>
      <c r="H112" s="1" t="n">
        <v>52</v>
      </c>
      <c r="I112" s="1" t="str">
        <f aca="false">RIGHT(("0"&amp;C112),2)&amp;RIGHT(("0"&amp;D112),2)&amp;RIGHT(("0"&amp;E112),2)&amp;RIGHT(("0"&amp;F112),2)&amp;RIGHT(("0"&amp;G112),2)&amp;RIGHT(("0"&amp;H112),2)</f>
        <v>042225323352</v>
      </c>
      <c r="J112" s="1" t="n">
        <f aca="false">COUNTIF(I:I,I112)</f>
        <v>1</v>
      </c>
      <c r="K112" s="1" t="n">
        <v>0</v>
      </c>
      <c r="M112" s="1" t="s">
        <v>23</v>
      </c>
      <c r="N112" s="1" t="n">
        <v>68</v>
      </c>
      <c r="O112" s="1" t="s">
        <v>491</v>
      </c>
      <c r="P112" s="1" t="n">
        <v>6109</v>
      </c>
      <c r="Q112" s="1" t="s">
        <v>492</v>
      </c>
      <c r="R112" s="1" t="s">
        <v>493</v>
      </c>
      <c r="S112" s="1" t="s">
        <v>23</v>
      </c>
      <c r="T112" s="1" t="s">
        <v>23</v>
      </c>
      <c r="U112" s="1" t="s">
        <v>23</v>
      </c>
    </row>
    <row r="113" customFormat="false" ht="13.8" hidden="false" customHeight="false" outlineLevel="0" collapsed="false">
      <c r="A113" s="1" t="n">
        <v>112</v>
      </c>
      <c r="B113" s="2" t="s">
        <v>494</v>
      </c>
      <c r="C113" s="1" t="n">
        <v>12</v>
      </c>
      <c r="D113" s="1" t="n">
        <v>20</v>
      </c>
      <c r="E113" s="1" t="n">
        <v>34</v>
      </c>
      <c r="F113" s="1" t="n">
        <v>37</v>
      </c>
      <c r="G113" s="1" t="n">
        <v>42</v>
      </c>
      <c r="H113" s="1" t="n">
        <v>43</v>
      </c>
      <c r="I113" s="1" t="str">
        <f aca="false">RIGHT(("0"&amp;C113),2)&amp;RIGHT(("0"&amp;D113),2)&amp;RIGHT(("0"&amp;E113),2)&amp;RIGHT(("0"&amp;F113),2)&amp;RIGHT(("0"&amp;G113),2)&amp;RIGHT(("0"&amp;H113),2)</f>
        <v>122034374243</v>
      </c>
      <c r="J113" s="1" t="n">
        <f aca="false">COUNTIF(I:I,I113)</f>
        <v>1</v>
      </c>
      <c r="K113" s="1" t="n">
        <v>1</v>
      </c>
      <c r="M113" s="1" t="s">
        <v>495</v>
      </c>
      <c r="N113" s="1" t="n">
        <v>137</v>
      </c>
      <c r="O113" s="1" t="s">
        <v>496</v>
      </c>
      <c r="P113" s="1" t="n">
        <v>8340</v>
      </c>
      <c r="Q113" s="1" t="s">
        <v>497</v>
      </c>
      <c r="R113" s="1" t="s">
        <v>23</v>
      </c>
      <c r="S113" s="1" t="s">
        <v>23</v>
      </c>
      <c r="T113" s="1" t="s">
        <v>23</v>
      </c>
      <c r="U113" s="1" t="s">
        <v>23</v>
      </c>
      <c r="V113" s="1" t="s">
        <v>498</v>
      </c>
    </row>
    <row r="114" customFormat="false" ht="13.8" hidden="false" customHeight="false" outlineLevel="0" collapsed="false">
      <c r="A114" s="1" t="n">
        <v>113</v>
      </c>
      <c r="B114" s="2" t="s">
        <v>499</v>
      </c>
      <c r="C114" s="1" t="n">
        <v>7</v>
      </c>
      <c r="D114" s="1" t="n">
        <v>26</v>
      </c>
      <c r="E114" s="1" t="n">
        <v>28</v>
      </c>
      <c r="F114" s="1" t="n">
        <v>34</v>
      </c>
      <c r="G114" s="1" t="n">
        <v>54</v>
      </c>
      <c r="H114" s="1" t="n">
        <v>55</v>
      </c>
      <c r="I114" s="1" t="str">
        <f aca="false">RIGHT(("0"&amp;C114),2)&amp;RIGHT(("0"&amp;D114),2)&amp;RIGHT(("0"&amp;E114),2)&amp;RIGHT(("0"&amp;F114),2)&amp;RIGHT(("0"&amp;G114),2)&amp;RIGHT(("0"&amp;H114),2)</f>
        <v>072628345455</v>
      </c>
      <c r="J114" s="1" t="n">
        <f aca="false">COUNTIF(I:I,I114)</f>
        <v>1</v>
      </c>
      <c r="K114" s="1" t="n">
        <v>0</v>
      </c>
      <c r="M114" s="1" t="s">
        <v>23</v>
      </c>
      <c r="N114" s="1" t="n">
        <v>38</v>
      </c>
      <c r="O114" s="1" t="s">
        <v>500</v>
      </c>
      <c r="P114" s="1" t="n">
        <v>2572</v>
      </c>
      <c r="Q114" s="1" t="s">
        <v>501</v>
      </c>
      <c r="R114" s="1" t="s">
        <v>502</v>
      </c>
      <c r="S114" s="1" t="s">
        <v>23</v>
      </c>
      <c r="T114" s="1" t="s">
        <v>23</v>
      </c>
      <c r="U114" s="1" t="s">
        <v>23</v>
      </c>
    </row>
    <row r="115" customFormat="false" ht="13.8" hidden="false" customHeight="false" outlineLevel="0" collapsed="false">
      <c r="A115" s="1" t="n">
        <v>114</v>
      </c>
      <c r="B115" s="2" t="s">
        <v>503</v>
      </c>
      <c r="C115" s="1" t="n">
        <v>6</v>
      </c>
      <c r="D115" s="1" t="n">
        <v>12</v>
      </c>
      <c r="E115" s="1" t="n">
        <v>18</v>
      </c>
      <c r="F115" s="1" t="n">
        <v>37</v>
      </c>
      <c r="G115" s="1" t="n">
        <v>47</v>
      </c>
      <c r="H115" s="1" t="n">
        <v>54</v>
      </c>
      <c r="I115" s="1" t="str">
        <f aca="false">RIGHT(("0"&amp;C115),2)&amp;RIGHT(("0"&amp;D115),2)&amp;RIGHT(("0"&amp;E115),2)&amp;RIGHT(("0"&amp;F115),2)&amp;RIGHT(("0"&amp;G115),2)&amp;RIGHT(("0"&amp;H115),2)</f>
        <v>061218374754</v>
      </c>
      <c r="J115" s="1" t="n">
        <f aca="false">COUNTIF(I:I,I115)</f>
        <v>1</v>
      </c>
      <c r="K115" s="1" t="n">
        <v>0</v>
      </c>
      <c r="M115" s="1" t="s">
        <v>23</v>
      </c>
      <c r="N115" s="1" t="n">
        <v>71</v>
      </c>
      <c r="O115" s="1" t="s">
        <v>504</v>
      </c>
      <c r="P115" s="1" t="n">
        <v>4908</v>
      </c>
      <c r="Q115" s="1" t="s">
        <v>505</v>
      </c>
      <c r="R115" s="1" t="s">
        <v>506</v>
      </c>
      <c r="S115" s="1" t="s">
        <v>23</v>
      </c>
      <c r="T115" s="1" t="s">
        <v>23</v>
      </c>
      <c r="U115" s="1" t="s">
        <v>23</v>
      </c>
    </row>
    <row r="116" customFormat="false" ht="13.8" hidden="false" customHeight="false" outlineLevel="0" collapsed="false">
      <c r="A116" s="1" t="n">
        <v>115</v>
      </c>
      <c r="B116" s="2" t="s">
        <v>507</v>
      </c>
      <c r="C116" s="1" t="n">
        <v>4</v>
      </c>
      <c r="D116" s="1" t="n">
        <v>6</v>
      </c>
      <c r="E116" s="1" t="n">
        <v>14</v>
      </c>
      <c r="F116" s="1" t="n">
        <v>20</v>
      </c>
      <c r="G116" s="1" t="n">
        <v>24</v>
      </c>
      <c r="H116" s="1" t="n">
        <v>38</v>
      </c>
      <c r="I116" s="1" t="str">
        <f aca="false">RIGHT(("0"&amp;C116),2)&amp;RIGHT(("0"&amp;D116),2)&amp;RIGHT(("0"&amp;E116),2)&amp;RIGHT(("0"&amp;F116),2)&amp;RIGHT(("0"&amp;G116),2)&amp;RIGHT(("0"&amp;H116),2)</f>
        <v>040614202438</v>
      </c>
      <c r="J116" s="1" t="n">
        <f aca="false">COUNTIF(I:I,I116)</f>
        <v>1</v>
      </c>
      <c r="K116" s="1" t="n">
        <v>0</v>
      </c>
      <c r="M116" s="1" t="s">
        <v>23</v>
      </c>
      <c r="N116" s="1" t="n">
        <v>78</v>
      </c>
      <c r="O116" s="1" t="s">
        <v>508</v>
      </c>
      <c r="P116" s="1" t="n">
        <v>5091</v>
      </c>
      <c r="Q116" s="1" t="s">
        <v>509</v>
      </c>
      <c r="R116" s="1" t="s">
        <v>510</v>
      </c>
      <c r="S116" s="1" t="s">
        <v>23</v>
      </c>
      <c r="T116" s="1" t="s">
        <v>23</v>
      </c>
      <c r="U116" s="1" t="s">
        <v>23</v>
      </c>
      <c r="V116" s="1" t="s">
        <v>511</v>
      </c>
    </row>
    <row r="117" customFormat="false" ht="13.8" hidden="false" customHeight="false" outlineLevel="0" collapsed="false">
      <c r="A117" s="1" t="n">
        <v>116</v>
      </c>
      <c r="B117" s="2" t="s">
        <v>512</v>
      </c>
      <c r="C117" s="1" t="n">
        <v>5</v>
      </c>
      <c r="D117" s="1" t="n">
        <v>13</v>
      </c>
      <c r="E117" s="1" t="n">
        <v>32</v>
      </c>
      <c r="F117" s="1" t="n">
        <v>36</v>
      </c>
      <c r="G117" s="1" t="n">
        <v>42</v>
      </c>
      <c r="H117" s="1" t="n">
        <v>51</v>
      </c>
      <c r="I117" s="1" t="str">
        <f aca="false">RIGHT(("0"&amp;C117),2)&amp;RIGHT(("0"&amp;D117),2)&amp;RIGHT(("0"&amp;E117),2)&amp;RIGHT(("0"&amp;F117),2)&amp;RIGHT(("0"&amp;G117),2)&amp;RIGHT(("0"&amp;H117),2)</f>
        <v>051332364251</v>
      </c>
      <c r="J117" s="1" t="n">
        <f aca="false">COUNTIF(I:I,I117)</f>
        <v>1</v>
      </c>
      <c r="K117" s="1" t="n">
        <v>0</v>
      </c>
      <c r="M117" s="1" t="s">
        <v>23</v>
      </c>
      <c r="N117" s="1" t="n">
        <v>64</v>
      </c>
      <c r="O117" s="1" t="s">
        <v>513</v>
      </c>
      <c r="P117" s="1" t="n">
        <v>5270</v>
      </c>
      <c r="Q117" s="1" t="s">
        <v>514</v>
      </c>
      <c r="R117" s="1" t="s">
        <v>515</v>
      </c>
      <c r="S117" s="1" t="s">
        <v>516</v>
      </c>
      <c r="T117" s="1" t="s">
        <v>517</v>
      </c>
      <c r="U117" s="1" t="s">
        <v>23</v>
      </c>
    </row>
    <row r="118" customFormat="false" ht="13.8" hidden="false" customHeight="false" outlineLevel="0" collapsed="false">
      <c r="A118" s="1" t="n">
        <v>117</v>
      </c>
      <c r="B118" s="2" t="s">
        <v>518</v>
      </c>
      <c r="C118" s="1" t="n">
        <v>20</v>
      </c>
      <c r="D118" s="1" t="n">
        <v>25</v>
      </c>
      <c r="E118" s="1" t="n">
        <v>27</v>
      </c>
      <c r="F118" s="1" t="n">
        <v>33</v>
      </c>
      <c r="G118" s="1" t="n">
        <v>42</v>
      </c>
      <c r="H118" s="1" t="n">
        <v>53</v>
      </c>
      <c r="I118" s="1" t="str">
        <f aca="false">RIGHT(("0"&amp;C118),2)&amp;RIGHT(("0"&amp;D118),2)&amp;RIGHT(("0"&amp;E118),2)&amp;RIGHT(("0"&amp;F118),2)&amp;RIGHT(("0"&amp;G118),2)&amp;RIGHT(("0"&amp;H118),2)</f>
        <v>202527334253</v>
      </c>
      <c r="J118" s="1" t="n">
        <f aca="false">COUNTIF(I:I,I118)</f>
        <v>1</v>
      </c>
      <c r="K118" s="1" t="n">
        <v>0</v>
      </c>
      <c r="M118" s="1" t="s">
        <v>23</v>
      </c>
      <c r="N118" s="1" t="n">
        <v>36</v>
      </c>
      <c r="O118" s="1" t="s">
        <v>519</v>
      </c>
      <c r="P118" s="1" t="n">
        <v>3822</v>
      </c>
      <c r="Q118" s="1" t="s">
        <v>520</v>
      </c>
      <c r="R118" s="1" t="s">
        <v>521</v>
      </c>
      <c r="S118" s="1" t="s">
        <v>23</v>
      </c>
      <c r="T118" s="1" t="s">
        <v>23</v>
      </c>
      <c r="U118" s="1" t="s">
        <v>23</v>
      </c>
    </row>
    <row r="119" customFormat="false" ht="13.8" hidden="false" customHeight="false" outlineLevel="0" collapsed="false">
      <c r="A119" s="1" t="n">
        <v>118</v>
      </c>
      <c r="B119" s="2" t="s">
        <v>522</v>
      </c>
      <c r="C119" s="1" t="n">
        <v>9</v>
      </c>
      <c r="D119" s="1" t="n">
        <v>22</v>
      </c>
      <c r="E119" s="1" t="n">
        <v>25</v>
      </c>
      <c r="F119" s="1" t="n">
        <v>37</v>
      </c>
      <c r="G119" s="1" t="n">
        <v>56</v>
      </c>
      <c r="H119" s="1" t="n">
        <v>57</v>
      </c>
      <c r="I119" s="1" t="str">
        <f aca="false">RIGHT(("0"&amp;C119),2)&amp;RIGHT(("0"&amp;D119),2)&amp;RIGHT(("0"&amp;E119),2)&amp;RIGHT(("0"&amp;F119),2)&amp;RIGHT(("0"&amp;G119),2)&amp;RIGHT(("0"&amp;H119),2)</f>
        <v>092225375657</v>
      </c>
      <c r="J119" s="1" t="n">
        <f aca="false">COUNTIF(I:I,I119)</f>
        <v>1</v>
      </c>
      <c r="K119" s="1" t="n">
        <v>0</v>
      </c>
      <c r="M119" s="1" t="s">
        <v>23</v>
      </c>
      <c r="N119" s="1" t="n">
        <v>53</v>
      </c>
      <c r="O119" s="1" t="s">
        <v>523</v>
      </c>
      <c r="P119" s="1" t="n">
        <v>4342</v>
      </c>
      <c r="Q119" s="1" t="s">
        <v>524</v>
      </c>
      <c r="R119" s="1" t="s">
        <v>525</v>
      </c>
      <c r="S119" s="1" t="s">
        <v>23</v>
      </c>
      <c r="T119" s="1" t="s">
        <v>23</v>
      </c>
      <c r="U119" s="1" t="s">
        <v>23</v>
      </c>
      <c r="V119" s="1" t="s">
        <v>467</v>
      </c>
    </row>
    <row r="120" customFormat="false" ht="13.8" hidden="false" customHeight="false" outlineLevel="0" collapsed="false">
      <c r="A120" s="1" t="n">
        <v>119</v>
      </c>
      <c r="B120" s="2" t="s">
        <v>526</v>
      </c>
      <c r="C120" s="1" t="n">
        <v>1</v>
      </c>
      <c r="D120" s="1" t="n">
        <v>21</v>
      </c>
      <c r="E120" s="1" t="n">
        <v>36</v>
      </c>
      <c r="F120" s="1" t="n">
        <v>38</v>
      </c>
      <c r="G120" s="1" t="n">
        <v>47</v>
      </c>
      <c r="H120" s="1" t="n">
        <v>50</v>
      </c>
      <c r="I120" s="1" t="str">
        <f aca="false">RIGHT(("0"&amp;C120),2)&amp;RIGHT(("0"&amp;D120),2)&amp;RIGHT(("0"&amp;E120),2)&amp;RIGHT(("0"&amp;F120),2)&amp;RIGHT(("0"&amp;G120),2)&amp;RIGHT(("0"&amp;H120),2)</f>
        <v>012136384750</v>
      </c>
      <c r="J120" s="1" t="n">
        <f aca="false">COUNTIF(I:I,I120)</f>
        <v>1</v>
      </c>
      <c r="K120" s="1" t="n">
        <v>0</v>
      </c>
      <c r="M120" s="1" t="s">
        <v>23</v>
      </c>
      <c r="N120" s="1" t="n">
        <v>21</v>
      </c>
      <c r="O120" s="1" t="s">
        <v>527</v>
      </c>
      <c r="P120" s="1" t="n">
        <v>2691</v>
      </c>
      <c r="Q120" s="1" t="s">
        <v>528</v>
      </c>
      <c r="R120" s="1" t="s">
        <v>529</v>
      </c>
      <c r="S120" s="1" t="s">
        <v>23</v>
      </c>
      <c r="T120" s="1" t="s">
        <v>23</v>
      </c>
      <c r="U120" s="1" t="s">
        <v>23</v>
      </c>
    </row>
    <row r="121" customFormat="false" ht="13.8" hidden="false" customHeight="false" outlineLevel="0" collapsed="false">
      <c r="A121" s="1" t="n">
        <v>120</v>
      </c>
      <c r="B121" s="2" t="s">
        <v>530</v>
      </c>
      <c r="C121" s="1" t="n">
        <v>3</v>
      </c>
      <c r="D121" s="1" t="n">
        <v>16</v>
      </c>
      <c r="E121" s="1" t="n">
        <v>27</v>
      </c>
      <c r="F121" s="1" t="n">
        <v>40</v>
      </c>
      <c r="G121" s="1" t="n">
        <v>45</v>
      </c>
      <c r="H121" s="1" t="n">
        <v>46</v>
      </c>
      <c r="I121" s="1" t="str">
        <f aca="false">RIGHT(("0"&amp;C121),2)&amp;RIGHT(("0"&amp;D121),2)&amp;RIGHT(("0"&amp;E121),2)&amp;RIGHT(("0"&amp;F121),2)&amp;RIGHT(("0"&amp;G121),2)&amp;RIGHT(("0"&amp;H121),2)</f>
        <v>031627404546</v>
      </c>
      <c r="J121" s="1" t="n">
        <f aca="false">COUNTIF(I:I,I121)</f>
        <v>1</v>
      </c>
      <c r="K121" s="1" t="n">
        <v>0</v>
      </c>
      <c r="M121" s="1" t="s">
        <v>23</v>
      </c>
      <c r="N121" s="1" t="n">
        <v>92</v>
      </c>
      <c r="O121" s="1" t="s">
        <v>531</v>
      </c>
      <c r="P121" s="1" t="n">
        <v>7073</v>
      </c>
      <c r="Q121" s="1" t="s">
        <v>532</v>
      </c>
      <c r="R121" s="1" t="s">
        <v>533</v>
      </c>
      <c r="S121" s="1" t="s">
        <v>23</v>
      </c>
      <c r="T121" s="1" t="s">
        <v>23</v>
      </c>
      <c r="U121" s="1" t="s">
        <v>23</v>
      </c>
    </row>
    <row r="122" customFormat="false" ht="13.8" hidden="false" customHeight="false" outlineLevel="0" collapsed="false">
      <c r="A122" s="1" t="n">
        <v>121</v>
      </c>
      <c r="B122" s="2" t="s">
        <v>534</v>
      </c>
      <c r="C122" s="1" t="n">
        <v>2</v>
      </c>
      <c r="D122" s="1" t="n">
        <v>29</v>
      </c>
      <c r="E122" s="1" t="n">
        <v>41</v>
      </c>
      <c r="F122" s="1" t="n">
        <v>44</v>
      </c>
      <c r="G122" s="1" t="n">
        <v>53</v>
      </c>
      <c r="H122" s="1" t="n">
        <v>55</v>
      </c>
      <c r="I122" s="1" t="str">
        <f aca="false">RIGHT(("0"&amp;C122),2)&amp;RIGHT(("0"&amp;D122),2)&amp;RIGHT(("0"&amp;E122),2)&amp;RIGHT(("0"&amp;F122),2)&amp;RIGHT(("0"&amp;G122),2)&amp;RIGHT(("0"&amp;H122),2)</f>
        <v>022941445355</v>
      </c>
      <c r="J122" s="1" t="n">
        <f aca="false">COUNTIF(I:I,I122)</f>
        <v>1</v>
      </c>
      <c r="K122" s="1" t="n">
        <v>0</v>
      </c>
      <c r="M122" s="1" t="s">
        <v>23</v>
      </c>
      <c r="N122" s="1" t="n">
        <v>45</v>
      </c>
      <c r="O122" s="1" t="s">
        <v>535</v>
      </c>
      <c r="P122" s="1" t="n">
        <v>4554</v>
      </c>
      <c r="Q122" s="1" t="s">
        <v>536</v>
      </c>
      <c r="R122" s="1" t="s">
        <v>537</v>
      </c>
      <c r="S122" s="1" t="s">
        <v>23</v>
      </c>
      <c r="T122" s="1" t="s">
        <v>23</v>
      </c>
      <c r="U122" s="1" t="s">
        <v>23</v>
      </c>
      <c r="V122" s="1" t="s">
        <v>467</v>
      </c>
    </row>
    <row r="123" customFormat="false" ht="13.8" hidden="false" customHeight="false" outlineLevel="0" collapsed="false">
      <c r="A123" s="1" t="n">
        <v>122</v>
      </c>
      <c r="B123" s="2" t="s">
        <v>538</v>
      </c>
      <c r="C123" s="1" t="n">
        <v>11</v>
      </c>
      <c r="D123" s="1" t="n">
        <v>17</v>
      </c>
      <c r="E123" s="1" t="n">
        <v>20</v>
      </c>
      <c r="F123" s="1" t="n">
        <v>39</v>
      </c>
      <c r="G123" s="1" t="n">
        <v>43</v>
      </c>
      <c r="H123" s="1" t="n">
        <v>53</v>
      </c>
      <c r="I123" s="1" t="str">
        <f aca="false">RIGHT(("0"&amp;C123),2)&amp;RIGHT(("0"&amp;D123),2)&amp;RIGHT(("0"&amp;E123),2)&amp;RIGHT(("0"&amp;F123),2)&amp;RIGHT(("0"&amp;G123),2)&amp;RIGHT(("0"&amp;H123),2)</f>
        <v>111720394353</v>
      </c>
      <c r="J123" s="1" t="n">
        <f aca="false">COUNTIF(I:I,I123)</f>
        <v>1</v>
      </c>
      <c r="K123" s="1" t="n">
        <v>0</v>
      </c>
      <c r="M123" s="1" t="s">
        <v>23</v>
      </c>
      <c r="N123" s="1" t="n">
        <v>83</v>
      </c>
      <c r="O123" s="1" t="s">
        <v>539</v>
      </c>
      <c r="P123" s="1" t="n">
        <v>7203</v>
      </c>
      <c r="Q123" s="1" t="s">
        <v>540</v>
      </c>
      <c r="R123" s="1" t="s">
        <v>541</v>
      </c>
      <c r="S123" s="1" t="s">
        <v>23</v>
      </c>
      <c r="T123" s="1" t="s">
        <v>23</v>
      </c>
      <c r="U123" s="1" t="s">
        <v>23</v>
      </c>
    </row>
    <row r="124" customFormat="false" ht="13.8" hidden="false" customHeight="false" outlineLevel="0" collapsed="false">
      <c r="A124" s="1" t="n">
        <v>123</v>
      </c>
      <c r="B124" s="2" t="s">
        <v>542</v>
      </c>
      <c r="C124" s="1" t="n">
        <v>13</v>
      </c>
      <c r="D124" s="1" t="n">
        <v>14</v>
      </c>
      <c r="E124" s="1" t="n">
        <v>16</v>
      </c>
      <c r="F124" s="1" t="n">
        <v>26</v>
      </c>
      <c r="G124" s="1" t="n">
        <v>32</v>
      </c>
      <c r="H124" s="1" t="n">
        <v>42</v>
      </c>
      <c r="I124" s="1" t="str">
        <f aca="false">RIGHT(("0"&amp;C124),2)&amp;RIGHT(("0"&amp;D124),2)&amp;RIGHT(("0"&amp;E124),2)&amp;RIGHT(("0"&amp;F124),2)&amp;RIGHT(("0"&amp;G124),2)&amp;RIGHT(("0"&amp;H124),2)</f>
        <v>131416263242</v>
      </c>
      <c r="J124" s="1" t="n">
        <f aca="false">COUNTIF(I:I,I124)</f>
        <v>1</v>
      </c>
      <c r="K124" s="1" t="n">
        <v>0</v>
      </c>
      <c r="M124" s="1" t="s">
        <v>23</v>
      </c>
      <c r="N124" s="1" t="n">
        <v>176</v>
      </c>
      <c r="O124" s="1" t="s">
        <v>543</v>
      </c>
      <c r="P124" s="1" t="n">
        <v>13159</v>
      </c>
      <c r="Q124" s="1" t="s">
        <v>544</v>
      </c>
      <c r="R124" s="1" t="s">
        <v>545</v>
      </c>
      <c r="S124" s="1" t="s">
        <v>23</v>
      </c>
      <c r="T124" s="1" t="s">
        <v>23</v>
      </c>
      <c r="U124" s="1" t="s">
        <v>23</v>
      </c>
      <c r="V124" s="1" t="s">
        <v>546</v>
      </c>
    </row>
    <row r="125" customFormat="false" ht="13.8" hidden="false" customHeight="false" outlineLevel="0" collapsed="false">
      <c r="A125" s="1" t="n">
        <v>124</v>
      </c>
      <c r="B125" s="2" t="s">
        <v>547</v>
      </c>
      <c r="C125" s="1" t="n">
        <v>5</v>
      </c>
      <c r="D125" s="1" t="n">
        <v>15</v>
      </c>
      <c r="E125" s="1" t="n">
        <v>34</v>
      </c>
      <c r="F125" s="1" t="n">
        <v>41</v>
      </c>
      <c r="G125" s="1" t="n">
        <v>52</v>
      </c>
      <c r="H125" s="1" t="n">
        <v>57</v>
      </c>
      <c r="I125" s="1" t="str">
        <f aca="false">RIGHT(("0"&amp;C125),2)&amp;RIGHT(("0"&amp;D125),2)&amp;RIGHT(("0"&amp;E125),2)&amp;RIGHT(("0"&amp;F125),2)&amp;RIGHT(("0"&amp;G125),2)&amp;RIGHT(("0"&amp;H125),2)</f>
        <v>051534415257</v>
      </c>
      <c r="J125" s="1" t="n">
        <f aca="false">COUNTIF(I:I,I125)</f>
        <v>1</v>
      </c>
      <c r="K125" s="1" t="n">
        <v>1</v>
      </c>
      <c r="M125" s="1" t="s">
        <v>548</v>
      </c>
      <c r="N125" s="1" t="n">
        <v>188</v>
      </c>
      <c r="O125" s="1" t="s">
        <v>549</v>
      </c>
      <c r="P125" s="1" t="n">
        <v>14019</v>
      </c>
      <c r="Q125" s="1" t="s">
        <v>550</v>
      </c>
      <c r="R125" s="1" t="s">
        <v>23</v>
      </c>
      <c r="S125" s="1" t="s">
        <v>23</v>
      </c>
      <c r="T125" s="1" t="s">
        <v>23</v>
      </c>
      <c r="U125" s="1" t="s">
        <v>23</v>
      </c>
      <c r="V125" s="1" t="s">
        <v>551</v>
      </c>
    </row>
    <row r="126" customFormat="false" ht="13.8" hidden="false" customHeight="false" outlineLevel="0" collapsed="false">
      <c r="A126" s="1" t="n">
        <v>125</v>
      </c>
      <c r="B126" s="2" t="s">
        <v>552</v>
      </c>
      <c r="C126" s="1" t="n">
        <v>25</v>
      </c>
      <c r="D126" s="1" t="n">
        <v>41</v>
      </c>
      <c r="E126" s="1" t="n">
        <v>47</v>
      </c>
      <c r="F126" s="1" t="n">
        <v>53</v>
      </c>
      <c r="G126" s="1" t="n">
        <v>56</v>
      </c>
      <c r="H126" s="1" t="n">
        <v>59</v>
      </c>
      <c r="I126" s="1" t="str">
        <f aca="false">RIGHT(("0"&amp;C126),2)&amp;RIGHT(("0"&amp;D126),2)&amp;RIGHT(("0"&amp;E126),2)&amp;RIGHT(("0"&amp;F126),2)&amp;RIGHT(("0"&amp;G126),2)&amp;RIGHT(("0"&amp;H126),2)</f>
        <v>254147535659</v>
      </c>
      <c r="J126" s="1" t="n">
        <f aca="false">COUNTIF(I:I,I126)</f>
        <v>1</v>
      </c>
      <c r="K126" s="1" t="n">
        <v>0</v>
      </c>
      <c r="M126" s="1" t="s">
        <v>23</v>
      </c>
      <c r="N126" s="1" t="n">
        <v>46</v>
      </c>
      <c r="O126" s="1" t="s">
        <v>553</v>
      </c>
      <c r="P126" s="1" t="n">
        <v>2784</v>
      </c>
      <c r="Q126" s="1" t="s">
        <v>554</v>
      </c>
      <c r="R126" s="1" t="s">
        <v>555</v>
      </c>
      <c r="S126" s="1" t="s">
        <v>23</v>
      </c>
      <c r="T126" s="1" t="s">
        <v>23</v>
      </c>
      <c r="U126" s="1" t="s">
        <v>23</v>
      </c>
    </row>
    <row r="127" customFormat="false" ht="13.8" hidden="false" customHeight="false" outlineLevel="0" collapsed="false">
      <c r="A127" s="1" t="n">
        <v>126</v>
      </c>
      <c r="B127" s="2" t="s">
        <v>556</v>
      </c>
      <c r="C127" s="1" t="n">
        <v>6</v>
      </c>
      <c r="D127" s="1" t="n">
        <v>10</v>
      </c>
      <c r="E127" s="1" t="n">
        <v>11</v>
      </c>
      <c r="F127" s="1" t="n">
        <v>28</v>
      </c>
      <c r="G127" s="1" t="n">
        <v>32</v>
      </c>
      <c r="H127" s="1" t="n">
        <v>40</v>
      </c>
      <c r="I127" s="1" t="str">
        <f aca="false">RIGHT(("0"&amp;C127),2)&amp;RIGHT(("0"&amp;D127),2)&amp;RIGHT(("0"&amp;E127),2)&amp;RIGHT(("0"&amp;F127),2)&amp;RIGHT(("0"&amp;G127),2)&amp;RIGHT(("0"&amp;H127),2)</f>
        <v>061011283240</v>
      </c>
      <c r="J127" s="1" t="n">
        <f aca="false">COUNTIF(I:I,I127)</f>
        <v>1</v>
      </c>
      <c r="K127" s="1" t="n">
        <v>0</v>
      </c>
      <c r="M127" s="1" t="s">
        <v>23</v>
      </c>
      <c r="N127" s="1" t="n">
        <v>83</v>
      </c>
      <c r="O127" s="1" t="s">
        <v>557</v>
      </c>
      <c r="P127" s="1" t="n">
        <v>5510</v>
      </c>
      <c r="Q127" s="1" t="s">
        <v>558</v>
      </c>
      <c r="R127" s="1" t="s">
        <v>559</v>
      </c>
      <c r="S127" s="1" t="s">
        <v>23</v>
      </c>
      <c r="T127" s="1" t="s">
        <v>23</v>
      </c>
      <c r="U127" s="1" t="s">
        <v>23</v>
      </c>
      <c r="V127" s="1" t="s">
        <v>467</v>
      </c>
    </row>
    <row r="128" customFormat="false" ht="13.8" hidden="false" customHeight="false" outlineLevel="0" collapsed="false">
      <c r="A128" s="1" t="n">
        <v>127</v>
      </c>
      <c r="B128" s="2" t="s">
        <v>560</v>
      </c>
      <c r="C128" s="1" t="n">
        <v>21</v>
      </c>
      <c r="D128" s="1" t="n">
        <v>29</v>
      </c>
      <c r="E128" s="1" t="n">
        <v>50</v>
      </c>
      <c r="F128" s="1" t="n">
        <v>51</v>
      </c>
      <c r="G128" s="1" t="n">
        <v>54</v>
      </c>
      <c r="H128" s="1" t="n">
        <v>59</v>
      </c>
      <c r="I128" s="1" t="str">
        <f aca="false">RIGHT(("0"&amp;C128),2)&amp;RIGHT(("0"&amp;D128),2)&amp;RIGHT(("0"&amp;E128),2)&amp;RIGHT(("0"&amp;F128),2)&amp;RIGHT(("0"&amp;G128),2)&amp;RIGHT(("0"&amp;H128),2)</f>
        <v>212950515459</v>
      </c>
      <c r="J128" s="1" t="n">
        <f aca="false">COUNTIF(I:I,I128)</f>
        <v>1</v>
      </c>
      <c r="K128" s="1" t="n">
        <v>0</v>
      </c>
      <c r="M128" s="1" t="s">
        <v>23</v>
      </c>
      <c r="N128" s="1" t="n">
        <v>40</v>
      </c>
      <c r="O128" s="1" t="s">
        <v>561</v>
      </c>
      <c r="P128" s="1" t="n">
        <v>2613</v>
      </c>
      <c r="Q128" s="1" t="s">
        <v>562</v>
      </c>
      <c r="R128" s="1" t="s">
        <v>563</v>
      </c>
      <c r="S128" s="1" t="s">
        <v>23</v>
      </c>
      <c r="T128" s="1" t="s">
        <v>23</v>
      </c>
      <c r="U128" s="1" t="s">
        <v>23</v>
      </c>
    </row>
    <row r="129" customFormat="false" ht="13.8" hidden="false" customHeight="false" outlineLevel="0" collapsed="false">
      <c r="A129" s="1" t="n">
        <v>128</v>
      </c>
      <c r="B129" s="2" t="s">
        <v>564</v>
      </c>
      <c r="C129" s="1" t="n">
        <v>3</v>
      </c>
      <c r="D129" s="1" t="n">
        <v>9</v>
      </c>
      <c r="E129" s="1" t="n">
        <v>18</v>
      </c>
      <c r="F129" s="1" t="n">
        <v>21</v>
      </c>
      <c r="G129" s="1" t="n">
        <v>23</v>
      </c>
      <c r="H129" s="1" t="n">
        <v>43</v>
      </c>
      <c r="I129" s="1" t="str">
        <f aca="false">RIGHT(("0"&amp;C129),2)&amp;RIGHT(("0"&amp;D129),2)&amp;RIGHT(("0"&amp;E129),2)&amp;RIGHT(("0"&amp;F129),2)&amp;RIGHT(("0"&amp;G129),2)&amp;RIGHT(("0"&amp;H129),2)</f>
        <v>030918212343</v>
      </c>
      <c r="J129" s="1" t="n">
        <f aca="false">COUNTIF(I:I,I129)</f>
        <v>1</v>
      </c>
      <c r="K129" s="1" t="n">
        <v>0</v>
      </c>
      <c r="M129" s="1" t="s">
        <v>23</v>
      </c>
      <c r="N129" s="1" t="n">
        <v>973</v>
      </c>
      <c r="O129" s="1" t="s">
        <v>565</v>
      </c>
      <c r="P129" s="1" t="n">
        <v>11715</v>
      </c>
      <c r="Q129" s="1" t="s">
        <v>566</v>
      </c>
      <c r="R129" s="1" t="s">
        <v>567</v>
      </c>
      <c r="S129" s="1" t="s">
        <v>23</v>
      </c>
      <c r="T129" s="1" t="s">
        <v>23</v>
      </c>
      <c r="U129" s="1" t="s">
        <v>23</v>
      </c>
    </row>
    <row r="130" customFormat="false" ht="13.8" hidden="false" customHeight="false" outlineLevel="0" collapsed="false">
      <c r="A130" s="1" t="n">
        <v>129</v>
      </c>
      <c r="B130" s="2" t="s">
        <v>568</v>
      </c>
      <c r="C130" s="1" t="n">
        <v>1</v>
      </c>
      <c r="D130" s="1" t="n">
        <v>9</v>
      </c>
      <c r="E130" s="1" t="n">
        <v>10</v>
      </c>
      <c r="F130" s="1" t="n">
        <v>32</v>
      </c>
      <c r="G130" s="1" t="n">
        <v>46</v>
      </c>
      <c r="H130" s="1" t="n">
        <v>54</v>
      </c>
      <c r="I130" s="1" t="str">
        <f aca="false">RIGHT(("0"&amp;C130),2)&amp;RIGHT(("0"&amp;D130),2)&amp;RIGHT(("0"&amp;E130),2)&amp;RIGHT(("0"&amp;F130),2)&amp;RIGHT(("0"&amp;G130),2)&amp;RIGHT(("0"&amp;H130),2)</f>
        <v>010910324654</v>
      </c>
      <c r="J130" s="1" t="n">
        <f aca="false">COUNTIF(I:I,I130)</f>
        <v>1</v>
      </c>
      <c r="K130" s="1" t="n">
        <v>0</v>
      </c>
      <c r="M130" s="1" t="s">
        <v>23</v>
      </c>
      <c r="N130" s="1" t="n">
        <v>67</v>
      </c>
      <c r="O130" s="1" t="s">
        <v>569</v>
      </c>
      <c r="P130" s="1" t="n">
        <v>5320</v>
      </c>
      <c r="Q130" s="1" t="s">
        <v>570</v>
      </c>
      <c r="R130" s="1" t="s">
        <v>571</v>
      </c>
      <c r="S130" s="1" t="s">
        <v>23</v>
      </c>
      <c r="T130" s="1" t="s">
        <v>23</v>
      </c>
      <c r="U130" s="1" t="s">
        <v>23</v>
      </c>
      <c r="V130" s="1" t="s">
        <v>572</v>
      </c>
    </row>
    <row r="131" customFormat="false" ht="13.8" hidden="false" customHeight="false" outlineLevel="0" collapsed="false">
      <c r="A131" s="1" t="n">
        <v>130</v>
      </c>
      <c r="B131" s="2" t="s">
        <v>573</v>
      </c>
      <c r="C131" s="1" t="n">
        <v>13</v>
      </c>
      <c r="D131" s="1" t="n">
        <v>29</v>
      </c>
      <c r="E131" s="1" t="n">
        <v>38</v>
      </c>
      <c r="F131" s="1" t="n">
        <v>42</v>
      </c>
      <c r="G131" s="1" t="n">
        <v>49</v>
      </c>
      <c r="H131" s="1" t="n">
        <v>53</v>
      </c>
      <c r="I131" s="1" t="str">
        <f aca="false">RIGHT(("0"&amp;C131),2)&amp;RIGHT(("0"&amp;D131),2)&amp;RIGHT(("0"&amp;E131),2)&amp;RIGHT(("0"&amp;F131),2)&amp;RIGHT(("0"&amp;G131),2)&amp;RIGHT(("0"&amp;H131),2)</f>
        <v>132938424953</v>
      </c>
      <c r="J131" s="1" t="n">
        <f aca="false">COUNTIF(I:I,I131)</f>
        <v>1</v>
      </c>
      <c r="K131" s="1" t="n">
        <v>0</v>
      </c>
      <c r="M131" s="1" t="s">
        <v>23</v>
      </c>
      <c r="N131" s="1" t="n">
        <v>155</v>
      </c>
      <c r="O131" s="1" t="s">
        <v>574</v>
      </c>
      <c r="P131" s="1" t="n">
        <v>11403</v>
      </c>
      <c r="Q131" s="1" t="s">
        <v>575</v>
      </c>
      <c r="R131" s="1" t="s">
        <v>576</v>
      </c>
      <c r="S131" s="1" t="s">
        <v>23</v>
      </c>
      <c r="T131" s="1" t="s">
        <v>23</v>
      </c>
      <c r="U131" s="1" t="s">
        <v>23</v>
      </c>
    </row>
    <row r="132" customFormat="false" ht="13.8" hidden="false" customHeight="false" outlineLevel="0" collapsed="false">
      <c r="A132" s="1" t="n">
        <v>131</v>
      </c>
      <c r="B132" s="2" t="s">
        <v>577</v>
      </c>
      <c r="C132" s="1" t="n">
        <v>4</v>
      </c>
      <c r="D132" s="1" t="n">
        <v>9</v>
      </c>
      <c r="E132" s="1" t="n">
        <v>17</v>
      </c>
      <c r="F132" s="1" t="n">
        <v>27</v>
      </c>
      <c r="G132" s="1" t="n">
        <v>30</v>
      </c>
      <c r="H132" s="1" t="n">
        <v>44</v>
      </c>
      <c r="I132" s="1" t="str">
        <f aca="false">RIGHT(("0"&amp;C132),2)&amp;RIGHT(("0"&amp;D132),2)&amp;RIGHT(("0"&amp;E132),2)&amp;RIGHT(("0"&amp;F132),2)&amp;RIGHT(("0"&amp;G132),2)&amp;RIGHT(("0"&amp;H132),2)</f>
        <v>040917273044</v>
      </c>
      <c r="J132" s="1" t="n">
        <f aca="false">COUNTIF(I:I,I132)</f>
        <v>1</v>
      </c>
      <c r="K132" s="1" t="n">
        <v>0</v>
      </c>
      <c r="M132" s="1" t="s">
        <v>23</v>
      </c>
      <c r="N132" s="1" t="n">
        <v>361</v>
      </c>
      <c r="O132" s="1" t="s">
        <v>578</v>
      </c>
      <c r="P132" s="1" t="n">
        <v>21683</v>
      </c>
      <c r="Q132" s="1" t="s">
        <v>579</v>
      </c>
      <c r="R132" s="1" t="s">
        <v>580</v>
      </c>
      <c r="S132" s="1" t="s">
        <v>23</v>
      </c>
      <c r="T132" s="1" t="s">
        <v>23</v>
      </c>
      <c r="U132" s="1" t="s">
        <v>23</v>
      </c>
    </row>
    <row r="133" customFormat="false" ht="13.8" hidden="false" customHeight="false" outlineLevel="0" collapsed="false">
      <c r="A133" s="1" t="n">
        <v>132</v>
      </c>
      <c r="B133" s="2" t="s">
        <v>581</v>
      </c>
      <c r="C133" s="1" t="n">
        <v>7</v>
      </c>
      <c r="D133" s="1" t="n">
        <v>9</v>
      </c>
      <c r="E133" s="1" t="n">
        <v>35</v>
      </c>
      <c r="F133" s="1" t="n">
        <v>41</v>
      </c>
      <c r="G133" s="1" t="n">
        <v>44</v>
      </c>
      <c r="H133" s="1" t="n">
        <v>50</v>
      </c>
      <c r="I133" s="1" t="str">
        <f aca="false">RIGHT(("0"&amp;C133),2)&amp;RIGHT(("0"&amp;D133),2)&amp;RIGHT(("0"&amp;E133),2)&amp;RIGHT(("0"&amp;F133),2)&amp;RIGHT(("0"&amp;G133),2)&amp;RIGHT(("0"&amp;H133),2)</f>
        <v>070935414450</v>
      </c>
      <c r="J133" s="1" t="n">
        <f aca="false">COUNTIF(I:I,I133)</f>
        <v>1</v>
      </c>
      <c r="K133" s="1" t="n">
        <v>0</v>
      </c>
      <c r="M133" s="1" t="s">
        <v>23</v>
      </c>
      <c r="N133" s="1" t="n">
        <v>143</v>
      </c>
      <c r="O133" s="1" t="s">
        <v>582</v>
      </c>
      <c r="P133" s="1" t="n">
        <v>12179</v>
      </c>
      <c r="Q133" s="1" t="s">
        <v>583</v>
      </c>
      <c r="R133" s="1" t="s">
        <v>584</v>
      </c>
      <c r="S133" s="1" t="s">
        <v>23</v>
      </c>
      <c r="T133" s="1" t="s">
        <v>23</v>
      </c>
      <c r="U133" s="1" t="s">
        <v>23</v>
      </c>
      <c r="V133" s="1" t="s">
        <v>585</v>
      </c>
    </row>
    <row r="134" customFormat="false" ht="13.8" hidden="false" customHeight="false" outlineLevel="0" collapsed="false">
      <c r="A134" s="1" t="n">
        <v>133</v>
      </c>
      <c r="B134" s="2" t="s">
        <v>586</v>
      </c>
      <c r="C134" s="1" t="n">
        <v>5</v>
      </c>
      <c r="D134" s="1" t="n">
        <v>6</v>
      </c>
      <c r="E134" s="1" t="n">
        <v>19</v>
      </c>
      <c r="F134" s="1" t="n">
        <v>34</v>
      </c>
      <c r="G134" s="1" t="n">
        <v>39</v>
      </c>
      <c r="H134" s="1" t="n">
        <v>57</v>
      </c>
      <c r="I134" s="1" t="str">
        <f aca="false">RIGHT(("0"&amp;C134),2)&amp;RIGHT(("0"&amp;D134),2)&amp;RIGHT(("0"&amp;E134),2)&amp;RIGHT(("0"&amp;F134),2)&amp;RIGHT(("0"&amp;G134),2)&amp;RIGHT(("0"&amp;H134),2)</f>
        <v>050619343957</v>
      </c>
      <c r="J134" s="1" t="n">
        <f aca="false">COUNTIF(I:I,I134)</f>
        <v>1</v>
      </c>
      <c r="K134" s="1" t="n">
        <v>1</v>
      </c>
      <c r="M134" s="1" t="s">
        <v>587</v>
      </c>
      <c r="N134" s="1" t="n">
        <v>431</v>
      </c>
      <c r="O134" s="1" t="s">
        <v>588</v>
      </c>
      <c r="P134" s="1" t="n">
        <v>29264</v>
      </c>
      <c r="Q134" s="1" t="s">
        <v>589</v>
      </c>
      <c r="R134" s="1" t="s">
        <v>23</v>
      </c>
      <c r="S134" s="1" t="s">
        <v>23</v>
      </c>
      <c r="T134" s="1" t="s">
        <v>23</v>
      </c>
      <c r="U134" s="1" t="s">
        <v>23</v>
      </c>
      <c r="V134" s="1" t="s">
        <v>590</v>
      </c>
    </row>
    <row r="135" customFormat="false" ht="13.8" hidden="false" customHeight="false" outlineLevel="0" collapsed="false">
      <c r="A135" s="1" t="n">
        <v>134</v>
      </c>
      <c r="B135" s="2" t="s">
        <v>591</v>
      </c>
      <c r="C135" s="1" t="n">
        <v>4</v>
      </c>
      <c r="D135" s="1" t="n">
        <v>25</v>
      </c>
      <c r="E135" s="1" t="n">
        <v>32</v>
      </c>
      <c r="F135" s="1" t="n">
        <v>36</v>
      </c>
      <c r="G135" s="1" t="n">
        <v>52</v>
      </c>
      <c r="H135" s="1" t="n">
        <v>60</v>
      </c>
      <c r="I135" s="1" t="str">
        <f aca="false">RIGHT(("0"&amp;C135),2)&amp;RIGHT(("0"&amp;D135),2)&amp;RIGHT(("0"&amp;E135),2)&amp;RIGHT(("0"&amp;F135),2)&amp;RIGHT(("0"&amp;G135),2)&amp;RIGHT(("0"&amp;H135),2)</f>
        <v>042532365260</v>
      </c>
      <c r="J135" s="1" t="n">
        <f aca="false">COUNTIF(I:I,I135)</f>
        <v>1</v>
      </c>
      <c r="K135" s="1" t="n">
        <v>0</v>
      </c>
      <c r="M135" s="1" t="s">
        <v>23</v>
      </c>
      <c r="N135" s="1" t="n">
        <v>82</v>
      </c>
      <c r="O135" s="1" t="s">
        <v>592</v>
      </c>
      <c r="P135" s="1" t="n">
        <v>4575</v>
      </c>
      <c r="Q135" s="1" t="s">
        <v>593</v>
      </c>
      <c r="R135" s="1" t="s">
        <v>594</v>
      </c>
      <c r="S135" s="1" t="s">
        <v>23</v>
      </c>
      <c r="T135" s="1" t="s">
        <v>23</v>
      </c>
      <c r="U135" s="1" t="s">
        <v>23</v>
      </c>
    </row>
    <row r="136" customFormat="false" ht="13.8" hidden="false" customHeight="false" outlineLevel="0" collapsed="false">
      <c r="A136" s="1" t="n">
        <v>135</v>
      </c>
      <c r="B136" s="2" t="s">
        <v>595</v>
      </c>
      <c r="C136" s="1" t="n">
        <v>21</v>
      </c>
      <c r="D136" s="1" t="n">
        <v>22</v>
      </c>
      <c r="E136" s="1" t="n">
        <v>35</v>
      </c>
      <c r="F136" s="1" t="n">
        <v>40</v>
      </c>
      <c r="G136" s="1" t="n">
        <v>53</v>
      </c>
      <c r="H136" s="1" t="n">
        <v>59</v>
      </c>
      <c r="I136" s="1" t="str">
        <f aca="false">RIGHT(("0"&amp;C136),2)&amp;RIGHT(("0"&amp;D136),2)&amp;RIGHT(("0"&amp;E136),2)&amp;RIGHT(("0"&amp;F136),2)&amp;RIGHT(("0"&amp;G136),2)&amp;RIGHT(("0"&amp;H136),2)</f>
        <v>212235405359</v>
      </c>
      <c r="J136" s="1" t="n">
        <f aca="false">COUNTIF(I:I,I136)</f>
        <v>1</v>
      </c>
      <c r="K136" s="1" t="n">
        <v>0</v>
      </c>
      <c r="M136" s="1" t="s">
        <v>23</v>
      </c>
      <c r="N136" s="1" t="n">
        <v>40</v>
      </c>
      <c r="O136" s="1" t="s">
        <v>596</v>
      </c>
      <c r="P136" s="1" t="n">
        <v>3604</v>
      </c>
      <c r="Q136" s="1" t="s">
        <v>597</v>
      </c>
      <c r="R136" s="1" t="s">
        <v>598</v>
      </c>
      <c r="S136" s="1" t="s">
        <v>23</v>
      </c>
      <c r="T136" s="1" t="s">
        <v>23</v>
      </c>
      <c r="U136" s="1" t="s">
        <v>23</v>
      </c>
      <c r="V136" s="1" t="s">
        <v>599</v>
      </c>
    </row>
    <row r="137" customFormat="false" ht="13.8" hidden="false" customHeight="false" outlineLevel="0" collapsed="false">
      <c r="A137" s="1" t="n">
        <v>136</v>
      </c>
      <c r="B137" s="2" t="s">
        <v>600</v>
      </c>
      <c r="C137" s="1" t="n">
        <v>1</v>
      </c>
      <c r="D137" s="1" t="n">
        <v>17</v>
      </c>
      <c r="E137" s="1" t="n">
        <v>25</v>
      </c>
      <c r="F137" s="1" t="n">
        <v>38</v>
      </c>
      <c r="G137" s="1" t="n">
        <v>45</v>
      </c>
      <c r="H137" s="1" t="n">
        <v>59</v>
      </c>
      <c r="I137" s="1" t="str">
        <f aca="false">RIGHT(("0"&amp;C137),2)&amp;RIGHT(("0"&amp;D137),2)&amp;RIGHT(("0"&amp;E137),2)&amp;RIGHT(("0"&amp;F137),2)&amp;RIGHT(("0"&amp;G137),2)&amp;RIGHT(("0"&amp;H137),2)</f>
        <v>011725384559</v>
      </c>
      <c r="J137" s="1" t="n">
        <f aca="false">COUNTIF(I:I,I137)</f>
        <v>1</v>
      </c>
      <c r="K137" s="1" t="n">
        <v>0</v>
      </c>
      <c r="M137" s="1" t="s">
        <v>23</v>
      </c>
      <c r="N137" s="1" t="n">
        <v>126</v>
      </c>
      <c r="O137" s="1" t="s">
        <v>601</v>
      </c>
      <c r="P137" s="1" t="n">
        <v>7403</v>
      </c>
      <c r="Q137" s="1" t="s">
        <v>602</v>
      </c>
      <c r="R137" s="1" t="s">
        <v>603</v>
      </c>
      <c r="S137" s="1" t="s">
        <v>23</v>
      </c>
      <c r="T137" s="1" t="s">
        <v>23</v>
      </c>
      <c r="U137" s="1" t="s">
        <v>23</v>
      </c>
    </row>
    <row r="138" customFormat="false" ht="13.8" hidden="false" customHeight="false" outlineLevel="0" collapsed="false">
      <c r="A138" s="1" t="n">
        <v>137</v>
      </c>
      <c r="B138" s="2" t="s">
        <v>604</v>
      </c>
      <c r="C138" s="1" t="n">
        <v>15</v>
      </c>
      <c r="D138" s="1" t="n">
        <v>16</v>
      </c>
      <c r="E138" s="1" t="n">
        <v>19</v>
      </c>
      <c r="F138" s="1" t="n">
        <v>22</v>
      </c>
      <c r="G138" s="1" t="n">
        <v>26</v>
      </c>
      <c r="H138" s="1" t="n">
        <v>49</v>
      </c>
      <c r="I138" s="1" t="str">
        <f aca="false">RIGHT(("0"&amp;C138),2)&amp;RIGHT(("0"&amp;D138),2)&amp;RIGHT(("0"&amp;E138),2)&amp;RIGHT(("0"&amp;F138),2)&amp;RIGHT(("0"&amp;G138),2)&amp;RIGHT(("0"&amp;H138),2)</f>
        <v>151619222649</v>
      </c>
      <c r="J138" s="1" t="n">
        <f aca="false">COUNTIF(I:I,I138)</f>
        <v>1</v>
      </c>
      <c r="K138" s="1" t="n">
        <v>0</v>
      </c>
      <c r="M138" s="1" t="s">
        <v>23</v>
      </c>
      <c r="N138" s="1" t="n">
        <v>88</v>
      </c>
      <c r="O138" s="1" t="s">
        <v>605</v>
      </c>
      <c r="P138" s="1" t="n">
        <v>6701</v>
      </c>
      <c r="Q138" s="1" t="s">
        <v>606</v>
      </c>
      <c r="R138" s="1" t="s">
        <v>607</v>
      </c>
      <c r="S138" s="1" t="s">
        <v>23</v>
      </c>
      <c r="T138" s="1" t="s">
        <v>23</v>
      </c>
      <c r="U138" s="1" t="s">
        <v>23</v>
      </c>
      <c r="V138" s="1" t="s">
        <v>599</v>
      </c>
    </row>
    <row r="139" customFormat="false" ht="13.8" hidden="false" customHeight="false" outlineLevel="0" collapsed="false">
      <c r="A139" s="1" t="n">
        <v>138</v>
      </c>
      <c r="B139" s="2" t="s">
        <v>608</v>
      </c>
      <c r="C139" s="1" t="n">
        <v>5</v>
      </c>
      <c r="D139" s="1" t="n">
        <v>14</v>
      </c>
      <c r="E139" s="1" t="n">
        <v>27</v>
      </c>
      <c r="F139" s="1" t="n">
        <v>37</v>
      </c>
      <c r="G139" s="1" t="n">
        <v>40</v>
      </c>
      <c r="H139" s="1" t="n">
        <v>41</v>
      </c>
      <c r="I139" s="1" t="str">
        <f aca="false">RIGHT(("0"&amp;C139),2)&amp;RIGHT(("0"&amp;D139),2)&amp;RIGHT(("0"&amp;E139),2)&amp;RIGHT(("0"&amp;F139),2)&amp;RIGHT(("0"&amp;G139),2)&amp;RIGHT(("0"&amp;H139),2)</f>
        <v>051427374041</v>
      </c>
      <c r="J139" s="1" t="n">
        <f aca="false">COUNTIF(I:I,I139)</f>
        <v>1</v>
      </c>
      <c r="K139" s="1" t="n">
        <v>0</v>
      </c>
      <c r="M139" s="1" t="s">
        <v>23</v>
      </c>
      <c r="N139" s="1" t="n">
        <v>86</v>
      </c>
      <c r="O139" s="1" t="s">
        <v>609</v>
      </c>
      <c r="P139" s="1" t="n">
        <v>6953</v>
      </c>
      <c r="Q139" s="1" t="s">
        <v>610</v>
      </c>
      <c r="R139" s="1" t="s">
        <v>611</v>
      </c>
      <c r="S139" s="1" t="s">
        <v>23</v>
      </c>
      <c r="T139" s="1" t="s">
        <v>23</v>
      </c>
      <c r="U139" s="1" t="s">
        <v>23</v>
      </c>
    </row>
    <row r="140" customFormat="false" ht="13.8" hidden="false" customHeight="false" outlineLevel="0" collapsed="false">
      <c r="A140" s="1" t="n">
        <v>139</v>
      </c>
      <c r="B140" s="2" t="s">
        <v>612</v>
      </c>
      <c r="C140" s="1" t="n">
        <v>3</v>
      </c>
      <c r="D140" s="1" t="n">
        <v>13</v>
      </c>
      <c r="E140" s="1" t="n">
        <v>26</v>
      </c>
      <c r="F140" s="1" t="n">
        <v>27</v>
      </c>
      <c r="G140" s="1" t="n">
        <v>41</v>
      </c>
      <c r="H140" s="1" t="n">
        <v>42</v>
      </c>
      <c r="I140" s="1" t="str">
        <f aca="false">RIGHT(("0"&amp;C140),2)&amp;RIGHT(("0"&amp;D140),2)&amp;RIGHT(("0"&amp;E140),2)&amp;RIGHT(("0"&amp;F140),2)&amp;RIGHT(("0"&amp;G140),2)&amp;RIGHT(("0"&amp;H140),2)</f>
        <v>031326274142</v>
      </c>
      <c r="J140" s="1" t="n">
        <f aca="false">COUNTIF(I:I,I140)</f>
        <v>1</v>
      </c>
      <c r="K140" s="1" t="n">
        <v>2</v>
      </c>
      <c r="M140" s="1" t="s">
        <v>613</v>
      </c>
      <c r="N140" s="1" t="n">
        <v>179</v>
      </c>
      <c r="O140" s="1" t="s">
        <v>614</v>
      </c>
      <c r="P140" s="1" t="n">
        <v>9401</v>
      </c>
      <c r="Q140" s="1" t="s">
        <v>615</v>
      </c>
      <c r="R140" s="1" t="s">
        <v>23</v>
      </c>
      <c r="S140" s="1" t="s">
        <v>23</v>
      </c>
      <c r="T140" s="1" t="s">
        <v>23</v>
      </c>
      <c r="U140" s="1" t="s">
        <v>23</v>
      </c>
      <c r="V140" s="1" t="s">
        <v>616</v>
      </c>
    </row>
    <row r="141" customFormat="false" ht="13.8" hidden="false" customHeight="false" outlineLevel="0" collapsed="false">
      <c r="A141" s="1" t="n">
        <v>140</v>
      </c>
      <c r="B141" s="2" t="s">
        <v>617</v>
      </c>
      <c r="C141" s="1" t="n">
        <v>7</v>
      </c>
      <c r="D141" s="1" t="n">
        <v>31</v>
      </c>
      <c r="E141" s="1" t="n">
        <v>41</v>
      </c>
      <c r="F141" s="1" t="n">
        <v>44</v>
      </c>
      <c r="G141" s="1" t="n">
        <v>46</v>
      </c>
      <c r="H141" s="1" t="n">
        <v>55</v>
      </c>
      <c r="I141" s="1" t="str">
        <f aca="false">RIGHT(("0"&amp;C141),2)&amp;RIGHT(("0"&amp;D141),2)&amp;RIGHT(("0"&amp;E141),2)&amp;RIGHT(("0"&amp;F141),2)&amp;RIGHT(("0"&amp;G141),2)&amp;RIGHT(("0"&amp;H141),2)</f>
        <v>073141444655</v>
      </c>
      <c r="J141" s="1" t="n">
        <f aca="false">COUNTIF(I:I,I141)</f>
        <v>1</v>
      </c>
      <c r="K141" s="1" t="n">
        <v>0</v>
      </c>
      <c r="M141" s="1" t="s">
        <v>23</v>
      </c>
      <c r="N141" s="1" t="n">
        <v>45</v>
      </c>
      <c r="O141" s="1" t="s">
        <v>618</v>
      </c>
      <c r="P141" s="1" t="n">
        <v>4945</v>
      </c>
      <c r="Q141" s="1" t="s">
        <v>619</v>
      </c>
      <c r="R141" s="1" t="s">
        <v>620</v>
      </c>
      <c r="S141" s="1" t="s">
        <v>23</v>
      </c>
      <c r="T141" s="1" t="s">
        <v>23</v>
      </c>
      <c r="U141" s="1" t="s">
        <v>23</v>
      </c>
    </row>
    <row r="142" customFormat="false" ht="13.8" hidden="false" customHeight="false" outlineLevel="0" collapsed="false">
      <c r="A142" s="1" t="n">
        <v>141</v>
      </c>
      <c r="B142" s="2" t="s">
        <v>621</v>
      </c>
      <c r="C142" s="1" t="n">
        <v>10</v>
      </c>
      <c r="D142" s="1" t="n">
        <v>13</v>
      </c>
      <c r="E142" s="1" t="n">
        <v>22</v>
      </c>
      <c r="F142" s="1" t="n">
        <v>41</v>
      </c>
      <c r="G142" s="1" t="n">
        <v>42</v>
      </c>
      <c r="H142" s="1" t="n">
        <v>58</v>
      </c>
      <c r="I142" s="1" t="str">
        <f aca="false">RIGHT(("0"&amp;C142),2)&amp;RIGHT(("0"&amp;D142),2)&amp;RIGHT(("0"&amp;E142),2)&amp;RIGHT(("0"&amp;F142),2)&amp;RIGHT(("0"&amp;G142),2)&amp;RIGHT(("0"&amp;H142),2)</f>
        <v>101322414258</v>
      </c>
      <c r="J142" s="1" t="n">
        <f aca="false">COUNTIF(I:I,I142)</f>
        <v>1</v>
      </c>
      <c r="K142" s="1" t="n">
        <v>0</v>
      </c>
      <c r="M142" s="1" t="s">
        <v>23</v>
      </c>
      <c r="N142" s="1" t="n">
        <v>119</v>
      </c>
      <c r="O142" s="1" t="s">
        <v>622</v>
      </c>
      <c r="P142" s="1" t="n">
        <v>10533</v>
      </c>
      <c r="Q142" s="1" t="s">
        <v>623</v>
      </c>
      <c r="R142" s="1" t="s">
        <v>624</v>
      </c>
      <c r="S142" s="1" t="s">
        <v>23</v>
      </c>
      <c r="T142" s="1" t="s">
        <v>23</v>
      </c>
      <c r="U142" s="1" t="s">
        <v>23</v>
      </c>
      <c r="V142" s="1" t="s">
        <v>625</v>
      </c>
    </row>
    <row r="143" customFormat="false" ht="13.8" hidden="false" customHeight="false" outlineLevel="0" collapsed="false">
      <c r="A143" s="1" t="n">
        <v>142</v>
      </c>
      <c r="B143" s="2" t="s">
        <v>626</v>
      </c>
      <c r="C143" s="1" t="n">
        <v>8</v>
      </c>
      <c r="D143" s="1" t="n">
        <v>15</v>
      </c>
      <c r="E143" s="1" t="n">
        <v>19</v>
      </c>
      <c r="F143" s="1" t="n">
        <v>20</v>
      </c>
      <c r="G143" s="1" t="n">
        <v>54</v>
      </c>
      <c r="H143" s="1" t="n">
        <v>59</v>
      </c>
      <c r="I143" s="1" t="str">
        <f aca="false">RIGHT(("0"&amp;C143),2)&amp;RIGHT(("0"&amp;D143),2)&amp;RIGHT(("0"&amp;E143),2)&amp;RIGHT(("0"&amp;F143),2)&amp;RIGHT(("0"&amp;G143),2)&amp;RIGHT(("0"&amp;H143),2)</f>
        <v>081519205459</v>
      </c>
      <c r="J143" s="1" t="n">
        <f aca="false">COUNTIF(I:I,I143)</f>
        <v>1</v>
      </c>
      <c r="K143" s="1" t="n">
        <v>0</v>
      </c>
      <c r="M143" s="1" t="s">
        <v>23</v>
      </c>
      <c r="N143" s="1" t="n">
        <v>162</v>
      </c>
      <c r="O143" s="1" t="s">
        <v>627</v>
      </c>
      <c r="P143" s="1" t="n">
        <v>13991</v>
      </c>
      <c r="Q143" s="1" t="s">
        <v>628</v>
      </c>
      <c r="R143" s="1" t="s">
        <v>629</v>
      </c>
      <c r="S143" s="1" t="s">
        <v>23</v>
      </c>
      <c r="T143" s="1" t="s">
        <v>23</v>
      </c>
      <c r="U143" s="1" t="s">
        <v>23</v>
      </c>
      <c r="V143" s="1" t="s">
        <v>630</v>
      </c>
    </row>
    <row r="144" customFormat="false" ht="13.8" hidden="false" customHeight="false" outlineLevel="0" collapsed="false">
      <c r="A144" s="1" t="n">
        <v>143</v>
      </c>
      <c r="B144" s="2" t="s">
        <v>631</v>
      </c>
      <c r="C144" s="1" t="n">
        <v>6</v>
      </c>
      <c r="D144" s="1" t="n">
        <v>18</v>
      </c>
      <c r="E144" s="1" t="n">
        <v>20</v>
      </c>
      <c r="F144" s="1" t="n">
        <v>40</v>
      </c>
      <c r="G144" s="1" t="n">
        <v>50</v>
      </c>
      <c r="H144" s="1" t="n">
        <v>53</v>
      </c>
      <c r="I144" s="1" t="str">
        <f aca="false">RIGHT(("0"&amp;C144),2)&amp;RIGHT(("0"&amp;D144),2)&amp;RIGHT(("0"&amp;E144),2)&amp;RIGHT(("0"&amp;F144),2)&amp;RIGHT(("0"&amp;G144),2)&amp;RIGHT(("0"&amp;H144),2)</f>
        <v>061820405053</v>
      </c>
      <c r="J144" s="1" t="n">
        <f aca="false">COUNTIF(I:I,I144)</f>
        <v>1</v>
      </c>
      <c r="K144" s="1" t="n">
        <v>0</v>
      </c>
      <c r="M144" s="1" t="s">
        <v>23</v>
      </c>
      <c r="N144" s="1" t="n">
        <v>144</v>
      </c>
      <c r="O144" s="1" t="s">
        <v>632</v>
      </c>
      <c r="P144" s="1" t="n">
        <v>10994</v>
      </c>
      <c r="Q144" s="1" t="s">
        <v>633</v>
      </c>
      <c r="R144" s="1" t="s">
        <v>634</v>
      </c>
      <c r="S144" s="1" t="s">
        <v>23</v>
      </c>
      <c r="T144" s="1" t="s">
        <v>23</v>
      </c>
      <c r="U144" s="1" t="s">
        <v>23</v>
      </c>
      <c r="V144" s="1" t="s">
        <v>635</v>
      </c>
    </row>
    <row r="145" customFormat="false" ht="13.8" hidden="false" customHeight="false" outlineLevel="0" collapsed="false">
      <c r="A145" s="1" t="n">
        <v>144</v>
      </c>
      <c r="B145" s="2" t="s">
        <v>636</v>
      </c>
      <c r="C145" s="1" t="n">
        <v>8</v>
      </c>
      <c r="D145" s="1" t="n">
        <v>32</v>
      </c>
      <c r="E145" s="1" t="n">
        <v>36</v>
      </c>
      <c r="F145" s="1" t="n">
        <v>44</v>
      </c>
      <c r="G145" s="1" t="n">
        <v>45</v>
      </c>
      <c r="H145" s="1" t="n">
        <v>55</v>
      </c>
      <c r="I145" s="1" t="str">
        <f aca="false">RIGHT(("0"&amp;C145),2)&amp;RIGHT(("0"&amp;D145),2)&amp;RIGHT(("0"&amp;E145),2)&amp;RIGHT(("0"&amp;F145),2)&amp;RIGHT(("0"&amp;G145),2)&amp;RIGHT(("0"&amp;H145),2)</f>
        <v>083236444555</v>
      </c>
      <c r="J145" s="1" t="n">
        <f aca="false">COUNTIF(I:I,I145)</f>
        <v>1</v>
      </c>
      <c r="K145" s="1" t="n">
        <v>1</v>
      </c>
      <c r="M145" s="1" t="s">
        <v>637</v>
      </c>
      <c r="N145" s="1" t="n">
        <v>257</v>
      </c>
      <c r="O145" s="1" t="s">
        <v>638</v>
      </c>
      <c r="P145" s="1" t="n">
        <v>23952</v>
      </c>
      <c r="Q145" s="1" t="s">
        <v>639</v>
      </c>
      <c r="R145" s="1" t="s">
        <v>23</v>
      </c>
      <c r="S145" s="1" t="s">
        <v>23</v>
      </c>
      <c r="T145" s="1" t="s">
        <v>23</v>
      </c>
      <c r="U145" s="1" t="s">
        <v>23</v>
      </c>
      <c r="V145" s="1" t="s">
        <v>640</v>
      </c>
    </row>
    <row r="146" customFormat="false" ht="13.8" hidden="false" customHeight="false" outlineLevel="0" collapsed="false">
      <c r="A146" s="1" t="n">
        <v>145</v>
      </c>
      <c r="B146" s="2" t="s">
        <v>641</v>
      </c>
      <c r="C146" s="1" t="n">
        <v>15</v>
      </c>
      <c r="D146" s="1" t="n">
        <v>16</v>
      </c>
      <c r="E146" s="1" t="n">
        <v>31</v>
      </c>
      <c r="F146" s="1" t="n">
        <v>41</v>
      </c>
      <c r="G146" s="1" t="n">
        <v>43</v>
      </c>
      <c r="H146" s="1" t="n">
        <v>51</v>
      </c>
      <c r="I146" s="1" t="str">
        <f aca="false">RIGHT(("0"&amp;C146),2)&amp;RIGHT(("0"&amp;D146),2)&amp;RIGHT(("0"&amp;E146),2)&amp;RIGHT(("0"&amp;F146),2)&amp;RIGHT(("0"&amp;G146),2)&amp;RIGHT(("0"&amp;H146),2)</f>
        <v>151631414351</v>
      </c>
      <c r="J146" s="1" t="n">
        <f aca="false">COUNTIF(I:I,I146)</f>
        <v>1</v>
      </c>
      <c r="K146" s="1" t="n">
        <v>0</v>
      </c>
      <c r="M146" s="1" t="s">
        <v>23</v>
      </c>
      <c r="N146" s="1" t="n">
        <v>71</v>
      </c>
      <c r="O146" s="1" t="s">
        <v>642</v>
      </c>
      <c r="P146" s="1" t="n">
        <v>3389</v>
      </c>
      <c r="Q146" s="1" t="s">
        <v>643</v>
      </c>
      <c r="R146" s="1" t="s">
        <v>644</v>
      </c>
      <c r="S146" s="1" t="s">
        <v>23</v>
      </c>
      <c r="T146" s="1" t="s">
        <v>23</v>
      </c>
      <c r="U146" s="1" t="s">
        <v>23</v>
      </c>
      <c r="V146" s="1" t="s">
        <v>645</v>
      </c>
    </row>
    <row r="147" customFormat="false" ht="13.8" hidden="false" customHeight="false" outlineLevel="0" collapsed="false">
      <c r="A147" s="1" t="n">
        <v>146</v>
      </c>
      <c r="B147" s="2" t="s">
        <v>646</v>
      </c>
      <c r="C147" s="1" t="n">
        <v>25</v>
      </c>
      <c r="D147" s="1" t="n">
        <v>32</v>
      </c>
      <c r="E147" s="1" t="n">
        <v>34</v>
      </c>
      <c r="F147" s="1" t="n">
        <v>42</v>
      </c>
      <c r="G147" s="1" t="n">
        <v>51</v>
      </c>
      <c r="H147" s="1" t="n">
        <v>60</v>
      </c>
      <c r="I147" s="1" t="str">
        <f aca="false">RIGHT(("0"&amp;C147),2)&amp;RIGHT(("0"&amp;D147),2)&amp;RIGHT(("0"&amp;E147),2)&amp;RIGHT(("0"&amp;F147),2)&amp;RIGHT(("0"&amp;G147),2)&amp;RIGHT(("0"&amp;H147),2)</f>
        <v>253234425160</v>
      </c>
      <c r="J147" s="1" t="n">
        <f aca="false">COUNTIF(I:I,I147)</f>
        <v>1</v>
      </c>
      <c r="K147" s="1" t="n">
        <v>0</v>
      </c>
      <c r="M147" s="1" t="s">
        <v>23</v>
      </c>
      <c r="N147" s="1" t="n">
        <v>51</v>
      </c>
      <c r="O147" s="1" t="s">
        <v>647</v>
      </c>
      <c r="P147" s="1" t="n">
        <v>4079</v>
      </c>
      <c r="Q147" s="1" t="s">
        <v>648</v>
      </c>
      <c r="R147" s="1" t="s">
        <v>649</v>
      </c>
      <c r="S147" s="1" t="s">
        <v>23</v>
      </c>
      <c r="T147" s="1" t="s">
        <v>23</v>
      </c>
      <c r="U147" s="1" t="s">
        <v>23</v>
      </c>
    </row>
    <row r="148" customFormat="false" ht="13.8" hidden="false" customHeight="false" outlineLevel="0" collapsed="false">
      <c r="A148" s="1" t="n">
        <v>147</v>
      </c>
      <c r="B148" s="2" t="s">
        <v>650</v>
      </c>
      <c r="C148" s="1" t="n">
        <v>6</v>
      </c>
      <c r="D148" s="1" t="n">
        <v>16</v>
      </c>
      <c r="E148" s="1" t="n">
        <v>23</v>
      </c>
      <c r="F148" s="1" t="n">
        <v>24</v>
      </c>
      <c r="G148" s="1" t="n">
        <v>28</v>
      </c>
      <c r="H148" s="1" t="n">
        <v>38</v>
      </c>
      <c r="I148" s="1" t="str">
        <f aca="false">RIGHT(("0"&amp;C148),2)&amp;RIGHT(("0"&amp;D148),2)&amp;RIGHT(("0"&amp;E148),2)&amp;RIGHT(("0"&amp;F148),2)&amp;RIGHT(("0"&amp;G148),2)&amp;RIGHT(("0"&amp;H148),2)</f>
        <v>061623242838</v>
      </c>
      <c r="J148" s="1" t="n">
        <f aca="false">COUNTIF(I:I,I148)</f>
        <v>1</v>
      </c>
      <c r="K148" s="1" t="n">
        <v>1</v>
      </c>
      <c r="M148" s="1" t="s">
        <v>651</v>
      </c>
      <c r="N148" s="1" t="n">
        <v>75</v>
      </c>
      <c r="O148" s="1" t="s">
        <v>652</v>
      </c>
      <c r="P148" s="1" t="n">
        <v>5418</v>
      </c>
      <c r="Q148" s="1" t="s">
        <v>653</v>
      </c>
      <c r="R148" s="1" t="s">
        <v>23</v>
      </c>
      <c r="S148" s="1" t="s">
        <v>23</v>
      </c>
      <c r="T148" s="1" t="s">
        <v>23</v>
      </c>
      <c r="U148" s="1" t="s">
        <v>23</v>
      </c>
      <c r="V148" s="1" t="s">
        <v>654</v>
      </c>
    </row>
    <row r="149" customFormat="false" ht="13.8" hidden="false" customHeight="false" outlineLevel="0" collapsed="false">
      <c r="A149" s="1" t="n">
        <v>148</v>
      </c>
      <c r="B149" s="2" t="s">
        <v>655</v>
      </c>
      <c r="C149" s="1" t="n">
        <v>32</v>
      </c>
      <c r="D149" s="1" t="n">
        <v>35</v>
      </c>
      <c r="E149" s="1" t="n">
        <v>41</v>
      </c>
      <c r="F149" s="1" t="n">
        <v>55</v>
      </c>
      <c r="G149" s="1" t="n">
        <v>58</v>
      </c>
      <c r="H149" s="1" t="n">
        <v>59</v>
      </c>
      <c r="I149" s="1" t="str">
        <f aca="false">RIGHT(("0"&amp;C149),2)&amp;RIGHT(("0"&amp;D149),2)&amp;RIGHT(("0"&amp;E149),2)&amp;RIGHT(("0"&amp;F149),2)&amp;RIGHT(("0"&amp;G149),2)&amp;RIGHT(("0"&amp;H149),2)</f>
        <v>323541555859</v>
      </c>
      <c r="J149" s="1" t="n">
        <f aca="false">COUNTIF(I:I,I149)</f>
        <v>1</v>
      </c>
      <c r="K149" s="1" t="n">
        <v>0</v>
      </c>
      <c r="M149" s="1" t="s">
        <v>23</v>
      </c>
      <c r="N149" s="1" t="n">
        <v>15</v>
      </c>
      <c r="O149" s="1" t="s">
        <v>656</v>
      </c>
      <c r="P149" s="1" t="n">
        <v>2322</v>
      </c>
      <c r="Q149" s="1" t="s">
        <v>657</v>
      </c>
      <c r="R149" s="1" t="s">
        <v>658</v>
      </c>
      <c r="S149" s="1" t="s">
        <v>23</v>
      </c>
      <c r="T149" s="1" t="s">
        <v>23</v>
      </c>
      <c r="U149" s="1" t="s">
        <v>23</v>
      </c>
    </row>
    <row r="150" customFormat="false" ht="13.8" hidden="false" customHeight="false" outlineLevel="0" collapsed="false">
      <c r="A150" s="1" t="n">
        <v>149</v>
      </c>
      <c r="B150" s="2" t="s">
        <v>659</v>
      </c>
      <c r="C150" s="1" t="n">
        <v>7</v>
      </c>
      <c r="D150" s="1" t="n">
        <v>11</v>
      </c>
      <c r="E150" s="1" t="n">
        <v>20</v>
      </c>
      <c r="F150" s="1" t="n">
        <v>28</v>
      </c>
      <c r="G150" s="1" t="n">
        <v>45</v>
      </c>
      <c r="H150" s="1" t="n">
        <v>48</v>
      </c>
      <c r="I150" s="1" t="str">
        <f aca="false">RIGHT(("0"&amp;C150),2)&amp;RIGHT(("0"&amp;D150),2)&amp;RIGHT(("0"&amp;E150),2)&amp;RIGHT(("0"&amp;F150),2)&amp;RIGHT(("0"&amp;G150),2)&amp;RIGHT(("0"&amp;H150),2)</f>
        <v>071120284548</v>
      </c>
      <c r="J150" s="1" t="n">
        <f aca="false">COUNTIF(I:I,I150)</f>
        <v>1</v>
      </c>
      <c r="K150" s="1" t="n">
        <v>0</v>
      </c>
      <c r="M150" s="1" t="s">
        <v>23</v>
      </c>
      <c r="N150" s="1" t="n">
        <v>106</v>
      </c>
      <c r="O150" s="1" t="s">
        <v>660</v>
      </c>
      <c r="P150" s="1" t="n">
        <v>6290</v>
      </c>
      <c r="Q150" s="1" t="s">
        <v>661</v>
      </c>
      <c r="R150" s="1" t="s">
        <v>662</v>
      </c>
      <c r="S150" s="1" t="s">
        <v>23</v>
      </c>
      <c r="T150" s="1" t="s">
        <v>23</v>
      </c>
      <c r="U150" s="1" t="s">
        <v>23</v>
      </c>
      <c r="V150" s="1" t="s">
        <v>663</v>
      </c>
    </row>
    <row r="151" customFormat="false" ht="13.8" hidden="false" customHeight="false" outlineLevel="0" collapsed="false">
      <c r="A151" s="1" t="n">
        <v>150</v>
      </c>
      <c r="B151" s="2" t="s">
        <v>664</v>
      </c>
      <c r="C151" s="1" t="n">
        <v>12</v>
      </c>
      <c r="D151" s="1" t="n">
        <v>44</v>
      </c>
      <c r="E151" s="1" t="n">
        <v>50</v>
      </c>
      <c r="F151" s="1" t="n">
        <v>52</v>
      </c>
      <c r="G151" s="1" t="n">
        <v>54</v>
      </c>
      <c r="H151" s="1" t="n">
        <v>55</v>
      </c>
      <c r="I151" s="1" t="str">
        <f aca="false">RIGHT(("0"&amp;C151),2)&amp;RIGHT(("0"&amp;D151),2)&amp;RIGHT(("0"&amp;E151),2)&amp;RIGHT(("0"&amp;F151),2)&amp;RIGHT(("0"&amp;G151),2)&amp;RIGHT(("0"&amp;H151),2)</f>
        <v>124450525455</v>
      </c>
      <c r="J151" s="1" t="n">
        <f aca="false">COUNTIF(I:I,I151)</f>
        <v>1</v>
      </c>
      <c r="K151" s="1" t="n">
        <v>0</v>
      </c>
      <c r="M151" s="1" t="s">
        <v>23</v>
      </c>
      <c r="N151" s="1" t="n">
        <v>56</v>
      </c>
      <c r="O151" s="1" t="s">
        <v>665</v>
      </c>
      <c r="P151" s="1" t="n">
        <v>5540</v>
      </c>
      <c r="Q151" s="1" t="s">
        <v>666</v>
      </c>
      <c r="R151" s="1" t="s">
        <v>667</v>
      </c>
      <c r="S151" s="1" t="s">
        <v>23</v>
      </c>
      <c r="T151" s="1" t="s">
        <v>23</v>
      </c>
      <c r="U151" s="1" t="s">
        <v>23</v>
      </c>
    </row>
    <row r="152" customFormat="false" ht="13.8" hidden="false" customHeight="false" outlineLevel="0" collapsed="false">
      <c r="A152" s="1" t="n">
        <v>151</v>
      </c>
      <c r="B152" s="2" t="s">
        <v>668</v>
      </c>
      <c r="C152" s="1" t="n">
        <v>3</v>
      </c>
      <c r="D152" s="1" t="n">
        <v>16</v>
      </c>
      <c r="E152" s="1" t="n">
        <v>20</v>
      </c>
      <c r="F152" s="1" t="n">
        <v>43</v>
      </c>
      <c r="G152" s="1" t="n">
        <v>52</v>
      </c>
      <c r="H152" s="1" t="n">
        <v>56</v>
      </c>
      <c r="I152" s="1" t="str">
        <f aca="false">RIGHT(("0"&amp;C152),2)&amp;RIGHT(("0"&amp;D152),2)&amp;RIGHT(("0"&amp;E152),2)&amp;RIGHT(("0"&amp;F152),2)&amp;RIGHT(("0"&amp;G152),2)&amp;RIGHT(("0"&amp;H152),2)</f>
        <v>031620435256</v>
      </c>
      <c r="J152" s="1" t="n">
        <f aca="false">COUNTIF(I:I,I152)</f>
        <v>1</v>
      </c>
      <c r="K152" s="1" t="n">
        <v>1</v>
      </c>
      <c r="M152" s="1" t="s">
        <v>669</v>
      </c>
      <c r="N152" s="1" t="n">
        <v>152</v>
      </c>
      <c r="O152" s="1" t="s">
        <v>670</v>
      </c>
      <c r="P152" s="1" t="n">
        <v>9869</v>
      </c>
      <c r="Q152" s="1" t="s">
        <v>671</v>
      </c>
      <c r="R152" s="1" t="s">
        <v>23</v>
      </c>
      <c r="S152" s="1" t="s">
        <v>23</v>
      </c>
      <c r="T152" s="1" t="s">
        <v>23</v>
      </c>
      <c r="U152" s="1" t="s">
        <v>23</v>
      </c>
      <c r="V152" s="1" t="s">
        <v>672</v>
      </c>
    </row>
    <row r="153" customFormat="false" ht="13.8" hidden="false" customHeight="false" outlineLevel="0" collapsed="false">
      <c r="A153" s="1" t="n">
        <v>152</v>
      </c>
      <c r="B153" s="2" t="s">
        <v>673</v>
      </c>
      <c r="C153" s="1" t="n">
        <v>5</v>
      </c>
      <c r="D153" s="1" t="n">
        <v>12</v>
      </c>
      <c r="E153" s="1" t="n">
        <v>15</v>
      </c>
      <c r="F153" s="1" t="n">
        <v>29</v>
      </c>
      <c r="G153" s="1" t="n">
        <v>51</v>
      </c>
      <c r="H153" s="1" t="n">
        <v>58</v>
      </c>
      <c r="I153" s="1" t="str">
        <f aca="false">RIGHT(("0"&amp;C153),2)&amp;RIGHT(("0"&amp;D153),2)&amp;RIGHT(("0"&amp;E153),2)&amp;RIGHT(("0"&amp;F153),2)&amp;RIGHT(("0"&amp;G153),2)&amp;RIGHT(("0"&amp;H153),2)</f>
        <v>051215295158</v>
      </c>
      <c r="J153" s="1" t="n">
        <f aca="false">COUNTIF(I:I,I153)</f>
        <v>1</v>
      </c>
      <c r="K153" s="1" t="n">
        <v>0</v>
      </c>
      <c r="M153" s="1" t="s">
        <v>23</v>
      </c>
      <c r="N153" s="1" t="n">
        <v>75</v>
      </c>
      <c r="O153" s="1" t="s">
        <v>674</v>
      </c>
      <c r="P153" s="1" t="n">
        <v>5041</v>
      </c>
      <c r="Q153" s="1" t="s">
        <v>675</v>
      </c>
      <c r="R153" s="1" t="s">
        <v>676</v>
      </c>
      <c r="S153" s="1" t="s">
        <v>23</v>
      </c>
      <c r="T153" s="1" t="s">
        <v>23</v>
      </c>
      <c r="U153" s="1" t="s">
        <v>23</v>
      </c>
      <c r="V153" s="1" t="s">
        <v>677</v>
      </c>
    </row>
    <row r="154" customFormat="false" ht="13.8" hidden="false" customHeight="false" outlineLevel="0" collapsed="false">
      <c r="A154" s="1" t="n">
        <v>153</v>
      </c>
      <c r="B154" s="2" t="s">
        <v>678</v>
      </c>
      <c r="C154" s="1" t="n">
        <v>2</v>
      </c>
      <c r="D154" s="1" t="n">
        <v>30</v>
      </c>
      <c r="E154" s="1" t="n">
        <v>31</v>
      </c>
      <c r="F154" s="1" t="n">
        <v>42</v>
      </c>
      <c r="G154" s="1" t="n">
        <v>45</v>
      </c>
      <c r="H154" s="1" t="n">
        <v>47</v>
      </c>
      <c r="I154" s="1" t="str">
        <f aca="false">RIGHT(("0"&amp;C154),2)&amp;RIGHT(("0"&amp;D154),2)&amp;RIGHT(("0"&amp;E154),2)&amp;RIGHT(("0"&amp;F154),2)&amp;RIGHT(("0"&amp;G154),2)&amp;RIGHT(("0"&amp;H154),2)</f>
        <v>023031424547</v>
      </c>
      <c r="J154" s="1" t="n">
        <f aca="false">COUNTIF(I:I,I154)</f>
        <v>1</v>
      </c>
      <c r="K154" s="1" t="n">
        <v>0</v>
      </c>
      <c r="M154" s="1" t="s">
        <v>23</v>
      </c>
      <c r="N154" s="1" t="n">
        <v>47</v>
      </c>
      <c r="O154" s="1" t="s">
        <v>679</v>
      </c>
      <c r="P154" s="1" t="n">
        <v>4218</v>
      </c>
      <c r="Q154" s="1" t="s">
        <v>680</v>
      </c>
      <c r="R154" s="1" t="s">
        <v>681</v>
      </c>
      <c r="S154" s="1" t="s">
        <v>23</v>
      </c>
      <c r="T154" s="1" t="s">
        <v>23</v>
      </c>
      <c r="U154" s="1" t="s">
        <v>23</v>
      </c>
    </row>
    <row r="155" customFormat="false" ht="13.8" hidden="false" customHeight="false" outlineLevel="0" collapsed="false">
      <c r="A155" s="1" t="n">
        <v>154</v>
      </c>
      <c r="B155" s="2" t="s">
        <v>682</v>
      </c>
      <c r="C155" s="1" t="n">
        <v>8</v>
      </c>
      <c r="D155" s="1" t="n">
        <v>10</v>
      </c>
      <c r="E155" s="1" t="n">
        <v>24</v>
      </c>
      <c r="F155" s="1" t="n">
        <v>33</v>
      </c>
      <c r="G155" s="1" t="n">
        <v>45</v>
      </c>
      <c r="H155" s="1" t="n">
        <v>48</v>
      </c>
      <c r="I155" s="1" t="str">
        <f aca="false">RIGHT(("0"&amp;C155),2)&amp;RIGHT(("0"&amp;D155),2)&amp;RIGHT(("0"&amp;E155),2)&amp;RIGHT(("0"&amp;F155),2)&amp;RIGHT(("0"&amp;G155),2)&amp;RIGHT(("0"&amp;H155),2)</f>
        <v>081024334548</v>
      </c>
      <c r="J155" s="1" t="n">
        <f aca="false">COUNTIF(I:I,I155)</f>
        <v>1</v>
      </c>
      <c r="K155" s="1" t="n">
        <v>0</v>
      </c>
      <c r="M155" s="1" t="s">
        <v>23</v>
      </c>
      <c r="N155" s="1" t="n">
        <v>144</v>
      </c>
      <c r="O155" s="1" t="s">
        <v>683</v>
      </c>
      <c r="P155" s="1" t="n">
        <v>9252</v>
      </c>
      <c r="Q155" s="1" t="s">
        <v>684</v>
      </c>
      <c r="R155" s="1" t="s">
        <v>685</v>
      </c>
      <c r="S155" s="1" t="s">
        <v>23</v>
      </c>
      <c r="T155" s="1" t="s">
        <v>23</v>
      </c>
      <c r="U155" s="1" t="s">
        <v>23</v>
      </c>
      <c r="V155" s="1" t="s">
        <v>686</v>
      </c>
    </row>
    <row r="156" customFormat="false" ht="13.8" hidden="false" customHeight="false" outlineLevel="0" collapsed="false">
      <c r="A156" s="1" t="n">
        <v>155</v>
      </c>
      <c r="B156" s="2" t="s">
        <v>687</v>
      </c>
      <c r="C156" s="1" t="n">
        <v>12</v>
      </c>
      <c r="D156" s="1" t="n">
        <v>30</v>
      </c>
      <c r="E156" s="1" t="n">
        <v>32</v>
      </c>
      <c r="F156" s="1" t="n">
        <v>35</v>
      </c>
      <c r="G156" s="1" t="n">
        <v>43</v>
      </c>
      <c r="H156" s="1" t="n">
        <v>44</v>
      </c>
      <c r="I156" s="1" t="str">
        <f aca="false">RIGHT(("0"&amp;C156),2)&amp;RIGHT(("0"&amp;D156),2)&amp;RIGHT(("0"&amp;E156),2)&amp;RIGHT(("0"&amp;F156),2)&amp;RIGHT(("0"&amp;G156),2)&amp;RIGHT(("0"&amp;H156),2)</f>
        <v>123032354344</v>
      </c>
      <c r="J156" s="1" t="n">
        <f aca="false">COUNTIF(I:I,I156)</f>
        <v>1</v>
      </c>
      <c r="K156" s="1" t="n">
        <v>1</v>
      </c>
      <c r="M156" s="1" t="s">
        <v>688</v>
      </c>
      <c r="N156" s="1" t="n">
        <v>67</v>
      </c>
      <c r="O156" s="1" t="s">
        <v>689</v>
      </c>
      <c r="P156" s="1" t="n">
        <v>4974</v>
      </c>
      <c r="Q156" s="1" t="s">
        <v>690</v>
      </c>
      <c r="R156" s="1" t="s">
        <v>23</v>
      </c>
      <c r="S156" s="1" t="s">
        <v>23</v>
      </c>
      <c r="T156" s="1" t="s">
        <v>23</v>
      </c>
      <c r="U156" s="1" t="s">
        <v>23</v>
      </c>
      <c r="V156" s="1" t="s">
        <v>691</v>
      </c>
    </row>
    <row r="157" customFormat="false" ht="13.8" hidden="false" customHeight="false" outlineLevel="0" collapsed="false">
      <c r="A157" s="1" t="n">
        <v>156</v>
      </c>
      <c r="B157" s="2" t="s">
        <v>692</v>
      </c>
      <c r="C157" s="1" t="n">
        <v>17</v>
      </c>
      <c r="D157" s="1" t="n">
        <v>23</v>
      </c>
      <c r="E157" s="1" t="n">
        <v>42</v>
      </c>
      <c r="F157" s="1" t="n">
        <v>49</v>
      </c>
      <c r="G157" s="1" t="n">
        <v>52</v>
      </c>
      <c r="H157" s="1" t="n">
        <v>55</v>
      </c>
      <c r="I157" s="1" t="str">
        <f aca="false">RIGHT(("0"&amp;C157),2)&amp;RIGHT(("0"&amp;D157),2)&amp;RIGHT(("0"&amp;E157),2)&amp;RIGHT(("0"&amp;F157),2)&amp;RIGHT(("0"&amp;G157),2)&amp;RIGHT(("0"&amp;H157),2)</f>
        <v>172342495255</v>
      </c>
      <c r="J157" s="1" t="n">
        <f aca="false">COUNTIF(I:I,I157)</f>
        <v>1</v>
      </c>
      <c r="K157" s="1" t="n">
        <v>0</v>
      </c>
      <c r="M157" s="1" t="s">
        <v>23</v>
      </c>
      <c r="N157" s="1" t="n">
        <v>74</v>
      </c>
      <c r="O157" s="1" t="s">
        <v>693</v>
      </c>
      <c r="P157" s="1" t="n">
        <v>4455</v>
      </c>
      <c r="Q157" s="1" t="s">
        <v>694</v>
      </c>
      <c r="R157" s="1" t="s">
        <v>695</v>
      </c>
      <c r="S157" s="1" t="s">
        <v>23</v>
      </c>
      <c r="T157" s="1" t="s">
        <v>23</v>
      </c>
      <c r="U157" s="1" t="s">
        <v>23</v>
      </c>
      <c r="V157" s="1" t="s">
        <v>696</v>
      </c>
    </row>
    <row r="158" customFormat="false" ht="13.8" hidden="false" customHeight="false" outlineLevel="0" collapsed="false">
      <c r="A158" s="1" t="n">
        <v>157</v>
      </c>
      <c r="B158" s="2" t="s">
        <v>697</v>
      </c>
      <c r="C158" s="1" t="n">
        <v>4</v>
      </c>
      <c r="D158" s="1" t="n">
        <v>13</v>
      </c>
      <c r="E158" s="1" t="n">
        <v>17</v>
      </c>
      <c r="F158" s="1" t="n">
        <v>21</v>
      </c>
      <c r="G158" s="1" t="n">
        <v>41</v>
      </c>
      <c r="H158" s="1" t="n">
        <v>44</v>
      </c>
      <c r="I158" s="1" t="str">
        <f aca="false">RIGHT(("0"&amp;C158),2)&amp;RIGHT(("0"&amp;D158),2)&amp;RIGHT(("0"&amp;E158),2)&amp;RIGHT(("0"&amp;F158),2)&amp;RIGHT(("0"&amp;G158),2)&amp;RIGHT(("0"&amp;H158),2)</f>
        <v>041317214144</v>
      </c>
      <c r="J158" s="1" t="n">
        <f aca="false">COUNTIF(I:I,I158)</f>
        <v>1</v>
      </c>
      <c r="K158" s="1" t="n">
        <v>1</v>
      </c>
      <c r="M158" s="1" t="s">
        <v>698</v>
      </c>
      <c r="N158" s="1" t="n">
        <v>134</v>
      </c>
      <c r="O158" s="1" t="s">
        <v>699</v>
      </c>
      <c r="P158" s="1" t="n">
        <v>8894</v>
      </c>
      <c r="Q158" s="1" t="s">
        <v>700</v>
      </c>
      <c r="R158" s="1" t="s">
        <v>23</v>
      </c>
      <c r="S158" s="1" t="s">
        <v>23</v>
      </c>
      <c r="T158" s="1" t="s">
        <v>23</v>
      </c>
      <c r="U158" s="1" t="s">
        <v>23</v>
      </c>
      <c r="V158" s="1" t="s">
        <v>701</v>
      </c>
    </row>
    <row r="159" customFormat="false" ht="13.8" hidden="false" customHeight="false" outlineLevel="0" collapsed="false">
      <c r="A159" s="1" t="n">
        <v>158</v>
      </c>
      <c r="B159" s="2" t="s">
        <v>702</v>
      </c>
      <c r="C159" s="1" t="n">
        <v>4</v>
      </c>
      <c r="D159" s="1" t="n">
        <v>14</v>
      </c>
      <c r="E159" s="1" t="n">
        <v>17</v>
      </c>
      <c r="F159" s="1" t="n">
        <v>43</v>
      </c>
      <c r="G159" s="1" t="n">
        <v>51</v>
      </c>
      <c r="H159" s="1" t="n">
        <v>58</v>
      </c>
      <c r="I159" s="1" t="str">
        <f aca="false">RIGHT(("0"&amp;C159),2)&amp;RIGHT(("0"&amp;D159),2)&amp;RIGHT(("0"&amp;E159),2)&amp;RIGHT(("0"&amp;F159),2)&amp;RIGHT(("0"&amp;G159),2)&amp;RIGHT(("0"&amp;H159),2)</f>
        <v>041417435158</v>
      </c>
      <c r="J159" s="1" t="n">
        <f aca="false">COUNTIF(I:I,I159)</f>
        <v>1</v>
      </c>
      <c r="K159" s="1" t="n">
        <v>0</v>
      </c>
      <c r="M159" s="1" t="s">
        <v>23</v>
      </c>
      <c r="N159" s="1" t="n">
        <v>31</v>
      </c>
      <c r="O159" s="1" t="s">
        <v>703</v>
      </c>
      <c r="P159" s="1" t="n">
        <v>3630</v>
      </c>
      <c r="Q159" s="1" t="s">
        <v>704</v>
      </c>
      <c r="R159" s="1" t="s">
        <v>705</v>
      </c>
      <c r="S159" s="1" t="s">
        <v>23</v>
      </c>
      <c r="T159" s="1" t="s">
        <v>23</v>
      </c>
      <c r="U159" s="1" t="s">
        <v>23</v>
      </c>
      <c r="V159" s="1" t="s">
        <v>706</v>
      </c>
    </row>
    <row r="160" customFormat="false" ht="13.8" hidden="false" customHeight="false" outlineLevel="0" collapsed="false">
      <c r="A160" s="1" t="n">
        <v>159</v>
      </c>
      <c r="B160" s="2" t="s">
        <v>707</v>
      </c>
      <c r="C160" s="1" t="n">
        <v>9</v>
      </c>
      <c r="D160" s="1" t="n">
        <v>11</v>
      </c>
      <c r="E160" s="1" t="n">
        <v>16</v>
      </c>
      <c r="F160" s="1" t="n">
        <v>35</v>
      </c>
      <c r="G160" s="1" t="n">
        <v>50</v>
      </c>
      <c r="H160" s="1" t="n">
        <v>58</v>
      </c>
      <c r="I160" s="1" t="str">
        <f aca="false">RIGHT(("0"&amp;C160),2)&amp;RIGHT(("0"&amp;D160),2)&amp;RIGHT(("0"&amp;E160),2)&amp;RIGHT(("0"&amp;F160),2)&amp;RIGHT(("0"&amp;G160),2)&amp;RIGHT(("0"&amp;H160),2)</f>
        <v>091116355058</v>
      </c>
      <c r="J160" s="1" t="n">
        <f aca="false">COUNTIF(I:I,I160)</f>
        <v>1</v>
      </c>
      <c r="K160" s="1" t="n">
        <v>1</v>
      </c>
      <c r="L160" s="1" t="s">
        <v>28</v>
      </c>
      <c r="M160" s="1" t="s">
        <v>708</v>
      </c>
      <c r="N160" s="1" t="n">
        <v>57</v>
      </c>
      <c r="O160" s="1" t="s">
        <v>709</v>
      </c>
      <c r="P160" s="1" t="n">
        <v>4124</v>
      </c>
      <c r="Q160" s="1" t="s">
        <v>710</v>
      </c>
      <c r="R160" s="1" t="s">
        <v>23</v>
      </c>
      <c r="S160" s="1" t="s">
        <v>23</v>
      </c>
      <c r="T160" s="1" t="s">
        <v>23</v>
      </c>
      <c r="U160" s="1" t="s">
        <v>23</v>
      </c>
      <c r="V160" s="1" t="s">
        <v>711</v>
      </c>
    </row>
    <row r="161" customFormat="false" ht="13.8" hidden="false" customHeight="false" outlineLevel="0" collapsed="false">
      <c r="A161" s="1" t="n">
        <v>160</v>
      </c>
      <c r="B161" s="2" t="s">
        <v>712</v>
      </c>
      <c r="C161" s="1" t="n">
        <v>2</v>
      </c>
      <c r="D161" s="1" t="n">
        <v>13</v>
      </c>
      <c r="E161" s="1" t="n">
        <v>42</v>
      </c>
      <c r="F161" s="1" t="n">
        <v>52</v>
      </c>
      <c r="G161" s="1" t="n">
        <v>54</v>
      </c>
      <c r="H161" s="1" t="n">
        <v>58</v>
      </c>
      <c r="I161" s="1" t="str">
        <f aca="false">RIGHT(("0"&amp;C161),2)&amp;RIGHT(("0"&amp;D161),2)&amp;RIGHT(("0"&amp;E161),2)&amp;RIGHT(("0"&amp;F161),2)&amp;RIGHT(("0"&amp;G161),2)&amp;RIGHT(("0"&amp;H161),2)</f>
        <v>021342525458</v>
      </c>
      <c r="J161" s="1" t="n">
        <f aca="false">COUNTIF(I:I,I161)</f>
        <v>1</v>
      </c>
      <c r="K161" s="1" t="n">
        <v>0</v>
      </c>
      <c r="M161" s="1" t="s">
        <v>23</v>
      </c>
      <c r="N161" s="1" t="n">
        <v>74</v>
      </c>
      <c r="O161" s="1" t="s">
        <v>713</v>
      </c>
      <c r="P161" s="1" t="n">
        <v>6132</v>
      </c>
      <c r="Q161" s="1" t="s">
        <v>714</v>
      </c>
      <c r="R161" s="1" t="s">
        <v>715</v>
      </c>
      <c r="S161" s="1" t="s">
        <v>23</v>
      </c>
      <c r="T161" s="1" t="s">
        <v>23</v>
      </c>
      <c r="U161" s="1" t="s">
        <v>23</v>
      </c>
      <c r="V161" s="1" t="s">
        <v>716</v>
      </c>
    </row>
    <row r="162" customFormat="false" ht="13.8" hidden="false" customHeight="false" outlineLevel="0" collapsed="false">
      <c r="A162" s="1" t="n">
        <v>161</v>
      </c>
      <c r="B162" s="2" t="s">
        <v>717</v>
      </c>
      <c r="C162" s="1" t="n">
        <v>6</v>
      </c>
      <c r="D162" s="1" t="n">
        <v>25</v>
      </c>
      <c r="E162" s="1" t="n">
        <v>30</v>
      </c>
      <c r="F162" s="1" t="n">
        <v>37</v>
      </c>
      <c r="G162" s="1" t="n">
        <v>39</v>
      </c>
      <c r="H162" s="1" t="n">
        <v>41</v>
      </c>
      <c r="I162" s="1" t="str">
        <f aca="false">RIGHT(("0"&amp;C162),2)&amp;RIGHT(("0"&amp;D162),2)&amp;RIGHT(("0"&amp;E162),2)&amp;RIGHT(("0"&amp;F162),2)&amp;RIGHT(("0"&amp;G162),2)&amp;RIGHT(("0"&amp;H162),2)</f>
        <v>062530373941</v>
      </c>
      <c r="J162" s="1" t="n">
        <f aca="false">COUNTIF(I:I,I162)</f>
        <v>1</v>
      </c>
      <c r="K162" s="1" t="n">
        <v>0</v>
      </c>
      <c r="M162" s="1" t="s">
        <v>23</v>
      </c>
      <c r="N162" s="1" t="n">
        <v>95</v>
      </c>
      <c r="O162" s="1" t="s">
        <v>718</v>
      </c>
      <c r="P162" s="1" t="n">
        <v>6865</v>
      </c>
      <c r="Q162" s="1" t="s">
        <v>719</v>
      </c>
      <c r="R162" s="1" t="s">
        <v>720</v>
      </c>
      <c r="S162" s="1" t="s">
        <v>23</v>
      </c>
      <c r="T162" s="1" t="s">
        <v>23</v>
      </c>
      <c r="U162" s="1" t="s">
        <v>23</v>
      </c>
    </row>
    <row r="163" customFormat="false" ht="13.8" hidden="false" customHeight="false" outlineLevel="0" collapsed="false">
      <c r="A163" s="1" t="n">
        <v>162</v>
      </c>
      <c r="B163" s="2" t="s">
        <v>721</v>
      </c>
      <c r="C163" s="1" t="n">
        <v>21</v>
      </c>
      <c r="D163" s="1" t="n">
        <v>23</v>
      </c>
      <c r="E163" s="1" t="n">
        <v>33</v>
      </c>
      <c r="F163" s="1" t="n">
        <v>38</v>
      </c>
      <c r="G163" s="1" t="n">
        <v>48</v>
      </c>
      <c r="H163" s="1" t="n">
        <v>51</v>
      </c>
      <c r="I163" s="1" t="str">
        <f aca="false">RIGHT(("0"&amp;C163),2)&amp;RIGHT(("0"&amp;D163),2)&amp;RIGHT(("0"&amp;E163),2)&amp;RIGHT(("0"&amp;F163),2)&amp;RIGHT(("0"&amp;G163),2)&amp;RIGHT(("0"&amp;H163),2)</f>
        <v>212333384851</v>
      </c>
      <c r="J163" s="1" t="n">
        <f aca="false">COUNTIF(I:I,I163)</f>
        <v>1</v>
      </c>
      <c r="K163" s="1" t="n">
        <v>0</v>
      </c>
      <c r="M163" s="1" t="s">
        <v>23</v>
      </c>
      <c r="N163" s="1" t="n">
        <v>92</v>
      </c>
      <c r="O163" s="1" t="s">
        <v>722</v>
      </c>
      <c r="P163" s="1" t="n">
        <v>7244</v>
      </c>
      <c r="Q163" s="1" t="s">
        <v>723</v>
      </c>
      <c r="R163" s="1" t="s">
        <v>724</v>
      </c>
      <c r="S163" s="1" t="s">
        <v>23</v>
      </c>
      <c r="T163" s="1" t="s">
        <v>23</v>
      </c>
      <c r="U163" s="1" t="s">
        <v>23</v>
      </c>
    </row>
    <row r="164" customFormat="false" ht="13.8" hidden="false" customHeight="false" outlineLevel="0" collapsed="false">
      <c r="A164" s="1" t="n">
        <v>163</v>
      </c>
      <c r="B164" s="2" t="s">
        <v>725</v>
      </c>
      <c r="C164" s="1" t="n">
        <v>8</v>
      </c>
      <c r="D164" s="1" t="n">
        <v>27</v>
      </c>
      <c r="E164" s="1" t="n">
        <v>36</v>
      </c>
      <c r="F164" s="1" t="n">
        <v>41</v>
      </c>
      <c r="G164" s="1" t="n">
        <v>53</v>
      </c>
      <c r="H164" s="1" t="n">
        <v>56</v>
      </c>
      <c r="I164" s="1" t="str">
        <f aca="false">RIGHT(("0"&amp;C164),2)&amp;RIGHT(("0"&amp;D164),2)&amp;RIGHT(("0"&amp;E164),2)&amp;RIGHT(("0"&amp;F164),2)&amp;RIGHT(("0"&amp;G164),2)&amp;RIGHT(("0"&amp;H164),2)</f>
        <v>082736415356</v>
      </c>
      <c r="J164" s="1" t="n">
        <f aca="false">COUNTIF(I:I,I164)</f>
        <v>1</v>
      </c>
      <c r="K164" s="1" t="n">
        <v>2</v>
      </c>
      <c r="M164" s="1" t="s">
        <v>726</v>
      </c>
      <c r="N164" s="1" t="n">
        <v>146</v>
      </c>
      <c r="O164" s="1" t="s">
        <v>727</v>
      </c>
      <c r="P164" s="1" t="n">
        <v>10793</v>
      </c>
      <c r="Q164" s="1" t="s">
        <v>728</v>
      </c>
      <c r="R164" s="1" t="s">
        <v>23</v>
      </c>
      <c r="S164" s="1" t="s">
        <v>23</v>
      </c>
      <c r="T164" s="1" t="s">
        <v>23</v>
      </c>
      <c r="U164" s="1" t="s">
        <v>23</v>
      </c>
      <c r="V164" s="1" t="s">
        <v>729</v>
      </c>
    </row>
    <row r="165" customFormat="false" ht="13.8" hidden="false" customHeight="false" outlineLevel="0" collapsed="false">
      <c r="A165" s="1" t="n">
        <v>164</v>
      </c>
      <c r="B165" s="2" t="s">
        <v>730</v>
      </c>
      <c r="C165" s="1" t="n">
        <v>4</v>
      </c>
      <c r="D165" s="1" t="n">
        <v>10</v>
      </c>
      <c r="E165" s="1" t="n">
        <v>14</v>
      </c>
      <c r="F165" s="1" t="n">
        <v>19</v>
      </c>
      <c r="G165" s="1" t="n">
        <v>28</v>
      </c>
      <c r="H165" s="1" t="n">
        <v>44</v>
      </c>
      <c r="I165" s="1" t="str">
        <f aca="false">RIGHT(("0"&amp;C165),2)&amp;RIGHT(("0"&amp;D165),2)&amp;RIGHT(("0"&amp;E165),2)&amp;RIGHT(("0"&amp;F165),2)&amp;RIGHT(("0"&amp;G165),2)&amp;RIGHT(("0"&amp;H165),2)</f>
        <v>041014192844</v>
      </c>
      <c r="J165" s="1" t="n">
        <f aca="false">COUNTIF(I:I,I165)</f>
        <v>1</v>
      </c>
      <c r="K165" s="1" t="n">
        <v>0</v>
      </c>
      <c r="M165" s="1" t="s">
        <v>23</v>
      </c>
      <c r="N165" s="1" t="n">
        <v>111</v>
      </c>
      <c r="O165" s="1" t="s">
        <v>731</v>
      </c>
      <c r="P165" s="1" t="n">
        <v>8386</v>
      </c>
      <c r="Q165" s="1" t="s">
        <v>732</v>
      </c>
      <c r="R165" s="1" t="s">
        <v>733</v>
      </c>
      <c r="S165" s="1" t="s">
        <v>23</v>
      </c>
      <c r="T165" s="1" t="s">
        <v>23</v>
      </c>
      <c r="U165" s="1" t="s">
        <v>23</v>
      </c>
      <c r="V165" s="1" t="s">
        <v>734</v>
      </c>
    </row>
    <row r="166" customFormat="false" ht="13.8" hidden="false" customHeight="false" outlineLevel="0" collapsed="false">
      <c r="A166" s="1" t="n">
        <v>165</v>
      </c>
      <c r="B166" s="2" t="s">
        <v>735</v>
      </c>
      <c r="C166" s="1" t="n">
        <v>10</v>
      </c>
      <c r="D166" s="1" t="n">
        <v>19</v>
      </c>
      <c r="E166" s="1" t="n">
        <v>23</v>
      </c>
      <c r="F166" s="1" t="n">
        <v>35</v>
      </c>
      <c r="G166" s="1" t="n">
        <v>39</v>
      </c>
      <c r="H166" s="1" t="n">
        <v>56</v>
      </c>
      <c r="I166" s="1" t="str">
        <f aca="false">RIGHT(("0"&amp;C166),2)&amp;RIGHT(("0"&amp;D166),2)&amp;RIGHT(("0"&amp;E166),2)&amp;RIGHT(("0"&amp;F166),2)&amp;RIGHT(("0"&amp;G166),2)&amp;RIGHT(("0"&amp;H166),2)</f>
        <v>101923353956</v>
      </c>
      <c r="J166" s="1" t="n">
        <f aca="false">COUNTIF(I:I,I166)</f>
        <v>1</v>
      </c>
      <c r="K166" s="1" t="n">
        <v>2</v>
      </c>
      <c r="M166" s="1" t="s">
        <v>736</v>
      </c>
      <c r="N166" s="1" t="n">
        <v>75</v>
      </c>
      <c r="O166" s="1" t="s">
        <v>737</v>
      </c>
      <c r="P166" s="1" t="n">
        <v>5378</v>
      </c>
      <c r="Q166" s="1" t="s">
        <v>738</v>
      </c>
      <c r="R166" s="1" t="s">
        <v>23</v>
      </c>
      <c r="S166" s="1" t="s">
        <v>23</v>
      </c>
      <c r="T166" s="1" t="s">
        <v>23</v>
      </c>
      <c r="U166" s="1" t="s">
        <v>23</v>
      </c>
      <c r="V166" s="1" t="s">
        <v>739</v>
      </c>
    </row>
    <row r="167" customFormat="false" ht="13.8" hidden="false" customHeight="false" outlineLevel="0" collapsed="false">
      <c r="A167" s="1" t="n">
        <v>166</v>
      </c>
      <c r="B167" s="2" t="s">
        <v>740</v>
      </c>
      <c r="C167" s="1" t="n">
        <v>12</v>
      </c>
      <c r="D167" s="1" t="n">
        <v>13</v>
      </c>
      <c r="E167" s="1" t="n">
        <v>22</v>
      </c>
      <c r="F167" s="1" t="n">
        <v>57</v>
      </c>
      <c r="G167" s="1" t="n">
        <v>59</v>
      </c>
      <c r="H167" s="1" t="n">
        <v>60</v>
      </c>
      <c r="I167" s="1" t="str">
        <f aca="false">RIGHT(("0"&amp;C167),2)&amp;RIGHT(("0"&amp;D167),2)&amp;RIGHT(("0"&amp;E167),2)&amp;RIGHT(("0"&amp;F167),2)&amp;RIGHT(("0"&amp;G167),2)&amp;RIGHT(("0"&amp;H167),2)</f>
        <v>121322575960</v>
      </c>
      <c r="J167" s="1" t="n">
        <f aca="false">COUNTIF(I:I,I167)</f>
        <v>1</v>
      </c>
      <c r="K167" s="1" t="n">
        <v>0</v>
      </c>
      <c r="M167" s="1" t="s">
        <v>23</v>
      </c>
      <c r="N167" s="1" t="n">
        <v>47</v>
      </c>
      <c r="O167" s="1" t="s">
        <v>741</v>
      </c>
      <c r="P167" s="1" t="n">
        <v>3371</v>
      </c>
      <c r="Q167" s="1" t="s">
        <v>742</v>
      </c>
      <c r="R167" s="1" t="s">
        <v>743</v>
      </c>
      <c r="S167" s="1" t="s">
        <v>23</v>
      </c>
      <c r="T167" s="1" t="s">
        <v>23</v>
      </c>
      <c r="U167" s="1" t="s">
        <v>23</v>
      </c>
      <c r="V167" s="1" t="s">
        <v>744</v>
      </c>
    </row>
    <row r="168" customFormat="false" ht="13.8" hidden="false" customHeight="false" outlineLevel="0" collapsed="false">
      <c r="A168" s="1" t="n">
        <v>167</v>
      </c>
      <c r="B168" s="2" t="s">
        <v>745</v>
      </c>
      <c r="C168" s="1" t="n">
        <v>1</v>
      </c>
      <c r="D168" s="1" t="n">
        <v>11</v>
      </c>
      <c r="E168" s="1" t="n">
        <v>28</v>
      </c>
      <c r="F168" s="1" t="n">
        <v>33</v>
      </c>
      <c r="G168" s="1" t="n">
        <v>38</v>
      </c>
      <c r="H168" s="1" t="n">
        <v>48</v>
      </c>
      <c r="I168" s="1" t="str">
        <f aca="false">RIGHT(("0"&amp;C168),2)&amp;RIGHT(("0"&amp;D168),2)&amp;RIGHT(("0"&amp;E168),2)&amp;RIGHT(("0"&amp;F168),2)&amp;RIGHT(("0"&amp;G168),2)&amp;RIGHT(("0"&amp;H168),2)</f>
        <v>011128333848</v>
      </c>
      <c r="J168" s="1" t="n">
        <f aca="false">COUNTIF(I:I,I168)</f>
        <v>1</v>
      </c>
      <c r="K168" s="1" t="n">
        <v>1</v>
      </c>
      <c r="M168" s="1" t="s">
        <v>746</v>
      </c>
      <c r="N168" s="1" t="n">
        <v>82</v>
      </c>
      <c r="O168" s="1" t="s">
        <v>747</v>
      </c>
      <c r="P168" s="1" t="n">
        <v>4997</v>
      </c>
      <c r="Q168" s="1" t="s">
        <v>748</v>
      </c>
      <c r="R168" s="1" t="s">
        <v>23</v>
      </c>
      <c r="S168" s="1" t="s">
        <v>23</v>
      </c>
      <c r="T168" s="1" t="s">
        <v>23</v>
      </c>
      <c r="U168" s="1" t="s">
        <v>23</v>
      </c>
      <c r="V168" s="1" t="s">
        <v>749</v>
      </c>
    </row>
    <row r="169" customFormat="false" ht="13.8" hidden="false" customHeight="false" outlineLevel="0" collapsed="false">
      <c r="A169" s="1" t="n">
        <v>168</v>
      </c>
      <c r="B169" s="2" t="s">
        <v>750</v>
      </c>
      <c r="C169" s="1" t="n">
        <v>2</v>
      </c>
      <c r="D169" s="1" t="n">
        <v>9</v>
      </c>
      <c r="E169" s="1" t="n">
        <v>31</v>
      </c>
      <c r="F169" s="1" t="n">
        <v>35</v>
      </c>
      <c r="G169" s="1" t="n">
        <v>45</v>
      </c>
      <c r="H169" s="1" t="n">
        <v>50</v>
      </c>
      <c r="I169" s="1" t="str">
        <f aca="false">RIGHT(("0"&amp;C169),2)&amp;RIGHT(("0"&amp;D169),2)&amp;RIGHT(("0"&amp;E169),2)&amp;RIGHT(("0"&amp;F169),2)&amp;RIGHT(("0"&amp;G169),2)&amp;RIGHT(("0"&amp;H169),2)</f>
        <v>020931354550</v>
      </c>
      <c r="J169" s="1" t="n">
        <f aca="false">COUNTIF(I:I,I169)</f>
        <v>1</v>
      </c>
      <c r="K169" s="1" t="n">
        <v>0</v>
      </c>
      <c r="M169" s="1" t="s">
        <v>23</v>
      </c>
      <c r="N169" s="1" t="n">
        <v>48</v>
      </c>
      <c r="O169" s="1" t="s">
        <v>751</v>
      </c>
      <c r="P169" s="1" t="n">
        <v>3528</v>
      </c>
      <c r="Q169" s="1" t="s">
        <v>752</v>
      </c>
      <c r="R169" s="1" t="s">
        <v>753</v>
      </c>
      <c r="S169" s="1" t="s">
        <v>23</v>
      </c>
      <c r="T169" s="1" t="s">
        <v>23</v>
      </c>
      <c r="U169" s="1" t="s">
        <v>23</v>
      </c>
      <c r="V169" s="1" t="s">
        <v>754</v>
      </c>
    </row>
    <row r="170" customFormat="false" ht="13.8" hidden="false" customHeight="false" outlineLevel="0" collapsed="false">
      <c r="A170" s="1" t="n">
        <v>169</v>
      </c>
      <c r="B170" s="2" t="s">
        <v>755</v>
      </c>
      <c r="C170" s="1" t="n">
        <v>1</v>
      </c>
      <c r="D170" s="1" t="n">
        <v>13</v>
      </c>
      <c r="E170" s="1" t="n">
        <v>21</v>
      </c>
      <c r="F170" s="1" t="n">
        <v>37</v>
      </c>
      <c r="G170" s="1" t="n">
        <v>51</v>
      </c>
      <c r="H170" s="1" t="n">
        <v>52</v>
      </c>
      <c r="I170" s="1" t="str">
        <f aca="false">RIGHT(("0"&amp;C170),2)&amp;RIGHT(("0"&amp;D170),2)&amp;RIGHT(("0"&amp;E170),2)&amp;RIGHT(("0"&amp;F170),2)&amp;RIGHT(("0"&amp;G170),2)&amp;RIGHT(("0"&amp;H170),2)</f>
        <v>011321375152</v>
      </c>
      <c r="J170" s="1" t="n">
        <f aca="false">COUNTIF(I:I,I170)</f>
        <v>1</v>
      </c>
      <c r="K170" s="1" t="n">
        <v>0</v>
      </c>
      <c r="M170" s="1" t="s">
        <v>23</v>
      </c>
      <c r="N170" s="1" t="n">
        <v>65</v>
      </c>
      <c r="O170" s="1" t="s">
        <v>756</v>
      </c>
      <c r="P170" s="1" t="n">
        <v>4489</v>
      </c>
      <c r="Q170" s="1" t="s">
        <v>757</v>
      </c>
      <c r="R170" s="1" t="s">
        <v>758</v>
      </c>
      <c r="S170" s="1" t="s">
        <v>23</v>
      </c>
      <c r="T170" s="1" t="s">
        <v>23</v>
      </c>
      <c r="U170" s="1" t="s">
        <v>23</v>
      </c>
    </row>
    <row r="171" customFormat="false" ht="13.8" hidden="false" customHeight="false" outlineLevel="0" collapsed="false">
      <c r="A171" s="1" t="n">
        <v>170</v>
      </c>
      <c r="B171" s="2" t="s">
        <v>759</v>
      </c>
      <c r="C171" s="1" t="n">
        <v>7</v>
      </c>
      <c r="D171" s="1" t="n">
        <v>41</v>
      </c>
      <c r="E171" s="1" t="n">
        <v>46</v>
      </c>
      <c r="F171" s="1" t="n">
        <v>51</v>
      </c>
      <c r="G171" s="1" t="n">
        <v>55</v>
      </c>
      <c r="H171" s="1" t="n">
        <v>58</v>
      </c>
      <c r="I171" s="1" t="str">
        <f aca="false">RIGHT(("0"&amp;C171),2)&amp;RIGHT(("0"&amp;D171),2)&amp;RIGHT(("0"&amp;E171),2)&amp;RIGHT(("0"&amp;F171),2)&amp;RIGHT(("0"&amp;G171),2)&amp;RIGHT(("0"&amp;H171),2)</f>
        <v>074146515558</v>
      </c>
      <c r="J171" s="1" t="n">
        <f aca="false">COUNTIF(I:I,I171)</f>
        <v>1</v>
      </c>
      <c r="K171" s="1" t="n">
        <v>0</v>
      </c>
      <c r="M171" s="1" t="s">
        <v>23</v>
      </c>
      <c r="N171" s="1" t="n">
        <v>50</v>
      </c>
      <c r="O171" s="1" t="s">
        <v>760</v>
      </c>
      <c r="P171" s="1" t="n">
        <v>6257</v>
      </c>
      <c r="Q171" s="1" t="s">
        <v>761</v>
      </c>
      <c r="R171" s="1" t="s">
        <v>762</v>
      </c>
      <c r="S171" s="1" t="s">
        <v>23</v>
      </c>
      <c r="T171" s="1" t="s">
        <v>23</v>
      </c>
      <c r="U171" s="1" t="s">
        <v>23</v>
      </c>
      <c r="V171" s="1" t="s">
        <v>763</v>
      </c>
    </row>
    <row r="172" customFormat="false" ht="13.8" hidden="false" customHeight="false" outlineLevel="0" collapsed="false">
      <c r="A172" s="1" t="n">
        <v>171</v>
      </c>
      <c r="B172" s="2" t="s">
        <v>764</v>
      </c>
      <c r="C172" s="1" t="n">
        <v>4</v>
      </c>
      <c r="D172" s="1" t="n">
        <v>27</v>
      </c>
      <c r="E172" s="1" t="n">
        <v>40</v>
      </c>
      <c r="F172" s="1" t="n">
        <v>43</v>
      </c>
      <c r="G172" s="1" t="n">
        <v>46</v>
      </c>
      <c r="H172" s="1" t="n">
        <v>54</v>
      </c>
      <c r="I172" s="1" t="str">
        <f aca="false">RIGHT(("0"&amp;C172),2)&amp;RIGHT(("0"&amp;D172),2)&amp;RIGHT(("0"&amp;E172),2)&amp;RIGHT(("0"&amp;F172),2)&amp;RIGHT(("0"&amp;G172),2)&amp;RIGHT(("0"&amp;H172),2)</f>
        <v>042740434654</v>
      </c>
      <c r="J172" s="1" t="n">
        <f aca="false">COUNTIF(I:I,I172)</f>
        <v>1</v>
      </c>
      <c r="K172" s="1" t="n">
        <v>1</v>
      </c>
      <c r="M172" s="1" t="s">
        <v>765</v>
      </c>
      <c r="N172" s="1" t="n">
        <v>134</v>
      </c>
      <c r="O172" s="1" t="s">
        <v>766</v>
      </c>
      <c r="P172" s="1" t="n">
        <v>10378</v>
      </c>
      <c r="Q172" s="1" t="s">
        <v>767</v>
      </c>
      <c r="R172" s="1" t="s">
        <v>23</v>
      </c>
      <c r="S172" s="1" t="s">
        <v>23</v>
      </c>
      <c r="T172" s="1" t="s">
        <v>23</v>
      </c>
      <c r="U172" s="1" t="s">
        <v>23</v>
      </c>
      <c r="V172" s="1" t="s">
        <v>768</v>
      </c>
    </row>
    <row r="173" customFormat="false" ht="13.8" hidden="false" customHeight="false" outlineLevel="0" collapsed="false">
      <c r="A173" s="1" t="n">
        <v>172</v>
      </c>
      <c r="B173" s="2" t="s">
        <v>769</v>
      </c>
      <c r="C173" s="1" t="n">
        <v>10</v>
      </c>
      <c r="D173" s="1" t="n">
        <v>14</v>
      </c>
      <c r="E173" s="1" t="n">
        <v>26</v>
      </c>
      <c r="F173" s="1" t="n">
        <v>35</v>
      </c>
      <c r="G173" s="1" t="n">
        <v>36</v>
      </c>
      <c r="H173" s="1" t="n">
        <v>49</v>
      </c>
      <c r="I173" s="1" t="str">
        <f aca="false">RIGHT(("0"&amp;C173),2)&amp;RIGHT(("0"&amp;D173),2)&amp;RIGHT(("0"&amp;E173),2)&amp;RIGHT(("0"&amp;F173),2)&amp;RIGHT(("0"&amp;G173),2)&amp;RIGHT(("0"&amp;H173),2)</f>
        <v>101426353649</v>
      </c>
      <c r="J173" s="1" t="n">
        <f aca="false">COUNTIF(I:I,I173)</f>
        <v>1</v>
      </c>
      <c r="K173" s="1" t="n">
        <v>0</v>
      </c>
      <c r="M173" s="1" t="s">
        <v>23</v>
      </c>
      <c r="N173" s="1" t="n">
        <v>64</v>
      </c>
      <c r="O173" s="1" t="s">
        <v>770</v>
      </c>
      <c r="P173" s="1" t="n">
        <v>4592</v>
      </c>
      <c r="Q173" s="1" t="s">
        <v>771</v>
      </c>
      <c r="R173" s="1" t="s">
        <v>772</v>
      </c>
      <c r="S173" s="1" t="s">
        <v>23</v>
      </c>
      <c r="T173" s="1" t="s">
        <v>23</v>
      </c>
      <c r="U173" s="1" t="s">
        <v>23</v>
      </c>
    </row>
    <row r="174" customFormat="false" ht="13.8" hidden="false" customHeight="false" outlineLevel="0" collapsed="false">
      <c r="A174" s="1" t="n">
        <v>173</v>
      </c>
      <c r="B174" s="2" t="s">
        <v>773</v>
      </c>
      <c r="C174" s="1" t="n">
        <v>17</v>
      </c>
      <c r="D174" s="1" t="n">
        <v>28</v>
      </c>
      <c r="E174" s="1" t="n">
        <v>29</v>
      </c>
      <c r="F174" s="1" t="n">
        <v>42</v>
      </c>
      <c r="G174" s="1" t="n">
        <v>49</v>
      </c>
      <c r="H174" s="1" t="n">
        <v>50</v>
      </c>
      <c r="I174" s="1" t="str">
        <f aca="false">RIGHT(("0"&amp;C174),2)&amp;RIGHT(("0"&amp;D174),2)&amp;RIGHT(("0"&amp;E174),2)&amp;RIGHT(("0"&amp;F174),2)&amp;RIGHT(("0"&amp;G174),2)&amp;RIGHT(("0"&amp;H174),2)</f>
        <v>172829424950</v>
      </c>
      <c r="J174" s="1" t="n">
        <f aca="false">COUNTIF(I:I,I174)</f>
        <v>1</v>
      </c>
      <c r="K174" s="1" t="n">
        <v>1</v>
      </c>
      <c r="M174" s="1" t="s">
        <v>774</v>
      </c>
      <c r="N174" s="1" t="n">
        <v>40</v>
      </c>
      <c r="O174" s="1" t="s">
        <v>775</v>
      </c>
      <c r="P174" s="1" t="n">
        <v>3610</v>
      </c>
      <c r="Q174" s="1" t="s">
        <v>776</v>
      </c>
      <c r="R174" s="1" t="s">
        <v>23</v>
      </c>
      <c r="S174" s="1" t="s">
        <v>23</v>
      </c>
      <c r="T174" s="1" t="s">
        <v>23</v>
      </c>
      <c r="U174" s="1" t="s">
        <v>23</v>
      </c>
      <c r="V174" s="1" t="s">
        <v>777</v>
      </c>
    </row>
    <row r="175" customFormat="false" ht="13.8" hidden="false" customHeight="false" outlineLevel="0" collapsed="false">
      <c r="A175" s="1" t="n">
        <v>174</v>
      </c>
      <c r="B175" s="2" t="s">
        <v>778</v>
      </c>
      <c r="C175" s="1" t="n">
        <v>11</v>
      </c>
      <c r="D175" s="1" t="n">
        <v>22</v>
      </c>
      <c r="E175" s="1" t="n">
        <v>23</v>
      </c>
      <c r="F175" s="1" t="n">
        <v>36</v>
      </c>
      <c r="G175" s="1" t="n">
        <v>52</v>
      </c>
      <c r="H175" s="1" t="n">
        <v>59</v>
      </c>
      <c r="I175" s="1" t="str">
        <f aca="false">RIGHT(("0"&amp;C175),2)&amp;RIGHT(("0"&amp;D175),2)&amp;RIGHT(("0"&amp;E175),2)&amp;RIGHT(("0"&amp;F175),2)&amp;RIGHT(("0"&amp;G175),2)&amp;RIGHT(("0"&amp;H175),2)</f>
        <v>112223365259</v>
      </c>
      <c r="J175" s="1" t="n">
        <f aca="false">COUNTIF(I:I,I175)</f>
        <v>1</v>
      </c>
      <c r="K175" s="1" t="n">
        <v>0</v>
      </c>
      <c r="M175" s="1" t="s">
        <v>23</v>
      </c>
      <c r="N175" s="1" t="n">
        <v>44</v>
      </c>
      <c r="O175" s="1" t="s">
        <v>779</v>
      </c>
      <c r="P175" s="1" t="n">
        <v>3217</v>
      </c>
      <c r="Q175" s="1" t="s">
        <v>780</v>
      </c>
      <c r="R175" s="1" t="s">
        <v>781</v>
      </c>
      <c r="S175" s="1" t="s">
        <v>23</v>
      </c>
      <c r="T175" s="1" t="s">
        <v>23</v>
      </c>
      <c r="U175" s="1" t="s">
        <v>23</v>
      </c>
      <c r="V175" s="1" t="s">
        <v>782</v>
      </c>
    </row>
    <row r="176" customFormat="false" ht="13.8" hidden="false" customHeight="false" outlineLevel="0" collapsed="false">
      <c r="A176" s="1" t="n">
        <v>175</v>
      </c>
      <c r="B176" s="2" t="s">
        <v>783</v>
      </c>
      <c r="C176" s="1" t="n">
        <v>1</v>
      </c>
      <c r="D176" s="1" t="n">
        <v>10</v>
      </c>
      <c r="E176" s="1" t="n">
        <v>13</v>
      </c>
      <c r="F176" s="1" t="n">
        <v>20</v>
      </c>
      <c r="G176" s="1" t="n">
        <v>42</v>
      </c>
      <c r="H176" s="1" t="n">
        <v>50</v>
      </c>
      <c r="I176" s="1" t="str">
        <f aca="false">RIGHT(("0"&amp;C176),2)&amp;RIGHT(("0"&amp;D176),2)&amp;RIGHT(("0"&amp;E176),2)&amp;RIGHT(("0"&amp;F176),2)&amp;RIGHT(("0"&amp;G176),2)&amp;RIGHT(("0"&amp;H176),2)</f>
        <v>011013204250</v>
      </c>
      <c r="J176" s="1" t="n">
        <f aca="false">COUNTIF(I:I,I176)</f>
        <v>1</v>
      </c>
      <c r="K176" s="1" t="n">
        <v>0</v>
      </c>
      <c r="M176" s="1" t="s">
        <v>23</v>
      </c>
      <c r="N176" s="1" t="n">
        <v>114</v>
      </c>
      <c r="O176" s="1" t="s">
        <v>784</v>
      </c>
      <c r="P176" s="1" t="n">
        <v>7058</v>
      </c>
      <c r="Q176" s="1" t="s">
        <v>785</v>
      </c>
      <c r="R176" s="1" t="s">
        <v>786</v>
      </c>
      <c r="S176" s="1" t="s">
        <v>23</v>
      </c>
      <c r="T176" s="1" t="s">
        <v>23</v>
      </c>
      <c r="U176" s="1" t="s">
        <v>23</v>
      </c>
      <c r="V176" s="1" t="s">
        <v>787</v>
      </c>
    </row>
    <row r="177" customFormat="false" ht="13.8" hidden="false" customHeight="false" outlineLevel="0" collapsed="false">
      <c r="A177" s="1" t="n">
        <v>176</v>
      </c>
      <c r="B177" s="2" t="s">
        <v>788</v>
      </c>
      <c r="C177" s="1" t="n">
        <v>1</v>
      </c>
      <c r="D177" s="1" t="n">
        <v>3</v>
      </c>
      <c r="E177" s="1" t="n">
        <v>4</v>
      </c>
      <c r="F177" s="1" t="n">
        <v>28</v>
      </c>
      <c r="G177" s="1" t="n">
        <v>45</v>
      </c>
      <c r="H177" s="1" t="n">
        <v>53</v>
      </c>
      <c r="I177" s="1" t="str">
        <f aca="false">RIGHT(("0"&amp;C177),2)&amp;RIGHT(("0"&amp;D177),2)&amp;RIGHT(("0"&amp;E177),2)&amp;RIGHT(("0"&amp;F177),2)&amp;RIGHT(("0"&amp;G177),2)&amp;RIGHT(("0"&amp;H177),2)</f>
        <v>010304284553</v>
      </c>
      <c r="J177" s="1" t="n">
        <f aca="false">COUNTIF(I:I,I177)</f>
        <v>1</v>
      </c>
      <c r="K177" s="1" t="n">
        <v>0</v>
      </c>
      <c r="M177" s="1" t="s">
        <v>23</v>
      </c>
      <c r="N177" s="1" t="n">
        <v>62</v>
      </c>
      <c r="O177" s="1" t="s">
        <v>789</v>
      </c>
      <c r="P177" s="1" t="n">
        <v>5405</v>
      </c>
      <c r="Q177" s="1" t="s">
        <v>790</v>
      </c>
      <c r="R177" s="1" t="s">
        <v>791</v>
      </c>
      <c r="S177" s="1" t="s">
        <v>23</v>
      </c>
      <c r="T177" s="1" t="s">
        <v>23</v>
      </c>
      <c r="U177" s="1" t="s">
        <v>23</v>
      </c>
    </row>
    <row r="178" customFormat="false" ht="13.8" hidden="false" customHeight="false" outlineLevel="0" collapsed="false">
      <c r="A178" s="1" t="n">
        <v>177</v>
      </c>
      <c r="B178" s="2" t="s">
        <v>792</v>
      </c>
      <c r="C178" s="1" t="n">
        <v>22</v>
      </c>
      <c r="D178" s="1" t="n">
        <v>35</v>
      </c>
      <c r="E178" s="1" t="n">
        <v>38</v>
      </c>
      <c r="F178" s="1" t="n">
        <v>39</v>
      </c>
      <c r="G178" s="1" t="n">
        <v>41</v>
      </c>
      <c r="H178" s="1" t="n">
        <v>59</v>
      </c>
      <c r="I178" s="1" t="str">
        <f aca="false">RIGHT(("0"&amp;C178),2)&amp;RIGHT(("0"&amp;D178),2)&amp;RIGHT(("0"&amp;E178),2)&amp;RIGHT(("0"&amp;F178),2)&amp;RIGHT(("0"&amp;G178),2)&amp;RIGHT(("0"&amp;H178),2)</f>
        <v>223538394159</v>
      </c>
      <c r="J178" s="1" t="n">
        <f aca="false">COUNTIF(I:I,I178)</f>
        <v>1</v>
      </c>
      <c r="K178" s="1" t="n">
        <v>0</v>
      </c>
      <c r="M178" s="1" t="s">
        <v>23</v>
      </c>
      <c r="N178" s="1" t="n">
        <v>52</v>
      </c>
      <c r="O178" s="1" t="s">
        <v>793</v>
      </c>
      <c r="P178" s="1" t="n">
        <v>4408</v>
      </c>
      <c r="Q178" s="1" t="s">
        <v>794</v>
      </c>
      <c r="R178" s="1" t="s">
        <v>795</v>
      </c>
      <c r="S178" s="1" t="s">
        <v>23</v>
      </c>
      <c r="T178" s="1" t="s">
        <v>23</v>
      </c>
      <c r="U178" s="1" t="s">
        <v>23</v>
      </c>
      <c r="V178" s="1" t="s">
        <v>796</v>
      </c>
    </row>
    <row r="179" customFormat="false" ht="13.8" hidden="false" customHeight="false" outlineLevel="0" collapsed="false">
      <c r="A179" s="1" t="n">
        <v>178</v>
      </c>
      <c r="B179" s="2" t="s">
        <v>797</v>
      </c>
      <c r="C179" s="1" t="n">
        <v>5</v>
      </c>
      <c r="D179" s="1" t="n">
        <v>15</v>
      </c>
      <c r="E179" s="1" t="n">
        <v>19</v>
      </c>
      <c r="F179" s="1" t="n">
        <v>26</v>
      </c>
      <c r="G179" s="1" t="n">
        <v>27</v>
      </c>
      <c r="H179" s="1" t="n">
        <v>33</v>
      </c>
      <c r="I179" s="1" t="str">
        <f aca="false">RIGHT(("0"&amp;C179),2)&amp;RIGHT(("0"&amp;D179),2)&amp;RIGHT(("0"&amp;E179),2)&amp;RIGHT(("0"&amp;F179),2)&amp;RIGHT(("0"&amp;G179),2)&amp;RIGHT(("0"&amp;H179),2)</f>
        <v>051519262733</v>
      </c>
      <c r="J179" s="1" t="n">
        <f aca="false">COUNTIF(I:I,I179)</f>
        <v>1</v>
      </c>
      <c r="K179" s="1" t="n">
        <v>1</v>
      </c>
      <c r="M179" s="1" t="s">
        <v>798</v>
      </c>
      <c r="N179" s="1" t="n">
        <v>198</v>
      </c>
      <c r="O179" s="1" t="s">
        <v>799</v>
      </c>
      <c r="P179" s="1" t="n">
        <v>13086</v>
      </c>
      <c r="Q179" s="1" t="s">
        <v>800</v>
      </c>
      <c r="R179" s="1" t="s">
        <v>23</v>
      </c>
      <c r="S179" s="1" t="s">
        <v>23</v>
      </c>
      <c r="T179" s="1" t="s">
        <v>23</v>
      </c>
      <c r="U179" s="1" t="s">
        <v>23</v>
      </c>
      <c r="V179" s="1" t="s">
        <v>801</v>
      </c>
    </row>
    <row r="180" customFormat="false" ht="13.8" hidden="false" customHeight="false" outlineLevel="0" collapsed="false">
      <c r="A180" s="1" t="n">
        <v>179</v>
      </c>
      <c r="B180" s="2" t="s">
        <v>802</v>
      </c>
      <c r="C180" s="1" t="n">
        <v>5</v>
      </c>
      <c r="D180" s="1" t="n">
        <v>6</v>
      </c>
      <c r="E180" s="1" t="n">
        <v>23</v>
      </c>
      <c r="F180" s="1" t="n">
        <v>26</v>
      </c>
      <c r="G180" s="1" t="n">
        <v>27</v>
      </c>
      <c r="H180" s="1" t="n">
        <v>53</v>
      </c>
      <c r="I180" s="1" t="str">
        <f aca="false">RIGHT(("0"&amp;C180),2)&amp;RIGHT(("0"&amp;D180),2)&amp;RIGHT(("0"&amp;E180),2)&amp;RIGHT(("0"&amp;F180),2)&amp;RIGHT(("0"&amp;G180),2)&amp;RIGHT(("0"&amp;H180),2)</f>
        <v>050623262753</v>
      </c>
      <c r="J180" s="1" t="n">
        <f aca="false">COUNTIF(I:I,I180)</f>
        <v>1</v>
      </c>
      <c r="K180" s="1" t="n">
        <v>0</v>
      </c>
      <c r="M180" s="1" t="s">
        <v>23</v>
      </c>
      <c r="N180" s="1" t="n">
        <v>78</v>
      </c>
      <c r="O180" s="1" t="s">
        <v>803</v>
      </c>
      <c r="P180" s="1" t="n">
        <v>5646</v>
      </c>
      <c r="Q180" s="1" t="s">
        <v>804</v>
      </c>
      <c r="R180" s="1" t="s">
        <v>805</v>
      </c>
      <c r="S180" s="1" t="s">
        <v>23</v>
      </c>
      <c r="T180" s="1" t="s">
        <v>23</v>
      </c>
      <c r="U180" s="1" t="s">
        <v>23</v>
      </c>
      <c r="V180" s="1" t="s">
        <v>806</v>
      </c>
    </row>
    <row r="181" customFormat="false" ht="13.8" hidden="false" customHeight="false" outlineLevel="0" collapsed="false">
      <c r="A181" s="1" t="n">
        <v>180</v>
      </c>
      <c r="B181" s="2" t="s">
        <v>807</v>
      </c>
      <c r="C181" s="1" t="n">
        <v>6</v>
      </c>
      <c r="D181" s="1" t="n">
        <v>23</v>
      </c>
      <c r="E181" s="1" t="n">
        <v>29</v>
      </c>
      <c r="F181" s="1" t="n">
        <v>39</v>
      </c>
      <c r="G181" s="1" t="n">
        <v>51</v>
      </c>
      <c r="H181" s="1" t="n">
        <v>60</v>
      </c>
      <c r="I181" s="1" t="str">
        <f aca="false">RIGHT(("0"&amp;C181),2)&amp;RIGHT(("0"&amp;D181),2)&amp;RIGHT(("0"&amp;E181),2)&amp;RIGHT(("0"&amp;F181),2)&amp;RIGHT(("0"&amp;G181),2)&amp;RIGHT(("0"&amp;H181),2)</f>
        <v>062329395160</v>
      </c>
      <c r="J181" s="1" t="n">
        <f aca="false">COUNTIF(I:I,I181)</f>
        <v>1</v>
      </c>
      <c r="K181" s="1" t="n">
        <v>0</v>
      </c>
      <c r="M181" s="1" t="s">
        <v>23</v>
      </c>
      <c r="N181" s="1" t="n">
        <v>111</v>
      </c>
      <c r="O181" s="1" t="s">
        <v>808</v>
      </c>
      <c r="P181" s="1" t="n">
        <v>6978</v>
      </c>
      <c r="Q181" s="1" t="s">
        <v>809</v>
      </c>
      <c r="R181" s="1" t="s">
        <v>810</v>
      </c>
      <c r="S181" s="1" t="s">
        <v>23</v>
      </c>
      <c r="T181" s="1" t="s">
        <v>23</v>
      </c>
      <c r="U181" s="1" t="s">
        <v>23</v>
      </c>
      <c r="V181" s="1" t="s">
        <v>811</v>
      </c>
    </row>
    <row r="182" customFormat="false" ht="13.8" hidden="false" customHeight="false" outlineLevel="0" collapsed="false">
      <c r="A182" s="1" t="n">
        <v>181</v>
      </c>
      <c r="B182" s="2" t="s">
        <v>812</v>
      </c>
      <c r="C182" s="1" t="n">
        <v>1</v>
      </c>
      <c r="D182" s="1" t="n">
        <v>27</v>
      </c>
      <c r="E182" s="1" t="n">
        <v>33</v>
      </c>
      <c r="F182" s="1" t="n">
        <v>35</v>
      </c>
      <c r="G182" s="1" t="n">
        <v>51</v>
      </c>
      <c r="H182" s="1" t="n">
        <v>55</v>
      </c>
      <c r="I182" s="1" t="str">
        <f aca="false">RIGHT(("0"&amp;C182),2)&amp;RIGHT(("0"&amp;D182),2)&amp;RIGHT(("0"&amp;E182),2)&amp;RIGHT(("0"&amp;F182),2)&amp;RIGHT(("0"&amp;G182),2)&amp;RIGHT(("0"&amp;H182),2)</f>
        <v>012733355155</v>
      </c>
      <c r="J182" s="1" t="n">
        <f aca="false">COUNTIF(I:I,I182)</f>
        <v>1</v>
      </c>
      <c r="K182" s="1" t="n">
        <v>0</v>
      </c>
      <c r="M182" s="1" t="s">
        <v>23</v>
      </c>
      <c r="N182" s="1" t="n">
        <v>182</v>
      </c>
      <c r="O182" s="1" t="s">
        <v>813</v>
      </c>
      <c r="P182" s="1" t="n">
        <v>11797</v>
      </c>
      <c r="Q182" s="1" t="s">
        <v>814</v>
      </c>
      <c r="R182" s="1" t="s">
        <v>815</v>
      </c>
      <c r="S182" s="1" t="s">
        <v>23</v>
      </c>
      <c r="T182" s="1" t="s">
        <v>23</v>
      </c>
      <c r="U182" s="1" t="s">
        <v>23</v>
      </c>
      <c r="V182" s="1" t="s">
        <v>816</v>
      </c>
    </row>
    <row r="183" customFormat="false" ht="13.8" hidden="false" customHeight="false" outlineLevel="0" collapsed="false">
      <c r="A183" s="1" t="n">
        <v>182</v>
      </c>
      <c r="B183" s="2" t="s">
        <v>817</v>
      </c>
      <c r="C183" s="1" t="n">
        <v>3</v>
      </c>
      <c r="D183" s="1" t="n">
        <v>5</v>
      </c>
      <c r="E183" s="1" t="n">
        <v>10</v>
      </c>
      <c r="F183" s="1" t="n">
        <v>28</v>
      </c>
      <c r="G183" s="1" t="n">
        <v>46</v>
      </c>
      <c r="H183" s="1" t="n">
        <v>60</v>
      </c>
      <c r="I183" s="1" t="str">
        <f aca="false">RIGHT(("0"&amp;C183),2)&amp;RIGHT(("0"&amp;D183),2)&amp;RIGHT(("0"&amp;E183),2)&amp;RIGHT(("0"&amp;F183),2)&amp;RIGHT(("0"&amp;G183),2)&amp;RIGHT(("0"&amp;H183),2)</f>
        <v>030510284660</v>
      </c>
      <c r="J183" s="1" t="n">
        <f aca="false">COUNTIF(I:I,I183)</f>
        <v>1</v>
      </c>
      <c r="K183" s="1" t="n">
        <v>0</v>
      </c>
      <c r="M183" s="1" t="s">
        <v>23</v>
      </c>
      <c r="N183" s="1" t="n">
        <v>239</v>
      </c>
      <c r="O183" s="1" t="s">
        <v>818</v>
      </c>
      <c r="P183" s="1" t="n">
        <v>17413</v>
      </c>
      <c r="Q183" s="1" t="s">
        <v>819</v>
      </c>
      <c r="R183" s="1" t="s">
        <v>820</v>
      </c>
      <c r="S183" s="1" t="s">
        <v>23</v>
      </c>
      <c r="T183" s="1" t="s">
        <v>23</v>
      </c>
      <c r="U183" s="1" t="s">
        <v>23</v>
      </c>
      <c r="V183" s="1" t="s">
        <v>821</v>
      </c>
    </row>
    <row r="184" customFormat="false" ht="13.8" hidden="false" customHeight="false" outlineLevel="0" collapsed="false">
      <c r="A184" s="1" t="n">
        <v>183</v>
      </c>
      <c r="B184" s="2" t="s">
        <v>822</v>
      </c>
      <c r="C184" s="1" t="n">
        <v>2</v>
      </c>
      <c r="D184" s="1" t="n">
        <v>7</v>
      </c>
      <c r="E184" s="1" t="n">
        <v>11</v>
      </c>
      <c r="F184" s="1" t="n">
        <v>16</v>
      </c>
      <c r="G184" s="1" t="n">
        <v>40</v>
      </c>
      <c r="H184" s="1" t="n">
        <v>44</v>
      </c>
      <c r="I184" s="1" t="str">
        <f aca="false">RIGHT(("0"&amp;C184),2)&amp;RIGHT(("0"&amp;D184),2)&amp;RIGHT(("0"&amp;E184),2)&amp;RIGHT(("0"&amp;F184),2)&amp;RIGHT(("0"&amp;G184),2)&amp;RIGHT(("0"&amp;H184),2)</f>
        <v>020711164044</v>
      </c>
      <c r="J184" s="1" t="n">
        <f aca="false">COUNTIF(I:I,I184)</f>
        <v>1</v>
      </c>
      <c r="K184" s="1" t="n">
        <v>0</v>
      </c>
      <c r="M184" s="1" t="s">
        <v>23</v>
      </c>
      <c r="N184" s="1" t="n">
        <v>306</v>
      </c>
      <c r="O184" s="1" t="s">
        <v>823</v>
      </c>
      <c r="P184" s="1" t="n">
        <v>20677</v>
      </c>
      <c r="Q184" s="1" t="s">
        <v>824</v>
      </c>
      <c r="R184" s="1" t="s">
        <v>825</v>
      </c>
      <c r="S184" s="1" t="s">
        <v>23</v>
      </c>
      <c r="T184" s="1" t="s">
        <v>23</v>
      </c>
      <c r="U184" s="1" t="s">
        <v>23</v>
      </c>
      <c r="V184" s="1" t="s">
        <v>826</v>
      </c>
    </row>
    <row r="185" customFormat="false" ht="13.8" hidden="false" customHeight="false" outlineLevel="0" collapsed="false">
      <c r="A185" s="1" t="n">
        <v>184</v>
      </c>
      <c r="B185" s="2" t="s">
        <v>827</v>
      </c>
      <c r="C185" s="1" t="n">
        <v>9</v>
      </c>
      <c r="D185" s="1" t="n">
        <v>16</v>
      </c>
      <c r="E185" s="1" t="n">
        <v>21</v>
      </c>
      <c r="F185" s="1" t="n">
        <v>34</v>
      </c>
      <c r="G185" s="1" t="n">
        <v>41</v>
      </c>
      <c r="H185" s="1" t="n">
        <v>60</v>
      </c>
      <c r="I185" s="1" t="str">
        <f aca="false">RIGHT(("0"&amp;C185),2)&amp;RIGHT(("0"&amp;D185),2)&amp;RIGHT(("0"&amp;E185),2)&amp;RIGHT(("0"&amp;F185),2)&amp;RIGHT(("0"&amp;G185),2)&amp;RIGHT(("0"&amp;H185),2)</f>
        <v>091621344160</v>
      </c>
      <c r="J185" s="1" t="n">
        <f aca="false">COUNTIF(I:I,I185)</f>
        <v>1</v>
      </c>
      <c r="K185" s="1" t="n">
        <v>0</v>
      </c>
      <c r="M185" s="1" t="s">
        <v>23</v>
      </c>
      <c r="N185" s="1" t="n">
        <v>217</v>
      </c>
      <c r="O185" s="1" t="s">
        <v>828</v>
      </c>
      <c r="P185" s="1" t="n">
        <v>15462</v>
      </c>
      <c r="Q185" s="1" t="s">
        <v>829</v>
      </c>
      <c r="R185" s="1" t="s">
        <v>830</v>
      </c>
      <c r="S185" s="1" t="s">
        <v>23</v>
      </c>
      <c r="T185" s="1" t="s">
        <v>23</v>
      </c>
      <c r="U185" s="1" t="s">
        <v>23</v>
      </c>
      <c r="V185" s="1" t="s">
        <v>831</v>
      </c>
    </row>
    <row r="186" customFormat="false" ht="13.8" hidden="false" customHeight="false" outlineLevel="0" collapsed="false">
      <c r="A186" s="1" t="n">
        <v>185</v>
      </c>
      <c r="B186" s="2" t="s">
        <v>832</v>
      </c>
      <c r="C186" s="1" t="n">
        <v>17</v>
      </c>
      <c r="D186" s="1" t="n">
        <v>22</v>
      </c>
      <c r="E186" s="1" t="n">
        <v>43</v>
      </c>
      <c r="F186" s="1" t="n">
        <v>46</v>
      </c>
      <c r="G186" s="1" t="n">
        <v>55</v>
      </c>
      <c r="H186" s="1" t="n">
        <v>59</v>
      </c>
      <c r="I186" s="1" t="str">
        <f aca="false">RIGHT(("0"&amp;C186),2)&amp;RIGHT(("0"&amp;D186),2)&amp;RIGHT(("0"&amp;E186),2)&amp;RIGHT(("0"&amp;F186),2)&amp;RIGHT(("0"&amp;G186),2)&amp;RIGHT(("0"&amp;H186),2)</f>
        <v>172243465559</v>
      </c>
      <c r="J186" s="1" t="n">
        <f aca="false">COUNTIF(I:I,I186)</f>
        <v>1</v>
      </c>
      <c r="K186" s="1" t="n">
        <v>0</v>
      </c>
      <c r="M186" s="1" t="s">
        <v>23</v>
      </c>
      <c r="N186" s="1" t="n">
        <v>366</v>
      </c>
      <c r="O186" s="1" t="s">
        <v>833</v>
      </c>
      <c r="P186" s="1" t="n">
        <v>24849</v>
      </c>
      <c r="Q186" s="1" t="s">
        <v>834</v>
      </c>
      <c r="R186" s="1" t="s">
        <v>835</v>
      </c>
      <c r="S186" s="1" t="s">
        <v>23</v>
      </c>
      <c r="T186" s="1" t="s">
        <v>23</v>
      </c>
      <c r="U186" s="1" t="s">
        <v>23</v>
      </c>
      <c r="V186" s="1" t="s">
        <v>836</v>
      </c>
    </row>
    <row r="187" customFormat="false" ht="13.8" hidden="false" customHeight="false" outlineLevel="0" collapsed="false">
      <c r="A187" s="1" t="n">
        <v>186</v>
      </c>
      <c r="B187" s="2" t="s">
        <v>837</v>
      </c>
      <c r="C187" s="1" t="n">
        <v>14</v>
      </c>
      <c r="D187" s="1" t="n">
        <v>23</v>
      </c>
      <c r="E187" s="1" t="n">
        <v>24</v>
      </c>
      <c r="F187" s="1" t="n">
        <v>25</v>
      </c>
      <c r="G187" s="1" t="n">
        <v>26</v>
      </c>
      <c r="H187" s="1" t="n">
        <v>51</v>
      </c>
      <c r="I187" s="1" t="str">
        <f aca="false">RIGHT(("0"&amp;C187),2)&amp;RIGHT(("0"&amp;D187),2)&amp;RIGHT(("0"&amp;E187),2)&amp;RIGHT(("0"&amp;F187),2)&amp;RIGHT(("0"&amp;G187),2)&amp;RIGHT(("0"&amp;H187),2)</f>
        <v>142324252651</v>
      </c>
      <c r="J187" s="1" t="n">
        <f aca="false">COUNTIF(I:I,I187)</f>
        <v>1</v>
      </c>
      <c r="K187" s="1" t="n">
        <v>0</v>
      </c>
      <c r="M187" s="1" t="s">
        <v>23</v>
      </c>
      <c r="N187" s="1" t="n">
        <v>352</v>
      </c>
      <c r="O187" s="1" t="s">
        <v>838</v>
      </c>
      <c r="P187" s="1" t="n">
        <v>31164</v>
      </c>
      <c r="Q187" s="1" t="s">
        <v>839</v>
      </c>
      <c r="R187" s="1" t="s">
        <v>840</v>
      </c>
      <c r="S187" s="1" t="s">
        <v>23</v>
      </c>
      <c r="T187" s="1" t="s">
        <v>23</v>
      </c>
      <c r="U187" s="1" t="s">
        <v>23</v>
      </c>
      <c r="V187" s="1" t="s">
        <v>841</v>
      </c>
    </row>
    <row r="188" customFormat="false" ht="13.8" hidden="false" customHeight="false" outlineLevel="0" collapsed="false">
      <c r="A188" s="1" t="n">
        <v>187</v>
      </c>
      <c r="B188" s="2" t="s">
        <v>842</v>
      </c>
      <c r="C188" s="1" t="n">
        <v>6</v>
      </c>
      <c r="D188" s="1" t="n">
        <v>36</v>
      </c>
      <c r="E188" s="1" t="n">
        <v>41</v>
      </c>
      <c r="F188" s="1" t="n">
        <v>44</v>
      </c>
      <c r="G188" s="1" t="n">
        <v>48</v>
      </c>
      <c r="H188" s="1" t="n">
        <v>58</v>
      </c>
      <c r="I188" s="1" t="str">
        <f aca="false">RIGHT(("0"&amp;C188),2)&amp;RIGHT(("0"&amp;D188),2)&amp;RIGHT(("0"&amp;E188),2)&amp;RIGHT(("0"&amp;F188),2)&amp;RIGHT(("0"&amp;G188),2)&amp;RIGHT(("0"&amp;H188),2)</f>
        <v>063641444858</v>
      </c>
      <c r="J188" s="1" t="n">
        <f aca="false">COUNTIF(I:I,I188)</f>
        <v>1</v>
      </c>
      <c r="K188" s="1" t="n">
        <v>0</v>
      </c>
      <c r="M188" s="1" t="s">
        <v>23</v>
      </c>
      <c r="N188" s="1" t="n">
        <v>397</v>
      </c>
      <c r="O188" s="1" t="s">
        <v>843</v>
      </c>
      <c r="P188" s="1" t="n">
        <v>39365</v>
      </c>
      <c r="Q188" s="1" t="s">
        <v>844</v>
      </c>
      <c r="R188" s="1" t="s">
        <v>845</v>
      </c>
      <c r="S188" s="1" t="s">
        <v>23</v>
      </c>
      <c r="T188" s="1" t="s">
        <v>23</v>
      </c>
      <c r="U188" s="1" t="s">
        <v>23</v>
      </c>
      <c r="V188" s="1" t="s">
        <v>846</v>
      </c>
    </row>
    <row r="189" customFormat="false" ht="13.8" hidden="false" customHeight="false" outlineLevel="0" collapsed="false">
      <c r="A189" s="1" t="n">
        <v>188</v>
      </c>
      <c r="B189" s="2" t="s">
        <v>847</v>
      </c>
      <c r="C189" s="1" t="n">
        <v>17</v>
      </c>
      <c r="D189" s="1" t="n">
        <v>27</v>
      </c>
      <c r="E189" s="1" t="n">
        <v>34</v>
      </c>
      <c r="F189" s="1" t="n">
        <v>42</v>
      </c>
      <c r="G189" s="1" t="n">
        <v>43</v>
      </c>
      <c r="H189" s="1" t="n">
        <v>46</v>
      </c>
      <c r="I189" s="1" t="str">
        <f aca="false">RIGHT(("0"&amp;C189),2)&amp;RIGHT(("0"&amp;D189),2)&amp;RIGHT(("0"&amp;E189),2)&amp;RIGHT(("0"&amp;F189),2)&amp;RIGHT(("0"&amp;G189),2)&amp;RIGHT(("0"&amp;H189),2)</f>
        <v>172734424346</v>
      </c>
      <c r="J189" s="1" t="n">
        <f aca="false">COUNTIF(I:I,I189)</f>
        <v>1</v>
      </c>
      <c r="K189" s="1" t="n">
        <v>1</v>
      </c>
      <c r="M189" s="1" t="s">
        <v>848</v>
      </c>
      <c r="N189" s="1" t="n">
        <v>1200</v>
      </c>
      <c r="O189" s="1" t="s">
        <v>849</v>
      </c>
      <c r="P189" s="1" t="n">
        <v>90235</v>
      </c>
      <c r="Q189" s="1" t="s">
        <v>850</v>
      </c>
      <c r="R189" s="1" t="s">
        <v>23</v>
      </c>
      <c r="S189" s="1" t="s">
        <v>23</v>
      </c>
      <c r="T189" s="1" t="s">
        <v>23</v>
      </c>
      <c r="U189" s="1" t="s">
        <v>23</v>
      </c>
      <c r="V189" s="1" t="s">
        <v>851</v>
      </c>
    </row>
    <row r="190" customFormat="false" ht="13.8" hidden="false" customHeight="false" outlineLevel="0" collapsed="false">
      <c r="A190" s="1" t="n">
        <v>189</v>
      </c>
      <c r="B190" s="2" t="s">
        <v>852</v>
      </c>
      <c r="C190" s="1" t="n">
        <v>4</v>
      </c>
      <c r="D190" s="1" t="n">
        <v>15</v>
      </c>
      <c r="E190" s="1" t="n">
        <v>31</v>
      </c>
      <c r="F190" s="1" t="n">
        <v>38</v>
      </c>
      <c r="G190" s="1" t="n">
        <v>41</v>
      </c>
      <c r="H190" s="1" t="n">
        <v>53</v>
      </c>
      <c r="I190" s="1" t="str">
        <f aca="false">RIGHT(("0"&amp;C190),2)&amp;RIGHT(("0"&amp;D190),2)&amp;RIGHT(("0"&amp;E190),2)&amp;RIGHT(("0"&amp;F190),2)&amp;RIGHT(("0"&amp;G190),2)&amp;RIGHT(("0"&amp;H190),2)</f>
        <v>041531384153</v>
      </c>
      <c r="J190" s="1" t="n">
        <f aca="false">COUNTIF(I:I,I190)</f>
        <v>1</v>
      </c>
      <c r="K190" s="1" t="n">
        <v>0</v>
      </c>
      <c r="M190" s="1" t="s">
        <v>23</v>
      </c>
      <c r="N190" s="1" t="n">
        <v>61</v>
      </c>
      <c r="O190" s="1" t="s">
        <v>853</v>
      </c>
      <c r="P190" s="1" t="n">
        <v>5485</v>
      </c>
      <c r="Q190" s="1" t="s">
        <v>854</v>
      </c>
      <c r="R190" s="1" t="s">
        <v>855</v>
      </c>
      <c r="S190" s="1" t="s">
        <v>23</v>
      </c>
      <c r="T190" s="1" t="s">
        <v>23</v>
      </c>
      <c r="U190" s="1" t="s">
        <v>23</v>
      </c>
      <c r="V190" s="1" t="s">
        <v>856</v>
      </c>
    </row>
    <row r="191" customFormat="false" ht="13.8" hidden="false" customHeight="false" outlineLevel="0" collapsed="false">
      <c r="A191" s="1" t="n">
        <v>190</v>
      </c>
      <c r="B191" s="2" t="s">
        <v>857</v>
      </c>
      <c r="C191" s="1" t="n">
        <v>5</v>
      </c>
      <c r="D191" s="1" t="n">
        <v>10</v>
      </c>
      <c r="E191" s="1" t="n">
        <v>21</v>
      </c>
      <c r="F191" s="1" t="n">
        <v>32</v>
      </c>
      <c r="G191" s="1" t="n">
        <v>40</v>
      </c>
      <c r="H191" s="1" t="n">
        <v>42</v>
      </c>
      <c r="I191" s="1" t="str">
        <f aca="false">RIGHT(("0"&amp;C191),2)&amp;RIGHT(("0"&amp;D191),2)&amp;RIGHT(("0"&amp;E191),2)&amp;RIGHT(("0"&amp;F191),2)&amp;RIGHT(("0"&amp;G191),2)&amp;RIGHT(("0"&amp;H191),2)</f>
        <v>051021324042</v>
      </c>
      <c r="J191" s="1" t="n">
        <f aca="false">COUNTIF(I:I,I191)</f>
        <v>1</v>
      </c>
      <c r="K191" s="1" t="n">
        <v>0</v>
      </c>
      <c r="M191" s="1" t="s">
        <v>23</v>
      </c>
      <c r="N191" s="1" t="n">
        <v>304</v>
      </c>
      <c r="O191" s="1" t="s">
        <v>858</v>
      </c>
      <c r="P191" s="1" t="n">
        <v>21481</v>
      </c>
      <c r="Q191" s="1" t="s">
        <v>859</v>
      </c>
      <c r="R191" s="1" t="s">
        <v>860</v>
      </c>
      <c r="S191" s="1" t="s">
        <v>23</v>
      </c>
      <c r="T191" s="1" t="s">
        <v>23</v>
      </c>
      <c r="U191" s="1" t="s">
        <v>23</v>
      </c>
      <c r="V191" s="1" t="s">
        <v>861</v>
      </c>
    </row>
    <row r="192" customFormat="false" ht="13.8" hidden="false" customHeight="false" outlineLevel="0" collapsed="false">
      <c r="A192" s="1" t="n">
        <v>191</v>
      </c>
      <c r="B192" s="2" t="s">
        <v>862</v>
      </c>
      <c r="C192" s="1" t="n">
        <v>1</v>
      </c>
      <c r="D192" s="1" t="n">
        <v>3</v>
      </c>
      <c r="E192" s="1" t="n">
        <v>5</v>
      </c>
      <c r="F192" s="1" t="n">
        <v>23</v>
      </c>
      <c r="G192" s="1" t="n">
        <v>41</v>
      </c>
      <c r="H192" s="1" t="n">
        <v>58</v>
      </c>
      <c r="I192" s="1" t="str">
        <f aca="false">RIGHT(("0"&amp;C192),2)&amp;RIGHT(("0"&amp;D192),2)&amp;RIGHT(("0"&amp;E192),2)&amp;RIGHT(("0"&amp;F192),2)&amp;RIGHT(("0"&amp;G192),2)&amp;RIGHT(("0"&amp;H192),2)</f>
        <v>010305234158</v>
      </c>
      <c r="J192" s="1" t="n">
        <f aca="false">COUNTIF(I:I,I192)</f>
        <v>1</v>
      </c>
      <c r="K192" s="1" t="n">
        <v>1</v>
      </c>
      <c r="M192" s="1" t="s">
        <v>863</v>
      </c>
      <c r="N192" s="1" t="n">
        <v>383</v>
      </c>
      <c r="O192" s="1" t="s">
        <v>864</v>
      </c>
      <c r="P192" s="1" t="n">
        <v>30477</v>
      </c>
      <c r="Q192" s="1" t="s">
        <v>865</v>
      </c>
      <c r="R192" s="1" t="s">
        <v>23</v>
      </c>
      <c r="S192" s="1" t="s">
        <v>23</v>
      </c>
      <c r="T192" s="1" t="s">
        <v>23</v>
      </c>
      <c r="U192" s="1" t="s">
        <v>23</v>
      </c>
      <c r="V192" s="1" t="s">
        <v>866</v>
      </c>
    </row>
    <row r="193" customFormat="false" ht="13.8" hidden="false" customHeight="false" outlineLevel="0" collapsed="false">
      <c r="A193" s="1" t="n">
        <v>192</v>
      </c>
      <c r="B193" s="2" t="s">
        <v>867</v>
      </c>
      <c r="C193" s="1" t="n">
        <v>1</v>
      </c>
      <c r="D193" s="1" t="n">
        <v>26</v>
      </c>
      <c r="E193" s="1" t="n">
        <v>28</v>
      </c>
      <c r="F193" s="1" t="n">
        <v>41</v>
      </c>
      <c r="G193" s="1" t="n">
        <v>54</v>
      </c>
      <c r="H193" s="1" t="n">
        <v>60</v>
      </c>
      <c r="I193" s="1" t="str">
        <f aca="false">RIGHT(("0"&amp;C193),2)&amp;RIGHT(("0"&amp;D193),2)&amp;RIGHT(("0"&amp;E193),2)&amp;RIGHT(("0"&amp;F193),2)&amp;RIGHT(("0"&amp;G193),2)&amp;RIGHT(("0"&amp;H193),2)</f>
        <v>012628415460</v>
      </c>
      <c r="J193" s="1" t="n">
        <f aca="false">COUNTIF(I:I,I193)</f>
        <v>1</v>
      </c>
      <c r="K193" s="1" t="n">
        <v>0</v>
      </c>
      <c r="M193" s="1" t="s">
        <v>23</v>
      </c>
      <c r="N193" s="1" t="n">
        <v>53</v>
      </c>
      <c r="O193" s="1" t="s">
        <v>868</v>
      </c>
      <c r="P193" s="1" t="n">
        <v>4403</v>
      </c>
      <c r="Q193" s="1" t="s">
        <v>869</v>
      </c>
      <c r="R193" s="1" t="s">
        <v>870</v>
      </c>
      <c r="S193" s="1" t="s">
        <v>23</v>
      </c>
      <c r="T193" s="1" t="s">
        <v>23</v>
      </c>
      <c r="U193" s="1" t="s">
        <v>23</v>
      </c>
      <c r="V193" s="1" t="s">
        <v>871</v>
      </c>
    </row>
    <row r="194" customFormat="false" ht="13.8" hidden="false" customHeight="false" outlineLevel="0" collapsed="false">
      <c r="A194" s="1" t="n">
        <v>193</v>
      </c>
      <c r="B194" s="2" t="s">
        <v>872</v>
      </c>
      <c r="C194" s="1" t="n">
        <v>4</v>
      </c>
      <c r="D194" s="1" t="n">
        <v>11</v>
      </c>
      <c r="E194" s="1" t="n">
        <v>12</v>
      </c>
      <c r="F194" s="1" t="n">
        <v>19</v>
      </c>
      <c r="G194" s="1" t="n">
        <v>43</v>
      </c>
      <c r="H194" s="1" t="n">
        <v>49</v>
      </c>
      <c r="I194" s="1" t="str">
        <f aca="false">RIGHT(("0"&amp;C194),2)&amp;RIGHT(("0"&amp;D194),2)&amp;RIGHT(("0"&amp;E194),2)&amp;RIGHT(("0"&amp;F194),2)&amp;RIGHT(("0"&amp;G194),2)&amp;RIGHT(("0"&amp;H194),2)</f>
        <v>041112194349</v>
      </c>
      <c r="J194" s="1" t="n">
        <f aca="false">COUNTIF(I:I,I194)</f>
        <v>1</v>
      </c>
      <c r="K194" s="1" t="n">
        <v>0</v>
      </c>
      <c r="M194" s="1" t="s">
        <v>23</v>
      </c>
      <c r="N194" s="1" t="n">
        <v>190</v>
      </c>
      <c r="O194" s="1" t="s">
        <v>873</v>
      </c>
      <c r="P194" s="1" t="n">
        <v>11415</v>
      </c>
      <c r="Q194" s="1" t="s">
        <v>874</v>
      </c>
      <c r="R194" s="1" t="s">
        <v>875</v>
      </c>
      <c r="S194" s="1" t="s">
        <v>23</v>
      </c>
      <c r="T194" s="1" t="s">
        <v>23</v>
      </c>
      <c r="U194" s="1" t="s">
        <v>23</v>
      </c>
      <c r="V194" s="1" t="s">
        <v>876</v>
      </c>
    </row>
    <row r="195" customFormat="false" ht="13.8" hidden="false" customHeight="false" outlineLevel="0" collapsed="false">
      <c r="A195" s="1" t="n">
        <v>194</v>
      </c>
      <c r="B195" s="2" t="s">
        <v>877</v>
      </c>
      <c r="C195" s="1" t="n">
        <v>25</v>
      </c>
      <c r="D195" s="1" t="n">
        <v>28</v>
      </c>
      <c r="E195" s="1" t="n">
        <v>32</v>
      </c>
      <c r="F195" s="1" t="n">
        <v>33</v>
      </c>
      <c r="G195" s="1" t="n">
        <v>42</v>
      </c>
      <c r="H195" s="1" t="n">
        <v>43</v>
      </c>
      <c r="I195" s="1" t="str">
        <f aca="false">RIGHT(("0"&amp;C195),2)&amp;RIGHT(("0"&amp;D195),2)&amp;RIGHT(("0"&amp;E195),2)&amp;RIGHT(("0"&amp;F195),2)&amp;RIGHT(("0"&amp;G195),2)&amp;RIGHT(("0"&amp;H195),2)</f>
        <v>252832334243</v>
      </c>
      <c r="J195" s="1" t="n">
        <f aca="false">COUNTIF(I:I,I195)</f>
        <v>1</v>
      </c>
      <c r="K195" s="1" t="n">
        <v>0</v>
      </c>
      <c r="M195" s="1" t="s">
        <v>23</v>
      </c>
      <c r="N195" s="1" t="n">
        <v>106</v>
      </c>
      <c r="O195" s="1" t="s">
        <v>878</v>
      </c>
      <c r="P195" s="1" t="n">
        <v>7456</v>
      </c>
      <c r="Q195" s="1" t="s">
        <v>879</v>
      </c>
      <c r="R195" s="1" t="s">
        <v>880</v>
      </c>
      <c r="S195" s="1" t="s">
        <v>23</v>
      </c>
      <c r="T195" s="1" t="s">
        <v>23</v>
      </c>
      <c r="U195" s="1" t="s">
        <v>23</v>
      </c>
      <c r="V195" s="1" t="s">
        <v>881</v>
      </c>
    </row>
    <row r="196" customFormat="false" ht="13.8" hidden="false" customHeight="false" outlineLevel="0" collapsed="false">
      <c r="A196" s="1" t="n">
        <v>195</v>
      </c>
      <c r="B196" s="2" t="s">
        <v>882</v>
      </c>
      <c r="C196" s="1" t="n">
        <v>3</v>
      </c>
      <c r="D196" s="1" t="n">
        <v>9</v>
      </c>
      <c r="E196" s="1" t="n">
        <v>17</v>
      </c>
      <c r="F196" s="1" t="n">
        <v>32</v>
      </c>
      <c r="G196" s="1" t="n">
        <v>37</v>
      </c>
      <c r="H196" s="1" t="n">
        <v>44</v>
      </c>
      <c r="I196" s="1" t="str">
        <f aca="false">RIGHT(("0"&amp;C196),2)&amp;RIGHT(("0"&amp;D196),2)&amp;RIGHT(("0"&amp;E196),2)&amp;RIGHT(("0"&amp;F196),2)&amp;RIGHT(("0"&amp;G196),2)&amp;RIGHT(("0"&amp;H196),2)</f>
        <v>030917323744</v>
      </c>
      <c r="J196" s="1" t="n">
        <f aca="false">COUNTIF(I:I,I196)</f>
        <v>1</v>
      </c>
      <c r="K196" s="1" t="n">
        <v>1</v>
      </c>
      <c r="L196" s="1" t="s">
        <v>883</v>
      </c>
      <c r="M196" s="1" t="s">
        <v>884</v>
      </c>
      <c r="N196" s="1" t="n">
        <v>339</v>
      </c>
      <c r="O196" s="1" t="s">
        <v>885</v>
      </c>
      <c r="P196" s="1" t="n">
        <v>13819</v>
      </c>
      <c r="Q196" s="1" t="s">
        <v>886</v>
      </c>
      <c r="R196" s="1" t="s">
        <v>23</v>
      </c>
      <c r="S196" s="1" t="s">
        <v>23</v>
      </c>
      <c r="T196" s="1" t="s">
        <v>23</v>
      </c>
      <c r="U196" s="1" t="s">
        <v>23</v>
      </c>
      <c r="V196" s="1" t="s">
        <v>887</v>
      </c>
    </row>
    <row r="197" customFormat="false" ht="13.8" hidden="false" customHeight="false" outlineLevel="0" collapsed="false">
      <c r="A197" s="1" t="n">
        <v>196</v>
      </c>
      <c r="B197" s="2" t="s">
        <v>888</v>
      </c>
      <c r="C197" s="1" t="n">
        <v>7</v>
      </c>
      <c r="D197" s="1" t="n">
        <v>9</v>
      </c>
      <c r="E197" s="1" t="n">
        <v>14</v>
      </c>
      <c r="F197" s="1" t="n">
        <v>17</v>
      </c>
      <c r="G197" s="1" t="n">
        <v>24</v>
      </c>
      <c r="H197" s="1" t="n">
        <v>32</v>
      </c>
      <c r="I197" s="1" t="str">
        <f aca="false">RIGHT(("0"&amp;C197),2)&amp;RIGHT(("0"&amp;D197),2)&amp;RIGHT(("0"&amp;E197),2)&amp;RIGHT(("0"&amp;F197),2)&amp;RIGHT(("0"&amp;G197),2)&amp;RIGHT(("0"&amp;H197),2)</f>
        <v>070914172432</v>
      </c>
      <c r="J197" s="1" t="n">
        <f aca="false">COUNTIF(I:I,I197)</f>
        <v>1</v>
      </c>
      <c r="K197" s="1" t="n">
        <v>0</v>
      </c>
      <c r="M197" s="1" t="s">
        <v>23</v>
      </c>
      <c r="N197" s="1" t="n">
        <v>182</v>
      </c>
      <c r="O197" s="1" t="s">
        <v>889</v>
      </c>
      <c r="P197" s="1" t="n">
        <v>10493</v>
      </c>
      <c r="Q197" s="1" t="s">
        <v>890</v>
      </c>
      <c r="R197" s="1" t="s">
        <v>891</v>
      </c>
      <c r="S197" s="1" t="s">
        <v>23</v>
      </c>
      <c r="T197" s="1" t="s">
        <v>23</v>
      </c>
      <c r="U197" s="1" t="s">
        <v>23</v>
      </c>
      <c r="V197" s="1" t="s">
        <v>892</v>
      </c>
    </row>
    <row r="198" customFormat="false" ht="13.8" hidden="false" customHeight="false" outlineLevel="0" collapsed="false">
      <c r="A198" s="1" t="n">
        <v>197</v>
      </c>
      <c r="B198" s="2" t="s">
        <v>893</v>
      </c>
      <c r="C198" s="1" t="n">
        <v>5</v>
      </c>
      <c r="D198" s="1" t="n">
        <v>12</v>
      </c>
      <c r="E198" s="1" t="n">
        <v>15</v>
      </c>
      <c r="F198" s="1" t="n">
        <v>19</v>
      </c>
      <c r="G198" s="1" t="n">
        <v>29</v>
      </c>
      <c r="H198" s="1" t="n">
        <v>52</v>
      </c>
      <c r="I198" s="1" t="str">
        <f aca="false">RIGHT(("0"&amp;C198),2)&amp;RIGHT(("0"&amp;D198),2)&amp;RIGHT(("0"&amp;E198),2)&amp;RIGHT(("0"&amp;F198),2)&amp;RIGHT(("0"&amp;G198),2)&amp;RIGHT(("0"&amp;H198),2)</f>
        <v>051215192952</v>
      </c>
      <c r="J198" s="1" t="n">
        <f aca="false">COUNTIF(I:I,I198)</f>
        <v>1</v>
      </c>
      <c r="K198" s="1" t="n">
        <v>0</v>
      </c>
      <c r="M198" s="1" t="s">
        <v>23</v>
      </c>
      <c r="N198" s="1" t="n">
        <v>128</v>
      </c>
      <c r="O198" s="1" t="s">
        <v>894</v>
      </c>
      <c r="P198" s="1" t="n">
        <v>8720</v>
      </c>
      <c r="Q198" s="1" t="s">
        <v>895</v>
      </c>
      <c r="R198" s="1" t="s">
        <v>896</v>
      </c>
      <c r="S198" s="1" t="s">
        <v>23</v>
      </c>
      <c r="T198" s="1" t="s">
        <v>23</v>
      </c>
      <c r="U198" s="1" t="s">
        <v>23</v>
      </c>
      <c r="V198" s="1" t="s">
        <v>897</v>
      </c>
    </row>
    <row r="199" customFormat="false" ht="13.8" hidden="false" customHeight="false" outlineLevel="0" collapsed="false">
      <c r="A199" s="1" t="n">
        <v>198</v>
      </c>
      <c r="B199" s="2" t="s">
        <v>898</v>
      </c>
      <c r="C199" s="1" t="n">
        <v>1</v>
      </c>
      <c r="D199" s="1" t="n">
        <v>8</v>
      </c>
      <c r="E199" s="1" t="n">
        <v>18</v>
      </c>
      <c r="F199" s="1" t="n">
        <v>23</v>
      </c>
      <c r="G199" s="1" t="n">
        <v>35</v>
      </c>
      <c r="H199" s="1" t="n">
        <v>40</v>
      </c>
      <c r="I199" s="1" t="str">
        <f aca="false">RIGHT(("0"&amp;C199),2)&amp;RIGHT(("0"&amp;D199),2)&amp;RIGHT(("0"&amp;E199),2)&amp;RIGHT(("0"&amp;F199),2)&amp;RIGHT(("0"&amp;G199),2)&amp;RIGHT(("0"&amp;H199),2)</f>
        <v>010818233540</v>
      </c>
      <c r="J199" s="1" t="n">
        <f aca="false">COUNTIF(I:I,I199)</f>
        <v>1</v>
      </c>
      <c r="K199" s="1" t="n">
        <v>0</v>
      </c>
      <c r="M199" s="1" t="s">
        <v>23</v>
      </c>
      <c r="N199" s="1" t="n">
        <v>125</v>
      </c>
      <c r="O199" s="1" t="s">
        <v>899</v>
      </c>
      <c r="P199" s="1" t="n">
        <v>7134</v>
      </c>
      <c r="Q199" s="1" t="s">
        <v>900</v>
      </c>
      <c r="R199" s="1" t="s">
        <v>901</v>
      </c>
      <c r="S199" s="1" t="s">
        <v>23</v>
      </c>
      <c r="T199" s="1" t="s">
        <v>23</v>
      </c>
      <c r="U199" s="1" t="s">
        <v>23</v>
      </c>
      <c r="V199" s="1" t="s">
        <v>902</v>
      </c>
    </row>
    <row r="200" customFormat="false" ht="13.8" hidden="false" customHeight="false" outlineLevel="0" collapsed="false">
      <c r="A200" s="1" t="n">
        <v>199</v>
      </c>
      <c r="B200" s="2" t="s">
        <v>903</v>
      </c>
      <c r="C200" s="1" t="n">
        <v>10</v>
      </c>
      <c r="D200" s="1" t="n">
        <v>16</v>
      </c>
      <c r="E200" s="1" t="n">
        <v>37</v>
      </c>
      <c r="F200" s="1" t="n">
        <v>50</v>
      </c>
      <c r="G200" s="1" t="n">
        <v>52</v>
      </c>
      <c r="H200" s="1" t="n">
        <v>57</v>
      </c>
      <c r="I200" s="1" t="str">
        <f aca="false">RIGHT(("0"&amp;C200),2)&amp;RIGHT(("0"&amp;D200),2)&amp;RIGHT(("0"&amp;E200),2)&amp;RIGHT(("0"&amp;F200),2)&amp;RIGHT(("0"&amp;G200),2)&amp;RIGHT(("0"&amp;H200),2)</f>
        <v>101637505257</v>
      </c>
      <c r="J200" s="1" t="n">
        <f aca="false">COUNTIF(I:I,I200)</f>
        <v>1</v>
      </c>
      <c r="K200" s="1" t="n">
        <v>1</v>
      </c>
      <c r="L200" s="1" t="s">
        <v>91</v>
      </c>
      <c r="M200" s="1" t="s">
        <v>904</v>
      </c>
      <c r="N200" s="1" t="n">
        <v>34</v>
      </c>
      <c r="O200" s="1" t="s">
        <v>905</v>
      </c>
      <c r="P200" s="1" t="n">
        <v>3143</v>
      </c>
      <c r="Q200" s="1" t="s">
        <v>906</v>
      </c>
      <c r="R200" s="1" t="s">
        <v>23</v>
      </c>
      <c r="S200" s="1" t="s">
        <v>23</v>
      </c>
      <c r="T200" s="1" t="s">
        <v>23</v>
      </c>
      <c r="U200" s="1" t="s">
        <v>23</v>
      </c>
      <c r="V200" s="1" t="s">
        <v>907</v>
      </c>
    </row>
    <row r="201" customFormat="false" ht="13.8" hidden="false" customHeight="false" outlineLevel="0" collapsed="false">
      <c r="A201" s="1" t="n">
        <v>200</v>
      </c>
      <c r="B201" s="2" t="s">
        <v>908</v>
      </c>
      <c r="C201" s="1" t="n">
        <v>12</v>
      </c>
      <c r="D201" s="1" t="n">
        <v>15</v>
      </c>
      <c r="E201" s="1" t="n">
        <v>19</v>
      </c>
      <c r="F201" s="1" t="n">
        <v>34</v>
      </c>
      <c r="G201" s="1" t="n">
        <v>44</v>
      </c>
      <c r="H201" s="1" t="n">
        <v>51</v>
      </c>
      <c r="I201" s="1" t="str">
        <f aca="false">RIGHT(("0"&amp;C201),2)&amp;RIGHT(("0"&amp;D201),2)&amp;RIGHT(("0"&amp;E201),2)&amp;RIGHT(("0"&amp;F201),2)&amp;RIGHT(("0"&amp;G201),2)&amp;RIGHT(("0"&amp;H201),2)</f>
        <v>121519344451</v>
      </c>
      <c r="J201" s="1" t="n">
        <f aca="false">COUNTIF(I:I,I201)</f>
        <v>1</v>
      </c>
      <c r="K201" s="1" t="n">
        <v>2</v>
      </c>
      <c r="M201" s="1" t="s">
        <v>909</v>
      </c>
      <c r="N201" s="1" t="n">
        <v>186</v>
      </c>
      <c r="O201" s="1" t="s">
        <v>910</v>
      </c>
      <c r="P201" s="1" t="n">
        <v>13027</v>
      </c>
      <c r="Q201" s="1" t="s">
        <v>911</v>
      </c>
      <c r="R201" s="1" t="s">
        <v>23</v>
      </c>
      <c r="S201" s="1" t="s">
        <v>23</v>
      </c>
      <c r="T201" s="1" t="s">
        <v>23</v>
      </c>
      <c r="U201" s="1" t="s">
        <v>23</v>
      </c>
      <c r="V201" s="1" t="s">
        <v>912</v>
      </c>
    </row>
    <row r="202" customFormat="false" ht="13.8" hidden="false" customHeight="false" outlineLevel="0" collapsed="false">
      <c r="A202" s="1" t="n">
        <v>201</v>
      </c>
      <c r="B202" s="2" t="s">
        <v>913</v>
      </c>
      <c r="C202" s="1" t="n">
        <v>5</v>
      </c>
      <c r="D202" s="1" t="n">
        <v>20</v>
      </c>
      <c r="E202" s="1" t="n">
        <v>22</v>
      </c>
      <c r="F202" s="1" t="n">
        <v>30</v>
      </c>
      <c r="G202" s="1" t="n">
        <v>35</v>
      </c>
      <c r="H202" s="1" t="n">
        <v>55</v>
      </c>
      <c r="I202" s="1" t="str">
        <f aca="false">RIGHT(("0"&amp;C202),2)&amp;RIGHT(("0"&amp;D202),2)&amp;RIGHT(("0"&amp;E202),2)&amp;RIGHT(("0"&amp;F202),2)&amp;RIGHT(("0"&amp;G202),2)&amp;RIGHT(("0"&amp;H202),2)</f>
        <v>052022303555</v>
      </c>
      <c r="J202" s="1" t="n">
        <f aca="false">COUNTIF(I:I,I202)</f>
        <v>1</v>
      </c>
      <c r="K202" s="1" t="n">
        <v>1</v>
      </c>
      <c r="L202" s="1" t="s">
        <v>914</v>
      </c>
      <c r="M202" s="1" t="s">
        <v>915</v>
      </c>
      <c r="N202" s="1" t="n">
        <v>77</v>
      </c>
      <c r="O202" s="1" t="s">
        <v>916</v>
      </c>
      <c r="P202" s="1" t="n">
        <v>4502</v>
      </c>
      <c r="Q202" s="1" t="s">
        <v>917</v>
      </c>
      <c r="R202" s="1" t="s">
        <v>23</v>
      </c>
      <c r="S202" s="1" t="s">
        <v>23</v>
      </c>
      <c r="T202" s="1" t="s">
        <v>23</v>
      </c>
      <c r="U202" s="1" t="s">
        <v>23</v>
      </c>
      <c r="V202" s="1" t="s">
        <v>918</v>
      </c>
    </row>
    <row r="203" customFormat="false" ht="13.8" hidden="false" customHeight="false" outlineLevel="0" collapsed="false">
      <c r="A203" s="1" t="n">
        <v>202</v>
      </c>
      <c r="B203" s="2" t="s">
        <v>919</v>
      </c>
      <c r="C203" s="1" t="n">
        <v>12</v>
      </c>
      <c r="D203" s="1" t="n">
        <v>24</v>
      </c>
      <c r="E203" s="1" t="n">
        <v>44</v>
      </c>
      <c r="F203" s="1" t="n">
        <v>45</v>
      </c>
      <c r="G203" s="1" t="n">
        <v>49</v>
      </c>
      <c r="H203" s="1" t="n">
        <v>53</v>
      </c>
      <c r="I203" s="1" t="str">
        <f aca="false">RIGHT(("0"&amp;C203),2)&amp;RIGHT(("0"&amp;D203),2)&amp;RIGHT(("0"&amp;E203),2)&amp;RIGHT(("0"&amp;F203),2)&amp;RIGHT(("0"&amp;G203),2)&amp;RIGHT(("0"&amp;H203),2)</f>
        <v>122444454953</v>
      </c>
      <c r="J203" s="1" t="n">
        <f aca="false">COUNTIF(I:I,I203)</f>
        <v>1</v>
      </c>
      <c r="K203" s="1" t="n">
        <v>0</v>
      </c>
      <c r="M203" s="1" t="s">
        <v>23</v>
      </c>
      <c r="N203" s="1" t="n">
        <v>65</v>
      </c>
      <c r="O203" s="1" t="s">
        <v>920</v>
      </c>
      <c r="P203" s="1" t="n">
        <v>4279</v>
      </c>
      <c r="Q203" s="1" t="s">
        <v>921</v>
      </c>
      <c r="R203" s="1" t="s">
        <v>922</v>
      </c>
      <c r="S203" s="1" t="s">
        <v>23</v>
      </c>
      <c r="T203" s="1" t="s">
        <v>23</v>
      </c>
      <c r="U203" s="1" t="s">
        <v>23</v>
      </c>
      <c r="V203" s="1" t="s">
        <v>923</v>
      </c>
    </row>
    <row r="204" customFormat="false" ht="13.8" hidden="false" customHeight="false" outlineLevel="0" collapsed="false">
      <c r="A204" s="1" t="n">
        <v>203</v>
      </c>
      <c r="B204" s="2" t="s">
        <v>924</v>
      </c>
      <c r="C204" s="1" t="n">
        <v>11</v>
      </c>
      <c r="D204" s="1" t="n">
        <v>19</v>
      </c>
      <c r="E204" s="1" t="n">
        <v>29</v>
      </c>
      <c r="F204" s="1" t="n">
        <v>44</v>
      </c>
      <c r="G204" s="1" t="n">
        <v>47</v>
      </c>
      <c r="H204" s="1" t="n">
        <v>55</v>
      </c>
      <c r="I204" s="1" t="str">
        <f aca="false">RIGHT(("0"&amp;C204),2)&amp;RIGHT(("0"&amp;D204),2)&amp;RIGHT(("0"&amp;E204),2)&amp;RIGHT(("0"&amp;F204),2)&amp;RIGHT(("0"&amp;G204),2)&amp;RIGHT(("0"&amp;H204),2)</f>
        <v>111929444755</v>
      </c>
      <c r="J204" s="1" t="n">
        <f aca="false">COUNTIF(I:I,I204)</f>
        <v>1</v>
      </c>
      <c r="K204" s="1" t="n">
        <v>0</v>
      </c>
      <c r="M204" s="1" t="s">
        <v>23</v>
      </c>
      <c r="N204" s="1" t="n">
        <v>63</v>
      </c>
      <c r="O204" s="1" t="s">
        <v>925</v>
      </c>
      <c r="P204" s="1" t="n">
        <v>5417</v>
      </c>
      <c r="Q204" s="1" t="s">
        <v>926</v>
      </c>
      <c r="R204" s="1" t="s">
        <v>927</v>
      </c>
      <c r="S204" s="1" t="s">
        <v>23</v>
      </c>
      <c r="T204" s="1" t="s">
        <v>23</v>
      </c>
      <c r="U204" s="1" t="s">
        <v>23</v>
      </c>
      <c r="V204" s="1" t="s">
        <v>928</v>
      </c>
    </row>
    <row r="205" customFormat="false" ht="13.8" hidden="false" customHeight="false" outlineLevel="0" collapsed="false">
      <c r="A205" s="1" t="n">
        <v>204</v>
      </c>
      <c r="B205" s="2" t="s">
        <v>929</v>
      </c>
      <c r="C205" s="1" t="n">
        <v>29</v>
      </c>
      <c r="D205" s="1" t="n">
        <v>31</v>
      </c>
      <c r="E205" s="1" t="n">
        <v>39</v>
      </c>
      <c r="F205" s="1" t="n">
        <v>41</v>
      </c>
      <c r="G205" s="1" t="n">
        <v>51</v>
      </c>
      <c r="H205" s="1" t="n">
        <v>58</v>
      </c>
      <c r="I205" s="1" t="str">
        <f aca="false">RIGHT(("0"&amp;C205),2)&amp;RIGHT(("0"&amp;D205),2)&amp;RIGHT(("0"&amp;E205),2)&amp;RIGHT(("0"&amp;F205),2)&amp;RIGHT(("0"&amp;G205),2)&amp;RIGHT(("0"&amp;H205),2)</f>
        <v>293139415158</v>
      </c>
      <c r="J205" s="1" t="n">
        <f aca="false">COUNTIF(I:I,I205)</f>
        <v>1</v>
      </c>
      <c r="K205" s="1" t="n">
        <v>0</v>
      </c>
      <c r="M205" s="1" t="s">
        <v>23</v>
      </c>
      <c r="N205" s="1" t="n">
        <v>32</v>
      </c>
      <c r="O205" s="1" t="s">
        <v>930</v>
      </c>
      <c r="P205" s="1" t="n">
        <v>2400</v>
      </c>
      <c r="Q205" s="1" t="s">
        <v>931</v>
      </c>
      <c r="R205" s="1" t="s">
        <v>932</v>
      </c>
      <c r="S205" s="1" t="s">
        <v>23</v>
      </c>
      <c r="T205" s="1" t="s">
        <v>23</v>
      </c>
      <c r="U205" s="1" t="s">
        <v>23</v>
      </c>
      <c r="V205" s="1" t="s">
        <v>933</v>
      </c>
    </row>
    <row r="206" customFormat="false" ht="13.8" hidden="false" customHeight="false" outlineLevel="0" collapsed="false">
      <c r="A206" s="1" t="n">
        <v>205</v>
      </c>
      <c r="B206" s="2" t="s">
        <v>934</v>
      </c>
      <c r="C206" s="1" t="n">
        <v>26</v>
      </c>
      <c r="D206" s="1" t="n">
        <v>32</v>
      </c>
      <c r="E206" s="1" t="n">
        <v>40</v>
      </c>
      <c r="F206" s="1" t="n">
        <v>43</v>
      </c>
      <c r="G206" s="1" t="n">
        <v>46</v>
      </c>
      <c r="H206" s="1" t="n">
        <v>54</v>
      </c>
      <c r="I206" s="1" t="str">
        <f aca="false">RIGHT(("0"&amp;C206),2)&amp;RIGHT(("0"&amp;D206),2)&amp;RIGHT(("0"&amp;E206),2)&amp;RIGHT(("0"&amp;F206),2)&amp;RIGHT(("0"&amp;G206),2)&amp;RIGHT(("0"&amp;H206),2)</f>
        <v>263240434654</v>
      </c>
      <c r="J206" s="1" t="n">
        <f aca="false">COUNTIF(I:I,I206)</f>
        <v>1</v>
      </c>
      <c r="K206" s="1" t="n">
        <v>1</v>
      </c>
      <c r="L206" s="1" t="s">
        <v>66</v>
      </c>
      <c r="M206" s="1" t="s">
        <v>935</v>
      </c>
      <c r="N206" s="1" t="n">
        <v>71</v>
      </c>
      <c r="O206" s="1" t="s">
        <v>936</v>
      </c>
      <c r="P206" s="1" t="n">
        <v>6014</v>
      </c>
      <c r="Q206" s="1" t="s">
        <v>937</v>
      </c>
      <c r="R206" s="1" t="s">
        <v>23</v>
      </c>
      <c r="S206" s="1" t="s">
        <v>23</v>
      </c>
      <c r="T206" s="1" t="s">
        <v>23</v>
      </c>
      <c r="U206" s="1" t="s">
        <v>23</v>
      </c>
      <c r="V206" s="1" t="s">
        <v>938</v>
      </c>
    </row>
    <row r="207" customFormat="false" ht="13.8" hidden="false" customHeight="false" outlineLevel="0" collapsed="false">
      <c r="A207" s="1" t="n">
        <v>206</v>
      </c>
      <c r="B207" s="2" t="s">
        <v>939</v>
      </c>
      <c r="C207" s="1" t="n">
        <v>18</v>
      </c>
      <c r="D207" s="1" t="n">
        <v>20</v>
      </c>
      <c r="E207" s="1" t="n">
        <v>26</v>
      </c>
      <c r="F207" s="1" t="n">
        <v>34</v>
      </c>
      <c r="G207" s="1" t="n">
        <v>51</v>
      </c>
      <c r="H207" s="1" t="n">
        <v>56</v>
      </c>
      <c r="I207" s="1" t="str">
        <f aca="false">RIGHT(("0"&amp;C207),2)&amp;RIGHT(("0"&amp;D207),2)&amp;RIGHT(("0"&amp;E207),2)&amp;RIGHT(("0"&amp;F207),2)&amp;RIGHT(("0"&amp;G207),2)&amp;RIGHT(("0"&amp;H207),2)</f>
        <v>182026345156</v>
      </c>
      <c r="J207" s="1" t="n">
        <f aca="false">COUNTIF(I:I,I207)</f>
        <v>1</v>
      </c>
      <c r="K207" s="1" t="n">
        <v>0</v>
      </c>
      <c r="M207" s="1" t="s">
        <v>23</v>
      </c>
      <c r="N207" s="1" t="n">
        <v>43</v>
      </c>
      <c r="O207" s="1" t="s">
        <v>940</v>
      </c>
      <c r="P207" s="1" t="n">
        <v>3478</v>
      </c>
      <c r="Q207" s="1" t="s">
        <v>941</v>
      </c>
      <c r="R207" s="1" t="s">
        <v>942</v>
      </c>
      <c r="S207" s="1" t="s">
        <v>23</v>
      </c>
      <c r="T207" s="1" t="s">
        <v>23</v>
      </c>
      <c r="U207" s="1" t="s">
        <v>23</v>
      </c>
      <c r="V207" s="1" t="s">
        <v>943</v>
      </c>
    </row>
    <row r="208" customFormat="false" ht="13.8" hidden="false" customHeight="false" outlineLevel="0" collapsed="false">
      <c r="A208" s="1" t="n">
        <v>207</v>
      </c>
      <c r="B208" s="2" t="s">
        <v>944</v>
      </c>
      <c r="C208" s="1" t="n">
        <v>3</v>
      </c>
      <c r="D208" s="1" t="n">
        <v>7</v>
      </c>
      <c r="E208" s="1" t="n">
        <v>19</v>
      </c>
      <c r="F208" s="1" t="n">
        <v>24</v>
      </c>
      <c r="G208" s="1" t="n">
        <v>53</v>
      </c>
      <c r="H208" s="1" t="n">
        <v>55</v>
      </c>
      <c r="I208" s="1" t="str">
        <f aca="false">RIGHT(("0"&amp;C208),2)&amp;RIGHT(("0"&amp;D208),2)&amp;RIGHT(("0"&amp;E208),2)&amp;RIGHT(("0"&amp;F208),2)&amp;RIGHT(("0"&amp;G208),2)&amp;RIGHT(("0"&amp;H208),2)</f>
        <v>030719245355</v>
      </c>
      <c r="J208" s="1" t="n">
        <f aca="false">COUNTIF(I:I,I208)</f>
        <v>1</v>
      </c>
      <c r="K208" s="1" t="n">
        <v>0</v>
      </c>
      <c r="M208" s="1" t="s">
        <v>23</v>
      </c>
      <c r="N208" s="1" t="n">
        <v>90</v>
      </c>
      <c r="O208" s="1" t="s">
        <v>945</v>
      </c>
      <c r="P208" s="1" t="n">
        <v>6510</v>
      </c>
      <c r="Q208" s="1" t="s">
        <v>946</v>
      </c>
      <c r="R208" s="1" t="s">
        <v>947</v>
      </c>
      <c r="S208" s="1" t="s">
        <v>23</v>
      </c>
      <c r="T208" s="1" t="s">
        <v>23</v>
      </c>
      <c r="U208" s="1" t="s">
        <v>23</v>
      </c>
      <c r="V208" s="1" t="s">
        <v>948</v>
      </c>
    </row>
    <row r="209" customFormat="false" ht="13.8" hidden="false" customHeight="false" outlineLevel="0" collapsed="false">
      <c r="A209" s="1" t="n">
        <v>208</v>
      </c>
      <c r="B209" s="2" t="s">
        <v>949</v>
      </c>
      <c r="C209" s="1" t="n">
        <v>15</v>
      </c>
      <c r="D209" s="1" t="n">
        <v>23</v>
      </c>
      <c r="E209" s="1" t="n">
        <v>24</v>
      </c>
      <c r="F209" s="1" t="n">
        <v>25</v>
      </c>
      <c r="G209" s="1" t="n">
        <v>47</v>
      </c>
      <c r="H209" s="1" t="n">
        <v>57</v>
      </c>
      <c r="I209" s="1" t="str">
        <f aca="false">RIGHT(("0"&amp;C209),2)&amp;RIGHT(("0"&amp;D209),2)&amp;RIGHT(("0"&amp;E209),2)&amp;RIGHT(("0"&amp;F209),2)&amp;RIGHT(("0"&amp;G209),2)&amp;RIGHT(("0"&amp;H209),2)</f>
        <v>152324254757</v>
      </c>
      <c r="J209" s="1" t="n">
        <f aca="false">COUNTIF(I:I,I209)</f>
        <v>1</v>
      </c>
      <c r="K209" s="1" t="n">
        <v>0</v>
      </c>
      <c r="M209" s="1" t="s">
        <v>23</v>
      </c>
      <c r="N209" s="1" t="n">
        <v>72</v>
      </c>
      <c r="O209" s="1" t="s">
        <v>950</v>
      </c>
      <c r="P209" s="1" t="n">
        <v>5232</v>
      </c>
      <c r="Q209" s="1" t="s">
        <v>951</v>
      </c>
      <c r="R209" s="1" t="s">
        <v>952</v>
      </c>
      <c r="S209" s="1" t="s">
        <v>23</v>
      </c>
      <c r="T209" s="1" t="s">
        <v>23</v>
      </c>
      <c r="U209" s="1" t="s">
        <v>23</v>
      </c>
      <c r="V209" s="1" t="s">
        <v>953</v>
      </c>
    </row>
    <row r="210" customFormat="false" ht="13.8" hidden="false" customHeight="false" outlineLevel="0" collapsed="false">
      <c r="A210" s="1" t="n">
        <v>209</v>
      </c>
      <c r="B210" s="2" t="s">
        <v>954</v>
      </c>
      <c r="C210" s="1" t="n">
        <v>13</v>
      </c>
      <c r="D210" s="1" t="n">
        <v>21</v>
      </c>
      <c r="E210" s="1" t="n">
        <v>26</v>
      </c>
      <c r="F210" s="1" t="n">
        <v>32</v>
      </c>
      <c r="G210" s="1" t="n">
        <v>41</v>
      </c>
      <c r="H210" s="1" t="n">
        <v>52</v>
      </c>
      <c r="I210" s="1" t="str">
        <f aca="false">RIGHT(("0"&amp;C210),2)&amp;RIGHT(("0"&amp;D210),2)&amp;RIGHT(("0"&amp;E210),2)&amp;RIGHT(("0"&amp;F210),2)&amp;RIGHT(("0"&amp;G210),2)&amp;RIGHT(("0"&amp;H210),2)</f>
        <v>132126324152</v>
      </c>
      <c r="J210" s="1" t="n">
        <f aca="false">COUNTIF(I:I,I210)</f>
        <v>1</v>
      </c>
      <c r="K210" s="1" t="n">
        <v>0</v>
      </c>
      <c r="M210" s="1" t="s">
        <v>23</v>
      </c>
      <c r="N210" s="1" t="n">
        <v>81</v>
      </c>
      <c r="O210" s="1" t="s">
        <v>955</v>
      </c>
      <c r="P210" s="1" t="n">
        <v>5496</v>
      </c>
      <c r="Q210" s="1" t="s">
        <v>956</v>
      </c>
      <c r="R210" s="1" t="s">
        <v>957</v>
      </c>
      <c r="S210" s="1" t="s">
        <v>23</v>
      </c>
      <c r="T210" s="1" t="s">
        <v>23</v>
      </c>
      <c r="U210" s="1" t="s">
        <v>23</v>
      </c>
      <c r="V210" s="1" t="s">
        <v>958</v>
      </c>
    </row>
    <row r="211" customFormat="false" ht="13.8" hidden="false" customHeight="false" outlineLevel="0" collapsed="false">
      <c r="A211" s="1" t="n">
        <v>210</v>
      </c>
      <c r="B211" s="2" t="s">
        <v>959</v>
      </c>
      <c r="C211" s="1" t="n">
        <v>20</v>
      </c>
      <c r="D211" s="1" t="n">
        <v>32</v>
      </c>
      <c r="E211" s="1" t="n">
        <v>37</v>
      </c>
      <c r="F211" s="1" t="n">
        <v>38</v>
      </c>
      <c r="G211" s="1" t="n">
        <v>48</v>
      </c>
      <c r="H211" s="1" t="n">
        <v>58</v>
      </c>
      <c r="I211" s="1" t="str">
        <f aca="false">RIGHT(("0"&amp;C211),2)&amp;RIGHT(("0"&amp;D211),2)&amp;RIGHT(("0"&amp;E211),2)&amp;RIGHT(("0"&amp;F211),2)&amp;RIGHT(("0"&amp;G211),2)&amp;RIGHT(("0"&amp;H211),2)</f>
        <v>203237384858</v>
      </c>
      <c r="J211" s="1" t="n">
        <f aca="false">COUNTIF(I:I,I211)</f>
        <v>1</v>
      </c>
      <c r="K211" s="1" t="n">
        <v>0</v>
      </c>
      <c r="M211" s="1" t="s">
        <v>23</v>
      </c>
      <c r="N211" s="1" t="n">
        <v>29</v>
      </c>
      <c r="O211" s="1" t="s">
        <v>960</v>
      </c>
      <c r="P211" s="1" t="n">
        <v>3921</v>
      </c>
      <c r="Q211" s="1" t="s">
        <v>961</v>
      </c>
      <c r="R211" s="1" t="s">
        <v>962</v>
      </c>
      <c r="S211" s="1" t="s">
        <v>23</v>
      </c>
      <c r="T211" s="1" t="s">
        <v>23</v>
      </c>
      <c r="U211" s="1" t="s">
        <v>23</v>
      </c>
      <c r="V211" s="1" t="s">
        <v>963</v>
      </c>
    </row>
    <row r="212" customFormat="false" ht="13.8" hidden="false" customHeight="false" outlineLevel="0" collapsed="false">
      <c r="A212" s="1" t="n">
        <v>211</v>
      </c>
      <c r="B212" s="2" t="s">
        <v>964</v>
      </c>
      <c r="C212" s="1" t="n">
        <v>10</v>
      </c>
      <c r="D212" s="1" t="n">
        <v>20</v>
      </c>
      <c r="E212" s="1" t="n">
        <v>33</v>
      </c>
      <c r="F212" s="1" t="n">
        <v>40</v>
      </c>
      <c r="G212" s="1" t="n">
        <v>45</v>
      </c>
      <c r="H212" s="1" t="n">
        <v>50</v>
      </c>
      <c r="I212" s="1" t="str">
        <f aca="false">RIGHT(("0"&amp;C212),2)&amp;RIGHT(("0"&amp;D212),2)&amp;RIGHT(("0"&amp;E212),2)&amp;RIGHT(("0"&amp;F212),2)&amp;RIGHT(("0"&amp;G212),2)&amp;RIGHT(("0"&amp;H212),2)</f>
        <v>102033404550</v>
      </c>
      <c r="J212" s="1" t="n">
        <f aca="false">COUNTIF(I:I,I212)</f>
        <v>1</v>
      </c>
      <c r="K212" s="1" t="n">
        <v>0</v>
      </c>
      <c r="M212" s="1" t="s">
        <v>23</v>
      </c>
      <c r="N212" s="1" t="n">
        <v>164</v>
      </c>
      <c r="O212" s="1" t="s">
        <v>965</v>
      </c>
      <c r="P212" s="1" t="n">
        <v>16680</v>
      </c>
      <c r="Q212" s="1" t="s">
        <v>966</v>
      </c>
      <c r="R212" s="1" t="s">
        <v>967</v>
      </c>
      <c r="S212" s="1" t="s">
        <v>23</v>
      </c>
      <c r="T212" s="1" t="s">
        <v>23</v>
      </c>
      <c r="U212" s="1" t="s">
        <v>23</v>
      </c>
      <c r="V212" s="1" t="s">
        <v>968</v>
      </c>
    </row>
    <row r="213" customFormat="false" ht="13.8" hidden="false" customHeight="false" outlineLevel="0" collapsed="false">
      <c r="A213" s="1" t="n">
        <v>212</v>
      </c>
      <c r="B213" s="2" t="s">
        <v>969</v>
      </c>
      <c r="C213" s="1" t="n">
        <v>6</v>
      </c>
      <c r="D213" s="1" t="n">
        <v>15</v>
      </c>
      <c r="E213" s="1" t="n">
        <v>29</v>
      </c>
      <c r="F213" s="1" t="n">
        <v>45</v>
      </c>
      <c r="G213" s="1" t="n">
        <v>57</v>
      </c>
      <c r="H213" s="1" t="n">
        <v>59</v>
      </c>
      <c r="I213" s="1" t="str">
        <f aca="false">RIGHT(("0"&amp;C213),2)&amp;RIGHT(("0"&amp;D213),2)&amp;RIGHT(("0"&amp;E213),2)&amp;RIGHT(("0"&amp;F213),2)&amp;RIGHT(("0"&amp;G213),2)&amp;RIGHT(("0"&amp;H213),2)</f>
        <v>061529455759</v>
      </c>
      <c r="J213" s="1" t="n">
        <f aca="false">COUNTIF(I:I,I213)</f>
        <v>1</v>
      </c>
      <c r="K213" s="1" t="n">
        <v>0</v>
      </c>
      <c r="M213" s="1" t="s">
        <v>23</v>
      </c>
      <c r="N213" s="1" t="n">
        <v>147</v>
      </c>
      <c r="O213" s="1" t="s">
        <v>970</v>
      </c>
      <c r="P213" s="1" t="n">
        <v>9880</v>
      </c>
      <c r="Q213" s="1" t="s">
        <v>971</v>
      </c>
      <c r="R213" s="1" t="s">
        <v>972</v>
      </c>
      <c r="S213" s="1" t="s">
        <v>23</v>
      </c>
      <c r="T213" s="1" t="s">
        <v>23</v>
      </c>
      <c r="U213" s="1" t="s">
        <v>23</v>
      </c>
      <c r="V213" s="1" t="s">
        <v>973</v>
      </c>
    </row>
    <row r="214" customFormat="false" ht="13.8" hidden="false" customHeight="false" outlineLevel="0" collapsed="false">
      <c r="A214" s="1" t="n">
        <v>213</v>
      </c>
      <c r="B214" s="2" t="s">
        <v>974</v>
      </c>
      <c r="C214" s="1" t="n">
        <v>3</v>
      </c>
      <c r="D214" s="1" t="n">
        <v>9</v>
      </c>
      <c r="E214" s="1" t="n">
        <v>23</v>
      </c>
      <c r="F214" s="1" t="n">
        <v>30</v>
      </c>
      <c r="G214" s="1" t="n">
        <v>32</v>
      </c>
      <c r="H214" s="1" t="n">
        <v>35</v>
      </c>
      <c r="I214" s="1" t="str">
        <f aca="false">RIGHT(("0"&amp;C214),2)&amp;RIGHT(("0"&amp;D214),2)&amp;RIGHT(("0"&amp;E214),2)&amp;RIGHT(("0"&amp;F214),2)&amp;RIGHT(("0"&amp;G214),2)&amp;RIGHT(("0"&amp;H214),2)</f>
        <v>030923303235</v>
      </c>
      <c r="J214" s="1" t="n">
        <f aca="false">COUNTIF(I:I,I214)</f>
        <v>1</v>
      </c>
      <c r="K214" s="1" t="n">
        <v>3</v>
      </c>
      <c r="L214" s="1" t="s">
        <v>975</v>
      </c>
      <c r="M214" s="1" t="s">
        <v>976</v>
      </c>
      <c r="N214" s="1" t="n">
        <v>312</v>
      </c>
      <c r="O214" s="1" t="s">
        <v>977</v>
      </c>
      <c r="P214" s="1" t="n">
        <v>18348</v>
      </c>
      <c r="Q214" s="1" t="s">
        <v>978</v>
      </c>
      <c r="R214" s="1" t="s">
        <v>23</v>
      </c>
      <c r="S214" s="1" t="s">
        <v>23</v>
      </c>
      <c r="T214" s="1" t="s">
        <v>23</v>
      </c>
      <c r="U214" s="1" t="s">
        <v>23</v>
      </c>
      <c r="V214" s="1" t="s">
        <v>887</v>
      </c>
    </row>
    <row r="215" customFormat="false" ht="13.8" hidden="false" customHeight="false" outlineLevel="0" collapsed="false">
      <c r="A215" s="1" t="n">
        <v>214</v>
      </c>
      <c r="B215" s="2" t="s">
        <v>979</v>
      </c>
      <c r="C215" s="1" t="n">
        <v>6</v>
      </c>
      <c r="D215" s="1" t="n">
        <v>12</v>
      </c>
      <c r="E215" s="1" t="n">
        <v>30</v>
      </c>
      <c r="F215" s="1" t="n">
        <v>31</v>
      </c>
      <c r="G215" s="1" t="n">
        <v>35</v>
      </c>
      <c r="H215" s="1" t="n">
        <v>50</v>
      </c>
      <c r="I215" s="1" t="str">
        <f aca="false">RIGHT(("0"&amp;C215),2)&amp;RIGHT(("0"&amp;D215),2)&amp;RIGHT(("0"&amp;E215),2)&amp;RIGHT(("0"&amp;F215),2)&amp;RIGHT(("0"&amp;G215),2)&amp;RIGHT(("0"&amp;H215),2)</f>
        <v>061230313550</v>
      </c>
      <c r="J215" s="1" t="n">
        <f aca="false">COUNTIF(I:I,I215)</f>
        <v>1</v>
      </c>
      <c r="K215" s="1" t="n">
        <v>0</v>
      </c>
      <c r="M215" s="1" t="s">
        <v>23</v>
      </c>
      <c r="N215" s="1" t="n">
        <v>54</v>
      </c>
      <c r="O215" s="1" t="s">
        <v>980</v>
      </c>
      <c r="P215" s="1" t="n">
        <v>3769</v>
      </c>
      <c r="Q215" s="1" t="s">
        <v>981</v>
      </c>
      <c r="R215" s="1" t="s">
        <v>982</v>
      </c>
      <c r="S215" s="1" t="s">
        <v>23</v>
      </c>
      <c r="T215" s="1" t="s">
        <v>23</v>
      </c>
      <c r="U215" s="1" t="s">
        <v>23</v>
      </c>
      <c r="V215" s="1" t="s">
        <v>983</v>
      </c>
    </row>
    <row r="216" customFormat="false" ht="13.8" hidden="false" customHeight="false" outlineLevel="0" collapsed="false">
      <c r="A216" s="1" t="n">
        <v>215</v>
      </c>
      <c r="B216" s="2" t="s">
        <v>984</v>
      </c>
      <c r="C216" s="1" t="n">
        <v>7</v>
      </c>
      <c r="D216" s="1" t="n">
        <v>28</v>
      </c>
      <c r="E216" s="1" t="n">
        <v>37</v>
      </c>
      <c r="F216" s="1" t="n">
        <v>46</v>
      </c>
      <c r="G216" s="1" t="n">
        <v>53</v>
      </c>
      <c r="H216" s="1" t="n">
        <v>58</v>
      </c>
      <c r="I216" s="1" t="str">
        <f aca="false">RIGHT(("0"&amp;C216),2)&amp;RIGHT(("0"&amp;D216),2)&amp;RIGHT(("0"&amp;E216),2)&amp;RIGHT(("0"&amp;F216),2)&amp;RIGHT(("0"&amp;G216),2)&amp;RIGHT(("0"&amp;H216),2)</f>
        <v>072837465358</v>
      </c>
      <c r="J216" s="1" t="n">
        <f aca="false">COUNTIF(I:I,I216)</f>
        <v>1</v>
      </c>
      <c r="K216" s="1" t="n">
        <v>0</v>
      </c>
      <c r="M216" s="1" t="s">
        <v>23</v>
      </c>
      <c r="N216" s="1" t="n">
        <v>78</v>
      </c>
      <c r="O216" s="1" t="s">
        <v>985</v>
      </c>
      <c r="P216" s="1" t="n">
        <v>4942</v>
      </c>
      <c r="Q216" s="1" t="s">
        <v>986</v>
      </c>
      <c r="R216" s="1" t="s">
        <v>987</v>
      </c>
      <c r="S216" s="1" t="s">
        <v>23</v>
      </c>
      <c r="T216" s="1" t="s">
        <v>23</v>
      </c>
      <c r="U216" s="1" t="s">
        <v>23</v>
      </c>
      <c r="V216" s="1" t="s">
        <v>988</v>
      </c>
    </row>
    <row r="217" customFormat="false" ht="13.8" hidden="false" customHeight="false" outlineLevel="0" collapsed="false">
      <c r="A217" s="1" t="n">
        <v>216</v>
      </c>
      <c r="B217" s="2" t="s">
        <v>989</v>
      </c>
      <c r="C217" s="1" t="n">
        <v>14</v>
      </c>
      <c r="D217" s="1" t="n">
        <v>18</v>
      </c>
      <c r="E217" s="1" t="n">
        <v>30</v>
      </c>
      <c r="F217" s="1" t="n">
        <v>35</v>
      </c>
      <c r="G217" s="1" t="n">
        <v>42</v>
      </c>
      <c r="H217" s="1" t="n">
        <v>59</v>
      </c>
      <c r="I217" s="1" t="str">
        <f aca="false">RIGHT(("0"&amp;C217),2)&amp;RIGHT(("0"&amp;D217),2)&amp;RIGHT(("0"&amp;E217),2)&amp;RIGHT(("0"&amp;F217),2)&amp;RIGHT(("0"&amp;G217),2)&amp;RIGHT(("0"&amp;H217),2)</f>
        <v>141830354259</v>
      </c>
      <c r="J217" s="1" t="n">
        <f aca="false">COUNTIF(I:I,I217)</f>
        <v>1</v>
      </c>
      <c r="K217" s="1" t="n">
        <v>4</v>
      </c>
      <c r="L217" s="1" t="s">
        <v>990</v>
      </c>
      <c r="M217" s="1" t="s">
        <v>991</v>
      </c>
      <c r="N217" s="1" t="n">
        <v>91</v>
      </c>
      <c r="O217" s="1" t="s">
        <v>992</v>
      </c>
      <c r="P217" s="1" t="n">
        <v>5049</v>
      </c>
      <c r="Q217" s="1" t="s">
        <v>993</v>
      </c>
      <c r="R217" s="1" t="s">
        <v>23</v>
      </c>
      <c r="S217" s="1" t="s">
        <v>23</v>
      </c>
      <c r="T217" s="1" t="s">
        <v>23</v>
      </c>
      <c r="U217" s="1" t="s">
        <v>23</v>
      </c>
      <c r="V217" s="1" t="s">
        <v>938</v>
      </c>
    </row>
    <row r="218" customFormat="false" ht="13.8" hidden="false" customHeight="false" outlineLevel="0" collapsed="false">
      <c r="A218" s="1" t="n">
        <v>217</v>
      </c>
      <c r="B218" s="2" t="s">
        <v>994</v>
      </c>
      <c r="C218" s="1" t="n">
        <v>3</v>
      </c>
      <c r="D218" s="1" t="n">
        <v>27</v>
      </c>
      <c r="E218" s="1" t="n">
        <v>32</v>
      </c>
      <c r="F218" s="1" t="n">
        <v>45</v>
      </c>
      <c r="G218" s="1" t="n">
        <v>49</v>
      </c>
      <c r="H218" s="1" t="n">
        <v>51</v>
      </c>
      <c r="I218" s="1" t="str">
        <f aca="false">RIGHT(("0"&amp;C218),2)&amp;RIGHT(("0"&amp;D218),2)&amp;RIGHT(("0"&amp;E218),2)&amp;RIGHT(("0"&amp;F218),2)&amp;RIGHT(("0"&amp;G218),2)&amp;RIGHT(("0"&amp;H218),2)</f>
        <v>032732454951</v>
      </c>
      <c r="J218" s="1" t="n">
        <f aca="false">COUNTIF(I:I,I218)</f>
        <v>1</v>
      </c>
      <c r="K218" s="1" t="n">
        <v>0</v>
      </c>
      <c r="M218" s="1" t="s">
        <v>23</v>
      </c>
      <c r="N218" s="1" t="n">
        <v>159</v>
      </c>
      <c r="O218" s="1" t="s">
        <v>995</v>
      </c>
      <c r="P218" s="1" t="n">
        <v>5820</v>
      </c>
      <c r="Q218" s="1" t="s">
        <v>996</v>
      </c>
      <c r="R218" s="1" t="s">
        <v>997</v>
      </c>
      <c r="S218" s="1" t="s">
        <v>23</v>
      </c>
      <c r="T218" s="1" t="s">
        <v>23</v>
      </c>
      <c r="U218" s="1" t="s">
        <v>23</v>
      </c>
      <c r="V218" s="1" t="s">
        <v>998</v>
      </c>
    </row>
    <row r="219" customFormat="false" ht="13.8" hidden="false" customHeight="false" outlineLevel="0" collapsed="false">
      <c r="A219" s="1" t="n">
        <v>218</v>
      </c>
      <c r="B219" s="2" t="s">
        <v>999</v>
      </c>
      <c r="C219" s="1" t="n">
        <v>12</v>
      </c>
      <c r="D219" s="1" t="n">
        <v>17</v>
      </c>
      <c r="E219" s="1" t="n">
        <v>40</v>
      </c>
      <c r="F219" s="1" t="n">
        <v>42</v>
      </c>
      <c r="G219" s="1" t="n">
        <v>47</v>
      </c>
      <c r="H219" s="1" t="n">
        <v>54</v>
      </c>
      <c r="I219" s="1" t="str">
        <f aca="false">RIGHT(("0"&amp;C219),2)&amp;RIGHT(("0"&amp;D219),2)&amp;RIGHT(("0"&amp;E219),2)&amp;RIGHT(("0"&amp;F219),2)&amp;RIGHT(("0"&amp;G219),2)&amp;RIGHT(("0"&amp;H219),2)</f>
        <v>121740424754</v>
      </c>
      <c r="J219" s="1" t="n">
        <f aca="false">COUNTIF(I:I,I219)</f>
        <v>1</v>
      </c>
      <c r="K219" s="1" t="n">
        <v>1</v>
      </c>
      <c r="L219" s="1" t="s">
        <v>28</v>
      </c>
      <c r="M219" s="1" t="s">
        <v>1000</v>
      </c>
      <c r="N219" s="1" t="n">
        <v>95</v>
      </c>
      <c r="O219" s="1" t="s">
        <v>1001</v>
      </c>
      <c r="P219" s="1" t="n">
        <v>4679</v>
      </c>
      <c r="Q219" s="1" t="s">
        <v>1002</v>
      </c>
      <c r="R219" s="1" t="s">
        <v>23</v>
      </c>
      <c r="S219" s="1" t="s">
        <v>23</v>
      </c>
      <c r="T219" s="1" t="s">
        <v>23</v>
      </c>
      <c r="U219" s="1" t="s">
        <v>23</v>
      </c>
      <c r="V219" s="1" t="s">
        <v>887</v>
      </c>
    </row>
    <row r="220" customFormat="false" ht="13.8" hidden="false" customHeight="false" outlineLevel="0" collapsed="false">
      <c r="A220" s="1" t="n">
        <v>219</v>
      </c>
      <c r="B220" s="2" t="s">
        <v>1003</v>
      </c>
      <c r="C220" s="1" t="n">
        <v>23</v>
      </c>
      <c r="D220" s="1" t="n">
        <v>26</v>
      </c>
      <c r="E220" s="1" t="n">
        <v>28</v>
      </c>
      <c r="F220" s="1" t="n">
        <v>36</v>
      </c>
      <c r="G220" s="1" t="n">
        <v>42</v>
      </c>
      <c r="H220" s="1" t="n">
        <v>49</v>
      </c>
      <c r="I220" s="1" t="str">
        <f aca="false">RIGHT(("0"&amp;C220),2)&amp;RIGHT(("0"&amp;D220),2)&amp;RIGHT(("0"&amp;E220),2)&amp;RIGHT(("0"&amp;F220),2)&amp;RIGHT(("0"&amp;G220),2)&amp;RIGHT(("0"&amp;H220),2)</f>
        <v>232628364249</v>
      </c>
      <c r="J220" s="1" t="n">
        <f aca="false">COUNTIF(I:I,I220)</f>
        <v>1</v>
      </c>
      <c r="K220" s="1" t="n">
        <v>0</v>
      </c>
      <c r="M220" s="1" t="s">
        <v>23</v>
      </c>
      <c r="N220" s="1" t="n">
        <v>80</v>
      </c>
      <c r="O220" s="1" t="s">
        <v>1004</v>
      </c>
      <c r="P220" s="1" t="n">
        <v>5139</v>
      </c>
      <c r="Q220" s="1" t="s">
        <v>1005</v>
      </c>
      <c r="R220" s="1" t="s">
        <v>1006</v>
      </c>
      <c r="S220" s="1" t="s">
        <v>23</v>
      </c>
      <c r="T220" s="1" t="s">
        <v>23</v>
      </c>
      <c r="U220" s="1" t="s">
        <v>23</v>
      </c>
      <c r="V220" s="1" t="s">
        <v>1007</v>
      </c>
    </row>
    <row r="221" customFormat="false" ht="13.8" hidden="false" customHeight="false" outlineLevel="0" collapsed="false">
      <c r="A221" s="1" t="n">
        <v>220</v>
      </c>
      <c r="B221" s="2" t="s">
        <v>1008</v>
      </c>
      <c r="C221" s="1" t="n">
        <v>13</v>
      </c>
      <c r="D221" s="1" t="n">
        <v>14</v>
      </c>
      <c r="E221" s="1" t="n">
        <v>36</v>
      </c>
      <c r="F221" s="1" t="n">
        <v>53</v>
      </c>
      <c r="G221" s="1" t="n">
        <v>55</v>
      </c>
      <c r="H221" s="1" t="n">
        <v>60</v>
      </c>
      <c r="I221" s="1" t="str">
        <f aca="false">RIGHT(("0"&amp;C221),2)&amp;RIGHT(("0"&amp;D221),2)&amp;RIGHT(("0"&amp;E221),2)&amp;RIGHT(("0"&amp;F221),2)&amp;RIGHT(("0"&amp;G221),2)&amp;RIGHT(("0"&amp;H221),2)</f>
        <v>131436535560</v>
      </c>
      <c r="J221" s="1" t="n">
        <f aca="false">COUNTIF(I:I,I221)</f>
        <v>1</v>
      </c>
      <c r="K221" s="1" t="n">
        <v>1</v>
      </c>
      <c r="L221" s="1" t="s">
        <v>91</v>
      </c>
      <c r="M221" s="1" t="s">
        <v>1009</v>
      </c>
      <c r="N221" s="1" t="n">
        <v>125</v>
      </c>
      <c r="O221" s="1" t="s">
        <v>1010</v>
      </c>
      <c r="P221" s="1" t="n">
        <v>8067</v>
      </c>
      <c r="Q221" s="1" t="s">
        <v>1011</v>
      </c>
      <c r="R221" s="1" t="s">
        <v>23</v>
      </c>
      <c r="S221" s="1" t="s">
        <v>23</v>
      </c>
      <c r="T221" s="1" t="s">
        <v>23</v>
      </c>
      <c r="U221" s="1" t="s">
        <v>23</v>
      </c>
      <c r="V221" s="1" t="s">
        <v>887</v>
      </c>
    </row>
    <row r="222" customFormat="false" ht="13.8" hidden="false" customHeight="false" outlineLevel="0" collapsed="false">
      <c r="A222" s="1" t="n">
        <v>221</v>
      </c>
      <c r="B222" s="2" t="s">
        <v>1012</v>
      </c>
      <c r="C222" s="1" t="n">
        <v>13</v>
      </c>
      <c r="D222" s="1" t="n">
        <v>27</v>
      </c>
      <c r="E222" s="1" t="n">
        <v>43</v>
      </c>
      <c r="F222" s="1" t="n">
        <v>50</v>
      </c>
      <c r="G222" s="1" t="n">
        <v>54</v>
      </c>
      <c r="H222" s="1" t="n">
        <v>58</v>
      </c>
      <c r="I222" s="1" t="str">
        <f aca="false">RIGHT(("0"&amp;C222),2)&amp;RIGHT(("0"&amp;D222),2)&amp;RIGHT(("0"&amp;E222),2)&amp;RIGHT(("0"&amp;F222),2)&amp;RIGHT(("0"&amp;G222),2)&amp;RIGHT(("0"&amp;H222),2)</f>
        <v>132743505458</v>
      </c>
      <c r="J222" s="1" t="n">
        <f aca="false">COUNTIF(I:I,I222)</f>
        <v>1</v>
      </c>
      <c r="K222" s="1" t="n">
        <v>0</v>
      </c>
      <c r="M222" s="1" t="s">
        <v>23</v>
      </c>
      <c r="N222" s="1" t="n">
        <v>49</v>
      </c>
      <c r="O222" s="1" t="s">
        <v>1013</v>
      </c>
      <c r="P222" s="1" t="n">
        <v>3793</v>
      </c>
      <c r="Q222" s="1" t="s">
        <v>1014</v>
      </c>
      <c r="R222" s="1" t="s">
        <v>1015</v>
      </c>
      <c r="S222" s="1" t="s">
        <v>23</v>
      </c>
      <c r="T222" s="1" t="s">
        <v>23</v>
      </c>
      <c r="U222" s="1" t="s">
        <v>23</v>
      </c>
      <c r="V222" s="1" t="s">
        <v>943</v>
      </c>
    </row>
    <row r="223" customFormat="false" ht="13.8" hidden="false" customHeight="false" outlineLevel="0" collapsed="false">
      <c r="A223" s="1" t="n">
        <v>222</v>
      </c>
      <c r="B223" s="2" t="s">
        <v>1016</v>
      </c>
      <c r="C223" s="1" t="n">
        <v>5</v>
      </c>
      <c r="D223" s="1" t="n">
        <v>19</v>
      </c>
      <c r="E223" s="1" t="n">
        <v>30</v>
      </c>
      <c r="F223" s="1" t="n">
        <v>48</v>
      </c>
      <c r="G223" s="1" t="n">
        <v>52</v>
      </c>
      <c r="H223" s="1" t="n">
        <v>55</v>
      </c>
      <c r="I223" s="1" t="str">
        <f aca="false">RIGHT(("0"&amp;C223),2)&amp;RIGHT(("0"&amp;D223),2)&amp;RIGHT(("0"&amp;E223),2)&amp;RIGHT(("0"&amp;F223),2)&amp;RIGHT(("0"&amp;G223),2)&amp;RIGHT(("0"&amp;H223),2)</f>
        <v>051930485255</v>
      </c>
      <c r="J223" s="1" t="n">
        <f aca="false">COUNTIF(I:I,I223)</f>
        <v>1</v>
      </c>
      <c r="K223" s="1" t="n">
        <v>0</v>
      </c>
      <c r="M223" s="1" t="s">
        <v>23</v>
      </c>
      <c r="N223" s="1" t="n">
        <v>55</v>
      </c>
      <c r="O223" s="1" t="s">
        <v>1017</v>
      </c>
      <c r="P223" s="1" t="n">
        <v>4462</v>
      </c>
      <c r="Q223" s="1" t="s">
        <v>1018</v>
      </c>
      <c r="R223" s="1" t="s">
        <v>1019</v>
      </c>
      <c r="S223" s="1" t="s">
        <v>23</v>
      </c>
      <c r="T223" s="1" t="s">
        <v>23</v>
      </c>
      <c r="U223" s="1" t="s">
        <v>23</v>
      </c>
      <c r="V223" s="1" t="s">
        <v>1020</v>
      </c>
    </row>
    <row r="224" customFormat="false" ht="13.8" hidden="false" customHeight="false" outlineLevel="0" collapsed="false">
      <c r="A224" s="1" t="n">
        <v>223</v>
      </c>
      <c r="B224" s="2" t="s">
        <v>1021</v>
      </c>
      <c r="C224" s="1" t="n">
        <v>2</v>
      </c>
      <c r="D224" s="1" t="n">
        <v>6</v>
      </c>
      <c r="E224" s="1" t="n">
        <v>22</v>
      </c>
      <c r="F224" s="1" t="n">
        <v>24</v>
      </c>
      <c r="G224" s="1" t="n">
        <v>28</v>
      </c>
      <c r="H224" s="1" t="n">
        <v>58</v>
      </c>
      <c r="I224" s="1" t="str">
        <f aca="false">RIGHT(("0"&amp;C224),2)&amp;RIGHT(("0"&amp;D224),2)&amp;RIGHT(("0"&amp;E224),2)&amp;RIGHT(("0"&amp;F224),2)&amp;RIGHT(("0"&amp;G224),2)&amp;RIGHT(("0"&amp;H224),2)</f>
        <v>020622242858</v>
      </c>
      <c r="J224" s="1" t="n">
        <f aca="false">COUNTIF(I:I,I224)</f>
        <v>1</v>
      </c>
      <c r="K224" s="1" t="n">
        <v>0</v>
      </c>
      <c r="M224" s="1" t="s">
        <v>23</v>
      </c>
      <c r="N224" s="1" t="n">
        <v>163</v>
      </c>
      <c r="O224" s="1" t="s">
        <v>1022</v>
      </c>
      <c r="P224" s="1" t="n">
        <v>7780</v>
      </c>
      <c r="Q224" s="1" t="s">
        <v>1023</v>
      </c>
      <c r="R224" s="1" t="s">
        <v>1024</v>
      </c>
      <c r="S224" s="1" t="s">
        <v>23</v>
      </c>
      <c r="T224" s="1" t="s">
        <v>23</v>
      </c>
      <c r="U224" s="1" t="s">
        <v>23</v>
      </c>
      <c r="V224" s="1" t="s">
        <v>1025</v>
      </c>
    </row>
    <row r="225" customFormat="false" ht="13.8" hidden="false" customHeight="false" outlineLevel="0" collapsed="false">
      <c r="A225" s="1" t="n">
        <v>224</v>
      </c>
      <c r="B225" s="2" t="s">
        <v>1026</v>
      </c>
      <c r="C225" s="1" t="n">
        <v>7</v>
      </c>
      <c r="D225" s="1" t="n">
        <v>16</v>
      </c>
      <c r="E225" s="1" t="n">
        <v>18</v>
      </c>
      <c r="F225" s="1" t="n">
        <v>20</v>
      </c>
      <c r="G225" s="1" t="n">
        <v>21</v>
      </c>
      <c r="H225" s="1" t="n">
        <v>44</v>
      </c>
      <c r="I225" s="1" t="str">
        <f aca="false">RIGHT(("0"&amp;C225),2)&amp;RIGHT(("0"&amp;D225),2)&amp;RIGHT(("0"&amp;E225),2)&amp;RIGHT(("0"&amp;F225),2)&amp;RIGHT(("0"&amp;G225),2)&amp;RIGHT(("0"&amp;H225),2)</f>
        <v>071618202144</v>
      </c>
      <c r="J225" s="1" t="n">
        <f aca="false">COUNTIF(I:I,I225)</f>
        <v>1</v>
      </c>
      <c r="K225" s="1" t="n">
        <v>0</v>
      </c>
      <c r="M225" s="1" t="s">
        <v>23</v>
      </c>
      <c r="N225" s="1" t="n">
        <v>119</v>
      </c>
      <c r="O225" s="1" t="s">
        <v>1027</v>
      </c>
      <c r="P225" s="1" t="n">
        <v>7185</v>
      </c>
      <c r="Q225" s="1" t="s">
        <v>1028</v>
      </c>
      <c r="R225" s="1" t="s">
        <v>1029</v>
      </c>
      <c r="S225" s="1" t="s">
        <v>23</v>
      </c>
      <c r="T225" s="1" t="s">
        <v>23</v>
      </c>
      <c r="U225" s="1" t="s">
        <v>23</v>
      </c>
      <c r="V225" s="1" t="s">
        <v>1030</v>
      </c>
    </row>
    <row r="226" customFormat="false" ht="13.8" hidden="false" customHeight="false" outlineLevel="0" collapsed="false">
      <c r="A226" s="1" t="n">
        <v>225</v>
      </c>
      <c r="B226" s="2" t="s">
        <v>1031</v>
      </c>
      <c r="C226" s="1" t="n">
        <v>2</v>
      </c>
      <c r="D226" s="1" t="n">
        <v>4</v>
      </c>
      <c r="E226" s="1" t="n">
        <v>16</v>
      </c>
      <c r="F226" s="1" t="n">
        <v>21</v>
      </c>
      <c r="G226" s="1" t="n">
        <v>37</v>
      </c>
      <c r="H226" s="1" t="n">
        <v>58</v>
      </c>
      <c r="I226" s="1" t="str">
        <f aca="false">RIGHT(("0"&amp;C226),2)&amp;RIGHT(("0"&amp;D226),2)&amp;RIGHT(("0"&amp;E226),2)&amp;RIGHT(("0"&amp;F226),2)&amp;RIGHT(("0"&amp;G226),2)&amp;RIGHT(("0"&amp;H226),2)</f>
        <v>020416213758</v>
      </c>
      <c r="J226" s="1" t="n">
        <f aca="false">COUNTIF(I:I,I226)</f>
        <v>1</v>
      </c>
      <c r="K226" s="1" t="n">
        <v>0</v>
      </c>
      <c r="M226" s="1" t="s">
        <v>23</v>
      </c>
      <c r="N226" s="1" t="n">
        <v>83</v>
      </c>
      <c r="O226" s="1" t="s">
        <v>1032</v>
      </c>
      <c r="P226" s="1" t="n">
        <v>5517</v>
      </c>
      <c r="Q226" s="1" t="s">
        <v>1033</v>
      </c>
      <c r="R226" s="1" t="s">
        <v>1034</v>
      </c>
      <c r="S226" s="1" t="s">
        <v>23</v>
      </c>
      <c r="T226" s="1" t="s">
        <v>23</v>
      </c>
      <c r="U226" s="1" t="s">
        <v>23</v>
      </c>
      <c r="V226" s="1" t="s">
        <v>1035</v>
      </c>
    </row>
    <row r="227" customFormat="false" ht="13.8" hidden="false" customHeight="false" outlineLevel="0" collapsed="false">
      <c r="A227" s="1" t="n">
        <v>226</v>
      </c>
      <c r="B227" s="2" t="s">
        <v>1036</v>
      </c>
      <c r="C227" s="1" t="n">
        <v>1</v>
      </c>
      <c r="D227" s="1" t="n">
        <v>2</v>
      </c>
      <c r="E227" s="1" t="n">
        <v>38</v>
      </c>
      <c r="F227" s="1" t="n">
        <v>49</v>
      </c>
      <c r="G227" s="1" t="n">
        <v>50</v>
      </c>
      <c r="H227" s="1" t="n">
        <v>59</v>
      </c>
      <c r="I227" s="1" t="str">
        <f aca="false">RIGHT(("0"&amp;C227),2)&amp;RIGHT(("0"&amp;D227),2)&amp;RIGHT(("0"&amp;E227),2)&amp;RIGHT(("0"&amp;F227),2)&amp;RIGHT(("0"&amp;G227),2)&amp;RIGHT(("0"&amp;H227),2)</f>
        <v>010238495059</v>
      </c>
      <c r="J227" s="1" t="n">
        <f aca="false">COUNTIF(I:I,I227)</f>
        <v>1</v>
      </c>
      <c r="K227" s="1" t="n">
        <v>1</v>
      </c>
      <c r="L227" s="1" t="s">
        <v>91</v>
      </c>
      <c r="M227" s="1" t="s">
        <v>1037</v>
      </c>
      <c r="N227" s="1" t="n">
        <v>78</v>
      </c>
      <c r="O227" s="1" t="s">
        <v>1038</v>
      </c>
      <c r="P227" s="1" t="n">
        <v>4123</v>
      </c>
      <c r="Q227" s="1" t="s">
        <v>1039</v>
      </c>
      <c r="R227" s="1" t="s">
        <v>23</v>
      </c>
      <c r="S227" s="1" t="s">
        <v>23</v>
      </c>
      <c r="T227" s="1" t="s">
        <v>23</v>
      </c>
      <c r="U227" s="1" t="s">
        <v>23</v>
      </c>
      <c r="V227" s="1" t="s">
        <v>887</v>
      </c>
    </row>
    <row r="228" customFormat="false" ht="13.8" hidden="false" customHeight="false" outlineLevel="0" collapsed="false">
      <c r="A228" s="1" t="n">
        <v>227</v>
      </c>
      <c r="B228" s="2" t="s">
        <v>1040</v>
      </c>
      <c r="C228" s="1" t="n">
        <v>11</v>
      </c>
      <c r="D228" s="1" t="n">
        <v>26</v>
      </c>
      <c r="E228" s="1" t="n">
        <v>27</v>
      </c>
      <c r="F228" s="1" t="n">
        <v>37</v>
      </c>
      <c r="G228" s="1" t="n">
        <v>42</v>
      </c>
      <c r="H228" s="1" t="n">
        <v>48</v>
      </c>
      <c r="I228" s="1" t="str">
        <f aca="false">RIGHT(("0"&amp;C228),2)&amp;RIGHT(("0"&amp;D228),2)&amp;RIGHT(("0"&amp;E228),2)&amp;RIGHT(("0"&amp;F228),2)&amp;RIGHT(("0"&amp;G228),2)&amp;RIGHT(("0"&amp;H228),2)</f>
        <v>112627374248</v>
      </c>
      <c r="J228" s="1" t="n">
        <f aca="false">COUNTIF(I:I,I228)</f>
        <v>1</v>
      </c>
      <c r="K228" s="1" t="n">
        <v>0</v>
      </c>
      <c r="M228" s="1" t="s">
        <v>23</v>
      </c>
      <c r="N228" s="1" t="n">
        <v>51</v>
      </c>
      <c r="O228" s="1" t="s">
        <v>1041</v>
      </c>
      <c r="P228" s="1" t="n">
        <v>3648</v>
      </c>
      <c r="Q228" s="1" t="s">
        <v>1042</v>
      </c>
      <c r="R228" s="1" t="s">
        <v>1043</v>
      </c>
      <c r="S228" s="1" t="s">
        <v>23</v>
      </c>
      <c r="T228" s="1" t="s">
        <v>23</v>
      </c>
      <c r="U228" s="1" t="s">
        <v>23</v>
      </c>
      <c r="V228" s="1" t="s">
        <v>943</v>
      </c>
    </row>
    <row r="229" customFormat="false" ht="13.8" hidden="false" customHeight="false" outlineLevel="0" collapsed="false">
      <c r="A229" s="1" t="n">
        <v>228</v>
      </c>
      <c r="B229" s="2" t="s">
        <v>1044</v>
      </c>
      <c r="C229" s="1" t="n">
        <v>13</v>
      </c>
      <c r="D229" s="1" t="n">
        <v>16</v>
      </c>
      <c r="E229" s="1" t="n">
        <v>40</v>
      </c>
      <c r="F229" s="1" t="n">
        <v>43</v>
      </c>
      <c r="G229" s="1" t="n">
        <v>45</v>
      </c>
      <c r="H229" s="1" t="n">
        <v>59</v>
      </c>
      <c r="I229" s="1" t="str">
        <f aca="false">RIGHT(("0"&amp;C229),2)&amp;RIGHT(("0"&amp;D229),2)&amp;RIGHT(("0"&amp;E229),2)&amp;RIGHT(("0"&amp;F229),2)&amp;RIGHT(("0"&amp;G229),2)&amp;RIGHT(("0"&amp;H229),2)</f>
        <v>131640434559</v>
      </c>
      <c r="J229" s="1" t="n">
        <f aca="false">COUNTIF(I:I,I229)</f>
        <v>1</v>
      </c>
      <c r="K229" s="1" t="n">
        <v>0</v>
      </c>
      <c r="M229" s="1" t="s">
        <v>23</v>
      </c>
      <c r="N229" s="1" t="n">
        <v>64</v>
      </c>
      <c r="O229" s="1" t="s">
        <v>1045</v>
      </c>
      <c r="P229" s="1" t="n">
        <v>4497</v>
      </c>
      <c r="Q229" s="1" t="s">
        <v>1046</v>
      </c>
      <c r="R229" s="1" t="s">
        <v>1047</v>
      </c>
      <c r="S229" s="1" t="s">
        <v>23</v>
      </c>
      <c r="T229" s="1" t="s">
        <v>23</v>
      </c>
      <c r="U229" s="1" t="s">
        <v>23</v>
      </c>
      <c r="V229" s="1" t="s">
        <v>1048</v>
      </c>
    </row>
    <row r="230" customFormat="false" ht="13.8" hidden="false" customHeight="false" outlineLevel="0" collapsed="false">
      <c r="A230" s="1" t="n">
        <v>229</v>
      </c>
      <c r="B230" s="2" t="s">
        <v>1049</v>
      </c>
      <c r="C230" s="1" t="n">
        <v>11</v>
      </c>
      <c r="D230" s="1" t="n">
        <v>13</v>
      </c>
      <c r="E230" s="1" t="n">
        <v>21</v>
      </c>
      <c r="F230" s="1" t="n">
        <v>33</v>
      </c>
      <c r="G230" s="1" t="n">
        <v>39</v>
      </c>
      <c r="H230" s="1" t="n">
        <v>45</v>
      </c>
      <c r="I230" s="1" t="str">
        <f aca="false">RIGHT(("0"&amp;C230),2)&amp;RIGHT(("0"&amp;D230),2)&amp;RIGHT(("0"&amp;E230),2)&amp;RIGHT(("0"&amp;F230),2)&amp;RIGHT(("0"&amp;G230),2)&amp;RIGHT(("0"&amp;H230),2)</f>
        <v>111321333945</v>
      </c>
      <c r="J230" s="1" t="n">
        <f aca="false">COUNTIF(I:I,I230)</f>
        <v>1</v>
      </c>
      <c r="K230" s="1" t="n">
        <v>1</v>
      </c>
      <c r="L230" s="1" t="s">
        <v>883</v>
      </c>
      <c r="M230" s="1" t="s">
        <v>1050</v>
      </c>
      <c r="N230" s="1" t="n">
        <v>121</v>
      </c>
      <c r="O230" s="1" t="s">
        <v>1051</v>
      </c>
      <c r="P230" s="1" t="n">
        <v>7685</v>
      </c>
      <c r="Q230" s="1" t="s">
        <v>1052</v>
      </c>
      <c r="R230" s="1" t="s">
        <v>23</v>
      </c>
      <c r="S230" s="1" t="s">
        <v>23</v>
      </c>
      <c r="T230" s="1" t="s">
        <v>23</v>
      </c>
      <c r="U230" s="1" t="s">
        <v>23</v>
      </c>
      <c r="V230" s="1" t="s">
        <v>1053</v>
      </c>
    </row>
    <row r="231" customFormat="false" ht="13.8" hidden="false" customHeight="false" outlineLevel="0" collapsed="false">
      <c r="A231" s="1" t="n">
        <v>230</v>
      </c>
      <c r="B231" s="2" t="s">
        <v>1054</v>
      </c>
      <c r="C231" s="1" t="n">
        <v>8</v>
      </c>
      <c r="D231" s="1" t="n">
        <v>40</v>
      </c>
      <c r="E231" s="1" t="n">
        <v>41</v>
      </c>
      <c r="F231" s="1" t="n">
        <v>44</v>
      </c>
      <c r="G231" s="1" t="n">
        <v>53</v>
      </c>
      <c r="H231" s="1" t="n">
        <v>56</v>
      </c>
      <c r="I231" s="1" t="str">
        <f aca="false">RIGHT(("0"&amp;C231),2)&amp;RIGHT(("0"&amp;D231),2)&amp;RIGHT(("0"&amp;E231),2)&amp;RIGHT(("0"&amp;F231),2)&amp;RIGHT(("0"&amp;G231),2)&amp;RIGHT(("0"&amp;H231),2)</f>
        <v>084041445356</v>
      </c>
      <c r="J231" s="1" t="n">
        <f aca="false">COUNTIF(I:I,I231)</f>
        <v>1</v>
      </c>
      <c r="K231" s="1" t="n">
        <v>0</v>
      </c>
      <c r="M231" s="1" t="s">
        <v>23</v>
      </c>
      <c r="N231" s="1" t="n">
        <v>94</v>
      </c>
      <c r="O231" s="1" t="s">
        <v>1055</v>
      </c>
      <c r="P231" s="1" t="n">
        <v>5820</v>
      </c>
      <c r="Q231" s="1" t="s">
        <v>1056</v>
      </c>
      <c r="R231" s="1" t="s">
        <v>1057</v>
      </c>
      <c r="S231" s="1" t="s">
        <v>23</v>
      </c>
      <c r="T231" s="1" t="s">
        <v>23</v>
      </c>
      <c r="U231" s="1" t="s">
        <v>23</v>
      </c>
      <c r="V231" s="1" t="s">
        <v>1058</v>
      </c>
    </row>
    <row r="232" customFormat="false" ht="13.8" hidden="false" customHeight="false" outlineLevel="0" collapsed="false">
      <c r="A232" s="1" t="n">
        <v>231</v>
      </c>
      <c r="B232" s="2" t="s">
        <v>1059</v>
      </c>
      <c r="C232" s="1" t="n">
        <v>16</v>
      </c>
      <c r="D232" s="1" t="n">
        <v>27</v>
      </c>
      <c r="E232" s="1" t="n">
        <v>36</v>
      </c>
      <c r="F232" s="1" t="n">
        <v>42</v>
      </c>
      <c r="G232" s="1" t="n">
        <v>44</v>
      </c>
      <c r="H232" s="1" t="n">
        <v>59</v>
      </c>
      <c r="I232" s="1" t="str">
        <f aca="false">RIGHT(("0"&amp;C232),2)&amp;RIGHT(("0"&amp;D232),2)&amp;RIGHT(("0"&amp;E232),2)&amp;RIGHT(("0"&amp;F232),2)&amp;RIGHT(("0"&amp;G232),2)&amp;RIGHT(("0"&amp;H232),2)</f>
        <v>162736424459</v>
      </c>
      <c r="J232" s="1" t="n">
        <f aca="false">COUNTIF(I:I,I232)</f>
        <v>1</v>
      </c>
      <c r="K232" s="1" t="n">
        <v>0</v>
      </c>
      <c r="M232" s="1" t="s">
        <v>23</v>
      </c>
      <c r="N232" s="1" t="n">
        <v>125</v>
      </c>
      <c r="O232" s="1" t="s">
        <v>1060</v>
      </c>
      <c r="P232" s="1" t="n">
        <v>9458</v>
      </c>
      <c r="Q232" s="1" t="s">
        <v>1061</v>
      </c>
      <c r="R232" s="1" t="s">
        <v>1062</v>
      </c>
      <c r="S232" s="1" t="s">
        <v>23</v>
      </c>
      <c r="T232" s="1" t="s">
        <v>23</v>
      </c>
      <c r="U232" s="1" t="s">
        <v>23</v>
      </c>
      <c r="V232" s="1" t="s">
        <v>1063</v>
      </c>
    </row>
    <row r="233" customFormat="false" ht="13.8" hidden="false" customHeight="false" outlineLevel="0" collapsed="false">
      <c r="A233" s="1" t="n">
        <v>232</v>
      </c>
      <c r="B233" s="2" t="s">
        <v>1064</v>
      </c>
      <c r="C233" s="1" t="n">
        <v>19</v>
      </c>
      <c r="D233" s="1" t="n">
        <v>22</v>
      </c>
      <c r="E233" s="1" t="n">
        <v>29</v>
      </c>
      <c r="F233" s="1" t="n">
        <v>37</v>
      </c>
      <c r="G233" s="1" t="n">
        <v>41</v>
      </c>
      <c r="H233" s="1" t="n">
        <v>59</v>
      </c>
      <c r="I233" s="1" t="str">
        <f aca="false">RIGHT(("0"&amp;C233),2)&amp;RIGHT(("0"&amp;D233),2)&amp;RIGHT(("0"&amp;E233),2)&amp;RIGHT(("0"&amp;F233),2)&amp;RIGHT(("0"&amp;G233),2)&amp;RIGHT(("0"&amp;H233),2)</f>
        <v>192229374159</v>
      </c>
      <c r="J233" s="1" t="n">
        <f aca="false">COUNTIF(I:I,I233)</f>
        <v>1</v>
      </c>
      <c r="K233" s="1" t="n">
        <v>0</v>
      </c>
      <c r="M233" s="1" t="s">
        <v>23</v>
      </c>
      <c r="N233" s="1" t="n">
        <v>124</v>
      </c>
      <c r="O233" s="1" t="s">
        <v>1065</v>
      </c>
      <c r="P233" s="1" t="n">
        <v>8807</v>
      </c>
      <c r="Q233" s="1" t="s">
        <v>1066</v>
      </c>
      <c r="R233" s="1" t="s">
        <v>1067</v>
      </c>
      <c r="S233" s="1" t="s">
        <v>23</v>
      </c>
      <c r="T233" s="1" t="s">
        <v>23</v>
      </c>
      <c r="U233" s="1" t="s">
        <v>23</v>
      </c>
      <c r="V233" s="1" t="s">
        <v>1068</v>
      </c>
    </row>
    <row r="234" customFormat="false" ht="13.8" hidden="false" customHeight="false" outlineLevel="0" collapsed="false">
      <c r="A234" s="1" t="n">
        <v>233</v>
      </c>
      <c r="B234" s="2" t="s">
        <v>1069</v>
      </c>
      <c r="C234" s="1" t="n">
        <v>3</v>
      </c>
      <c r="D234" s="1" t="n">
        <v>7</v>
      </c>
      <c r="E234" s="1" t="n">
        <v>24</v>
      </c>
      <c r="F234" s="1" t="n">
        <v>32</v>
      </c>
      <c r="G234" s="1" t="n">
        <v>36</v>
      </c>
      <c r="H234" s="1" t="n">
        <v>45</v>
      </c>
      <c r="I234" s="1" t="str">
        <f aca="false">RIGHT(("0"&amp;C234),2)&amp;RIGHT(("0"&amp;D234),2)&amp;RIGHT(("0"&amp;E234),2)&amp;RIGHT(("0"&amp;F234),2)&amp;RIGHT(("0"&amp;G234),2)&amp;RIGHT(("0"&amp;H234),2)</f>
        <v>030724323645</v>
      </c>
      <c r="J234" s="1" t="n">
        <f aca="false">COUNTIF(I:I,I234)</f>
        <v>1</v>
      </c>
      <c r="K234" s="1" t="n">
        <v>5</v>
      </c>
      <c r="L234" s="1" t="s">
        <v>1070</v>
      </c>
      <c r="M234" s="1" t="s">
        <v>1071</v>
      </c>
      <c r="N234" s="1" t="n">
        <v>512</v>
      </c>
      <c r="O234" s="1" t="s">
        <v>1072</v>
      </c>
      <c r="P234" s="1" t="n">
        <v>21452</v>
      </c>
      <c r="Q234" s="1" t="s">
        <v>1073</v>
      </c>
      <c r="R234" s="1" t="s">
        <v>23</v>
      </c>
      <c r="S234" s="1" t="s">
        <v>23</v>
      </c>
      <c r="T234" s="1" t="s">
        <v>23</v>
      </c>
      <c r="U234" s="1" t="s">
        <v>23</v>
      </c>
      <c r="V234" s="1" t="s">
        <v>887</v>
      </c>
    </row>
    <row r="235" customFormat="false" ht="13.8" hidden="false" customHeight="false" outlineLevel="0" collapsed="false">
      <c r="A235" s="1" t="n">
        <v>234</v>
      </c>
      <c r="B235" s="2" t="s">
        <v>1074</v>
      </c>
      <c r="C235" s="1" t="n">
        <v>15</v>
      </c>
      <c r="D235" s="1" t="n">
        <v>25</v>
      </c>
      <c r="E235" s="1" t="n">
        <v>41</v>
      </c>
      <c r="F235" s="1" t="n">
        <v>42</v>
      </c>
      <c r="G235" s="1" t="n">
        <v>45</v>
      </c>
      <c r="H235" s="1" t="n">
        <v>54</v>
      </c>
      <c r="I235" s="1" t="str">
        <f aca="false">RIGHT(("0"&amp;C235),2)&amp;RIGHT(("0"&amp;D235),2)&amp;RIGHT(("0"&amp;E235),2)&amp;RIGHT(("0"&amp;F235),2)&amp;RIGHT(("0"&amp;G235),2)&amp;RIGHT(("0"&amp;H235),2)</f>
        <v>152541424554</v>
      </c>
      <c r="J235" s="1" t="n">
        <f aca="false">COUNTIF(I:I,I235)</f>
        <v>1</v>
      </c>
      <c r="K235" s="1" t="n">
        <v>0</v>
      </c>
      <c r="M235" s="1" t="s">
        <v>23</v>
      </c>
      <c r="N235" s="1" t="n">
        <v>39</v>
      </c>
      <c r="O235" s="1" t="s">
        <v>1075</v>
      </c>
      <c r="P235" s="1" t="n">
        <v>3505</v>
      </c>
      <c r="Q235" s="1" t="s">
        <v>1076</v>
      </c>
      <c r="R235" s="1" t="s">
        <v>1077</v>
      </c>
      <c r="S235" s="1" t="s">
        <v>23</v>
      </c>
      <c r="T235" s="1" t="s">
        <v>23</v>
      </c>
      <c r="U235" s="1" t="s">
        <v>23</v>
      </c>
      <c r="V235" s="1" t="s">
        <v>943</v>
      </c>
    </row>
    <row r="236" customFormat="false" ht="13.8" hidden="false" customHeight="false" outlineLevel="0" collapsed="false">
      <c r="A236" s="1" t="n">
        <v>235</v>
      </c>
      <c r="B236" s="2" t="s">
        <v>1078</v>
      </c>
      <c r="C236" s="1" t="n">
        <v>2</v>
      </c>
      <c r="D236" s="1" t="n">
        <v>22</v>
      </c>
      <c r="E236" s="1" t="n">
        <v>29</v>
      </c>
      <c r="F236" s="1" t="n">
        <v>31</v>
      </c>
      <c r="G236" s="1" t="n">
        <v>41</v>
      </c>
      <c r="H236" s="1" t="n">
        <v>55</v>
      </c>
      <c r="I236" s="1" t="str">
        <f aca="false">RIGHT(("0"&amp;C236),2)&amp;RIGHT(("0"&amp;D236),2)&amp;RIGHT(("0"&amp;E236),2)&amp;RIGHT(("0"&amp;F236),2)&amp;RIGHT(("0"&amp;G236),2)&amp;RIGHT(("0"&amp;H236),2)</f>
        <v>022229314155</v>
      </c>
      <c r="J236" s="1" t="n">
        <f aca="false">COUNTIF(I:I,I236)</f>
        <v>1</v>
      </c>
      <c r="K236" s="1" t="n">
        <v>0</v>
      </c>
      <c r="M236" s="1" t="s">
        <v>23</v>
      </c>
      <c r="N236" s="1" t="n">
        <v>52</v>
      </c>
      <c r="O236" s="1" t="s">
        <v>1079</v>
      </c>
      <c r="P236" s="1" t="n">
        <v>3086</v>
      </c>
      <c r="Q236" s="1" t="s">
        <v>1080</v>
      </c>
      <c r="R236" s="1" t="s">
        <v>1081</v>
      </c>
      <c r="S236" s="1" t="s">
        <v>23</v>
      </c>
      <c r="T236" s="1" t="s">
        <v>23</v>
      </c>
      <c r="U236" s="1" t="s">
        <v>23</v>
      </c>
      <c r="V236" s="1" t="s">
        <v>948</v>
      </c>
    </row>
    <row r="237" customFormat="false" ht="13.8" hidden="false" customHeight="false" outlineLevel="0" collapsed="false">
      <c r="A237" s="1" t="n">
        <v>236</v>
      </c>
      <c r="B237" s="2" t="s">
        <v>1082</v>
      </c>
      <c r="C237" s="1" t="n">
        <v>10</v>
      </c>
      <c r="D237" s="1" t="n">
        <v>25</v>
      </c>
      <c r="E237" s="1" t="n">
        <v>50</v>
      </c>
      <c r="F237" s="1" t="n">
        <v>52</v>
      </c>
      <c r="G237" s="1" t="n">
        <v>57</v>
      </c>
      <c r="H237" s="1" t="n">
        <v>60</v>
      </c>
      <c r="I237" s="1" t="str">
        <f aca="false">RIGHT(("0"&amp;C237),2)&amp;RIGHT(("0"&amp;D237),2)&amp;RIGHT(("0"&amp;E237),2)&amp;RIGHT(("0"&amp;F237),2)&amp;RIGHT(("0"&amp;G237),2)&amp;RIGHT(("0"&amp;H237),2)</f>
        <v>102550525760</v>
      </c>
      <c r="J237" s="1" t="n">
        <f aca="false">COUNTIF(I:I,I237)</f>
        <v>1</v>
      </c>
      <c r="K237" s="1" t="n">
        <v>0</v>
      </c>
      <c r="M237" s="1" t="s">
        <v>23</v>
      </c>
      <c r="N237" s="1" t="n">
        <v>76</v>
      </c>
      <c r="O237" s="1" t="s">
        <v>1083</v>
      </c>
      <c r="P237" s="1" t="n">
        <v>4703</v>
      </c>
      <c r="Q237" s="1" t="s">
        <v>1084</v>
      </c>
      <c r="R237" s="1" t="s">
        <v>1085</v>
      </c>
      <c r="S237" s="1" t="s">
        <v>23</v>
      </c>
      <c r="T237" s="1" t="s">
        <v>23</v>
      </c>
      <c r="U237" s="1" t="s">
        <v>23</v>
      </c>
      <c r="V237" s="1" t="s">
        <v>953</v>
      </c>
    </row>
    <row r="238" customFormat="false" ht="13.8" hidden="false" customHeight="false" outlineLevel="0" collapsed="false">
      <c r="A238" s="1" t="n">
        <v>237</v>
      </c>
      <c r="B238" s="2" t="s">
        <v>1086</v>
      </c>
      <c r="C238" s="1" t="n">
        <v>7</v>
      </c>
      <c r="D238" s="1" t="n">
        <v>31</v>
      </c>
      <c r="E238" s="1" t="n">
        <v>36</v>
      </c>
      <c r="F238" s="1" t="n">
        <v>45</v>
      </c>
      <c r="G238" s="1" t="n">
        <v>56</v>
      </c>
      <c r="H238" s="1" t="n">
        <v>57</v>
      </c>
      <c r="I238" s="1" t="str">
        <f aca="false">RIGHT(("0"&amp;C238),2)&amp;RIGHT(("0"&amp;D238),2)&amp;RIGHT(("0"&amp;E238),2)&amp;RIGHT(("0"&amp;F238),2)&amp;RIGHT(("0"&amp;G238),2)&amp;RIGHT(("0"&amp;H238),2)</f>
        <v>073136455657</v>
      </c>
      <c r="J238" s="1" t="n">
        <f aca="false">COUNTIF(I:I,I238)</f>
        <v>1</v>
      </c>
      <c r="K238" s="1" t="n">
        <v>0</v>
      </c>
      <c r="M238" s="1" t="s">
        <v>23</v>
      </c>
      <c r="N238" s="1" t="n">
        <v>54</v>
      </c>
      <c r="O238" s="1" t="s">
        <v>1087</v>
      </c>
      <c r="P238" s="1" t="n">
        <v>4145</v>
      </c>
      <c r="Q238" s="1" t="s">
        <v>1088</v>
      </c>
      <c r="R238" s="1" t="s">
        <v>1089</v>
      </c>
      <c r="S238" s="1" t="s">
        <v>23</v>
      </c>
      <c r="T238" s="1" t="s">
        <v>23</v>
      </c>
      <c r="U238" s="1" t="s">
        <v>23</v>
      </c>
      <c r="V238" s="1" t="s">
        <v>1090</v>
      </c>
    </row>
    <row r="239" customFormat="false" ht="13.8" hidden="false" customHeight="false" outlineLevel="0" collapsed="false">
      <c r="A239" s="1" t="n">
        <v>238</v>
      </c>
      <c r="B239" s="2" t="s">
        <v>1091</v>
      </c>
      <c r="C239" s="1" t="n">
        <v>9</v>
      </c>
      <c r="D239" s="1" t="n">
        <v>13</v>
      </c>
      <c r="E239" s="1" t="n">
        <v>15</v>
      </c>
      <c r="F239" s="1" t="n">
        <v>37</v>
      </c>
      <c r="G239" s="1" t="n">
        <v>41</v>
      </c>
      <c r="H239" s="1" t="n">
        <v>42</v>
      </c>
      <c r="I239" s="1" t="str">
        <f aca="false">RIGHT(("0"&amp;C239),2)&amp;RIGHT(("0"&amp;D239),2)&amp;RIGHT(("0"&amp;E239),2)&amp;RIGHT(("0"&amp;F239),2)&amp;RIGHT(("0"&amp;G239),2)&amp;RIGHT(("0"&amp;H239),2)</f>
        <v>091315374142</v>
      </c>
      <c r="J239" s="1" t="n">
        <f aca="false">COUNTIF(I:I,I239)</f>
        <v>1</v>
      </c>
      <c r="K239" s="1" t="n">
        <v>4</v>
      </c>
      <c r="L239" s="1" t="s">
        <v>245</v>
      </c>
      <c r="M239" s="1" t="s">
        <v>1092</v>
      </c>
      <c r="N239" s="1" t="n">
        <v>188</v>
      </c>
      <c r="O239" s="1" t="s">
        <v>1093</v>
      </c>
      <c r="P239" s="1" t="n">
        <v>10483</v>
      </c>
      <c r="Q239" s="1" t="s">
        <v>1094</v>
      </c>
      <c r="R239" s="1" t="s">
        <v>23</v>
      </c>
      <c r="S239" s="1" t="s">
        <v>23</v>
      </c>
      <c r="T239" s="1" t="s">
        <v>23</v>
      </c>
      <c r="U239" s="1" t="s">
        <v>23</v>
      </c>
      <c r="V239" s="1" t="s">
        <v>938</v>
      </c>
    </row>
    <row r="240" customFormat="false" ht="13.8" hidden="false" customHeight="false" outlineLevel="0" collapsed="false">
      <c r="A240" s="1" t="n">
        <v>239</v>
      </c>
      <c r="B240" s="2" t="s">
        <v>1095</v>
      </c>
      <c r="C240" s="1" t="n">
        <v>6</v>
      </c>
      <c r="D240" s="1" t="n">
        <v>21</v>
      </c>
      <c r="E240" s="1" t="n">
        <v>33</v>
      </c>
      <c r="F240" s="1" t="n">
        <v>44</v>
      </c>
      <c r="G240" s="1" t="n">
        <v>46</v>
      </c>
      <c r="H240" s="1" t="n">
        <v>47</v>
      </c>
      <c r="I240" s="1" t="str">
        <f aca="false">RIGHT(("0"&amp;C240),2)&amp;RIGHT(("0"&amp;D240),2)&amp;RIGHT(("0"&amp;E240),2)&amp;RIGHT(("0"&amp;F240),2)&amp;RIGHT(("0"&amp;G240),2)&amp;RIGHT(("0"&amp;H240),2)</f>
        <v>062133444647</v>
      </c>
      <c r="J240" s="1" t="n">
        <f aca="false">COUNTIF(I:I,I240)</f>
        <v>1</v>
      </c>
      <c r="K240" s="1" t="n">
        <v>1</v>
      </c>
      <c r="L240" s="1" t="s">
        <v>190</v>
      </c>
      <c r="M240" s="1" t="s">
        <v>1096</v>
      </c>
      <c r="N240" s="1" t="n">
        <v>30</v>
      </c>
      <c r="O240" s="1" t="s">
        <v>1097</v>
      </c>
      <c r="P240" s="1" t="n">
        <v>3826</v>
      </c>
      <c r="Q240" s="1" t="s">
        <v>1098</v>
      </c>
      <c r="R240" s="1" t="s">
        <v>23</v>
      </c>
      <c r="S240" s="1" t="s">
        <v>23</v>
      </c>
      <c r="T240" s="1" t="s">
        <v>23</v>
      </c>
      <c r="U240" s="1" t="s">
        <v>23</v>
      </c>
      <c r="V240" s="1" t="s">
        <v>1099</v>
      </c>
    </row>
    <row r="241" customFormat="false" ht="13.8" hidden="false" customHeight="false" outlineLevel="0" collapsed="false">
      <c r="A241" s="1" t="n">
        <v>240</v>
      </c>
      <c r="B241" s="2" t="s">
        <v>1100</v>
      </c>
      <c r="C241" s="1" t="n">
        <v>25</v>
      </c>
      <c r="D241" s="1" t="n">
        <v>28</v>
      </c>
      <c r="E241" s="1" t="n">
        <v>38</v>
      </c>
      <c r="F241" s="1" t="n">
        <v>41</v>
      </c>
      <c r="G241" s="1" t="n">
        <v>57</v>
      </c>
      <c r="H241" s="1" t="n">
        <v>59</v>
      </c>
      <c r="I241" s="1" t="str">
        <f aca="false">RIGHT(("0"&amp;C241),2)&amp;RIGHT(("0"&amp;D241),2)&amp;RIGHT(("0"&amp;E241),2)&amp;RIGHT(("0"&amp;F241),2)&amp;RIGHT(("0"&amp;G241),2)&amp;RIGHT(("0"&amp;H241),2)</f>
        <v>252838415759</v>
      </c>
      <c r="J241" s="1" t="n">
        <f aca="false">COUNTIF(I:I,I241)</f>
        <v>1</v>
      </c>
      <c r="K241" s="1" t="n">
        <v>0</v>
      </c>
      <c r="M241" s="1" t="s">
        <v>23</v>
      </c>
      <c r="N241" s="1" t="n">
        <v>103</v>
      </c>
      <c r="O241" s="1" t="s">
        <v>1101</v>
      </c>
      <c r="P241" s="1" t="n">
        <v>6244</v>
      </c>
      <c r="Q241" s="1" t="s">
        <v>1102</v>
      </c>
      <c r="R241" s="1" t="s">
        <v>1103</v>
      </c>
      <c r="S241" s="1" t="s">
        <v>23</v>
      </c>
      <c r="T241" s="1" t="s">
        <v>23</v>
      </c>
      <c r="U241" s="1" t="s">
        <v>23</v>
      </c>
      <c r="V241" s="1" t="s">
        <v>1104</v>
      </c>
    </row>
    <row r="242" customFormat="false" ht="13.8" hidden="false" customHeight="false" outlineLevel="0" collapsed="false">
      <c r="A242" s="1" t="n">
        <v>241</v>
      </c>
      <c r="B242" s="2" t="s">
        <v>1105</v>
      </c>
      <c r="C242" s="1" t="n">
        <v>11</v>
      </c>
      <c r="D242" s="1" t="n">
        <v>31</v>
      </c>
      <c r="E242" s="1" t="n">
        <v>35</v>
      </c>
      <c r="F242" s="1" t="n">
        <v>40</v>
      </c>
      <c r="G242" s="1" t="n">
        <v>56</v>
      </c>
      <c r="H242" s="1" t="n">
        <v>57</v>
      </c>
      <c r="I242" s="1" t="str">
        <f aca="false">RIGHT(("0"&amp;C242),2)&amp;RIGHT(("0"&amp;D242),2)&amp;RIGHT(("0"&amp;E242),2)&amp;RIGHT(("0"&amp;F242),2)&amp;RIGHT(("0"&amp;G242),2)&amp;RIGHT(("0"&amp;H242),2)</f>
        <v>113135405657</v>
      </c>
      <c r="J242" s="1" t="n">
        <f aca="false">COUNTIF(I:I,I242)</f>
        <v>1</v>
      </c>
      <c r="K242" s="1" t="n">
        <v>0</v>
      </c>
      <c r="M242" s="1" t="s">
        <v>23</v>
      </c>
      <c r="N242" s="1" t="n">
        <v>74</v>
      </c>
      <c r="O242" s="1" t="s">
        <v>1106</v>
      </c>
      <c r="P242" s="1" t="n">
        <v>5485</v>
      </c>
      <c r="Q242" s="1" t="s">
        <v>1107</v>
      </c>
      <c r="R242" s="1" t="s">
        <v>1108</v>
      </c>
      <c r="S242" s="1" t="s">
        <v>23</v>
      </c>
      <c r="T242" s="1" t="s">
        <v>23</v>
      </c>
      <c r="U242" s="1" t="s">
        <v>23</v>
      </c>
      <c r="V242" s="1" t="s">
        <v>1109</v>
      </c>
    </row>
    <row r="243" customFormat="false" ht="13.8" hidden="false" customHeight="false" outlineLevel="0" collapsed="false">
      <c r="A243" s="1" t="n">
        <v>242</v>
      </c>
      <c r="B243" s="2" t="s">
        <v>1110</v>
      </c>
      <c r="C243" s="1" t="n">
        <v>4</v>
      </c>
      <c r="D243" s="1" t="n">
        <v>7</v>
      </c>
      <c r="E243" s="1" t="n">
        <v>21</v>
      </c>
      <c r="F243" s="1" t="n">
        <v>22</v>
      </c>
      <c r="G243" s="1" t="n">
        <v>28</v>
      </c>
      <c r="H243" s="1" t="n">
        <v>56</v>
      </c>
      <c r="I243" s="1" t="str">
        <f aca="false">RIGHT(("0"&amp;C243),2)&amp;RIGHT(("0"&amp;D243),2)&amp;RIGHT(("0"&amp;E243),2)&amp;RIGHT(("0"&amp;F243),2)&amp;RIGHT(("0"&amp;G243),2)&amp;RIGHT(("0"&amp;H243),2)</f>
        <v>040721222856</v>
      </c>
      <c r="J243" s="1" t="n">
        <f aca="false">COUNTIF(I:I,I243)</f>
        <v>1</v>
      </c>
      <c r="K243" s="1" t="n">
        <v>0</v>
      </c>
      <c r="M243" s="1" t="s">
        <v>23</v>
      </c>
      <c r="N243" s="1" t="n">
        <v>203</v>
      </c>
      <c r="O243" s="1" t="s">
        <v>1111</v>
      </c>
      <c r="P243" s="1" t="n">
        <v>13497</v>
      </c>
      <c r="Q243" s="1" t="s">
        <v>1112</v>
      </c>
      <c r="R243" s="1" t="s">
        <v>1113</v>
      </c>
      <c r="S243" s="1" t="s">
        <v>23</v>
      </c>
      <c r="T243" s="1" t="s">
        <v>23</v>
      </c>
      <c r="U243" s="1" t="s">
        <v>23</v>
      </c>
      <c r="V243" s="1" t="s">
        <v>1114</v>
      </c>
    </row>
    <row r="244" customFormat="false" ht="13.8" hidden="false" customHeight="false" outlineLevel="0" collapsed="false">
      <c r="A244" s="1" t="n">
        <v>243</v>
      </c>
      <c r="B244" s="2" t="s">
        <v>1115</v>
      </c>
      <c r="C244" s="1" t="n">
        <v>11</v>
      </c>
      <c r="D244" s="1" t="n">
        <v>16</v>
      </c>
      <c r="E244" s="1" t="n">
        <v>20</v>
      </c>
      <c r="F244" s="1" t="n">
        <v>23</v>
      </c>
      <c r="G244" s="1" t="n">
        <v>32</v>
      </c>
      <c r="H244" s="1" t="n">
        <v>47</v>
      </c>
      <c r="I244" s="1" t="str">
        <f aca="false">RIGHT(("0"&amp;C244),2)&amp;RIGHT(("0"&amp;D244),2)&amp;RIGHT(("0"&amp;E244),2)&amp;RIGHT(("0"&amp;F244),2)&amp;RIGHT(("0"&amp;G244),2)&amp;RIGHT(("0"&amp;H244),2)</f>
        <v>111620233247</v>
      </c>
      <c r="J244" s="1" t="n">
        <f aca="false">COUNTIF(I:I,I244)</f>
        <v>1</v>
      </c>
      <c r="K244" s="1" t="n">
        <v>0</v>
      </c>
      <c r="M244" s="1" t="s">
        <v>23</v>
      </c>
      <c r="N244" s="1" t="n">
        <v>180</v>
      </c>
      <c r="O244" s="1" t="s">
        <v>1116</v>
      </c>
      <c r="P244" s="1" t="n">
        <v>13705</v>
      </c>
      <c r="Q244" s="1" t="s">
        <v>1117</v>
      </c>
      <c r="R244" s="1" t="s">
        <v>1118</v>
      </c>
      <c r="S244" s="1" t="s">
        <v>23</v>
      </c>
      <c r="T244" s="1" t="s">
        <v>23</v>
      </c>
      <c r="U244" s="1" t="s">
        <v>23</v>
      </c>
      <c r="V244" s="1" t="s">
        <v>1119</v>
      </c>
    </row>
    <row r="245" customFormat="false" ht="13.8" hidden="false" customHeight="false" outlineLevel="0" collapsed="false">
      <c r="A245" s="1" t="n">
        <v>244</v>
      </c>
      <c r="B245" s="2" t="s">
        <v>1120</v>
      </c>
      <c r="C245" s="1" t="n">
        <v>19</v>
      </c>
      <c r="D245" s="1" t="n">
        <v>24</v>
      </c>
      <c r="E245" s="1" t="n">
        <v>33</v>
      </c>
      <c r="F245" s="1" t="n">
        <v>47</v>
      </c>
      <c r="G245" s="1" t="n">
        <v>50</v>
      </c>
      <c r="H245" s="1" t="n">
        <v>60</v>
      </c>
      <c r="I245" s="1" t="str">
        <f aca="false">RIGHT(("0"&amp;C245),2)&amp;RIGHT(("0"&amp;D245),2)&amp;RIGHT(("0"&amp;E245),2)&amp;RIGHT(("0"&amp;F245),2)&amp;RIGHT(("0"&amp;G245),2)&amp;RIGHT(("0"&amp;H245),2)</f>
        <v>192433475060</v>
      </c>
      <c r="J245" s="1" t="n">
        <f aca="false">COUNTIF(I:I,I245)</f>
        <v>1</v>
      </c>
      <c r="K245" s="1" t="n">
        <v>0</v>
      </c>
      <c r="M245" s="1" t="s">
        <v>23</v>
      </c>
      <c r="N245" s="1" t="n">
        <v>204</v>
      </c>
      <c r="O245" s="1" t="s">
        <v>1121</v>
      </c>
      <c r="P245" s="1" t="n">
        <v>14735</v>
      </c>
      <c r="Q245" s="1" t="s">
        <v>1122</v>
      </c>
      <c r="R245" s="1" t="s">
        <v>1123</v>
      </c>
      <c r="S245" s="1" t="s">
        <v>23</v>
      </c>
      <c r="T245" s="1" t="s">
        <v>23</v>
      </c>
      <c r="U245" s="1" t="s">
        <v>23</v>
      </c>
      <c r="V245" s="1" t="s">
        <v>1124</v>
      </c>
    </row>
    <row r="246" customFormat="false" ht="13.8" hidden="false" customHeight="false" outlineLevel="0" collapsed="false">
      <c r="A246" s="1" t="n">
        <v>245</v>
      </c>
      <c r="B246" s="2" t="s">
        <v>1125</v>
      </c>
      <c r="C246" s="1" t="n">
        <v>8</v>
      </c>
      <c r="D246" s="1" t="n">
        <v>27</v>
      </c>
      <c r="E246" s="1" t="n">
        <v>44</v>
      </c>
      <c r="F246" s="1" t="n">
        <v>51</v>
      </c>
      <c r="G246" s="1" t="n">
        <v>53</v>
      </c>
      <c r="H246" s="1" t="n">
        <v>60</v>
      </c>
      <c r="I246" s="1" t="str">
        <f aca="false">RIGHT(("0"&amp;C246),2)&amp;RIGHT(("0"&amp;D246),2)&amp;RIGHT(("0"&amp;E246),2)&amp;RIGHT(("0"&amp;F246),2)&amp;RIGHT(("0"&amp;G246),2)&amp;RIGHT(("0"&amp;H246),2)</f>
        <v>082744515360</v>
      </c>
      <c r="J246" s="1" t="n">
        <f aca="false">COUNTIF(I:I,I246)</f>
        <v>1</v>
      </c>
      <c r="K246" s="1" t="n">
        <v>3</v>
      </c>
      <c r="L246" s="1" t="s">
        <v>1126</v>
      </c>
      <c r="M246" s="1" t="s">
        <v>1127</v>
      </c>
      <c r="N246" s="1" t="n">
        <v>283</v>
      </c>
      <c r="O246" s="1" t="s">
        <v>1128</v>
      </c>
      <c r="P246" s="1" t="n">
        <v>21593</v>
      </c>
      <c r="Q246" s="1" t="s">
        <v>1129</v>
      </c>
      <c r="R246" s="1" t="s">
        <v>23</v>
      </c>
      <c r="S246" s="1" t="s">
        <v>23</v>
      </c>
      <c r="T246" s="1" t="s">
        <v>23</v>
      </c>
      <c r="U246" s="1" t="s">
        <v>23</v>
      </c>
      <c r="V246" s="1" t="s">
        <v>1130</v>
      </c>
    </row>
    <row r="247" customFormat="false" ht="13.8" hidden="false" customHeight="false" outlineLevel="0" collapsed="false">
      <c r="A247" s="1" t="n">
        <v>246</v>
      </c>
      <c r="B247" s="2" t="s">
        <v>1131</v>
      </c>
      <c r="C247" s="1" t="n">
        <v>2</v>
      </c>
      <c r="D247" s="1" t="n">
        <v>16</v>
      </c>
      <c r="E247" s="1" t="n">
        <v>32</v>
      </c>
      <c r="F247" s="1" t="n">
        <v>37</v>
      </c>
      <c r="G247" s="1" t="n">
        <v>43</v>
      </c>
      <c r="H247" s="1" t="n">
        <v>57</v>
      </c>
      <c r="I247" s="1" t="str">
        <f aca="false">RIGHT(("0"&amp;C247),2)&amp;RIGHT(("0"&amp;D247),2)&amp;RIGHT(("0"&amp;E247),2)&amp;RIGHT(("0"&amp;F247),2)&amp;RIGHT(("0"&amp;G247),2)&amp;RIGHT(("0"&amp;H247),2)</f>
        <v>021632374357</v>
      </c>
      <c r="J247" s="1" t="n">
        <f aca="false">COUNTIF(I:I,I247)</f>
        <v>1</v>
      </c>
      <c r="K247" s="1" t="n">
        <v>0</v>
      </c>
      <c r="M247" s="1" t="s">
        <v>23</v>
      </c>
      <c r="N247" s="1" t="n">
        <v>93</v>
      </c>
      <c r="O247" s="1" t="s">
        <v>1132</v>
      </c>
      <c r="P247" s="1" t="n">
        <v>5429</v>
      </c>
      <c r="Q247" s="1" t="s">
        <v>1133</v>
      </c>
      <c r="R247" s="1" t="s">
        <v>1134</v>
      </c>
      <c r="S247" s="1" t="s">
        <v>23</v>
      </c>
      <c r="T247" s="1" t="s">
        <v>23</v>
      </c>
      <c r="U247" s="1" t="s">
        <v>23</v>
      </c>
      <c r="V247" s="1" t="s">
        <v>1135</v>
      </c>
    </row>
    <row r="248" customFormat="false" ht="13.8" hidden="false" customHeight="false" outlineLevel="0" collapsed="false">
      <c r="A248" s="1" t="n">
        <v>247</v>
      </c>
      <c r="B248" s="2" t="s">
        <v>1136</v>
      </c>
      <c r="C248" s="1" t="n">
        <v>3</v>
      </c>
      <c r="D248" s="1" t="n">
        <v>10</v>
      </c>
      <c r="E248" s="1" t="n">
        <v>23</v>
      </c>
      <c r="F248" s="1" t="n">
        <v>30</v>
      </c>
      <c r="G248" s="1" t="n">
        <v>34</v>
      </c>
      <c r="H248" s="1" t="n">
        <v>46</v>
      </c>
      <c r="I248" s="1" t="str">
        <f aca="false">RIGHT(("0"&amp;C248),2)&amp;RIGHT(("0"&amp;D248),2)&amp;RIGHT(("0"&amp;E248),2)&amp;RIGHT(("0"&amp;F248),2)&amp;RIGHT(("0"&amp;G248),2)&amp;RIGHT(("0"&amp;H248),2)</f>
        <v>031023303446</v>
      </c>
      <c r="J248" s="1" t="n">
        <f aca="false">COUNTIF(I:I,I248)</f>
        <v>1</v>
      </c>
      <c r="K248" s="1" t="n">
        <v>0</v>
      </c>
      <c r="M248" s="1" t="s">
        <v>23</v>
      </c>
      <c r="N248" s="1" t="n">
        <v>80</v>
      </c>
      <c r="O248" s="1" t="s">
        <v>1137</v>
      </c>
      <c r="P248" s="1" t="n">
        <v>6425</v>
      </c>
      <c r="Q248" s="1" t="s">
        <v>1138</v>
      </c>
      <c r="R248" s="1" t="s">
        <v>1139</v>
      </c>
      <c r="S248" s="1" t="s">
        <v>23</v>
      </c>
      <c r="T248" s="1" t="s">
        <v>23</v>
      </c>
      <c r="U248" s="1" t="s">
        <v>23</v>
      </c>
      <c r="V248" s="1" t="s">
        <v>1140</v>
      </c>
    </row>
    <row r="249" customFormat="false" ht="13.8" hidden="false" customHeight="false" outlineLevel="0" collapsed="false">
      <c r="A249" s="1" t="n">
        <v>248</v>
      </c>
      <c r="B249" s="2" t="s">
        <v>1141</v>
      </c>
      <c r="C249" s="1" t="n">
        <v>16</v>
      </c>
      <c r="D249" s="1" t="n">
        <v>32</v>
      </c>
      <c r="E249" s="1" t="n">
        <v>34</v>
      </c>
      <c r="F249" s="1" t="n">
        <v>35</v>
      </c>
      <c r="G249" s="1" t="n">
        <v>41</v>
      </c>
      <c r="H249" s="1" t="n">
        <v>56</v>
      </c>
      <c r="I249" s="1" t="str">
        <f aca="false">RIGHT(("0"&amp;C249),2)&amp;RIGHT(("0"&amp;D249),2)&amp;RIGHT(("0"&amp;E249),2)&amp;RIGHT(("0"&amp;F249),2)&amp;RIGHT(("0"&amp;G249),2)&amp;RIGHT(("0"&amp;H249),2)</f>
        <v>163234354156</v>
      </c>
      <c r="J249" s="1" t="n">
        <f aca="false">COUNTIF(I:I,I249)</f>
        <v>1</v>
      </c>
      <c r="K249" s="1" t="n">
        <v>0</v>
      </c>
      <c r="M249" s="1" t="s">
        <v>23</v>
      </c>
      <c r="N249" s="1" t="n">
        <v>50</v>
      </c>
      <c r="O249" s="1" t="s">
        <v>1142</v>
      </c>
      <c r="P249" s="1" t="n">
        <v>4862</v>
      </c>
      <c r="Q249" s="1" t="s">
        <v>1143</v>
      </c>
      <c r="R249" s="1" t="s">
        <v>1144</v>
      </c>
      <c r="S249" s="1" t="s">
        <v>23</v>
      </c>
      <c r="T249" s="1" t="s">
        <v>23</v>
      </c>
      <c r="U249" s="1" t="s">
        <v>23</v>
      </c>
      <c r="V249" s="1" t="s">
        <v>1145</v>
      </c>
    </row>
    <row r="250" customFormat="false" ht="13.8" hidden="false" customHeight="false" outlineLevel="0" collapsed="false">
      <c r="A250" s="1" t="n">
        <v>249</v>
      </c>
      <c r="B250" s="2" t="s">
        <v>1146</v>
      </c>
      <c r="C250" s="1" t="n">
        <v>21</v>
      </c>
      <c r="D250" s="1" t="n">
        <v>36</v>
      </c>
      <c r="E250" s="1" t="n">
        <v>40</v>
      </c>
      <c r="F250" s="1" t="n">
        <v>49</v>
      </c>
      <c r="G250" s="1" t="n">
        <v>54</v>
      </c>
      <c r="H250" s="1" t="n">
        <v>55</v>
      </c>
      <c r="I250" s="1" t="str">
        <f aca="false">RIGHT(("0"&amp;C250),2)&amp;RIGHT(("0"&amp;D250),2)&amp;RIGHT(("0"&amp;E250),2)&amp;RIGHT(("0"&amp;F250),2)&amp;RIGHT(("0"&amp;G250),2)&amp;RIGHT(("0"&amp;H250),2)</f>
        <v>213640495455</v>
      </c>
      <c r="J250" s="1" t="n">
        <f aca="false">COUNTIF(I:I,I250)</f>
        <v>1</v>
      </c>
      <c r="K250" s="1" t="n">
        <v>0</v>
      </c>
      <c r="M250" s="1" t="s">
        <v>23</v>
      </c>
      <c r="N250" s="1" t="n">
        <v>60</v>
      </c>
      <c r="O250" s="1" t="s">
        <v>1147</v>
      </c>
      <c r="P250" s="1" t="n">
        <v>4247</v>
      </c>
      <c r="Q250" s="1" t="s">
        <v>1148</v>
      </c>
      <c r="R250" s="1" t="s">
        <v>1149</v>
      </c>
      <c r="S250" s="1" t="s">
        <v>23</v>
      </c>
      <c r="T250" s="1" t="s">
        <v>23</v>
      </c>
      <c r="U250" s="1" t="s">
        <v>23</v>
      </c>
      <c r="V250" s="1" t="s">
        <v>1150</v>
      </c>
    </row>
    <row r="251" customFormat="false" ht="13.8" hidden="false" customHeight="false" outlineLevel="0" collapsed="false">
      <c r="A251" s="1" t="n">
        <v>250</v>
      </c>
      <c r="B251" s="2" t="s">
        <v>1151</v>
      </c>
      <c r="C251" s="1" t="n">
        <v>7</v>
      </c>
      <c r="D251" s="1" t="n">
        <v>25</v>
      </c>
      <c r="E251" s="1" t="n">
        <v>41</v>
      </c>
      <c r="F251" s="1" t="n">
        <v>42</v>
      </c>
      <c r="G251" s="1" t="n">
        <v>43</v>
      </c>
      <c r="H251" s="1" t="n">
        <v>55</v>
      </c>
      <c r="I251" s="1" t="str">
        <f aca="false">RIGHT(("0"&amp;C251),2)&amp;RIGHT(("0"&amp;D251),2)&amp;RIGHT(("0"&amp;E251),2)&amp;RIGHT(("0"&amp;F251),2)&amp;RIGHT(("0"&amp;G251),2)&amp;RIGHT(("0"&amp;H251),2)</f>
        <v>072541424355</v>
      </c>
      <c r="J251" s="1" t="n">
        <f aca="false">COUNTIF(I:I,I251)</f>
        <v>1</v>
      </c>
      <c r="K251" s="1" t="n">
        <v>0</v>
      </c>
      <c r="M251" s="1" t="s">
        <v>23</v>
      </c>
      <c r="N251" s="1" t="n">
        <v>203</v>
      </c>
      <c r="O251" s="1" t="s">
        <v>1152</v>
      </c>
      <c r="P251" s="1" t="n">
        <v>15545</v>
      </c>
      <c r="Q251" s="1" t="s">
        <v>1153</v>
      </c>
      <c r="R251" s="1" t="s">
        <v>1154</v>
      </c>
      <c r="S251" s="1" t="s">
        <v>23</v>
      </c>
      <c r="T251" s="1" t="s">
        <v>23</v>
      </c>
      <c r="U251" s="1" t="s">
        <v>23</v>
      </c>
      <c r="V251" s="1" t="s">
        <v>1155</v>
      </c>
    </row>
    <row r="252" customFormat="false" ht="13.8" hidden="false" customHeight="false" outlineLevel="0" collapsed="false">
      <c r="A252" s="1" t="n">
        <v>251</v>
      </c>
      <c r="B252" s="2" t="s">
        <v>1156</v>
      </c>
      <c r="C252" s="1" t="n">
        <v>15</v>
      </c>
      <c r="D252" s="1" t="n">
        <v>23</v>
      </c>
      <c r="E252" s="1" t="n">
        <v>30</v>
      </c>
      <c r="F252" s="1" t="n">
        <v>34</v>
      </c>
      <c r="G252" s="1" t="n">
        <v>49</v>
      </c>
      <c r="H252" s="1" t="n">
        <v>55</v>
      </c>
      <c r="I252" s="1" t="str">
        <f aca="false">RIGHT(("0"&amp;C252),2)&amp;RIGHT(("0"&amp;D252),2)&amp;RIGHT(("0"&amp;E252),2)&amp;RIGHT(("0"&amp;F252),2)&amp;RIGHT(("0"&amp;G252),2)&amp;RIGHT(("0"&amp;H252),2)</f>
        <v>152330344955</v>
      </c>
      <c r="J252" s="1" t="n">
        <f aca="false">COUNTIF(I:I,I252)</f>
        <v>1</v>
      </c>
      <c r="K252" s="1" t="n">
        <v>0</v>
      </c>
      <c r="M252" s="1" t="s">
        <v>23</v>
      </c>
      <c r="N252" s="1" t="n">
        <v>180</v>
      </c>
      <c r="O252" s="1" t="s">
        <v>1157</v>
      </c>
      <c r="P252" s="1" t="n">
        <v>12813</v>
      </c>
      <c r="Q252" s="1" t="s">
        <v>1158</v>
      </c>
      <c r="R252" s="1" t="s">
        <v>1159</v>
      </c>
      <c r="S252" s="1" t="s">
        <v>23</v>
      </c>
      <c r="T252" s="1" t="s">
        <v>23</v>
      </c>
      <c r="U252" s="1" t="s">
        <v>23</v>
      </c>
      <c r="V252" s="1" t="s">
        <v>1160</v>
      </c>
    </row>
    <row r="253" customFormat="false" ht="13.8" hidden="false" customHeight="false" outlineLevel="0" collapsed="false">
      <c r="A253" s="1" t="n">
        <v>252</v>
      </c>
      <c r="B253" s="2" t="s">
        <v>1161</v>
      </c>
      <c r="C253" s="1" t="n">
        <v>4</v>
      </c>
      <c r="D253" s="1" t="n">
        <v>17</v>
      </c>
      <c r="E253" s="1" t="n">
        <v>26</v>
      </c>
      <c r="F253" s="1" t="n">
        <v>32</v>
      </c>
      <c r="G253" s="1" t="n">
        <v>51</v>
      </c>
      <c r="H253" s="1" t="n">
        <v>54</v>
      </c>
      <c r="I253" s="1" t="str">
        <f aca="false">RIGHT(("0"&amp;C253),2)&amp;RIGHT(("0"&amp;D253),2)&amp;RIGHT(("0"&amp;E253),2)&amp;RIGHT(("0"&amp;F253),2)&amp;RIGHT(("0"&amp;G253),2)&amp;RIGHT(("0"&amp;H253),2)</f>
        <v>041726325154</v>
      </c>
      <c r="J253" s="1" t="n">
        <f aca="false">COUNTIF(I:I,I253)</f>
        <v>1</v>
      </c>
      <c r="K253" s="1" t="n">
        <v>2</v>
      </c>
      <c r="L253" s="1" t="s">
        <v>1070</v>
      </c>
      <c r="M253" s="1" t="s">
        <v>1162</v>
      </c>
      <c r="N253" s="1" t="n">
        <v>354</v>
      </c>
      <c r="O253" s="1" t="s">
        <v>1163</v>
      </c>
      <c r="P253" s="1" t="n">
        <v>22122</v>
      </c>
      <c r="Q253" s="1" t="s">
        <v>1164</v>
      </c>
      <c r="R253" s="1" t="s">
        <v>23</v>
      </c>
      <c r="S253" s="1" t="s">
        <v>23</v>
      </c>
      <c r="T253" s="1" t="s">
        <v>23</v>
      </c>
      <c r="U253" s="1" t="s">
        <v>23</v>
      </c>
      <c r="V253" s="1" t="s">
        <v>1165</v>
      </c>
    </row>
    <row r="254" customFormat="false" ht="13.8" hidden="false" customHeight="false" outlineLevel="0" collapsed="false">
      <c r="A254" s="1" t="n">
        <v>253</v>
      </c>
      <c r="B254" s="2" t="s">
        <v>1166</v>
      </c>
      <c r="C254" s="1" t="n">
        <v>11</v>
      </c>
      <c r="D254" s="1" t="n">
        <v>12</v>
      </c>
      <c r="E254" s="1" t="n">
        <v>24</v>
      </c>
      <c r="F254" s="1" t="n">
        <v>37</v>
      </c>
      <c r="G254" s="1" t="n">
        <v>44</v>
      </c>
      <c r="H254" s="1" t="n">
        <v>56</v>
      </c>
      <c r="I254" s="1" t="str">
        <f aca="false">RIGHT(("0"&amp;C254),2)&amp;RIGHT(("0"&amp;D254),2)&amp;RIGHT(("0"&amp;E254),2)&amp;RIGHT(("0"&amp;F254),2)&amp;RIGHT(("0"&amp;G254),2)&amp;RIGHT(("0"&amp;H254),2)</f>
        <v>111224374456</v>
      </c>
      <c r="J254" s="1" t="n">
        <f aca="false">COUNTIF(I:I,I254)</f>
        <v>1</v>
      </c>
      <c r="K254" s="1" t="n">
        <v>0</v>
      </c>
      <c r="M254" s="1" t="s">
        <v>23</v>
      </c>
      <c r="N254" s="1" t="n">
        <v>126</v>
      </c>
      <c r="O254" s="1" t="s">
        <v>1167</v>
      </c>
      <c r="P254" s="1" t="n">
        <v>7260</v>
      </c>
      <c r="Q254" s="1" t="s">
        <v>1168</v>
      </c>
      <c r="R254" s="1" t="s">
        <v>1169</v>
      </c>
      <c r="S254" s="1" t="s">
        <v>23</v>
      </c>
      <c r="T254" s="1" t="s">
        <v>23</v>
      </c>
      <c r="U254" s="1" t="s">
        <v>23</v>
      </c>
      <c r="V254" s="1" t="s">
        <v>1170</v>
      </c>
    </row>
    <row r="255" customFormat="false" ht="13.8" hidden="false" customHeight="false" outlineLevel="0" collapsed="false">
      <c r="A255" s="1" t="n">
        <v>254</v>
      </c>
      <c r="B255" s="2" t="s">
        <v>1171</v>
      </c>
      <c r="C255" s="1" t="n">
        <v>1</v>
      </c>
      <c r="D255" s="1" t="n">
        <v>4</v>
      </c>
      <c r="E255" s="1" t="n">
        <v>21</v>
      </c>
      <c r="F255" s="1" t="n">
        <v>22</v>
      </c>
      <c r="G255" s="1" t="n">
        <v>30</v>
      </c>
      <c r="H255" s="1" t="n">
        <v>56</v>
      </c>
      <c r="I255" s="1" t="str">
        <f aca="false">RIGHT(("0"&amp;C255),2)&amp;RIGHT(("0"&amp;D255),2)&amp;RIGHT(("0"&amp;E255),2)&amp;RIGHT(("0"&amp;F255),2)&amp;RIGHT(("0"&amp;G255),2)&amp;RIGHT(("0"&amp;H255),2)</f>
        <v>010421223056</v>
      </c>
      <c r="J255" s="1" t="n">
        <f aca="false">COUNTIF(I:I,I255)</f>
        <v>1</v>
      </c>
      <c r="K255" s="1" t="n">
        <v>0</v>
      </c>
      <c r="M255" s="1" t="s">
        <v>23</v>
      </c>
      <c r="N255" s="1" t="n">
        <v>66</v>
      </c>
      <c r="O255" s="1" t="s">
        <v>1172</v>
      </c>
      <c r="P255" s="1" t="n">
        <v>6381</v>
      </c>
      <c r="Q255" s="1" t="s">
        <v>1173</v>
      </c>
      <c r="R255" s="1" t="s">
        <v>1174</v>
      </c>
      <c r="S255" s="1" t="s">
        <v>23</v>
      </c>
      <c r="T255" s="1" t="s">
        <v>23</v>
      </c>
      <c r="U255" s="1" t="s">
        <v>23</v>
      </c>
      <c r="V255" s="1" t="s">
        <v>1175</v>
      </c>
    </row>
    <row r="256" customFormat="false" ht="13.8" hidden="false" customHeight="false" outlineLevel="0" collapsed="false">
      <c r="A256" s="1" t="n">
        <v>255</v>
      </c>
      <c r="B256" s="2" t="s">
        <v>1176</v>
      </c>
      <c r="C256" s="1" t="n">
        <v>16</v>
      </c>
      <c r="D256" s="1" t="n">
        <v>19</v>
      </c>
      <c r="E256" s="1" t="n">
        <v>20</v>
      </c>
      <c r="F256" s="1" t="n">
        <v>32</v>
      </c>
      <c r="G256" s="1" t="n">
        <v>44</v>
      </c>
      <c r="H256" s="1" t="n">
        <v>55</v>
      </c>
      <c r="I256" s="1" t="str">
        <f aca="false">RIGHT(("0"&amp;C256),2)&amp;RIGHT(("0"&amp;D256),2)&amp;RIGHT(("0"&amp;E256),2)&amp;RIGHT(("0"&amp;F256),2)&amp;RIGHT(("0"&amp;G256),2)&amp;RIGHT(("0"&amp;H256),2)</f>
        <v>161920324455</v>
      </c>
      <c r="J256" s="1" t="n">
        <f aca="false">COUNTIF(I:I,I256)</f>
        <v>1</v>
      </c>
      <c r="K256" s="1" t="n">
        <v>0</v>
      </c>
      <c r="M256" s="1" t="s">
        <v>23</v>
      </c>
      <c r="N256" s="1" t="n">
        <v>80</v>
      </c>
      <c r="O256" s="1" t="s">
        <v>1177</v>
      </c>
      <c r="P256" s="1" t="n">
        <v>6812</v>
      </c>
      <c r="Q256" s="1" t="s">
        <v>1178</v>
      </c>
      <c r="R256" s="1" t="s">
        <v>1179</v>
      </c>
      <c r="S256" s="1" t="s">
        <v>23</v>
      </c>
      <c r="T256" s="1" t="s">
        <v>23</v>
      </c>
      <c r="U256" s="1" t="s">
        <v>23</v>
      </c>
      <c r="V256" s="1" t="s">
        <v>1180</v>
      </c>
    </row>
    <row r="257" customFormat="false" ht="13.8" hidden="false" customHeight="false" outlineLevel="0" collapsed="false">
      <c r="A257" s="1" t="n">
        <v>256</v>
      </c>
      <c r="B257" s="2" t="s">
        <v>1181</v>
      </c>
      <c r="C257" s="1" t="n">
        <v>2</v>
      </c>
      <c r="D257" s="1" t="n">
        <v>21</v>
      </c>
      <c r="E257" s="1" t="n">
        <v>26</v>
      </c>
      <c r="F257" s="1" t="n">
        <v>32</v>
      </c>
      <c r="G257" s="1" t="n">
        <v>34</v>
      </c>
      <c r="H257" s="1" t="n">
        <v>52</v>
      </c>
      <c r="I257" s="1" t="str">
        <f aca="false">RIGHT(("0"&amp;C257),2)&amp;RIGHT(("0"&amp;D257),2)&amp;RIGHT(("0"&amp;E257),2)&amp;RIGHT(("0"&amp;F257),2)&amp;RIGHT(("0"&amp;G257),2)&amp;RIGHT(("0"&amp;H257),2)</f>
        <v>022126323452</v>
      </c>
      <c r="J257" s="1" t="n">
        <f aca="false">COUNTIF(I:I,I257)</f>
        <v>1</v>
      </c>
      <c r="K257" s="1" t="n">
        <v>0</v>
      </c>
      <c r="M257" s="1" t="s">
        <v>23</v>
      </c>
      <c r="N257" s="1" t="n">
        <v>91</v>
      </c>
      <c r="O257" s="1" t="s">
        <v>1182</v>
      </c>
      <c r="P257" s="1" t="n">
        <v>6319</v>
      </c>
      <c r="Q257" s="1" t="s">
        <v>1183</v>
      </c>
      <c r="R257" s="1" t="s">
        <v>1184</v>
      </c>
      <c r="S257" s="1" t="s">
        <v>23</v>
      </c>
      <c r="T257" s="1" t="s">
        <v>23</v>
      </c>
      <c r="U257" s="1" t="s">
        <v>23</v>
      </c>
      <c r="V257" s="1" t="s">
        <v>1185</v>
      </c>
    </row>
    <row r="258" customFormat="false" ht="13.8" hidden="false" customHeight="false" outlineLevel="0" collapsed="false">
      <c r="A258" s="1" t="n">
        <v>257</v>
      </c>
      <c r="B258" s="2" t="s">
        <v>1186</v>
      </c>
      <c r="C258" s="1" t="n">
        <v>1</v>
      </c>
      <c r="D258" s="1" t="n">
        <v>4</v>
      </c>
      <c r="E258" s="1" t="n">
        <v>5</v>
      </c>
      <c r="F258" s="1" t="n">
        <v>19</v>
      </c>
      <c r="G258" s="1" t="n">
        <v>28</v>
      </c>
      <c r="H258" s="1" t="n">
        <v>34</v>
      </c>
      <c r="I258" s="1" t="str">
        <f aca="false">RIGHT(("0"&amp;C258),2)&amp;RIGHT(("0"&amp;D258),2)&amp;RIGHT(("0"&amp;E258),2)&amp;RIGHT(("0"&amp;F258),2)&amp;RIGHT(("0"&amp;G258),2)&amp;RIGHT(("0"&amp;H258),2)</f>
        <v>010405192834</v>
      </c>
      <c r="J258" s="1" t="n">
        <f aca="false">COUNTIF(I:I,I258)</f>
        <v>1</v>
      </c>
      <c r="K258" s="1" t="n">
        <v>1</v>
      </c>
      <c r="L258" s="1" t="s">
        <v>66</v>
      </c>
      <c r="M258" s="1" t="s">
        <v>1187</v>
      </c>
      <c r="N258" s="1" t="n">
        <v>175</v>
      </c>
      <c r="O258" s="1" t="s">
        <v>1188</v>
      </c>
      <c r="P258" s="1" t="n">
        <v>11706</v>
      </c>
      <c r="Q258" s="1" t="s">
        <v>1189</v>
      </c>
      <c r="R258" s="1" t="s">
        <v>23</v>
      </c>
      <c r="S258" s="1" t="s">
        <v>23</v>
      </c>
      <c r="T258" s="1" t="s">
        <v>23</v>
      </c>
      <c r="U258" s="1" t="s">
        <v>23</v>
      </c>
      <c r="V258" s="1" t="s">
        <v>1190</v>
      </c>
    </row>
    <row r="259" customFormat="false" ht="13.8" hidden="false" customHeight="false" outlineLevel="0" collapsed="false">
      <c r="A259" s="1" t="n">
        <v>258</v>
      </c>
      <c r="B259" s="2" t="s">
        <v>1191</v>
      </c>
      <c r="C259" s="1" t="n">
        <v>7</v>
      </c>
      <c r="D259" s="1" t="n">
        <v>12</v>
      </c>
      <c r="E259" s="1" t="n">
        <v>50</v>
      </c>
      <c r="F259" s="1" t="n">
        <v>54</v>
      </c>
      <c r="G259" s="1" t="n">
        <v>55</v>
      </c>
      <c r="H259" s="1" t="n">
        <v>60</v>
      </c>
      <c r="I259" s="1" t="str">
        <f aca="false">RIGHT(("0"&amp;C259),2)&amp;RIGHT(("0"&amp;D259),2)&amp;RIGHT(("0"&amp;E259),2)&amp;RIGHT(("0"&amp;F259),2)&amp;RIGHT(("0"&amp;G259),2)&amp;RIGHT(("0"&amp;H259),2)</f>
        <v>071250545560</v>
      </c>
      <c r="J259" s="1" t="n">
        <f aca="false">COUNTIF(I:I,I259)</f>
        <v>1</v>
      </c>
      <c r="K259" s="1" t="n">
        <v>0</v>
      </c>
      <c r="M259" s="1" t="s">
        <v>23</v>
      </c>
      <c r="N259" s="1" t="n">
        <v>53</v>
      </c>
      <c r="O259" s="1" t="s">
        <v>1192</v>
      </c>
      <c r="P259" s="1" t="n">
        <v>3615</v>
      </c>
      <c r="Q259" s="1" t="s">
        <v>1193</v>
      </c>
      <c r="R259" s="1" t="s">
        <v>1194</v>
      </c>
      <c r="S259" s="1" t="s">
        <v>23</v>
      </c>
      <c r="T259" s="1" t="s">
        <v>23</v>
      </c>
      <c r="U259" s="1" t="s">
        <v>23</v>
      </c>
      <c r="V259" s="1" t="s">
        <v>1195</v>
      </c>
    </row>
    <row r="260" customFormat="false" ht="13.8" hidden="false" customHeight="false" outlineLevel="0" collapsed="false">
      <c r="A260" s="1" t="n">
        <v>259</v>
      </c>
      <c r="B260" s="2" t="s">
        <v>1196</v>
      </c>
      <c r="C260" s="1" t="n">
        <v>13</v>
      </c>
      <c r="D260" s="1" t="n">
        <v>15</v>
      </c>
      <c r="E260" s="1" t="n">
        <v>20</v>
      </c>
      <c r="F260" s="1" t="n">
        <v>33</v>
      </c>
      <c r="G260" s="1" t="n">
        <v>43</v>
      </c>
      <c r="H260" s="1" t="n">
        <v>58</v>
      </c>
      <c r="I260" s="1" t="str">
        <f aca="false">RIGHT(("0"&amp;C260),2)&amp;RIGHT(("0"&amp;D260),2)&amp;RIGHT(("0"&amp;E260),2)&amp;RIGHT(("0"&amp;F260),2)&amp;RIGHT(("0"&amp;G260),2)&amp;RIGHT(("0"&amp;H260),2)</f>
        <v>131520334358</v>
      </c>
      <c r="J260" s="1" t="n">
        <f aca="false">COUNTIF(I:I,I260)</f>
        <v>1</v>
      </c>
      <c r="K260" s="1" t="n">
        <v>0</v>
      </c>
      <c r="M260" s="1" t="s">
        <v>23</v>
      </c>
      <c r="N260" s="1" t="n">
        <v>65</v>
      </c>
      <c r="O260" s="1" t="s">
        <v>1197</v>
      </c>
      <c r="P260" s="1" t="n">
        <v>5581</v>
      </c>
      <c r="Q260" s="1" t="s">
        <v>1198</v>
      </c>
      <c r="R260" s="1" t="s">
        <v>1199</v>
      </c>
      <c r="S260" s="1" t="s">
        <v>23</v>
      </c>
      <c r="T260" s="1" t="s">
        <v>23</v>
      </c>
      <c r="U260" s="1" t="s">
        <v>23</v>
      </c>
      <c r="V260" s="1" t="s">
        <v>1200</v>
      </c>
    </row>
    <row r="261" customFormat="false" ht="13.8" hidden="false" customHeight="false" outlineLevel="0" collapsed="false">
      <c r="A261" s="1" t="n">
        <v>260</v>
      </c>
      <c r="B261" s="2" t="s">
        <v>1201</v>
      </c>
      <c r="C261" s="1" t="n">
        <v>4</v>
      </c>
      <c r="D261" s="1" t="n">
        <v>6</v>
      </c>
      <c r="E261" s="1" t="n">
        <v>33</v>
      </c>
      <c r="F261" s="1" t="n">
        <v>43</v>
      </c>
      <c r="G261" s="1" t="n">
        <v>59</v>
      </c>
      <c r="H261" s="1" t="n">
        <v>60</v>
      </c>
      <c r="I261" s="1" t="str">
        <f aca="false">RIGHT(("0"&amp;C261),2)&amp;RIGHT(("0"&amp;D261),2)&amp;RIGHT(("0"&amp;E261),2)&amp;RIGHT(("0"&amp;F261),2)&amp;RIGHT(("0"&amp;G261),2)&amp;RIGHT(("0"&amp;H261),2)</f>
        <v>040633435960</v>
      </c>
      <c r="J261" s="1" t="n">
        <f aca="false">COUNTIF(I:I,I261)</f>
        <v>1</v>
      </c>
      <c r="K261" s="1" t="n">
        <v>0</v>
      </c>
      <c r="M261" s="1" t="s">
        <v>23</v>
      </c>
      <c r="N261" s="1" t="n">
        <v>120</v>
      </c>
      <c r="O261" s="1" t="s">
        <v>1202</v>
      </c>
      <c r="P261" s="1" t="n">
        <v>8956</v>
      </c>
      <c r="Q261" s="1" t="s">
        <v>1203</v>
      </c>
      <c r="R261" s="1" t="s">
        <v>1204</v>
      </c>
      <c r="S261" s="1" t="s">
        <v>23</v>
      </c>
      <c r="T261" s="1" t="s">
        <v>23</v>
      </c>
      <c r="U261" s="1" t="s">
        <v>23</v>
      </c>
      <c r="V261" s="1" t="s">
        <v>1205</v>
      </c>
    </row>
    <row r="262" customFormat="false" ht="13.8" hidden="false" customHeight="false" outlineLevel="0" collapsed="false">
      <c r="A262" s="1" t="n">
        <v>261</v>
      </c>
      <c r="B262" s="2" t="s">
        <v>1206</v>
      </c>
      <c r="C262" s="1" t="n">
        <v>5</v>
      </c>
      <c r="D262" s="1" t="n">
        <v>16</v>
      </c>
      <c r="E262" s="1" t="n">
        <v>20</v>
      </c>
      <c r="F262" s="1" t="n">
        <v>30</v>
      </c>
      <c r="G262" s="1" t="n">
        <v>54</v>
      </c>
      <c r="H262" s="1" t="n">
        <v>56</v>
      </c>
      <c r="I262" s="1" t="str">
        <f aca="false">RIGHT(("0"&amp;C262),2)&amp;RIGHT(("0"&amp;D262),2)&amp;RIGHT(("0"&amp;E262),2)&amp;RIGHT(("0"&amp;F262),2)&amp;RIGHT(("0"&amp;G262),2)&amp;RIGHT(("0"&amp;H262),2)</f>
        <v>051620305456</v>
      </c>
      <c r="J262" s="1" t="n">
        <f aca="false">COUNTIF(I:I,I262)</f>
        <v>1</v>
      </c>
      <c r="K262" s="1" t="n">
        <v>0</v>
      </c>
      <c r="M262" s="1" t="s">
        <v>23</v>
      </c>
      <c r="N262" s="1" t="n">
        <v>91</v>
      </c>
      <c r="O262" s="1" t="s">
        <v>1207</v>
      </c>
      <c r="P262" s="1" t="n">
        <v>7281</v>
      </c>
      <c r="Q262" s="1" t="s">
        <v>1208</v>
      </c>
      <c r="R262" s="1" t="s">
        <v>1209</v>
      </c>
      <c r="S262" s="1" t="s">
        <v>23</v>
      </c>
      <c r="T262" s="1" t="s">
        <v>23</v>
      </c>
      <c r="U262" s="1" t="s">
        <v>23</v>
      </c>
      <c r="V262" s="1" t="s">
        <v>1210</v>
      </c>
    </row>
    <row r="263" customFormat="false" ht="13.8" hidden="false" customHeight="false" outlineLevel="0" collapsed="false">
      <c r="A263" s="1" t="n">
        <v>262</v>
      </c>
      <c r="B263" s="2" t="s">
        <v>1211</v>
      </c>
      <c r="C263" s="1" t="n">
        <v>11</v>
      </c>
      <c r="D263" s="1" t="n">
        <v>20</v>
      </c>
      <c r="E263" s="1" t="n">
        <v>48</v>
      </c>
      <c r="F263" s="1" t="n">
        <v>53</v>
      </c>
      <c r="G263" s="1" t="n">
        <v>58</v>
      </c>
      <c r="H263" s="1" t="n">
        <v>60</v>
      </c>
      <c r="I263" s="1" t="str">
        <f aca="false">RIGHT(("0"&amp;C263),2)&amp;RIGHT(("0"&amp;D263),2)&amp;RIGHT(("0"&amp;E263),2)&amp;RIGHT(("0"&amp;F263),2)&amp;RIGHT(("0"&amp;G263),2)&amp;RIGHT(("0"&amp;H263),2)</f>
        <v>112048535860</v>
      </c>
      <c r="J263" s="1" t="n">
        <f aca="false">COUNTIF(I:I,I263)</f>
        <v>1</v>
      </c>
      <c r="K263" s="1" t="n">
        <v>0</v>
      </c>
      <c r="M263" s="1" t="s">
        <v>23</v>
      </c>
      <c r="N263" s="1" t="n">
        <v>108</v>
      </c>
      <c r="O263" s="1" t="s">
        <v>1212</v>
      </c>
      <c r="P263" s="1" t="n">
        <v>8838</v>
      </c>
      <c r="Q263" s="1" t="s">
        <v>1213</v>
      </c>
      <c r="R263" s="1" t="s">
        <v>1214</v>
      </c>
      <c r="S263" s="1" t="s">
        <v>23</v>
      </c>
      <c r="T263" s="1" t="s">
        <v>23</v>
      </c>
      <c r="U263" s="1" t="s">
        <v>23</v>
      </c>
      <c r="V263" s="1" t="s">
        <v>1215</v>
      </c>
    </row>
    <row r="264" customFormat="false" ht="13.8" hidden="false" customHeight="false" outlineLevel="0" collapsed="false">
      <c r="A264" s="1" t="n">
        <v>263</v>
      </c>
      <c r="B264" s="2" t="s">
        <v>1216</v>
      </c>
      <c r="C264" s="1" t="n">
        <v>8</v>
      </c>
      <c r="D264" s="1" t="n">
        <v>9</v>
      </c>
      <c r="E264" s="1" t="n">
        <v>26</v>
      </c>
      <c r="F264" s="1" t="n">
        <v>43</v>
      </c>
      <c r="G264" s="1" t="n">
        <v>50</v>
      </c>
      <c r="H264" s="1" t="n">
        <v>53</v>
      </c>
      <c r="I264" s="1" t="str">
        <f aca="false">RIGHT(("0"&amp;C264),2)&amp;RIGHT(("0"&amp;D264),2)&amp;RIGHT(("0"&amp;E264),2)&amp;RIGHT(("0"&amp;F264),2)&amp;RIGHT(("0"&amp;G264),2)&amp;RIGHT(("0"&amp;H264),2)</f>
        <v>080926435053</v>
      </c>
      <c r="J264" s="1" t="n">
        <f aca="false">COUNTIF(I:I,I264)</f>
        <v>1</v>
      </c>
      <c r="K264" s="1" t="n">
        <v>0</v>
      </c>
      <c r="M264" s="1" t="s">
        <v>23</v>
      </c>
      <c r="N264" s="1" t="n">
        <v>136</v>
      </c>
      <c r="O264" s="1" t="s">
        <v>1217</v>
      </c>
      <c r="P264" s="1" t="n">
        <v>12752</v>
      </c>
      <c r="Q264" s="1" t="s">
        <v>1218</v>
      </c>
      <c r="R264" s="1" t="s">
        <v>1219</v>
      </c>
      <c r="S264" s="1" t="s">
        <v>23</v>
      </c>
      <c r="T264" s="1" t="s">
        <v>23</v>
      </c>
      <c r="U264" s="1" t="s">
        <v>23</v>
      </c>
      <c r="V264" s="1" t="s">
        <v>1220</v>
      </c>
    </row>
    <row r="265" customFormat="false" ht="13.8" hidden="false" customHeight="false" outlineLevel="0" collapsed="false">
      <c r="A265" s="1" t="n">
        <v>264</v>
      </c>
      <c r="B265" s="2" t="s">
        <v>1221</v>
      </c>
      <c r="C265" s="1" t="n">
        <v>1</v>
      </c>
      <c r="D265" s="1" t="n">
        <v>5</v>
      </c>
      <c r="E265" s="1" t="n">
        <v>13</v>
      </c>
      <c r="F265" s="1" t="n">
        <v>25</v>
      </c>
      <c r="G265" s="1" t="n">
        <v>31</v>
      </c>
      <c r="H265" s="1" t="n">
        <v>33</v>
      </c>
      <c r="I265" s="1" t="str">
        <f aca="false">RIGHT(("0"&amp;C265),2)&amp;RIGHT(("0"&amp;D265),2)&amp;RIGHT(("0"&amp;E265),2)&amp;RIGHT(("0"&amp;F265),2)&amp;RIGHT(("0"&amp;G265),2)&amp;RIGHT(("0"&amp;H265),2)</f>
        <v>010513253133</v>
      </c>
      <c r="J265" s="1" t="n">
        <f aca="false">COUNTIF(I:I,I265)</f>
        <v>1</v>
      </c>
      <c r="K265" s="1" t="n">
        <v>2</v>
      </c>
      <c r="L265" s="1" t="s">
        <v>1222</v>
      </c>
      <c r="M265" s="1" t="s">
        <v>1223</v>
      </c>
      <c r="N265" s="1" t="n">
        <v>979</v>
      </c>
      <c r="O265" s="1" t="s">
        <v>1224</v>
      </c>
      <c r="P265" s="1" t="n">
        <v>50364</v>
      </c>
      <c r="Q265" s="1" t="s">
        <v>1225</v>
      </c>
      <c r="R265" s="1" t="s">
        <v>23</v>
      </c>
      <c r="S265" s="1" t="s">
        <v>23</v>
      </c>
      <c r="T265" s="1" t="s">
        <v>23</v>
      </c>
      <c r="U265" s="1" t="s">
        <v>23</v>
      </c>
      <c r="V265" s="1" t="s">
        <v>1226</v>
      </c>
    </row>
    <row r="266" customFormat="false" ht="13.8" hidden="false" customHeight="false" outlineLevel="0" collapsed="false">
      <c r="A266" s="1" t="n">
        <v>265</v>
      </c>
      <c r="B266" s="2" t="s">
        <v>1227</v>
      </c>
      <c r="C266" s="1" t="n">
        <v>7</v>
      </c>
      <c r="D266" s="1" t="n">
        <v>16</v>
      </c>
      <c r="E266" s="1" t="n">
        <v>34</v>
      </c>
      <c r="F266" s="1" t="n">
        <v>41</v>
      </c>
      <c r="G266" s="1" t="n">
        <v>50</v>
      </c>
      <c r="H266" s="1" t="n">
        <v>53</v>
      </c>
      <c r="I266" s="1" t="str">
        <f aca="false">RIGHT(("0"&amp;C266),2)&amp;RIGHT(("0"&amp;D266),2)&amp;RIGHT(("0"&amp;E266),2)&amp;RIGHT(("0"&amp;F266),2)&amp;RIGHT(("0"&amp;G266),2)&amp;RIGHT(("0"&amp;H266),2)</f>
        <v>071634415053</v>
      </c>
      <c r="J266" s="1" t="n">
        <f aca="false">COUNTIF(I:I,I266)</f>
        <v>1</v>
      </c>
      <c r="K266" s="1" t="n">
        <v>0</v>
      </c>
      <c r="M266" s="1" t="s">
        <v>23</v>
      </c>
      <c r="N266" s="1" t="n">
        <v>64</v>
      </c>
      <c r="O266" s="1" t="s">
        <v>1228</v>
      </c>
      <c r="P266" s="1" t="n">
        <v>3855</v>
      </c>
      <c r="Q266" s="1" t="s">
        <v>1229</v>
      </c>
      <c r="R266" s="1" t="s">
        <v>1230</v>
      </c>
      <c r="S266" s="1" t="s">
        <v>23</v>
      </c>
      <c r="T266" s="1" t="s">
        <v>23</v>
      </c>
      <c r="U266" s="1" t="s">
        <v>23</v>
      </c>
      <c r="V266" s="1" t="s">
        <v>1231</v>
      </c>
    </row>
    <row r="267" customFormat="false" ht="13.8" hidden="false" customHeight="false" outlineLevel="0" collapsed="false">
      <c r="A267" s="1" t="n">
        <v>266</v>
      </c>
      <c r="B267" s="2" t="s">
        <v>1232</v>
      </c>
      <c r="C267" s="1" t="n">
        <v>2</v>
      </c>
      <c r="D267" s="1" t="n">
        <v>23</v>
      </c>
      <c r="E267" s="1" t="n">
        <v>38</v>
      </c>
      <c r="F267" s="1" t="n">
        <v>46</v>
      </c>
      <c r="G267" s="1" t="n">
        <v>48</v>
      </c>
      <c r="H267" s="1" t="n">
        <v>54</v>
      </c>
      <c r="I267" s="1" t="str">
        <f aca="false">RIGHT(("0"&amp;C267),2)&amp;RIGHT(("0"&amp;D267),2)&amp;RIGHT(("0"&amp;E267),2)&amp;RIGHT(("0"&amp;F267),2)&amp;RIGHT(("0"&amp;G267),2)&amp;RIGHT(("0"&amp;H267),2)</f>
        <v>022338464854</v>
      </c>
      <c r="J267" s="1" t="n">
        <f aca="false">COUNTIF(I:I,I267)</f>
        <v>1</v>
      </c>
      <c r="K267" s="1" t="n">
        <v>0</v>
      </c>
      <c r="M267" s="1" t="s">
        <v>23</v>
      </c>
      <c r="N267" s="1" t="n">
        <v>89</v>
      </c>
      <c r="O267" s="1" t="s">
        <v>1233</v>
      </c>
      <c r="P267" s="1" t="n">
        <v>6687</v>
      </c>
      <c r="Q267" s="1" t="s">
        <v>1234</v>
      </c>
      <c r="R267" s="1" t="s">
        <v>1235</v>
      </c>
      <c r="S267" s="1" t="s">
        <v>23</v>
      </c>
      <c r="T267" s="1" t="s">
        <v>23</v>
      </c>
      <c r="U267" s="1" t="s">
        <v>23</v>
      </c>
      <c r="V267" s="1" t="s">
        <v>1236</v>
      </c>
    </row>
    <row r="268" customFormat="false" ht="13.8" hidden="false" customHeight="false" outlineLevel="0" collapsed="false">
      <c r="A268" s="1" t="n">
        <v>267</v>
      </c>
      <c r="B268" s="2" t="s">
        <v>1237</v>
      </c>
      <c r="C268" s="1" t="n">
        <v>1</v>
      </c>
      <c r="D268" s="1" t="n">
        <v>8</v>
      </c>
      <c r="E268" s="1" t="n">
        <v>45</v>
      </c>
      <c r="F268" s="1" t="n">
        <v>46</v>
      </c>
      <c r="G268" s="1" t="n">
        <v>55</v>
      </c>
      <c r="H268" s="1" t="n">
        <v>58</v>
      </c>
      <c r="I268" s="1" t="str">
        <f aca="false">RIGHT(("0"&amp;C268),2)&amp;RIGHT(("0"&amp;D268),2)&amp;RIGHT(("0"&amp;E268),2)&amp;RIGHT(("0"&amp;F268),2)&amp;RIGHT(("0"&amp;G268),2)&amp;RIGHT(("0"&amp;H268),2)</f>
        <v>010845465558</v>
      </c>
      <c r="J268" s="1" t="n">
        <f aca="false">COUNTIF(I:I,I268)</f>
        <v>1</v>
      </c>
      <c r="K268" s="1" t="n">
        <v>0</v>
      </c>
      <c r="M268" s="1" t="s">
        <v>23</v>
      </c>
      <c r="N268" s="1" t="n">
        <v>46</v>
      </c>
      <c r="O268" s="1" t="s">
        <v>1238</v>
      </c>
      <c r="P268" s="1" t="n">
        <v>4076</v>
      </c>
      <c r="Q268" s="1" t="s">
        <v>1239</v>
      </c>
      <c r="R268" s="1" t="s">
        <v>1240</v>
      </c>
      <c r="S268" s="1" t="s">
        <v>23</v>
      </c>
      <c r="T268" s="1" t="s">
        <v>23</v>
      </c>
      <c r="U268" s="1" t="s">
        <v>23</v>
      </c>
      <c r="V268" s="1" t="s">
        <v>1241</v>
      </c>
    </row>
    <row r="269" customFormat="false" ht="13.8" hidden="false" customHeight="false" outlineLevel="0" collapsed="false">
      <c r="A269" s="1" t="n">
        <v>268</v>
      </c>
      <c r="B269" s="2" t="s">
        <v>1242</v>
      </c>
      <c r="C269" s="1" t="n">
        <v>5</v>
      </c>
      <c r="D269" s="1" t="n">
        <v>6</v>
      </c>
      <c r="E269" s="1" t="n">
        <v>10</v>
      </c>
      <c r="F269" s="1" t="n">
        <v>21</v>
      </c>
      <c r="G269" s="1" t="n">
        <v>33</v>
      </c>
      <c r="H269" s="1" t="n">
        <v>47</v>
      </c>
      <c r="I269" s="1" t="str">
        <f aca="false">RIGHT(("0"&amp;C269),2)&amp;RIGHT(("0"&amp;D269),2)&amp;RIGHT(("0"&amp;E269),2)&amp;RIGHT(("0"&amp;F269),2)&amp;RIGHT(("0"&amp;G269),2)&amp;RIGHT(("0"&amp;H269),2)</f>
        <v>050610213347</v>
      </c>
      <c r="J269" s="1" t="n">
        <f aca="false">COUNTIF(I:I,I269)</f>
        <v>1</v>
      </c>
      <c r="K269" s="1" t="n">
        <v>0</v>
      </c>
      <c r="M269" s="1" t="s">
        <v>23</v>
      </c>
      <c r="N269" s="1" t="n">
        <v>111</v>
      </c>
      <c r="O269" s="1" t="s">
        <v>1243</v>
      </c>
      <c r="P269" s="1" t="n">
        <v>10133</v>
      </c>
      <c r="Q269" s="1" t="s">
        <v>1244</v>
      </c>
      <c r="R269" s="1" t="s">
        <v>1245</v>
      </c>
      <c r="S269" s="1" t="s">
        <v>23</v>
      </c>
      <c r="T269" s="1" t="s">
        <v>23</v>
      </c>
      <c r="U269" s="1" t="s">
        <v>23</v>
      </c>
      <c r="V269" s="1" t="s">
        <v>1185</v>
      </c>
    </row>
    <row r="270" customFormat="false" ht="13.8" hidden="false" customHeight="false" outlineLevel="0" collapsed="false">
      <c r="A270" s="1" t="n">
        <v>269</v>
      </c>
      <c r="B270" s="2" t="s">
        <v>1246</v>
      </c>
      <c r="C270" s="1" t="n">
        <v>17</v>
      </c>
      <c r="D270" s="1" t="n">
        <v>18</v>
      </c>
      <c r="E270" s="1" t="n">
        <v>19</v>
      </c>
      <c r="F270" s="1" t="n">
        <v>25</v>
      </c>
      <c r="G270" s="1" t="n">
        <v>49</v>
      </c>
      <c r="H270" s="1" t="n">
        <v>52</v>
      </c>
      <c r="I270" s="1" t="str">
        <f aca="false">RIGHT(("0"&amp;C270),2)&amp;RIGHT(("0"&amp;D270),2)&amp;RIGHT(("0"&amp;E270),2)&amp;RIGHT(("0"&amp;F270),2)&amp;RIGHT(("0"&amp;G270),2)&amp;RIGHT(("0"&amp;H270),2)</f>
        <v>171819254952</v>
      </c>
      <c r="J270" s="1" t="n">
        <f aca="false">COUNTIF(I:I,I270)</f>
        <v>1</v>
      </c>
      <c r="K270" s="1" t="n">
        <v>0</v>
      </c>
      <c r="M270" s="1" t="s">
        <v>23</v>
      </c>
      <c r="N270" s="1" t="n">
        <v>110</v>
      </c>
      <c r="O270" s="1" t="s">
        <v>1247</v>
      </c>
      <c r="P270" s="1" t="n">
        <v>8717</v>
      </c>
      <c r="Q270" s="1" t="s">
        <v>1248</v>
      </c>
      <c r="R270" s="1" t="s">
        <v>1249</v>
      </c>
      <c r="S270" s="1" t="s">
        <v>23</v>
      </c>
      <c r="T270" s="1" t="s">
        <v>23</v>
      </c>
      <c r="U270" s="1" t="s">
        <v>23</v>
      </c>
      <c r="V270" s="1" t="s">
        <v>1250</v>
      </c>
    </row>
    <row r="271" customFormat="false" ht="13.8" hidden="false" customHeight="false" outlineLevel="0" collapsed="false">
      <c r="A271" s="1" t="n">
        <v>270</v>
      </c>
      <c r="B271" s="2" t="s">
        <v>1251</v>
      </c>
      <c r="C271" s="1" t="n">
        <v>5</v>
      </c>
      <c r="D271" s="1" t="n">
        <v>9</v>
      </c>
      <c r="E271" s="1" t="n">
        <v>27</v>
      </c>
      <c r="F271" s="1" t="n">
        <v>35</v>
      </c>
      <c r="G271" s="1" t="n">
        <v>40</v>
      </c>
      <c r="H271" s="1" t="n">
        <v>45</v>
      </c>
      <c r="I271" s="1" t="str">
        <f aca="false">RIGHT(("0"&amp;C271),2)&amp;RIGHT(("0"&amp;D271),2)&amp;RIGHT(("0"&amp;E271),2)&amp;RIGHT(("0"&amp;F271),2)&amp;RIGHT(("0"&amp;G271),2)&amp;RIGHT(("0"&amp;H271),2)</f>
        <v>050927354045</v>
      </c>
      <c r="J271" s="1" t="n">
        <f aca="false">COUNTIF(I:I,I271)</f>
        <v>1</v>
      </c>
      <c r="K271" s="1" t="n">
        <v>1</v>
      </c>
      <c r="L271" s="1" t="s">
        <v>91</v>
      </c>
      <c r="M271" s="1" t="s">
        <v>1252</v>
      </c>
      <c r="N271" s="1" t="n">
        <v>228</v>
      </c>
      <c r="O271" s="1" t="s">
        <v>1253</v>
      </c>
      <c r="P271" s="1" t="n">
        <v>16867</v>
      </c>
      <c r="Q271" s="1" t="s">
        <v>1254</v>
      </c>
      <c r="R271" s="1" t="s">
        <v>23</v>
      </c>
      <c r="S271" s="1" t="s">
        <v>23</v>
      </c>
      <c r="T271" s="1" t="s">
        <v>23</v>
      </c>
      <c r="U271" s="1" t="s">
        <v>23</v>
      </c>
      <c r="V271" s="1" t="s">
        <v>1255</v>
      </c>
    </row>
    <row r="272" customFormat="false" ht="13.8" hidden="false" customHeight="false" outlineLevel="0" collapsed="false">
      <c r="A272" s="1" t="n">
        <v>271</v>
      </c>
      <c r="B272" s="2" t="s">
        <v>1256</v>
      </c>
      <c r="C272" s="1" t="n">
        <v>14</v>
      </c>
      <c r="D272" s="1" t="n">
        <v>24</v>
      </c>
      <c r="E272" s="1" t="n">
        <v>26</v>
      </c>
      <c r="F272" s="1" t="n">
        <v>29</v>
      </c>
      <c r="G272" s="1" t="n">
        <v>31</v>
      </c>
      <c r="H272" s="1" t="n">
        <v>54</v>
      </c>
      <c r="I272" s="1" t="str">
        <f aca="false">RIGHT(("0"&amp;C272),2)&amp;RIGHT(("0"&amp;D272),2)&amp;RIGHT(("0"&amp;E272),2)&amp;RIGHT(("0"&amp;F272),2)&amp;RIGHT(("0"&amp;G272),2)&amp;RIGHT(("0"&amp;H272),2)</f>
        <v>142426293154</v>
      </c>
      <c r="J272" s="1" t="n">
        <f aca="false">COUNTIF(I:I,I272)</f>
        <v>1</v>
      </c>
      <c r="K272" s="1" t="n">
        <v>0</v>
      </c>
      <c r="M272" s="1" t="s">
        <v>23</v>
      </c>
      <c r="N272" s="1" t="n">
        <v>43</v>
      </c>
      <c r="O272" s="1" t="s">
        <v>1257</v>
      </c>
      <c r="P272" s="1" t="n">
        <v>4385</v>
      </c>
      <c r="Q272" s="1" t="s">
        <v>1258</v>
      </c>
      <c r="R272" s="1" t="s">
        <v>1259</v>
      </c>
      <c r="S272" s="1" t="s">
        <v>23</v>
      </c>
      <c r="T272" s="1" t="s">
        <v>23</v>
      </c>
      <c r="U272" s="1" t="s">
        <v>23</v>
      </c>
      <c r="V272" s="1" t="s">
        <v>1260</v>
      </c>
    </row>
    <row r="273" customFormat="false" ht="13.8" hidden="false" customHeight="false" outlineLevel="0" collapsed="false">
      <c r="A273" s="1" t="n">
        <v>272</v>
      </c>
      <c r="B273" s="2" t="s">
        <v>1261</v>
      </c>
      <c r="C273" s="1" t="n">
        <v>9</v>
      </c>
      <c r="D273" s="1" t="n">
        <v>10</v>
      </c>
      <c r="E273" s="1" t="n">
        <v>24</v>
      </c>
      <c r="F273" s="1" t="n">
        <v>36</v>
      </c>
      <c r="G273" s="1" t="n">
        <v>56</v>
      </c>
      <c r="H273" s="1" t="n">
        <v>58</v>
      </c>
      <c r="I273" s="1" t="str">
        <f aca="false">RIGHT(("0"&amp;C273),2)&amp;RIGHT(("0"&amp;D273),2)&amp;RIGHT(("0"&amp;E273),2)&amp;RIGHT(("0"&amp;F273),2)&amp;RIGHT(("0"&amp;G273),2)&amp;RIGHT(("0"&amp;H273),2)</f>
        <v>091024365658</v>
      </c>
      <c r="J273" s="1" t="n">
        <f aca="false">COUNTIF(I:I,I273)</f>
        <v>1</v>
      </c>
      <c r="K273" s="1" t="n">
        <v>0</v>
      </c>
      <c r="M273" s="1" t="s">
        <v>23</v>
      </c>
      <c r="N273" s="1" t="n">
        <v>70</v>
      </c>
      <c r="O273" s="1" t="s">
        <v>1262</v>
      </c>
      <c r="P273" s="1" t="n">
        <v>5491</v>
      </c>
      <c r="Q273" s="1" t="s">
        <v>1263</v>
      </c>
      <c r="R273" s="1" t="s">
        <v>1264</v>
      </c>
      <c r="S273" s="1" t="s">
        <v>23</v>
      </c>
      <c r="T273" s="1" t="s">
        <v>23</v>
      </c>
      <c r="U273" s="1" t="s">
        <v>23</v>
      </c>
      <c r="V273" s="1" t="s">
        <v>1265</v>
      </c>
    </row>
    <row r="274" customFormat="false" ht="13.8" hidden="false" customHeight="false" outlineLevel="0" collapsed="false">
      <c r="A274" s="1" t="n">
        <v>273</v>
      </c>
      <c r="B274" s="2" t="s">
        <v>1266</v>
      </c>
      <c r="C274" s="1" t="n">
        <v>10</v>
      </c>
      <c r="D274" s="1" t="n">
        <v>17</v>
      </c>
      <c r="E274" s="1" t="n">
        <v>23</v>
      </c>
      <c r="F274" s="1" t="n">
        <v>27</v>
      </c>
      <c r="G274" s="1" t="n">
        <v>47</v>
      </c>
      <c r="H274" s="1" t="n">
        <v>52</v>
      </c>
      <c r="I274" s="1" t="str">
        <f aca="false">RIGHT(("0"&amp;C274),2)&amp;RIGHT(("0"&amp;D274),2)&amp;RIGHT(("0"&amp;E274),2)&amp;RIGHT(("0"&amp;F274),2)&amp;RIGHT(("0"&amp;G274),2)&amp;RIGHT(("0"&amp;H274),2)</f>
        <v>101723274752</v>
      </c>
      <c r="J274" s="1" t="n">
        <f aca="false">COUNTIF(I:I,I274)</f>
        <v>1</v>
      </c>
      <c r="K274" s="1" t="n">
        <v>1</v>
      </c>
      <c r="L274" s="1" t="s">
        <v>1267</v>
      </c>
      <c r="M274" s="1" t="s">
        <v>1268</v>
      </c>
      <c r="N274" s="1" t="n">
        <v>92</v>
      </c>
      <c r="O274" s="1" t="s">
        <v>1269</v>
      </c>
      <c r="P274" s="1" t="n">
        <v>7241</v>
      </c>
      <c r="Q274" s="1" t="s">
        <v>1270</v>
      </c>
      <c r="R274" s="1" t="s">
        <v>23</v>
      </c>
      <c r="S274" s="1" t="s">
        <v>23</v>
      </c>
      <c r="T274" s="1" t="s">
        <v>23</v>
      </c>
      <c r="U274" s="1" t="s">
        <v>23</v>
      </c>
      <c r="V274" s="1" t="s">
        <v>1271</v>
      </c>
    </row>
    <row r="275" customFormat="false" ht="13.8" hidden="false" customHeight="false" outlineLevel="0" collapsed="false">
      <c r="A275" s="1" t="n">
        <v>274</v>
      </c>
      <c r="B275" s="2" t="s">
        <v>1272</v>
      </c>
      <c r="C275" s="1" t="n">
        <v>11</v>
      </c>
      <c r="D275" s="1" t="n">
        <v>13</v>
      </c>
      <c r="E275" s="1" t="n">
        <v>18</v>
      </c>
      <c r="F275" s="1" t="n">
        <v>26</v>
      </c>
      <c r="G275" s="1" t="n">
        <v>39</v>
      </c>
      <c r="H275" s="1" t="n">
        <v>47</v>
      </c>
      <c r="I275" s="1" t="str">
        <f aca="false">RIGHT(("0"&amp;C275),2)&amp;RIGHT(("0"&amp;D275),2)&amp;RIGHT(("0"&amp;E275),2)&amp;RIGHT(("0"&amp;F275),2)&amp;RIGHT(("0"&amp;G275),2)&amp;RIGHT(("0"&amp;H275),2)</f>
        <v>111318263947</v>
      </c>
      <c r="J275" s="1" t="n">
        <f aca="false">COUNTIF(I:I,I275)</f>
        <v>1</v>
      </c>
      <c r="K275" s="1" t="n">
        <v>0</v>
      </c>
      <c r="M275" s="1" t="s">
        <v>23</v>
      </c>
      <c r="N275" s="1" t="n">
        <v>142</v>
      </c>
      <c r="O275" s="1" t="s">
        <v>1273</v>
      </c>
      <c r="P275" s="1" t="n">
        <v>7420</v>
      </c>
      <c r="Q275" s="1" t="s">
        <v>1274</v>
      </c>
      <c r="R275" s="1" t="s">
        <v>1275</v>
      </c>
      <c r="S275" s="1" t="s">
        <v>23</v>
      </c>
      <c r="T275" s="1" t="s">
        <v>23</v>
      </c>
      <c r="U275" s="1" t="s">
        <v>23</v>
      </c>
      <c r="V275" s="1" t="s">
        <v>1276</v>
      </c>
    </row>
    <row r="276" customFormat="false" ht="13.8" hidden="false" customHeight="false" outlineLevel="0" collapsed="false">
      <c r="A276" s="1" t="n">
        <v>275</v>
      </c>
      <c r="B276" s="2" t="s">
        <v>1277</v>
      </c>
      <c r="C276" s="1" t="n">
        <v>16</v>
      </c>
      <c r="D276" s="1" t="n">
        <v>19</v>
      </c>
      <c r="E276" s="1" t="n">
        <v>30</v>
      </c>
      <c r="F276" s="1" t="n">
        <v>37</v>
      </c>
      <c r="G276" s="1" t="n">
        <v>38</v>
      </c>
      <c r="H276" s="1" t="n">
        <v>48</v>
      </c>
      <c r="I276" s="1" t="str">
        <f aca="false">RIGHT(("0"&amp;C276),2)&amp;RIGHT(("0"&amp;D276),2)&amp;RIGHT(("0"&amp;E276),2)&amp;RIGHT(("0"&amp;F276),2)&amp;RIGHT(("0"&amp;G276),2)&amp;RIGHT(("0"&amp;H276),2)</f>
        <v>161930373848</v>
      </c>
      <c r="J276" s="1" t="n">
        <f aca="false">COUNTIF(I:I,I276)</f>
        <v>1</v>
      </c>
      <c r="K276" s="1" t="n">
        <v>0</v>
      </c>
      <c r="M276" s="1" t="s">
        <v>23</v>
      </c>
      <c r="N276" s="1" t="n">
        <v>41</v>
      </c>
      <c r="O276" s="1" t="s">
        <v>1278</v>
      </c>
      <c r="P276" s="1" t="n">
        <v>3737</v>
      </c>
      <c r="Q276" s="1" t="s">
        <v>1279</v>
      </c>
      <c r="R276" s="1" t="s">
        <v>1280</v>
      </c>
      <c r="S276" s="1" t="s">
        <v>23</v>
      </c>
      <c r="T276" s="1" t="s">
        <v>23</v>
      </c>
      <c r="U276" s="1" t="s">
        <v>23</v>
      </c>
      <c r="V276" s="1" t="s">
        <v>1281</v>
      </c>
    </row>
    <row r="277" customFormat="false" ht="13.8" hidden="false" customHeight="false" outlineLevel="0" collapsed="false">
      <c r="A277" s="1" t="n">
        <v>276</v>
      </c>
      <c r="B277" s="2" t="s">
        <v>1282</v>
      </c>
      <c r="C277" s="1" t="n">
        <v>22</v>
      </c>
      <c r="D277" s="1" t="n">
        <v>39</v>
      </c>
      <c r="E277" s="1" t="n">
        <v>45</v>
      </c>
      <c r="F277" s="1" t="n">
        <v>53</v>
      </c>
      <c r="G277" s="1" t="n">
        <v>57</v>
      </c>
      <c r="H277" s="1" t="n">
        <v>59</v>
      </c>
      <c r="I277" s="1" t="str">
        <f aca="false">RIGHT(("0"&amp;C277),2)&amp;RIGHT(("0"&amp;D277),2)&amp;RIGHT(("0"&amp;E277),2)&amp;RIGHT(("0"&amp;F277),2)&amp;RIGHT(("0"&amp;G277),2)&amp;RIGHT(("0"&amp;H277),2)</f>
        <v>223945535759</v>
      </c>
      <c r="J277" s="1" t="n">
        <f aca="false">COUNTIF(I:I,I277)</f>
        <v>1</v>
      </c>
      <c r="K277" s="1" t="n">
        <v>0</v>
      </c>
      <c r="M277" s="1" t="s">
        <v>23</v>
      </c>
      <c r="N277" s="1" t="n">
        <v>79</v>
      </c>
      <c r="O277" s="1" t="s">
        <v>1283</v>
      </c>
      <c r="P277" s="1" t="n">
        <v>5172</v>
      </c>
      <c r="Q277" s="1" t="s">
        <v>1284</v>
      </c>
      <c r="R277" s="1" t="s">
        <v>1285</v>
      </c>
      <c r="S277" s="1" t="s">
        <v>23</v>
      </c>
      <c r="T277" s="1" t="s">
        <v>23</v>
      </c>
      <c r="U277" s="1" t="s">
        <v>23</v>
      </c>
      <c r="V277" s="1" t="s">
        <v>1286</v>
      </c>
    </row>
    <row r="278" customFormat="false" ht="13.8" hidden="false" customHeight="false" outlineLevel="0" collapsed="false">
      <c r="A278" s="1" t="n">
        <v>277</v>
      </c>
      <c r="B278" s="2" t="s">
        <v>1287</v>
      </c>
      <c r="C278" s="1" t="n">
        <v>4</v>
      </c>
      <c r="D278" s="1" t="n">
        <v>26</v>
      </c>
      <c r="E278" s="1" t="n">
        <v>38</v>
      </c>
      <c r="F278" s="1" t="n">
        <v>40</v>
      </c>
      <c r="G278" s="1" t="n">
        <v>52</v>
      </c>
      <c r="H278" s="1" t="n">
        <v>56</v>
      </c>
      <c r="I278" s="1" t="str">
        <f aca="false">RIGHT(("0"&amp;C278),2)&amp;RIGHT(("0"&amp;D278),2)&amp;RIGHT(("0"&amp;E278),2)&amp;RIGHT(("0"&amp;F278),2)&amp;RIGHT(("0"&amp;G278),2)&amp;RIGHT(("0"&amp;H278),2)</f>
        <v>042638405256</v>
      </c>
      <c r="J278" s="1" t="n">
        <f aca="false">COUNTIF(I:I,I278)</f>
        <v>1</v>
      </c>
      <c r="K278" s="1" t="n">
        <v>0</v>
      </c>
      <c r="M278" s="1" t="s">
        <v>23</v>
      </c>
      <c r="N278" s="1" t="n">
        <v>95</v>
      </c>
      <c r="O278" s="1" t="s">
        <v>1288</v>
      </c>
      <c r="P278" s="1" t="n">
        <v>5404</v>
      </c>
      <c r="Q278" s="1" t="s">
        <v>1289</v>
      </c>
      <c r="R278" s="1" t="s">
        <v>1290</v>
      </c>
      <c r="S278" s="1" t="s">
        <v>23</v>
      </c>
      <c r="T278" s="1" t="s">
        <v>23</v>
      </c>
      <c r="U278" s="1" t="s">
        <v>23</v>
      </c>
      <c r="V278" s="1" t="s">
        <v>1291</v>
      </c>
    </row>
    <row r="279" customFormat="false" ht="13.8" hidden="false" customHeight="false" outlineLevel="0" collapsed="false">
      <c r="A279" s="1" t="n">
        <v>278</v>
      </c>
      <c r="B279" s="2" t="s">
        <v>1292</v>
      </c>
      <c r="C279" s="1" t="n">
        <v>10</v>
      </c>
      <c r="D279" s="1" t="n">
        <v>15</v>
      </c>
      <c r="E279" s="1" t="n">
        <v>18</v>
      </c>
      <c r="F279" s="1" t="n">
        <v>22</v>
      </c>
      <c r="G279" s="1" t="n">
        <v>31</v>
      </c>
      <c r="H279" s="1" t="n">
        <v>55</v>
      </c>
      <c r="I279" s="1" t="str">
        <f aca="false">RIGHT(("0"&amp;C279),2)&amp;RIGHT(("0"&amp;D279),2)&amp;RIGHT(("0"&amp;E279),2)&amp;RIGHT(("0"&amp;F279),2)&amp;RIGHT(("0"&amp;G279),2)&amp;RIGHT(("0"&amp;H279),2)</f>
        <v>101518223155</v>
      </c>
      <c r="J279" s="1" t="n">
        <f aca="false">COUNTIF(I:I,I279)</f>
        <v>1</v>
      </c>
      <c r="K279" s="1" t="n">
        <v>0</v>
      </c>
      <c r="M279" s="1" t="s">
        <v>23</v>
      </c>
      <c r="N279" s="1" t="n">
        <v>99</v>
      </c>
      <c r="O279" s="1" t="s">
        <v>1293</v>
      </c>
      <c r="P279" s="1" t="n">
        <v>6996</v>
      </c>
      <c r="Q279" s="1" t="s">
        <v>1294</v>
      </c>
      <c r="R279" s="1" t="s">
        <v>1295</v>
      </c>
      <c r="S279" s="1" t="s">
        <v>23</v>
      </c>
      <c r="T279" s="1" t="s">
        <v>23</v>
      </c>
      <c r="U279" s="1" t="s">
        <v>23</v>
      </c>
      <c r="V279" s="1" t="s">
        <v>1296</v>
      </c>
    </row>
    <row r="280" customFormat="false" ht="13.8" hidden="false" customHeight="false" outlineLevel="0" collapsed="false">
      <c r="A280" s="1" t="n">
        <v>279</v>
      </c>
      <c r="B280" s="2" t="s">
        <v>1297</v>
      </c>
      <c r="C280" s="1" t="n">
        <v>4</v>
      </c>
      <c r="D280" s="1" t="n">
        <v>23</v>
      </c>
      <c r="E280" s="1" t="n">
        <v>31</v>
      </c>
      <c r="F280" s="1" t="n">
        <v>47</v>
      </c>
      <c r="G280" s="1" t="n">
        <v>58</v>
      </c>
      <c r="H280" s="1" t="n">
        <v>59</v>
      </c>
      <c r="I280" s="1" t="str">
        <f aca="false">RIGHT(("0"&amp;C280),2)&amp;RIGHT(("0"&amp;D280),2)&amp;RIGHT(("0"&amp;E280),2)&amp;RIGHT(("0"&amp;F280),2)&amp;RIGHT(("0"&amp;G280),2)&amp;RIGHT(("0"&amp;H280),2)</f>
        <v>042331475859</v>
      </c>
      <c r="J280" s="1" t="n">
        <f aca="false">COUNTIF(I:I,I280)</f>
        <v>1</v>
      </c>
      <c r="K280" s="1" t="n">
        <v>0</v>
      </c>
      <c r="M280" s="1" t="s">
        <v>23</v>
      </c>
      <c r="N280" s="1" t="n">
        <v>58</v>
      </c>
      <c r="O280" s="1" t="s">
        <v>1298</v>
      </c>
      <c r="P280" s="1" t="n">
        <v>6137</v>
      </c>
      <c r="Q280" s="1" t="s">
        <v>1299</v>
      </c>
      <c r="R280" s="1" t="s">
        <v>1300</v>
      </c>
      <c r="S280" s="1" t="s">
        <v>23</v>
      </c>
      <c r="T280" s="1" t="s">
        <v>23</v>
      </c>
      <c r="U280" s="1" t="s">
        <v>23</v>
      </c>
      <c r="V280" s="1" t="s">
        <v>1301</v>
      </c>
    </row>
    <row r="281" customFormat="false" ht="13.8" hidden="false" customHeight="false" outlineLevel="0" collapsed="false">
      <c r="A281" s="1" t="n">
        <v>280</v>
      </c>
      <c r="B281" s="2" t="s">
        <v>1302</v>
      </c>
      <c r="C281" s="1" t="n">
        <v>5</v>
      </c>
      <c r="D281" s="1" t="n">
        <v>16</v>
      </c>
      <c r="E281" s="1" t="n">
        <v>20</v>
      </c>
      <c r="F281" s="1" t="n">
        <v>25</v>
      </c>
      <c r="G281" s="1" t="n">
        <v>30</v>
      </c>
      <c r="H281" s="1" t="n">
        <v>58</v>
      </c>
      <c r="I281" s="1" t="str">
        <f aca="false">RIGHT(("0"&amp;C281),2)&amp;RIGHT(("0"&amp;D281),2)&amp;RIGHT(("0"&amp;E281),2)&amp;RIGHT(("0"&amp;F281),2)&amp;RIGHT(("0"&amp;G281),2)&amp;RIGHT(("0"&amp;H281),2)</f>
        <v>051620253058</v>
      </c>
      <c r="J281" s="1" t="n">
        <f aca="false">COUNTIF(I:I,I281)</f>
        <v>1</v>
      </c>
      <c r="K281" s="1" t="n">
        <v>0</v>
      </c>
      <c r="M281" s="1" t="s">
        <v>23</v>
      </c>
      <c r="N281" s="1" t="n">
        <v>192</v>
      </c>
      <c r="O281" s="1" t="s">
        <v>1303</v>
      </c>
      <c r="P281" s="1" t="n">
        <v>14673</v>
      </c>
      <c r="Q281" s="1" t="s">
        <v>1304</v>
      </c>
      <c r="R281" s="1" t="s">
        <v>1305</v>
      </c>
      <c r="S281" s="1" t="s">
        <v>23</v>
      </c>
      <c r="T281" s="1" t="s">
        <v>23</v>
      </c>
      <c r="U281" s="1" t="s">
        <v>23</v>
      </c>
      <c r="V281" s="1" t="s">
        <v>1306</v>
      </c>
    </row>
    <row r="282" customFormat="false" ht="13.8" hidden="false" customHeight="false" outlineLevel="0" collapsed="false">
      <c r="A282" s="1" t="n">
        <v>281</v>
      </c>
      <c r="B282" s="2" t="s">
        <v>1307</v>
      </c>
      <c r="C282" s="1" t="n">
        <v>5</v>
      </c>
      <c r="D282" s="1" t="n">
        <v>11</v>
      </c>
      <c r="E282" s="1" t="n">
        <v>31</v>
      </c>
      <c r="F282" s="1" t="n">
        <v>38</v>
      </c>
      <c r="G282" s="1" t="n">
        <v>47</v>
      </c>
      <c r="H282" s="1" t="n">
        <v>53</v>
      </c>
      <c r="I282" s="1" t="str">
        <f aca="false">RIGHT(("0"&amp;C282),2)&amp;RIGHT(("0"&amp;D282),2)&amp;RIGHT(("0"&amp;E282),2)&amp;RIGHT(("0"&amp;F282),2)&amp;RIGHT(("0"&amp;G282),2)&amp;RIGHT(("0"&amp;H282),2)</f>
        <v>051131384753</v>
      </c>
      <c r="J282" s="1" t="n">
        <f aca="false">COUNTIF(I:I,I282)</f>
        <v>1</v>
      </c>
      <c r="K282" s="1" t="n">
        <v>1</v>
      </c>
      <c r="L282" s="1" t="s">
        <v>28</v>
      </c>
      <c r="M282" s="1" t="s">
        <v>1308</v>
      </c>
      <c r="N282" s="1" t="n">
        <v>188</v>
      </c>
      <c r="O282" s="1" t="s">
        <v>1309</v>
      </c>
      <c r="P282" s="1" t="n">
        <v>12864</v>
      </c>
      <c r="Q282" s="1" t="s">
        <v>1310</v>
      </c>
      <c r="R282" s="1" t="s">
        <v>23</v>
      </c>
      <c r="S282" s="1" t="s">
        <v>23</v>
      </c>
      <c r="T282" s="1" t="s">
        <v>23</v>
      </c>
      <c r="U282" s="1" t="s">
        <v>23</v>
      </c>
      <c r="V282" s="1" t="s">
        <v>1311</v>
      </c>
    </row>
    <row r="283" customFormat="false" ht="13.8" hidden="false" customHeight="false" outlineLevel="0" collapsed="false">
      <c r="A283" s="1" t="n">
        <v>282</v>
      </c>
      <c r="B283" s="2" t="s">
        <v>1312</v>
      </c>
      <c r="C283" s="1" t="n">
        <v>9</v>
      </c>
      <c r="D283" s="1" t="n">
        <v>14</v>
      </c>
      <c r="E283" s="1" t="n">
        <v>23</v>
      </c>
      <c r="F283" s="1" t="n">
        <v>24</v>
      </c>
      <c r="G283" s="1" t="n">
        <v>33</v>
      </c>
      <c r="H283" s="1" t="n">
        <v>36</v>
      </c>
      <c r="I283" s="1" t="str">
        <f aca="false">RIGHT(("0"&amp;C283),2)&amp;RIGHT(("0"&amp;D283),2)&amp;RIGHT(("0"&amp;E283),2)&amp;RIGHT(("0"&amp;F283),2)&amp;RIGHT(("0"&amp;G283),2)&amp;RIGHT(("0"&amp;H283),2)</f>
        <v>091423243336</v>
      </c>
      <c r="J283" s="1" t="n">
        <f aca="false">COUNTIF(I:I,I283)</f>
        <v>1</v>
      </c>
      <c r="K283" s="1" t="n">
        <v>1</v>
      </c>
      <c r="L283" s="1" t="s">
        <v>66</v>
      </c>
      <c r="M283" s="1" t="s">
        <v>1313</v>
      </c>
      <c r="N283" s="1" t="n">
        <v>76</v>
      </c>
      <c r="O283" s="1" t="s">
        <v>1314</v>
      </c>
      <c r="P283" s="1" t="n">
        <v>6064</v>
      </c>
      <c r="Q283" s="1" t="s">
        <v>1315</v>
      </c>
      <c r="R283" s="1" t="s">
        <v>23</v>
      </c>
      <c r="S283" s="1" t="s">
        <v>23</v>
      </c>
      <c r="T283" s="1" t="s">
        <v>23</v>
      </c>
      <c r="U283" s="1" t="s">
        <v>23</v>
      </c>
      <c r="V283" s="1" t="s">
        <v>1316</v>
      </c>
    </row>
    <row r="284" customFormat="false" ht="13.8" hidden="false" customHeight="false" outlineLevel="0" collapsed="false">
      <c r="A284" s="1" t="n">
        <v>283</v>
      </c>
      <c r="B284" s="2" t="s">
        <v>1317</v>
      </c>
      <c r="C284" s="1" t="n">
        <v>25</v>
      </c>
      <c r="D284" s="1" t="n">
        <v>28</v>
      </c>
      <c r="E284" s="1" t="n">
        <v>34</v>
      </c>
      <c r="F284" s="1" t="n">
        <v>42</v>
      </c>
      <c r="G284" s="1" t="n">
        <v>48</v>
      </c>
      <c r="H284" s="1" t="n">
        <v>54</v>
      </c>
      <c r="I284" s="1" t="str">
        <f aca="false">RIGHT(("0"&amp;C284),2)&amp;RIGHT(("0"&amp;D284),2)&amp;RIGHT(("0"&amp;E284),2)&amp;RIGHT(("0"&amp;F284),2)&amp;RIGHT(("0"&amp;G284),2)&amp;RIGHT(("0"&amp;H284),2)</f>
        <v>252834424854</v>
      </c>
      <c r="J284" s="1" t="n">
        <f aca="false">COUNTIF(I:I,I284)</f>
        <v>1</v>
      </c>
      <c r="K284" s="1" t="n">
        <v>1</v>
      </c>
      <c r="L284" s="1" t="s">
        <v>91</v>
      </c>
      <c r="M284" s="1" t="s">
        <v>1318</v>
      </c>
      <c r="N284" s="1" t="n">
        <v>36</v>
      </c>
      <c r="O284" s="1" t="s">
        <v>1319</v>
      </c>
      <c r="P284" s="1" t="n">
        <v>2126</v>
      </c>
      <c r="Q284" s="1" t="s">
        <v>1270</v>
      </c>
      <c r="R284" s="1" t="s">
        <v>23</v>
      </c>
      <c r="S284" s="1" t="s">
        <v>23</v>
      </c>
      <c r="T284" s="1" t="s">
        <v>23</v>
      </c>
      <c r="U284" s="1" t="s">
        <v>23</v>
      </c>
      <c r="V284" s="1" t="s">
        <v>1320</v>
      </c>
    </row>
    <row r="285" customFormat="false" ht="13.8" hidden="false" customHeight="false" outlineLevel="0" collapsed="false">
      <c r="A285" s="1" t="n">
        <v>284</v>
      </c>
      <c r="B285" s="2" t="s">
        <v>1321</v>
      </c>
      <c r="C285" s="1" t="n">
        <v>7</v>
      </c>
      <c r="D285" s="1" t="n">
        <v>8</v>
      </c>
      <c r="E285" s="1" t="n">
        <v>14</v>
      </c>
      <c r="F285" s="1" t="n">
        <v>30</v>
      </c>
      <c r="G285" s="1" t="n">
        <v>32</v>
      </c>
      <c r="H285" s="1" t="n">
        <v>36</v>
      </c>
      <c r="I285" s="1" t="str">
        <f aca="false">RIGHT(("0"&amp;C285),2)&amp;RIGHT(("0"&amp;D285),2)&amp;RIGHT(("0"&amp;E285),2)&amp;RIGHT(("0"&amp;F285),2)&amp;RIGHT(("0"&amp;G285),2)&amp;RIGHT(("0"&amp;H285),2)</f>
        <v>070814303236</v>
      </c>
      <c r="J285" s="1" t="n">
        <f aca="false">COUNTIF(I:I,I285)</f>
        <v>1</v>
      </c>
      <c r="K285" s="1" t="n">
        <v>1</v>
      </c>
      <c r="L285" s="1" t="s">
        <v>28</v>
      </c>
      <c r="M285" s="1" t="s">
        <v>1322</v>
      </c>
      <c r="N285" s="1" t="n">
        <v>75</v>
      </c>
      <c r="O285" s="1" t="s">
        <v>1323</v>
      </c>
      <c r="P285" s="1" t="n">
        <v>5358</v>
      </c>
      <c r="Q285" s="1" t="s">
        <v>1324</v>
      </c>
      <c r="R285" s="1" t="s">
        <v>23</v>
      </c>
      <c r="S285" s="1" t="s">
        <v>23</v>
      </c>
      <c r="T285" s="1" t="s">
        <v>23</v>
      </c>
      <c r="U285" s="1" t="s">
        <v>23</v>
      </c>
      <c r="V285" s="1" t="s">
        <v>1325</v>
      </c>
    </row>
    <row r="286" customFormat="false" ht="13.8" hidden="false" customHeight="false" outlineLevel="0" collapsed="false">
      <c r="A286" s="1" t="n">
        <v>285</v>
      </c>
      <c r="B286" s="2" t="s">
        <v>1326</v>
      </c>
      <c r="C286" s="1" t="n">
        <v>12</v>
      </c>
      <c r="D286" s="1" t="n">
        <v>32</v>
      </c>
      <c r="E286" s="1" t="n">
        <v>37</v>
      </c>
      <c r="F286" s="1" t="n">
        <v>41</v>
      </c>
      <c r="G286" s="1" t="n">
        <v>50</v>
      </c>
      <c r="H286" s="1" t="n">
        <v>56</v>
      </c>
      <c r="I286" s="1" t="str">
        <f aca="false">RIGHT(("0"&amp;C286),2)&amp;RIGHT(("0"&amp;D286),2)&amp;RIGHT(("0"&amp;E286),2)&amp;RIGHT(("0"&amp;F286),2)&amp;RIGHT(("0"&amp;G286),2)&amp;RIGHT(("0"&amp;H286),2)</f>
        <v>123237415056</v>
      </c>
      <c r="J286" s="1" t="n">
        <f aca="false">COUNTIF(I:I,I286)</f>
        <v>1</v>
      </c>
      <c r="K286" s="1" t="n">
        <v>0</v>
      </c>
      <c r="M286" s="1" t="s">
        <v>23</v>
      </c>
      <c r="N286" s="1" t="n">
        <v>17</v>
      </c>
      <c r="O286" s="1" t="s">
        <v>1327</v>
      </c>
      <c r="P286" s="1" t="n">
        <v>1173</v>
      </c>
      <c r="Q286" s="1" t="s">
        <v>1328</v>
      </c>
      <c r="R286" s="1" t="s">
        <v>1329</v>
      </c>
      <c r="S286" s="1" t="s">
        <v>23</v>
      </c>
      <c r="T286" s="1" t="s">
        <v>23</v>
      </c>
      <c r="U286" s="1" t="s">
        <v>23</v>
      </c>
      <c r="V286" s="1" t="s">
        <v>1330</v>
      </c>
    </row>
    <row r="287" customFormat="false" ht="13.8" hidden="false" customHeight="false" outlineLevel="0" collapsed="false">
      <c r="A287" s="1" t="n">
        <v>286</v>
      </c>
      <c r="B287" s="2" t="s">
        <v>1331</v>
      </c>
      <c r="C287" s="1" t="n">
        <v>29</v>
      </c>
      <c r="D287" s="1" t="n">
        <v>35</v>
      </c>
      <c r="E287" s="1" t="n">
        <v>37</v>
      </c>
      <c r="F287" s="1" t="n">
        <v>44</v>
      </c>
      <c r="G287" s="1" t="n">
        <v>47</v>
      </c>
      <c r="H287" s="1" t="n">
        <v>56</v>
      </c>
      <c r="I287" s="1" t="str">
        <f aca="false">RIGHT(("0"&amp;C287),2)&amp;RIGHT(("0"&amp;D287),2)&amp;RIGHT(("0"&amp;E287),2)&amp;RIGHT(("0"&amp;F287),2)&amp;RIGHT(("0"&amp;G287),2)&amp;RIGHT(("0"&amp;H287),2)</f>
        <v>293537444756</v>
      </c>
      <c r="J287" s="1" t="n">
        <f aca="false">COUNTIF(I:I,I287)</f>
        <v>1</v>
      </c>
      <c r="K287" s="1" t="n">
        <v>0</v>
      </c>
      <c r="M287" s="1" t="s">
        <v>23</v>
      </c>
      <c r="N287" s="1" t="n">
        <v>59</v>
      </c>
      <c r="O287" s="1" t="s">
        <v>1332</v>
      </c>
      <c r="P287" s="1" t="n">
        <v>3739</v>
      </c>
      <c r="Q287" s="1" t="s">
        <v>1333</v>
      </c>
      <c r="R287" s="1" t="s">
        <v>1334</v>
      </c>
      <c r="S287" s="1" t="s">
        <v>23</v>
      </c>
      <c r="T287" s="1" t="s">
        <v>23</v>
      </c>
      <c r="U287" s="1" t="s">
        <v>23</v>
      </c>
      <c r="V287" s="1" t="s">
        <v>1335</v>
      </c>
    </row>
    <row r="288" customFormat="false" ht="13.8" hidden="false" customHeight="false" outlineLevel="0" collapsed="false">
      <c r="A288" s="1" t="n">
        <v>287</v>
      </c>
      <c r="B288" s="2" t="s">
        <v>1336</v>
      </c>
      <c r="C288" s="1" t="n">
        <v>3</v>
      </c>
      <c r="D288" s="1" t="n">
        <v>13</v>
      </c>
      <c r="E288" s="1" t="n">
        <v>25</v>
      </c>
      <c r="F288" s="1" t="n">
        <v>33</v>
      </c>
      <c r="G288" s="1" t="n">
        <v>47</v>
      </c>
      <c r="H288" s="1" t="n">
        <v>60</v>
      </c>
      <c r="I288" s="1" t="str">
        <f aca="false">RIGHT(("0"&amp;C288),2)&amp;RIGHT(("0"&amp;D288),2)&amp;RIGHT(("0"&amp;E288),2)&amp;RIGHT(("0"&amp;F288),2)&amp;RIGHT(("0"&amp;G288),2)&amp;RIGHT(("0"&amp;H288),2)</f>
        <v>031325334760</v>
      </c>
      <c r="J288" s="1" t="n">
        <f aca="false">COUNTIF(I:I,I288)</f>
        <v>1</v>
      </c>
      <c r="K288" s="1" t="n">
        <v>1</v>
      </c>
      <c r="L288" s="1" t="s">
        <v>1337</v>
      </c>
      <c r="M288" s="1" t="s">
        <v>1338</v>
      </c>
      <c r="N288" s="1" t="n">
        <v>110</v>
      </c>
      <c r="O288" s="1" t="s">
        <v>1339</v>
      </c>
      <c r="P288" s="1" t="n">
        <v>5633</v>
      </c>
      <c r="Q288" s="1" t="s">
        <v>1340</v>
      </c>
      <c r="R288" s="1" t="s">
        <v>23</v>
      </c>
      <c r="S288" s="1" t="s">
        <v>23</v>
      </c>
      <c r="T288" s="1" t="s">
        <v>23</v>
      </c>
      <c r="U288" s="1" t="s">
        <v>23</v>
      </c>
      <c r="V288" s="1" t="s">
        <v>1341</v>
      </c>
    </row>
    <row r="289" customFormat="false" ht="13.8" hidden="false" customHeight="false" outlineLevel="0" collapsed="false">
      <c r="A289" s="1" t="n">
        <v>288</v>
      </c>
      <c r="B289" s="2" t="s">
        <v>1342</v>
      </c>
      <c r="C289" s="1" t="n">
        <v>6</v>
      </c>
      <c r="D289" s="1" t="n">
        <v>9</v>
      </c>
      <c r="E289" s="1" t="n">
        <v>11</v>
      </c>
      <c r="F289" s="1" t="n">
        <v>17</v>
      </c>
      <c r="G289" s="1" t="n">
        <v>18</v>
      </c>
      <c r="H289" s="1" t="n">
        <v>50</v>
      </c>
      <c r="I289" s="1" t="str">
        <f aca="false">RIGHT(("0"&amp;C289),2)&amp;RIGHT(("0"&amp;D289),2)&amp;RIGHT(("0"&amp;E289),2)&amp;RIGHT(("0"&amp;F289),2)&amp;RIGHT(("0"&amp;G289),2)&amp;RIGHT(("0"&amp;H289),2)</f>
        <v>060911171850</v>
      </c>
      <c r="J289" s="1" t="n">
        <f aca="false">COUNTIF(I:I,I289)</f>
        <v>1</v>
      </c>
      <c r="K289" s="1" t="n">
        <v>0</v>
      </c>
      <c r="M289" s="1" t="s">
        <v>23</v>
      </c>
      <c r="N289" s="1" t="n">
        <v>82</v>
      </c>
      <c r="O289" s="1" t="s">
        <v>1343</v>
      </c>
      <c r="P289" s="1" t="n">
        <v>4763</v>
      </c>
      <c r="Q289" s="1" t="s">
        <v>1344</v>
      </c>
      <c r="R289" s="1" t="s">
        <v>1345</v>
      </c>
      <c r="S289" s="1" t="s">
        <v>23</v>
      </c>
      <c r="T289" s="1" t="s">
        <v>23</v>
      </c>
      <c r="U289" s="1" t="s">
        <v>23</v>
      </c>
      <c r="V289" s="1" t="s">
        <v>1346</v>
      </c>
    </row>
    <row r="290" customFormat="false" ht="13.8" hidden="false" customHeight="false" outlineLevel="0" collapsed="false">
      <c r="A290" s="1" t="n">
        <v>289</v>
      </c>
      <c r="B290" s="2" t="s">
        <v>1347</v>
      </c>
      <c r="C290" s="1" t="n">
        <v>6</v>
      </c>
      <c r="D290" s="1" t="n">
        <v>7</v>
      </c>
      <c r="E290" s="1" t="n">
        <v>20</v>
      </c>
      <c r="F290" s="1" t="n">
        <v>25</v>
      </c>
      <c r="G290" s="1" t="n">
        <v>30</v>
      </c>
      <c r="H290" s="1" t="n">
        <v>36</v>
      </c>
      <c r="I290" s="1" t="str">
        <f aca="false">RIGHT(("0"&amp;C290),2)&amp;RIGHT(("0"&amp;D290),2)&amp;RIGHT(("0"&amp;E290),2)&amp;RIGHT(("0"&amp;F290),2)&amp;RIGHT(("0"&amp;G290),2)&amp;RIGHT(("0"&amp;H290),2)</f>
        <v>060720253036</v>
      </c>
      <c r="J290" s="1" t="n">
        <f aca="false">COUNTIF(I:I,I290)</f>
        <v>1</v>
      </c>
      <c r="K290" s="1" t="n">
        <v>0</v>
      </c>
      <c r="M290" s="1" t="s">
        <v>23</v>
      </c>
      <c r="N290" s="1" t="n">
        <v>29</v>
      </c>
      <c r="O290" s="1" t="s">
        <v>1348</v>
      </c>
      <c r="P290" s="1" t="n">
        <v>2197</v>
      </c>
      <c r="Q290" s="1" t="s">
        <v>1349</v>
      </c>
      <c r="R290" s="1" t="s">
        <v>1350</v>
      </c>
      <c r="S290" s="1" t="s">
        <v>23</v>
      </c>
      <c r="T290" s="1" t="s">
        <v>23</v>
      </c>
      <c r="U290" s="1" t="s">
        <v>23</v>
      </c>
      <c r="V290" s="1" t="s">
        <v>1351</v>
      </c>
    </row>
    <row r="291" customFormat="false" ht="13.8" hidden="false" customHeight="false" outlineLevel="0" collapsed="false">
      <c r="A291" s="1" t="n">
        <v>290</v>
      </c>
      <c r="B291" s="2" t="s">
        <v>1352</v>
      </c>
      <c r="C291" s="1" t="n">
        <v>7</v>
      </c>
      <c r="D291" s="1" t="n">
        <v>25</v>
      </c>
      <c r="E291" s="1" t="n">
        <v>26</v>
      </c>
      <c r="F291" s="1" t="n">
        <v>30</v>
      </c>
      <c r="G291" s="1" t="n">
        <v>40</v>
      </c>
      <c r="H291" s="1" t="n">
        <v>57</v>
      </c>
      <c r="I291" s="1" t="str">
        <f aca="false">RIGHT(("0"&amp;C291),2)&amp;RIGHT(("0"&amp;D291),2)&amp;RIGHT(("0"&amp;E291),2)&amp;RIGHT(("0"&amp;F291),2)&amp;RIGHT(("0"&amp;G291),2)&amp;RIGHT(("0"&amp;H291),2)</f>
        <v>072526304057</v>
      </c>
      <c r="J291" s="1" t="n">
        <f aca="false">COUNTIF(I:I,I291)</f>
        <v>1</v>
      </c>
      <c r="K291" s="1" t="n">
        <v>0</v>
      </c>
      <c r="M291" s="1" t="s">
        <v>23</v>
      </c>
      <c r="N291" s="1" t="n">
        <v>56</v>
      </c>
      <c r="O291" s="1" t="s">
        <v>1353</v>
      </c>
      <c r="P291" s="1" t="n">
        <v>4869</v>
      </c>
      <c r="Q291" s="1" t="s">
        <v>1354</v>
      </c>
      <c r="R291" s="1" t="s">
        <v>1355</v>
      </c>
      <c r="S291" s="1" t="s">
        <v>23</v>
      </c>
      <c r="T291" s="1" t="s">
        <v>23</v>
      </c>
      <c r="U291" s="1" t="s">
        <v>23</v>
      </c>
      <c r="V291" s="1" t="s">
        <v>1356</v>
      </c>
    </row>
    <row r="292" customFormat="false" ht="13.8" hidden="false" customHeight="false" outlineLevel="0" collapsed="false">
      <c r="A292" s="1" t="n">
        <v>291</v>
      </c>
      <c r="B292" s="2" t="s">
        <v>1357</v>
      </c>
      <c r="C292" s="1" t="n">
        <v>5</v>
      </c>
      <c r="D292" s="1" t="n">
        <v>16</v>
      </c>
      <c r="E292" s="1" t="n">
        <v>17</v>
      </c>
      <c r="F292" s="1" t="n">
        <v>18</v>
      </c>
      <c r="G292" s="1" t="n">
        <v>22</v>
      </c>
      <c r="H292" s="1" t="n">
        <v>41</v>
      </c>
      <c r="I292" s="1" t="str">
        <f aca="false">RIGHT(("0"&amp;C292),2)&amp;RIGHT(("0"&amp;D292),2)&amp;RIGHT(("0"&amp;E292),2)&amp;RIGHT(("0"&amp;F292),2)&amp;RIGHT(("0"&amp;G292),2)&amp;RIGHT(("0"&amp;H292),2)</f>
        <v>051617182241</v>
      </c>
      <c r="J292" s="1" t="n">
        <f aca="false">COUNTIF(I:I,I292)</f>
        <v>1</v>
      </c>
      <c r="K292" s="1" t="n">
        <v>0</v>
      </c>
      <c r="M292" s="1" t="s">
        <v>23</v>
      </c>
      <c r="N292" s="1" t="n">
        <v>71</v>
      </c>
      <c r="O292" s="1" t="s">
        <v>1358</v>
      </c>
      <c r="P292" s="1" t="n">
        <v>4870</v>
      </c>
      <c r="Q292" s="1" t="s">
        <v>1359</v>
      </c>
      <c r="R292" s="1" t="s">
        <v>1360</v>
      </c>
      <c r="S292" s="1" t="s">
        <v>23</v>
      </c>
      <c r="T292" s="1" t="s">
        <v>23</v>
      </c>
      <c r="U292" s="1" t="s">
        <v>23</v>
      </c>
      <c r="V292" s="1" t="s">
        <v>1361</v>
      </c>
    </row>
    <row r="293" customFormat="false" ht="13.8" hidden="false" customHeight="false" outlineLevel="0" collapsed="false">
      <c r="A293" s="1" t="n">
        <v>292</v>
      </c>
      <c r="B293" s="2" t="s">
        <v>1362</v>
      </c>
      <c r="C293" s="1" t="n">
        <v>13</v>
      </c>
      <c r="D293" s="1" t="n">
        <v>23</v>
      </c>
      <c r="E293" s="1" t="n">
        <v>24</v>
      </c>
      <c r="F293" s="1" t="n">
        <v>34</v>
      </c>
      <c r="G293" s="1" t="n">
        <v>45</v>
      </c>
      <c r="H293" s="1" t="n">
        <v>53</v>
      </c>
      <c r="I293" s="1" t="str">
        <f aca="false">RIGHT(("0"&amp;C293),2)&amp;RIGHT(("0"&amp;D293),2)&amp;RIGHT(("0"&amp;E293),2)&amp;RIGHT(("0"&amp;F293),2)&amp;RIGHT(("0"&amp;G293),2)&amp;RIGHT(("0"&amp;H293),2)</f>
        <v>132324344553</v>
      </c>
      <c r="J293" s="1" t="n">
        <f aca="false">COUNTIF(I:I,I293)</f>
        <v>1</v>
      </c>
      <c r="K293" s="1" t="n">
        <v>0</v>
      </c>
      <c r="M293" s="1" t="s">
        <v>23</v>
      </c>
      <c r="N293" s="1" t="n">
        <v>116</v>
      </c>
      <c r="O293" s="1" t="s">
        <v>1363</v>
      </c>
      <c r="P293" s="1" t="n">
        <v>8670</v>
      </c>
      <c r="Q293" s="1" t="s">
        <v>1364</v>
      </c>
      <c r="R293" s="1" t="s">
        <v>1365</v>
      </c>
      <c r="S293" s="1" t="s">
        <v>23</v>
      </c>
      <c r="T293" s="1" t="s">
        <v>23</v>
      </c>
      <c r="U293" s="1" t="s">
        <v>23</v>
      </c>
      <c r="V293" s="1" t="s">
        <v>1366</v>
      </c>
    </row>
    <row r="294" customFormat="false" ht="13.8" hidden="false" customHeight="false" outlineLevel="0" collapsed="false">
      <c r="A294" s="1" t="n">
        <v>293</v>
      </c>
      <c r="B294" s="2" t="s">
        <v>1367</v>
      </c>
      <c r="C294" s="1" t="n">
        <v>5</v>
      </c>
      <c r="D294" s="1" t="n">
        <v>6</v>
      </c>
      <c r="E294" s="1" t="n">
        <v>7</v>
      </c>
      <c r="F294" s="1" t="n">
        <v>12</v>
      </c>
      <c r="G294" s="1" t="n">
        <v>28</v>
      </c>
      <c r="H294" s="1" t="n">
        <v>35</v>
      </c>
      <c r="I294" s="1" t="str">
        <f aca="false">RIGHT(("0"&amp;C294),2)&amp;RIGHT(("0"&amp;D294),2)&amp;RIGHT(("0"&amp;E294),2)&amp;RIGHT(("0"&amp;F294),2)&amp;RIGHT(("0"&amp;G294),2)&amp;RIGHT(("0"&amp;H294),2)</f>
        <v>050607122835</v>
      </c>
      <c r="J294" s="1" t="n">
        <f aca="false">COUNTIF(I:I,I294)</f>
        <v>1</v>
      </c>
      <c r="K294" s="1" t="n">
        <v>0</v>
      </c>
      <c r="M294" s="1" t="s">
        <v>23</v>
      </c>
      <c r="N294" s="1" t="n">
        <v>167</v>
      </c>
      <c r="O294" s="1" t="s">
        <v>1368</v>
      </c>
      <c r="P294" s="1" t="n">
        <v>10185</v>
      </c>
      <c r="Q294" s="1" t="s">
        <v>1369</v>
      </c>
      <c r="R294" s="1" t="s">
        <v>1370</v>
      </c>
      <c r="S294" s="1" t="s">
        <v>23</v>
      </c>
      <c r="T294" s="1" t="s">
        <v>23</v>
      </c>
      <c r="U294" s="1" t="s">
        <v>23</v>
      </c>
      <c r="V294" s="1" t="s">
        <v>1371</v>
      </c>
    </row>
    <row r="295" customFormat="false" ht="13.8" hidden="false" customHeight="false" outlineLevel="0" collapsed="false">
      <c r="A295" s="1" t="n">
        <v>294</v>
      </c>
      <c r="B295" s="2" t="s">
        <v>1372</v>
      </c>
      <c r="C295" s="1" t="n">
        <v>22</v>
      </c>
      <c r="D295" s="1" t="n">
        <v>25</v>
      </c>
      <c r="E295" s="1" t="n">
        <v>28</v>
      </c>
      <c r="F295" s="1" t="n">
        <v>41</v>
      </c>
      <c r="G295" s="1" t="n">
        <v>45</v>
      </c>
      <c r="H295" s="1" t="n">
        <v>57</v>
      </c>
      <c r="I295" s="1" t="str">
        <f aca="false">RIGHT(("0"&amp;C295),2)&amp;RIGHT(("0"&amp;D295),2)&amp;RIGHT(("0"&amp;E295),2)&amp;RIGHT(("0"&amp;F295),2)&amp;RIGHT(("0"&amp;G295),2)&amp;RIGHT(("0"&amp;H295),2)</f>
        <v>222528414557</v>
      </c>
      <c r="J295" s="1" t="n">
        <f aca="false">COUNTIF(I:I,I295)</f>
        <v>1</v>
      </c>
      <c r="K295" s="1" t="n">
        <v>2</v>
      </c>
      <c r="L295" s="1" t="s">
        <v>1373</v>
      </c>
      <c r="M295" s="1" t="s">
        <v>1374</v>
      </c>
      <c r="N295" s="1" t="n">
        <v>130</v>
      </c>
      <c r="O295" s="1" t="s">
        <v>1375</v>
      </c>
      <c r="P295" s="1" t="n">
        <v>7434</v>
      </c>
      <c r="Q295" s="1" t="s">
        <v>1376</v>
      </c>
      <c r="R295" s="1" t="s">
        <v>23</v>
      </c>
      <c r="S295" s="1" t="s">
        <v>23</v>
      </c>
      <c r="T295" s="1" t="s">
        <v>23</v>
      </c>
      <c r="U295" s="1" t="s">
        <v>23</v>
      </c>
      <c r="V295" s="1" t="s">
        <v>1377</v>
      </c>
    </row>
    <row r="296" customFormat="false" ht="13.8" hidden="false" customHeight="false" outlineLevel="0" collapsed="false">
      <c r="A296" s="1" t="n">
        <v>295</v>
      </c>
      <c r="B296" s="2" t="s">
        <v>1378</v>
      </c>
      <c r="C296" s="1" t="n">
        <v>7</v>
      </c>
      <c r="D296" s="1" t="n">
        <v>12</v>
      </c>
      <c r="E296" s="1" t="n">
        <v>24</v>
      </c>
      <c r="F296" s="1" t="n">
        <v>31</v>
      </c>
      <c r="G296" s="1" t="n">
        <v>44</v>
      </c>
      <c r="H296" s="1" t="n">
        <v>50</v>
      </c>
      <c r="I296" s="1" t="str">
        <f aca="false">RIGHT(("0"&amp;C296),2)&amp;RIGHT(("0"&amp;D296),2)&amp;RIGHT(("0"&amp;E296),2)&amp;RIGHT(("0"&amp;F296),2)&amp;RIGHT(("0"&amp;G296),2)&amp;RIGHT(("0"&amp;H296),2)</f>
        <v>071224314450</v>
      </c>
      <c r="J296" s="1" t="n">
        <f aca="false">COUNTIF(I:I,I296)</f>
        <v>1</v>
      </c>
      <c r="K296" s="1" t="n">
        <v>0</v>
      </c>
      <c r="M296" s="1" t="s">
        <v>23</v>
      </c>
      <c r="N296" s="1" t="n">
        <v>36</v>
      </c>
      <c r="O296" s="1" t="s">
        <v>1379</v>
      </c>
      <c r="P296" s="1" t="n">
        <v>2055</v>
      </c>
      <c r="Q296" s="1" t="s">
        <v>1380</v>
      </c>
      <c r="R296" s="1" t="s">
        <v>1381</v>
      </c>
      <c r="S296" s="1" t="s">
        <v>23</v>
      </c>
      <c r="T296" s="1" t="s">
        <v>23</v>
      </c>
      <c r="U296" s="1" t="s">
        <v>23</v>
      </c>
      <c r="V296" s="1" t="s">
        <v>1382</v>
      </c>
    </row>
    <row r="297" customFormat="false" ht="13.8" hidden="false" customHeight="false" outlineLevel="0" collapsed="false">
      <c r="A297" s="1" t="n">
        <v>296</v>
      </c>
      <c r="B297" s="2" t="s">
        <v>1383</v>
      </c>
      <c r="C297" s="1" t="n">
        <v>3</v>
      </c>
      <c r="D297" s="1" t="n">
        <v>20</v>
      </c>
      <c r="E297" s="1" t="n">
        <v>42</v>
      </c>
      <c r="F297" s="1" t="n">
        <v>46</v>
      </c>
      <c r="G297" s="1" t="n">
        <v>51</v>
      </c>
      <c r="H297" s="1" t="n">
        <v>52</v>
      </c>
      <c r="I297" s="1" t="str">
        <f aca="false">RIGHT(("0"&amp;C297),2)&amp;RIGHT(("0"&amp;D297),2)&amp;RIGHT(("0"&amp;E297),2)&amp;RIGHT(("0"&amp;F297),2)&amp;RIGHT(("0"&amp;G297),2)&amp;RIGHT(("0"&amp;H297),2)</f>
        <v>032042465152</v>
      </c>
      <c r="J297" s="1" t="n">
        <f aca="false">COUNTIF(I:I,I297)</f>
        <v>1</v>
      </c>
      <c r="K297" s="1" t="n">
        <v>0</v>
      </c>
      <c r="M297" s="1" t="s">
        <v>23</v>
      </c>
      <c r="N297" s="1" t="n">
        <v>29</v>
      </c>
      <c r="O297" s="1" t="s">
        <v>1384</v>
      </c>
      <c r="P297" s="1" t="n">
        <v>2348</v>
      </c>
      <c r="Q297" s="1" t="s">
        <v>1385</v>
      </c>
      <c r="R297" s="1" t="s">
        <v>1386</v>
      </c>
      <c r="S297" s="1" t="s">
        <v>23</v>
      </c>
      <c r="T297" s="1" t="s">
        <v>23</v>
      </c>
      <c r="U297" s="1" t="s">
        <v>23</v>
      </c>
      <c r="V297" s="1" t="s">
        <v>1387</v>
      </c>
    </row>
    <row r="298" customFormat="false" ht="13.8" hidden="false" customHeight="false" outlineLevel="0" collapsed="false">
      <c r="A298" s="1" t="n">
        <v>297</v>
      </c>
      <c r="B298" s="2" t="s">
        <v>1388</v>
      </c>
      <c r="C298" s="1" t="n">
        <v>1</v>
      </c>
      <c r="D298" s="1" t="n">
        <v>20</v>
      </c>
      <c r="E298" s="1" t="n">
        <v>28</v>
      </c>
      <c r="F298" s="1" t="n">
        <v>33</v>
      </c>
      <c r="G298" s="1" t="n">
        <v>36</v>
      </c>
      <c r="H298" s="1" t="n">
        <v>41</v>
      </c>
      <c r="I298" s="1" t="str">
        <f aca="false">RIGHT(("0"&amp;C298),2)&amp;RIGHT(("0"&amp;D298),2)&amp;RIGHT(("0"&amp;E298),2)&amp;RIGHT(("0"&amp;F298),2)&amp;RIGHT(("0"&amp;G298),2)&amp;RIGHT(("0"&amp;H298),2)</f>
        <v>012028333641</v>
      </c>
      <c r="J298" s="1" t="n">
        <f aca="false">COUNTIF(I:I,I298)</f>
        <v>1</v>
      </c>
      <c r="K298" s="1" t="n">
        <v>0</v>
      </c>
      <c r="M298" s="1" t="s">
        <v>23</v>
      </c>
      <c r="N298" s="1" t="n">
        <v>25</v>
      </c>
      <c r="O298" s="1" t="s">
        <v>1389</v>
      </c>
      <c r="P298" s="1" t="n">
        <v>1920</v>
      </c>
      <c r="Q298" s="1" t="s">
        <v>1390</v>
      </c>
      <c r="R298" s="1" t="s">
        <v>1391</v>
      </c>
      <c r="S298" s="1" t="s">
        <v>23</v>
      </c>
      <c r="T298" s="1" t="s">
        <v>23</v>
      </c>
      <c r="U298" s="1" t="s">
        <v>23</v>
      </c>
      <c r="V298" s="1" t="s">
        <v>1392</v>
      </c>
    </row>
    <row r="299" customFormat="false" ht="13.8" hidden="false" customHeight="false" outlineLevel="0" collapsed="false">
      <c r="A299" s="1" t="n">
        <v>298</v>
      </c>
      <c r="B299" s="2" t="s">
        <v>1393</v>
      </c>
      <c r="C299" s="1" t="n">
        <v>5</v>
      </c>
      <c r="D299" s="1" t="n">
        <v>22</v>
      </c>
      <c r="E299" s="1" t="n">
        <v>23</v>
      </c>
      <c r="F299" s="1" t="n">
        <v>24</v>
      </c>
      <c r="G299" s="1" t="n">
        <v>34</v>
      </c>
      <c r="H299" s="1" t="n">
        <v>60</v>
      </c>
      <c r="I299" s="1" t="str">
        <f aca="false">RIGHT(("0"&amp;C299),2)&amp;RIGHT(("0"&amp;D299),2)&amp;RIGHT(("0"&amp;E299),2)&amp;RIGHT(("0"&amp;F299),2)&amp;RIGHT(("0"&amp;G299),2)&amp;RIGHT(("0"&amp;H299),2)</f>
        <v>052223243460</v>
      </c>
      <c r="J299" s="1" t="n">
        <f aca="false">COUNTIF(I:I,I299)</f>
        <v>1</v>
      </c>
      <c r="K299" s="1" t="n">
        <v>1</v>
      </c>
      <c r="L299" s="1" t="s">
        <v>28</v>
      </c>
      <c r="M299" s="1" t="s">
        <v>1394</v>
      </c>
      <c r="N299" s="1" t="n">
        <v>50</v>
      </c>
      <c r="O299" s="1" t="s">
        <v>1395</v>
      </c>
      <c r="P299" s="1" t="n">
        <v>4372</v>
      </c>
      <c r="Q299" s="1" t="s">
        <v>1396</v>
      </c>
      <c r="R299" s="1" t="s">
        <v>23</v>
      </c>
      <c r="S299" s="1" t="s">
        <v>23</v>
      </c>
      <c r="T299" s="1" t="s">
        <v>23</v>
      </c>
      <c r="U299" s="1" t="s">
        <v>23</v>
      </c>
      <c r="V299" s="1" t="s">
        <v>1397</v>
      </c>
    </row>
    <row r="300" customFormat="false" ht="13.8" hidden="false" customHeight="false" outlineLevel="0" collapsed="false">
      <c r="A300" s="1" t="n">
        <v>299</v>
      </c>
      <c r="B300" s="2" t="s">
        <v>1398</v>
      </c>
      <c r="C300" s="1" t="n">
        <v>2</v>
      </c>
      <c r="D300" s="1" t="n">
        <v>5</v>
      </c>
      <c r="E300" s="1" t="n">
        <v>7</v>
      </c>
      <c r="F300" s="1" t="n">
        <v>33</v>
      </c>
      <c r="G300" s="1" t="n">
        <v>49</v>
      </c>
      <c r="H300" s="1" t="n">
        <v>53</v>
      </c>
      <c r="I300" s="1" t="str">
        <f aca="false">RIGHT(("0"&amp;C300),2)&amp;RIGHT(("0"&amp;D300),2)&amp;RIGHT(("0"&amp;E300),2)&amp;RIGHT(("0"&amp;F300),2)&amp;RIGHT(("0"&amp;G300),2)&amp;RIGHT(("0"&amp;H300),2)</f>
        <v>020507334953</v>
      </c>
      <c r="J300" s="1" t="n">
        <f aca="false">COUNTIF(I:I,I300)</f>
        <v>1</v>
      </c>
      <c r="K300" s="1" t="n">
        <v>0</v>
      </c>
      <c r="M300" s="1" t="s">
        <v>23</v>
      </c>
      <c r="N300" s="1" t="n">
        <v>33</v>
      </c>
      <c r="O300" s="1" t="s">
        <v>1399</v>
      </c>
      <c r="P300" s="1" t="n">
        <v>2049</v>
      </c>
      <c r="Q300" s="1" t="s">
        <v>1400</v>
      </c>
      <c r="R300" s="1" t="s">
        <v>1401</v>
      </c>
      <c r="S300" s="1" t="s">
        <v>23</v>
      </c>
      <c r="T300" s="1" t="s">
        <v>23</v>
      </c>
      <c r="U300" s="1" t="s">
        <v>23</v>
      </c>
      <c r="V300" s="1" t="s">
        <v>1402</v>
      </c>
    </row>
    <row r="301" customFormat="false" ht="13.8" hidden="false" customHeight="false" outlineLevel="0" collapsed="false">
      <c r="A301" s="1" t="n">
        <v>300</v>
      </c>
      <c r="B301" s="2" t="s">
        <v>1403</v>
      </c>
      <c r="C301" s="1" t="n">
        <v>24</v>
      </c>
      <c r="D301" s="1" t="n">
        <v>27</v>
      </c>
      <c r="E301" s="1" t="n">
        <v>28</v>
      </c>
      <c r="F301" s="1" t="n">
        <v>38</v>
      </c>
      <c r="G301" s="1" t="n">
        <v>41</v>
      </c>
      <c r="H301" s="1" t="n">
        <v>57</v>
      </c>
      <c r="I301" s="1" t="str">
        <f aca="false">RIGHT(("0"&amp;C301),2)&amp;RIGHT(("0"&amp;D301),2)&amp;RIGHT(("0"&amp;E301),2)&amp;RIGHT(("0"&amp;F301),2)&amp;RIGHT(("0"&amp;G301),2)&amp;RIGHT(("0"&amp;H301),2)</f>
        <v>242728384157</v>
      </c>
      <c r="J301" s="1" t="n">
        <f aca="false">COUNTIF(I:I,I301)</f>
        <v>1</v>
      </c>
      <c r="K301" s="1" t="n">
        <v>0</v>
      </c>
      <c r="M301" s="1" t="s">
        <v>23</v>
      </c>
      <c r="N301" s="1" t="n">
        <v>48</v>
      </c>
      <c r="O301" s="1" t="s">
        <v>1404</v>
      </c>
      <c r="P301" s="1" t="n">
        <v>4820</v>
      </c>
      <c r="Q301" s="1" t="s">
        <v>1405</v>
      </c>
      <c r="R301" s="1" t="s">
        <v>1406</v>
      </c>
      <c r="S301" s="1" t="s">
        <v>23</v>
      </c>
      <c r="T301" s="1" t="s">
        <v>23</v>
      </c>
      <c r="U301" s="1" t="s">
        <v>23</v>
      </c>
      <c r="V301" s="1" t="s">
        <v>1407</v>
      </c>
    </row>
    <row r="302" customFormat="false" ht="13.8" hidden="false" customHeight="false" outlineLevel="0" collapsed="false">
      <c r="A302" s="1" t="n">
        <v>301</v>
      </c>
      <c r="B302" s="2" t="s">
        <v>1408</v>
      </c>
      <c r="C302" s="1" t="n">
        <v>9</v>
      </c>
      <c r="D302" s="1" t="n">
        <v>26</v>
      </c>
      <c r="E302" s="1" t="n">
        <v>48</v>
      </c>
      <c r="F302" s="1" t="n">
        <v>49</v>
      </c>
      <c r="G302" s="1" t="n">
        <v>57</v>
      </c>
      <c r="H302" s="1" t="n">
        <v>58</v>
      </c>
      <c r="I302" s="1" t="str">
        <f aca="false">RIGHT(("0"&amp;C302),2)&amp;RIGHT(("0"&amp;D302),2)&amp;RIGHT(("0"&amp;E302),2)&amp;RIGHT(("0"&amp;F302),2)&amp;RIGHT(("0"&amp;G302),2)&amp;RIGHT(("0"&amp;H302),2)</f>
        <v>092648495758</v>
      </c>
      <c r="J302" s="1" t="n">
        <f aca="false">COUNTIF(I:I,I302)</f>
        <v>1</v>
      </c>
      <c r="K302" s="1" t="n">
        <v>0</v>
      </c>
      <c r="M302" s="1" t="s">
        <v>23</v>
      </c>
      <c r="N302" s="1" t="n">
        <v>28</v>
      </c>
      <c r="O302" s="1" t="s">
        <v>1409</v>
      </c>
      <c r="P302" s="1" t="n">
        <v>2892</v>
      </c>
      <c r="Q302" s="1" t="s">
        <v>1410</v>
      </c>
      <c r="R302" s="1" t="s">
        <v>1411</v>
      </c>
      <c r="S302" s="1" t="s">
        <v>23</v>
      </c>
      <c r="T302" s="1" t="s">
        <v>23</v>
      </c>
      <c r="U302" s="1" t="s">
        <v>23</v>
      </c>
      <c r="V302" s="1" t="s">
        <v>1412</v>
      </c>
    </row>
    <row r="303" customFormat="false" ht="13.8" hidden="false" customHeight="false" outlineLevel="0" collapsed="false">
      <c r="A303" s="1" t="n">
        <v>302</v>
      </c>
      <c r="B303" s="2" t="s">
        <v>1413</v>
      </c>
      <c r="C303" s="1" t="n">
        <v>12</v>
      </c>
      <c r="D303" s="1" t="n">
        <v>25</v>
      </c>
      <c r="E303" s="1" t="n">
        <v>30</v>
      </c>
      <c r="F303" s="1" t="n">
        <v>40</v>
      </c>
      <c r="G303" s="1" t="n">
        <v>41</v>
      </c>
      <c r="H303" s="1" t="n">
        <v>60</v>
      </c>
      <c r="I303" s="1" t="str">
        <f aca="false">RIGHT(("0"&amp;C303),2)&amp;RIGHT(("0"&amp;D303),2)&amp;RIGHT(("0"&amp;E303),2)&amp;RIGHT(("0"&amp;F303),2)&amp;RIGHT(("0"&amp;G303),2)&amp;RIGHT(("0"&amp;H303),2)</f>
        <v>122530404160</v>
      </c>
      <c r="J303" s="1" t="n">
        <f aca="false">COUNTIF(I:I,I303)</f>
        <v>1</v>
      </c>
      <c r="K303" s="1" t="n">
        <v>0</v>
      </c>
      <c r="M303" s="1" t="s">
        <v>23</v>
      </c>
      <c r="N303" s="1" t="n">
        <v>101</v>
      </c>
      <c r="O303" s="1" t="s">
        <v>1414</v>
      </c>
      <c r="P303" s="1" t="n">
        <v>6361</v>
      </c>
      <c r="Q303" s="1" t="s">
        <v>1415</v>
      </c>
      <c r="R303" s="1" t="s">
        <v>1416</v>
      </c>
      <c r="S303" s="1" t="s">
        <v>23</v>
      </c>
      <c r="T303" s="1" t="s">
        <v>23</v>
      </c>
      <c r="U303" s="1" t="s">
        <v>23</v>
      </c>
      <c r="V303" s="1" t="s">
        <v>1417</v>
      </c>
    </row>
    <row r="304" customFormat="false" ht="13.8" hidden="false" customHeight="false" outlineLevel="0" collapsed="false">
      <c r="A304" s="1" t="n">
        <v>303</v>
      </c>
      <c r="B304" s="2" t="s">
        <v>1418</v>
      </c>
      <c r="C304" s="1" t="n">
        <v>7</v>
      </c>
      <c r="D304" s="1" t="n">
        <v>13</v>
      </c>
      <c r="E304" s="1" t="n">
        <v>17</v>
      </c>
      <c r="F304" s="1" t="n">
        <v>30</v>
      </c>
      <c r="G304" s="1" t="n">
        <v>37</v>
      </c>
      <c r="H304" s="1" t="n">
        <v>47</v>
      </c>
      <c r="I304" s="1" t="str">
        <f aca="false">RIGHT(("0"&amp;C304),2)&amp;RIGHT(("0"&amp;D304),2)&amp;RIGHT(("0"&amp;E304),2)&amp;RIGHT(("0"&amp;F304),2)&amp;RIGHT(("0"&amp;G304),2)&amp;RIGHT(("0"&amp;H304),2)</f>
        <v>071317303747</v>
      </c>
      <c r="J304" s="1" t="n">
        <f aca="false">COUNTIF(I:I,I304)</f>
        <v>1</v>
      </c>
      <c r="K304" s="1" t="n">
        <v>1</v>
      </c>
      <c r="L304" s="1" t="s">
        <v>1419</v>
      </c>
      <c r="M304" s="1" t="s">
        <v>1420</v>
      </c>
      <c r="N304" s="1" t="n">
        <v>215</v>
      </c>
      <c r="O304" s="1" t="s">
        <v>1421</v>
      </c>
      <c r="P304" s="1" t="n">
        <v>12861</v>
      </c>
      <c r="Q304" s="1" t="s">
        <v>1422</v>
      </c>
      <c r="R304" s="1" t="s">
        <v>23</v>
      </c>
      <c r="S304" s="1" t="s">
        <v>23</v>
      </c>
      <c r="T304" s="1" t="s">
        <v>23</v>
      </c>
      <c r="U304" s="1" t="s">
        <v>23</v>
      </c>
      <c r="V304" s="1" t="s">
        <v>1423</v>
      </c>
    </row>
    <row r="305" customFormat="false" ht="13.8" hidden="false" customHeight="false" outlineLevel="0" collapsed="false">
      <c r="A305" s="1" t="n">
        <v>304</v>
      </c>
      <c r="B305" s="2" t="s">
        <v>1424</v>
      </c>
      <c r="C305" s="1" t="n">
        <v>7</v>
      </c>
      <c r="D305" s="1" t="n">
        <v>11</v>
      </c>
      <c r="E305" s="1" t="n">
        <v>34</v>
      </c>
      <c r="F305" s="1" t="n">
        <v>41</v>
      </c>
      <c r="G305" s="1" t="n">
        <v>42</v>
      </c>
      <c r="H305" s="1" t="n">
        <v>59</v>
      </c>
      <c r="I305" s="1" t="str">
        <f aca="false">RIGHT(("0"&amp;C305),2)&amp;RIGHT(("0"&amp;D305),2)&amp;RIGHT(("0"&amp;E305),2)&amp;RIGHT(("0"&amp;F305),2)&amp;RIGHT(("0"&amp;G305),2)&amp;RIGHT(("0"&amp;H305),2)</f>
        <v>071134414259</v>
      </c>
      <c r="J305" s="1" t="n">
        <f aca="false">COUNTIF(I:I,I305)</f>
        <v>1</v>
      </c>
      <c r="K305" s="1" t="n">
        <v>0</v>
      </c>
      <c r="M305" s="1" t="s">
        <v>23</v>
      </c>
      <c r="N305" s="1" t="n">
        <v>58</v>
      </c>
      <c r="O305" s="1" t="s">
        <v>1425</v>
      </c>
      <c r="P305" s="1" t="n">
        <v>3274</v>
      </c>
      <c r="Q305" s="1" t="s">
        <v>1426</v>
      </c>
      <c r="R305" s="1" t="s">
        <v>1427</v>
      </c>
      <c r="S305" s="1" t="s">
        <v>23</v>
      </c>
      <c r="T305" s="1" t="s">
        <v>23</v>
      </c>
      <c r="U305" s="1" t="s">
        <v>23</v>
      </c>
      <c r="V305" s="1" t="s">
        <v>1428</v>
      </c>
    </row>
    <row r="306" customFormat="false" ht="13.8" hidden="false" customHeight="false" outlineLevel="0" collapsed="false">
      <c r="A306" s="1" t="n">
        <v>305</v>
      </c>
      <c r="B306" s="2" t="s">
        <v>1429</v>
      </c>
      <c r="C306" s="1" t="n">
        <v>5</v>
      </c>
      <c r="D306" s="1" t="n">
        <v>11</v>
      </c>
      <c r="E306" s="1" t="n">
        <v>27</v>
      </c>
      <c r="F306" s="1" t="n">
        <v>38</v>
      </c>
      <c r="G306" s="1" t="n">
        <v>53</v>
      </c>
      <c r="H306" s="1" t="n">
        <v>60</v>
      </c>
      <c r="I306" s="1" t="str">
        <f aca="false">RIGHT(("0"&amp;C306),2)&amp;RIGHT(("0"&amp;D306),2)&amp;RIGHT(("0"&amp;E306),2)&amp;RIGHT(("0"&amp;F306),2)&amp;RIGHT(("0"&amp;G306),2)&amp;RIGHT(("0"&amp;H306),2)</f>
        <v>051127385360</v>
      </c>
      <c r="J306" s="1" t="n">
        <f aca="false">COUNTIF(I:I,I306)</f>
        <v>1</v>
      </c>
      <c r="K306" s="1" t="n">
        <v>0</v>
      </c>
      <c r="M306" s="1" t="s">
        <v>23</v>
      </c>
      <c r="N306" s="1" t="n">
        <v>47</v>
      </c>
      <c r="O306" s="1" t="s">
        <v>1430</v>
      </c>
      <c r="P306" s="1" t="n">
        <v>3770</v>
      </c>
      <c r="Q306" s="1" t="s">
        <v>1431</v>
      </c>
      <c r="R306" s="1" t="s">
        <v>1432</v>
      </c>
      <c r="S306" s="1" t="s">
        <v>23</v>
      </c>
      <c r="T306" s="1" t="s">
        <v>23</v>
      </c>
      <c r="U306" s="1" t="s">
        <v>23</v>
      </c>
      <c r="V306" s="1" t="s">
        <v>1433</v>
      </c>
    </row>
    <row r="307" customFormat="false" ht="13.8" hidden="false" customHeight="false" outlineLevel="0" collapsed="false">
      <c r="A307" s="1" t="n">
        <v>306</v>
      </c>
      <c r="B307" s="2" t="s">
        <v>1434</v>
      </c>
      <c r="C307" s="1" t="n">
        <v>19</v>
      </c>
      <c r="D307" s="1" t="n">
        <v>30</v>
      </c>
      <c r="E307" s="1" t="n">
        <v>41</v>
      </c>
      <c r="F307" s="1" t="n">
        <v>47</v>
      </c>
      <c r="G307" s="1" t="n">
        <v>56</v>
      </c>
      <c r="H307" s="1" t="n">
        <v>57</v>
      </c>
      <c r="I307" s="1" t="str">
        <f aca="false">RIGHT(("0"&amp;C307),2)&amp;RIGHT(("0"&amp;D307),2)&amp;RIGHT(("0"&amp;E307),2)&amp;RIGHT(("0"&amp;F307),2)&amp;RIGHT(("0"&amp;G307),2)&amp;RIGHT(("0"&amp;H307),2)</f>
        <v>193041475657</v>
      </c>
      <c r="J307" s="1" t="n">
        <f aca="false">COUNTIF(I:I,I307)</f>
        <v>1</v>
      </c>
      <c r="K307" s="1" t="n">
        <v>0</v>
      </c>
      <c r="M307" s="1" t="s">
        <v>23</v>
      </c>
      <c r="N307" s="1" t="n">
        <v>28</v>
      </c>
      <c r="O307" s="1" t="s">
        <v>1435</v>
      </c>
      <c r="P307" s="1" t="n">
        <v>2294</v>
      </c>
      <c r="Q307" s="1" t="s">
        <v>1436</v>
      </c>
      <c r="R307" s="1" t="s">
        <v>1437</v>
      </c>
      <c r="S307" s="1" t="s">
        <v>23</v>
      </c>
      <c r="T307" s="1" t="s">
        <v>23</v>
      </c>
      <c r="U307" s="1" t="s">
        <v>23</v>
      </c>
      <c r="V307" s="1" t="s">
        <v>1438</v>
      </c>
    </row>
    <row r="308" customFormat="false" ht="13.8" hidden="false" customHeight="false" outlineLevel="0" collapsed="false">
      <c r="A308" s="1" t="n">
        <v>307</v>
      </c>
      <c r="B308" s="2" t="s">
        <v>1439</v>
      </c>
      <c r="C308" s="1" t="n">
        <v>13</v>
      </c>
      <c r="D308" s="1" t="n">
        <v>16</v>
      </c>
      <c r="E308" s="1" t="n">
        <v>17</v>
      </c>
      <c r="F308" s="1" t="n">
        <v>26</v>
      </c>
      <c r="G308" s="1" t="n">
        <v>41</v>
      </c>
      <c r="H308" s="1" t="n">
        <v>44</v>
      </c>
      <c r="I308" s="1" t="str">
        <f aca="false">RIGHT(("0"&amp;C308),2)&amp;RIGHT(("0"&amp;D308),2)&amp;RIGHT(("0"&amp;E308),2)&amp;RIGHT(("0"&amp;F308),2)&amp;RIGHT(("0"&amp;G308),2)&amp;RIGHT(("0"&amp;H308),2)</f>
        <v>131617264144</v>
      </c>
      <c r="J308" s="1" t="n">
        <f aca="false">COUNTIF(I:I,I308)</f>
        <v>1</v>
      </c>
      <c r="K308" s="1" t="n">
        <v>0</v>
      </c>
      <c r="M308" s="1" t="s">
        <v>23</v>
      </c>
      <c r="N308" s="1" t="n">
        <v>44</v>
      </c>
      <c r="O308" s="1" t="s">
        <v>1440</v>
      </c>
      <c r="P308" s="1" t="n">
        <v>3962</v>
      </c>
      <c r="Q308" s="1" t="s">
        <v>1441</v>
      </c>
      <c r="R308" s="1" t="s">
        <v>1442</v>
      </c>
      <c r="S308" s="1" t="s">
        <v>23</v>
      </c>
      <c r="T308" s="1" t="s">
        <v>23</v>
      </c>
      <c r="U308" s="1" t="s">
        <v>23</v>
      </c>
      <c r="V308" s="1" t="s">
        <v>1443</v>
      </c>
    </row>
    <row r="309" customFormat="false" ht="13.8" hidden="false" customHeight="false" outlineLevel="0" collapsed="false">
      <c r="A309" s="1" t="n">
        <v>308</v>
      </c>
      <c r="B309" s="2" t="s">
        <v>1444</v>
      </c>
      <c r="C309" s="1" t="n">
        <v>4</v>
      </c>
      <c r="D309" s="1" t="n">
        <v>11</v>
      </c>
      <c r="E309" s="1" t="n">
        <v>25</v>
      </c>
      <c r="F309" s="1" t="n">
        <v>29</v>
      </c>
      <c r="G309" s="1" t="n">
        <v>39</v>
      </c>
      <c r="H309" s="1" t="n">
        <v>55</v>
      </c>
      <c r="I309" s="1" t="str">
        <f aca="false">RIGHT(("0"&amp;C309),2)&amp;RIGHT(("0"&amp;D309),2)&amp;RIGHT(("0"&amp;E309),2)&amp;RIGHT(("0"&amp;F309),2)&amp;RIGHT(("0"&amp;G309),2)&amp;RIGHT(("0"&amp;H309),2)</f>
        <v>041125293955</v>
      </c>
      <c r="J309" s="1" t="n">
        <f aca="false">COUNTIF(I:I,I309)</f>
        <v>1</v>
      </c>
      <c r="K309" s="1" t="n">
        <v>1</v>
      </c>
      <c r="L309" s="1" t="s">
        <v>140</v>
      </c>
      <c r="M309" s="1" t="s">
        <v>1445</v>
      </c>
      <c r="N309" s="1" t="n">
        <v>62</v>
      </c>
      <c r="O309" s="1" t="s">
        <v>1446</v>
      </c>
      <c r="P309" s="1" t="n">
        <v>5173</v>
      </c>
      <c r="Q309" s="1" t="s">
        <v>1447</v>
      </c>
      <c r="R309" s="1" t="s">
        <v>23</v>
      </c>
      <c r="S309" s="1" t="s">
        <v>23</v>
      </c>
      <c r="T309" s="1" t="s">
        <v>23</v>
      </c>
      <c r="U309" s="1" t="s">
        <v>23</v>
      </c>
      <c r="V309" s="1" t="s">
        <v>1448</v>
      </c>
    </row>
    <row r="310" customFormat="false" ht="13.8" hidden="false" customHeight="false" outlineLevel="0" collapsed="false">
      <c r="A310" s="1" t="n">
        <v>309</v>
      </c>
      <c r="B310" s="2" t="s">
        <v>1449</v>
      </c>
      <c r="C310" s="1" t="n">
        <v>4</v>
      </c>
      <c r="D310" s="1" t="n">
        <v>11</v>
      </c>
      <c r="E310" s="1" t="n">
        <v>25</v>
      </c>
      <c r="F310" s="1" t="n">
        <v>39</v>
      </c>
      <c r="G310" s="1" t="n">
        <v>50</v>
      </c>
      <c r="H310" s="1" t="n">
        <v>55</v>
      </c>
      <c r="I310" s="1" t="str">
        <f aca="false">RIGHT(("0"&amp;C310),2)&amp;RIGHT(("0"&amp;D310),2)&amp;RIGHT(("0"&amp;E310),2)&amp;RIGHT(("0"&amp;F310),2)&amp;RIGHT(("0"&amp;G310),2)&amp;RIGHT(("0"&amp;H310),2)</f>
        <v>041125395055</v>
      </c>
      <c r="J310" s="1" t="n">
        <f aca="false">COUNTIF(I:I,I310)</f>
        <v>1</v>
      </c>
      <c r="K310" s="1" t="n">
        <v>1</v>
      </c>
      <c r="L310" s="1" t="s">
        <v>140</v>
      </c>
      <c r="M310" s="1" t="s">
        <v>1450</v>
      </c>
      <c r="N310" s="1" t="n">
        <v>3001</v>
      </c>
      <c r="O310" s="1" t="s">
        <v>1451</v>
      </c>
      <c r="P310" s="1" t="n">
        <v>2997</v>
      </c>
      <c r="Q310" s="1" t="s">
        <v>1452</v>
      </c>
      <c r="R310" s="1" t="s">
        <v>23</v>
      </c>
      <c r="S310" s="1" t="s">
        <v>23</v>
      </c>
      <c r="T310" s="1" t="s">
        <v>23</v>
      </c>
      <c r="U310" s="1" t="s">
        <v>23</v>
      </c>
      <c r="V310" s="1" t="s">
        <v>1453</v>
      </c>
    </row>
    <row r="311" customFormat="false" ht="13.8" hidden="false" customHeight="false" outlineLevel="0" collapsed="false">
      <c r="A311" s="1" t="n">
        <v>310</v>
      </c>
      <c r="B311" s="2" t="s">
        <v>1454</v>
      </c>
      <c r="C311" s="1" t="n">
        <v>2</v>
      </c>
      <c r="D311" s="1" t="n">
        <v>14</v>
      </c>
      <c r="E311" s="1" t="n">
        <v>28</v>
      </c>
      <c r="F311" s="1" t="n">
        <v>29</v>
      </c>
      <c r="G311" s="1" t="n">
        <v>31</v>
      </c>
      <c r="H311" s="1" t="n">
        <v>32</v>
      </c>
      <c r="I311" s="1" t="str">
        <f aca="false">RIGHT(("0"&amp;C311),2)&amp;RIGHT(("0"&amp;D311),2)&amp;RIGHT(("0"&amp;E311),2)&amp;RIGHT(("0"&amp;F311),2)&amp;RIGHT(("0"&amp;G311),2)&amp;RIGHT(("0"&amp;H311),2)</f>
        <v>021428293132</v>
      </c>
      <c r="J311" s="1" t="n">
        <f aca="false">COUNTIF(I:I,I311)</f>
        <v>1</v>
      </c>
      <c r="K311" s="1" t="n">
        <v>0</v>
      </c>
      <c r="M311" s="1" t="s">
        <v>23</v>
      </c>
      <c r="N311" s="1" t="n">
        <v>81</v>
      </c>
      <c r="O311" s="1" t="s">
        <v>1455</v>
      </c>
      <c r="P311" s="1" t="n">
        <v>5093</v>
      </c>
      <c r="Q311" s="1" t="s">
        <v>1456</v>
      </c>
      <c r="R311" s="1" t="s">
        <v>1457</v>
      </c>
      <c r="S311" s="1" t="s">
        <v>23</v>
      </c>
      <c r="T311" s="1" t="s">
        <v>23</v>
      </c>
      <c r="U311" s="1" t="s">
        <v>23</v>
      </c>
      <c r="V311" s="1" t="s">
        <v>1458</v>
      </c>
    </row>
    <row r="312" customFormat="false" ht="13.8" hidden="false" customHeight="false" outlineLevel="0" collapsed="false">
      <c r="A312" s="1" t="n">
        <v>311</v>
      </c>
      <c r="B312" s="2" t="s">
        <v>1459</v>
      </c>
      <c r="C312" s="1" t="n">
        <v>22</v>
      </c>
      <c r="D312" s="1" t="n">
        <v>24</v>
      </c>
      <c r="E312" s="1" t="n">
        <v>30</v>
      </c>
      <c r="F312" s="1" t="n">
        <v>32</v>
      </c>
      <c r="G312" s="1" t="n">
        <v>38</v>
      </c>
      <c r="H312" s="1" t="n">
        <v>41</v>
      </c>
      <c r="I312" s="1" t="str">
        <f aca="false">RIGHT(("0"&amp;C312),2)&amp;RIGHT(("0"&amp;D312),2)&amp;RIGHT(("0"&amp;E312),2)&amp;RIGHT(("0"&amp;F312),2)&amp;RIGHT(("0"&amp;G312),2)&amp;RIGHT(("0"&amp;H312),2)</f>
        <v>222430323841</v>
      </c>
      <c r="J312" s="1" t="n">
        <f aca="false">COUNTIF(I:I,I312)</f>
        <v>1</v>
      </c>
      <c r="K312" s="1" t="n">
        <v>0</v>
      </c>
      <c r="M312" s="1" t="s">
        <v>23</v>
      </c>
      <c r="N312" s="1" t="n">
        <v>31</v>
      </c>
      <c r="O312" s="1" t="s">
        <v>1460</v>
      </c>
      <c r="P312" s="1" t="n">
        <v>2871</v>
      </c>
      <c r="Q312" s="1" t="s">
        <v>1461</v>
      </c>
      <c r="R312" s="1" t="s">
        <v>1462</v>
      </c>
      <c r="S312" s="1" t="s">
        <v>23</v>
      </c>
      <c r="T312" s="1" t="s">
        <v>23</v>
      </c>
      <c r="U312" s="1" t="s">
        <v>23</v>
      </c>
      <c r="V312" s="1" t="s">
        <v>1463</v>
      </c>
    </row>
    <row r="313" customFormat="false" ht="13.8" hidden="false" customHeight="false" outlineLevel="0" collapsed="false">
      <c r="A313" s="1" t="n">
        <v>312</v>
      </c>
      <c r="B313" s="2" t="s">
        <v>1464</v>
      </c>
      <c r="C313" s="1" t="n">
        <v>14</v>
      </c>
      <c r="D313" s="1" t="n">
        <v>23</v>
      </c>
      <c r="E313" s="1" t="n">
        <v>30</v>
      </c>
      <c r="F313" s="1" t="n">
        <v>41</v>
      </c>
      <c r="G313" s="1" t="n">
        <v>47</v>
      </c>
      <c r="H313" s="1" t="n">
        <v>50</v>
      </c>
      <c r="I313" s="1" t="str">
        <f aca="false">RIGHT(("0"&amp;C313),2)&amp;RIGHT(("0"&amp;D313),2)&amp;RIGHT(("0"&amp;E313),2)&amp;RIGHT(("0"&amp;F313),2)&amp;RIGHT(("0"&amp;G313),2)&amp;RIGHT(("0"&amp;H313),2)</f>
        <v>142330414750</v>
      </c>
      <c r="J313" s="1" t="n">
        <f aca="false">COUNTIF(I:I,I313)</f>
        <v>1</v>
      </c>
      <c r="K313" s="1" t="n">
        <v>0</v>
      </c>
      <c r="M313" s="1" t="s">
        <v>23</v>
      </c>
      <c r="N313" s="1" t="n">
        <v>76</v>
      </c>
      <c r="O313" s="1" t="s">
        <v>1465</v>
      </c>
      <c r="P313" s="1" t="n">
        <v>4985</v>
      </c>
      <c r="Q313" s="1" t="s">
        <v>1466</v>
      </c>
      <c r="R313" s="1" t="s">
        <v>1467</v>
      </c>
      <c r="S313" s="1" t="s">
        <v>23</v>
      </c>
      <c r="T313" s="1" t="s">
        <v>23</v>
      </c>
      <c r="U313" s="1" t="s">
        <v>23</v>
      </c>
      <c r="V313" s="1" t="s">
        <v>1468</v>
      </c>
    </row>
    <row r="314" customFormat="false" ht="13.8" hidden="false" customHeight="false" outlineLevel="0" collapsed="false">
      <c r="A314" s="1" t="n">
        <v>313</v>
      </c>
      <c r="B314" s="2" t="s">
        <v>1469</v>
      </c>
      <c r="C314" s="1" t="n">
        <v>14</v>
      </c>
      <c r="D314" s="1" t="n">
        <v>16</v>
      </c>
      <c r="E314" s="1" t="n">
        <v>24</v>
      </c>
      <c r="F314" s="1" t="n">
        <v>37</v>
      </c>
      <c r="G314" s="1" t="n">
        <v>38</v>
      </c>
      <c r="H314" s="1" t="n">
        <v>53</v>
      </c>
      <c r="I314" s="1" t="str">
        <f aca="false">RIGHT(("0"&amp;C314),2)&amp;RIGHT(("0"&amp;D314),2)&amp;RIGHT(("0"&amp;E314),2)&amp;RIGHT(("0"&amp;F314),2)&amp;RIGHT(("0"&amp;G314),2)&amp;RIGHT(("0"&amp;H314),2)</f>
        <v>141624373853</v>
      </c>
      <c r="J314" s="1" t="n">
        <f aca="false">COUNTIF(I:I,I314)</f>
        <v>1</v>
      </c>
      <c r="K314" s="1" t="n">
        <v>0</v>
      </c>
      <c r="M314" s="1" t="s">
        <v>23</v>
      </c>
      <c r="N314" s="1" t="n">
        <v>61</v>
      </c>
      <c r="O314" s="1" t="s">
        <v>1470</v>
      </c>
      <c r="P314" s="1" t="n">
        <v>5547</v>
      </c>
      <c r="Q314" s="1" t="s">
        <v>1471</v>
      </c>
      <c r="R314" s="1" t="s">
        <v>1472</v>
      </c>
      <c r="S314" s="1" t="s">
        <v>23</v>
      </c>
      <c r="T314" s="1" t="s">
        <v>23</v>
      </c>
      <c r="U314" s="1" t="s">
        <v>23</v>
      </c>
      <c r="V314" s="1" t="s">
        <v>1473</v>
      </c>
    </row>
    <row r="315" customFormat="false" ht="13.8" hidden="false" customHeight="false" outlineLevel="0" collapsed="false">
      <c r="A315" s="1" t="n">
        <v>314</v>
      </c>
      <c r="B315" s="2" t="s">
        <v>1474</v>
      </c>
      <c r="C315" s="1" t="n">
        <v>5</v>
      </c>
      <c r="D315" s="1" t="n">
        <v>32</v>
      </c>
      <c r="E315" s="1" t="n">
        <v>34</v>
      </c>
      <c r="F315" s="1" t="n">
        <v>37</v>
      </c>
      <c r="G315" s="1" t="n">
        <v>40</v>
      </c>
      <c r="H315" s="1" t="n">
        <v>58</v>
      </c>
      <c r="I315" s="1" t="str">
        <f aca="false">RIGHT(("0"&amp;C315),2)&amp;RIGHT(("0"&amp;D315),2)&amp;RIGHT(("0"&amp;E315),2)&amp;RIGHT(("0"&amp;F315),2)&amp;RIGHT(("0"&amp;G315),2)&amp;RIGHT(("0"&amp;H315),2)</f>
        <v>053234374058</v>
      </c>
      <c r="J315" s="1" t="n">
        <f aca="false">COUNTIF(I:I,I315)</f>
        <v>1</v>
      </c>
      <c r="K315" s="1" t="n">
        <v>0</v>
      </c>
      <c r="M315" s="1" t="s">
        <v>23</v>
      </c>
      <c r="N315" s="1" t="n">
        <v>93</v>
      </c>
      <c r="O315" s="1" t="s">
        <v>1475</v>
      </c>
      <c r="P315" s="1" t="n">
        <v>5542</v>
      </c>
      <c r="Q315" s="1" t="s">
        <v>1476</v>
      </c>
      <c r="R315" s="1" t="s">
        <v>1477</v>
      </c>
      <c r="S315" s="1" t="s">
        <v>23</v>
      </c>
      <c r="T315" s="1" t="s">
        <v>23</v>
      </c>
      <c r="U315" s="1" t="s">
        <v>23</v>
      </c>
      <c r="V315" s="1" t="s">
        <v>1478</v>
      </c>
    </row>
    <row r="316" customFormat="false" ht="13.8" hidden="false" customHeight="false" outlineLevel="0" collapsed="false">
      <c r="A316" s="1" t="n">
        <v>315</v>
      </c>
      <c r="B316" s="2" t="s">
        <v>1479</v>
      </c>
      <c r="C316" s="1" t="n">
        <v>12</v>
      </c>
      <c r="D316" s="1" t="n">
        <v>21</v>
      </c>
      <c r="E316" s="1" t="n">
        <v>22</v>
      </c>
      <c r="F316" s="1" t="n">
        <v>28</v>
      </c>
      <c r="G316" s="1" t="n">
        <v>43</v>
      </c>
      <c r="H316" s="1" t="n">
        <v>50</v>
      </c>
      <c r="I316" s="1" t="str">
        <f aca="false">RIGHT(("0"&amp;C316),2)&amp;RIGHT(("0"&amp;D316),2)&amp;RIGHT(("0"&amp;E316),2)&amp;RIGHT(("0"&amp;F316),2)&amp;RIGHT(("0"&amp;G316),2)&amp;RIGHT(("0"&amp;H316),2)</f>
        <v>122122284350</v>
      </c>
      <c r="J316" s="1" t="n">
        <f aca="false">COUNTIF(I:I,I316)</f>
        <v>1</v>
      </c>
      <c r="K316" s="1" t="n">
        <v>1</v>
      </c>
      <c r="L316" s="1" t="s">
        <v>28</v>
      </c>
      <c r="M316" s="1" t="s">
        <v>1480</v>
      </c>
      <c r="N316" s="1" t="n">
        <v>43</v>
      </c>
      <c r="O316" s="1" t="s">
        <v>1481</v>
      </c>
      <c r="P316" s="1" t="n">
        <v>4598</v>
      </c>
      <c r="Q316" s="1" t="s">
        <v>1482</v>
      </c>
      <c r="R316" s="1" t="s">
        <v>23</v>
      </c>
      <c r="S316" s="1" t="s">
        <v>23</v>
      </c>
      <c r="T316" s="1" t="s">
        <v>23</v>
      </c>
      <c r="U316" s="1" t="s">
        <v>23</v>
      </c>
      <c r="V316" s="1" t="s">
        <v>1483</v>
      </c>
    </row>
    <row r="317" customFormat="false" ht="13.8" hidden="false" customHeight="false" outlineLevel="0" collapsed="false">
      <c r="A317" s="1" t="n">
        <v>316</v>
      </c>
      <c r="B317" s="2" t="s">
        <v>1484</v>
      </c>
      <c r="C317" s="1" t="n">
        <v>6</v>
      </c>
      <c r="D317" s="1" t="n">
        <v>24</v>
      </c>
      <c r="E317" s="1" t="n">
        <v>28</v>
      </c>
      <c r="F317" s="1" t="n">
        <v>43</v>
      </c>
      <c r="G317" s="1" t="n">
        <v>51</v>
      </c>
      <c r="H317" s="1" t="n">
        <v>56</v>
      </c>
      <c r="I317" s="1" t="str">
        <f aca="false">RIGHT(("0"&amp;C317),2)&amp;RIGHT(("0"&amp;D317),2)&amp;RIGHT(("0"&amp;E317),2)&amp;RIGHT(("0"&amp;F317),2)&amp;RIGHT(("0"&amp;G317),2)&amp;RIGHT(("0"&amp;H317),2)</f>
        <v>062428435156</v>
      </c>
      <c r="J317" s="1" t="n">
        <f aca="false">COUNTIF(I:I,I317)</f>
        <v>1</v>
      </c>
      <c r="K317" s="1" t="n">
        <v>0</v>
      </c>
      <c r="M317" s="1" t="s">
        <v>23</v>
      </c>
      <c r="N317" s="1" t="n">
        <v>104</v>
      </c>
      <c r="O317" s="1" t="s">
        <v>1485</v>
      </c>
      <c r="P317" s="1" t="n">
        <v>4093</v>
      </c>
      <c r="Q317" s="1" t="s">
        <v>1486</v>
      </c>
      <c r="R317" s="1" t="s">
        <v>1487</v>
      </c>
      <c r="S317" s="1" t="s">
        <v>23</v>
      </c>
      <c r="T317" s="1" t="s">
        <v>23</v>
      </c>
      <c r="U317" s="1" t="s">
        <v>23</v>
      </c>
      <c r="V317" s="1" t="s">
        <v>1488</v>
      </c>
    </row>
    <row r="318" customFormat="false" ht="13.8" hidden="false" customHeight="false" outlineLevel="0" collapsed="false">
      <c r="A318" s="1" t="n">
        <v>317</v>
      </c>
      <c r="B318" s="2" t="s">
        <v>1489</v>
      </c>
      <c r="C318" s="1" t="n">
        <v>16</v>
      </c>
      <c r="D318" s="1" t="n">
        <v>20</v>
      </c>
      <c r="E318" s="1" t="n">
        <v>27</v>
      </c>
      <c r="F318" s="1" t="n">
        <v>30</v>
      </c>
      <c r="G318" s="1" t="n">
        <v>35</v>
      </c>
      <c r="H318" s="1" t="n">
        <v>48</v>
      </c>
      <c r="I318" s="1" t="str">
        <f aca="false">RIGHT(("0"&amp;C318),2)&amp;RIGHT(("0"&amp;D318),2)&amp;RIGHT(("0"&amp;E318),2)&amp;RIGHT(("0"&amp;F318),2)&amp;RIGHT(("0"&amp;G318),2)&amp;RIGHT(("0"&amp;H318),2)</f>
        <v>162027303548</v>
      </c>
      <c r="J318" s="1" t="n">
        <f aca="false">COUNTIF(I:I,I318)</f>
        <v>1</v>
      </c>
      <c r="K318" s="1" t="n">
        <v>0</v>
      </c>
      <c r="M318" s="1" t="s">
        <v>23</v>
      </c>
      <c r="N318" s="1" t="n">
        <v>23</v>
      </c>
      <c r="O318" s="1" t="s">
        <v>1490</v>
      </c>
      <c r="P318" s="1" t="n">
        <v>2088</v>
      </c>
      <c r="Q318" s="1" t="s">
        <v>1129</v>
      </c>
      <c r="R318" s="1" t="s">
        <v>1491</v>
      </c>
      <c r="S318" s="1" t="s">
        <v>23</v>
      </c>
      <c r="T318" s="1" t="s">
        <v>23</v>
      </c>
      <c r="U318" s="1" t="s">
        <v>23</v>
      </c>
      <c r="V318" s="1" t="s">
        <v>1492</v>
      </c>
    </row>
    <row r="319" customFormat="false" ht="13.8" hidden="false" customHeight="false" outlineLevel="0" collapsed="false">
      <c r="A319" s="1" t="n">
        <v>318</v>
      </c>
      <c r="B319" s="2" t="s">
        <v>1493</v>
      </c>
      <c r="C319" s="1" t="n">
        <v>3</v>
      </c>
      <c r="D319" s="1" t="n">
        <v>19</v>
      </c>
      <c r="E319" s="1" t="n">
        <v>20</v>
      </c>
      <c r="F319" s="1" t="n">
        <v>31</v>
      </c>
      <c r="G319" s="1" t="n">
        <v>40</v>
      </c>
      <c r="H319" s="1" t="n">
        <v>53</v>
      </c>
      <c r="I319" s="1" t="str">
        <f aca="false">RIGHT(("0"&amp;C319),2)&amp;RIGHT(("0"&amp;D319),2)&amp;RIGHT(("0"&amp;E319),2)&amp;RIGHT(("0"&amp;F319),2)&amp;RIGHT(("0"&amp;G319),2)&amp;RIGHT(("0"&amp;H319),2)</f>
        <v>031920314053</v>
      </c>
      <c r="J319" s="1" t="n">
        <f aca="false">COUNTIF(I:I,I319)</f>
        <v>1</v>
      </c>
      <c r="K319" s="1" t="n">
        <v>1</v>
      </c>
      <c r="L319" s="1" t="s">
        <v>91</v>
      </c>
      <c r="M319" s="1" t="s">
        <v>1494</v>
      </c>
      <c r="N319" s="1" t="n">
        <v>46</v>
      </c>
      <c r="O319" s="1" t="s">
        <v>1495</v>
      </c>
      <c r="P319" s="1" t="n">
        <v>3071</v>
      </c>
      <c r="Q319" s="1" t="s">
        <v>1496</v>
      </c>
      <c r="R319" s="1" t="s">
        <v>23</v>
      </c>
      <c r="S319" s="1" t="s">
        <v>23</v>
      </c>
      <c r="T319" s="1" t="s">
        <v>23</v>
      </c>
      <c r="U319" s="1" t="s">
        <v>23</v>
      </c>
      <c r="V319" s="1" t="s">
        <v>1497</v>
      </c>
    </row>
    <row r="320" customFormat="false" ht="13.8" hidden="false" customHeight="false" outlineLevel="0" collapsed="false">
      <c r="A320" s="1" t="n">
        <v>319</v>
      </c>
      <c r="B320" s="2" t="s">
        <v>1498</v>
      </c>
      <c r="C320" s="1" t="n">
        <v>12</v>
      </c>
      <c r="D320" s="1" t="n">
        <v>16</v>
      </c>
      <c r="E320" s="1" t="n">
        <v>17</v>
      </c>
      <c r="F320" s="1" t="n">
        <v>19</v>
      </c>
      <c r="G320" s="1" t="n">
        <v>23</v>
      </c>
      <c r="H320" s="1" t="n">
        <v>48</v>
      </c>
      <c r="I320" s="1" t="str">
        <f aca="false">RIGHT(("0"&amp;C320),2)&amp;RIGHT(("0"&amp;D320),2)&amp;RIGHT(("0"&amp;E320),2)&amp;RIGHT(("0"&amp;F320),2)&amp;RIGHT(("0"&amp;G320),2)&amp;RIGHT(("0"&amp;H320),2)</f>
        <v>121617192348</v>
      </c>
      <c r="J320" s="1" t="n">
        <f aca="false">COUNTIF(I:I,I320)</f>
        <v>1</v>
      </c>
      <c r="K320" s="1" t="n">
        <v>0</v>
      </c>
      <c r="M320" s="1" t="s">
        <v>23</v>
      </c>
      <c r="N320" s="1" t="n">
        <v>52</v>
      </c>
      <c r="O320" s="1" t="s">
        <v>1499</v>
      </c>
      <c r="P320" s="1" t="n">
        <v>3342</v>
      </c>
      <c r="Q320" s="1" t="s">
        <v>1500</v>
      </c>
      <c r="R320" s="1" t="s">
        <v>1501</v>
      </c>
      <c r="S320" s="1" t="s">
        <v>23</v>
      </c>
      <c r="T320" s="1" t="s">
        <v>23</v>
      </c>
      <c r="U320" s="1" t="s">
        <v>23</v>
      </c>
      <c r="V320" s="1" t="s">
        <v>1502</v>
      </c>
    </row>
    <row r="321" customFormat="false" ht="13.8" hidden="false" customHeight="false" outlineLevel="0" collapsed="false">
      <c r="A321" s="1" t="n">
        <v>320</v>
      </c>
      <c r="B321" s="2" t="s">
        <v>1503</v>
      </c>
      <c r="C321" s="1" t="n">
        <v>20</v>
      </c>
      <c r="D321" s="1" t="n">
        <v>22</v>
      </c>
      <c r="E321" s="1" t="n">
        <v>27</v>
      </c>
      <c r="F321" s="1" t="n">
        <v>47</v>
      </c>
      <c r="G321" s="1" t="n">
        <v>50</v>
      </c>
      <c r="H321" s="1" t="n">
        <v>53</v>
      </c>
      <c r="I321" s="1" t="str">
        <f aca="false">RIGHT(("0"&amp;C321),2)&amp;RIGHT(("0"&amp;D321),2)&amp;RIGHT(("0"&amp;E321),2)&amp;RIGHT(("0"&amp;F321),2)&amp;RIGHT(("0"&amp;G321),2)&amp;RIGHT(("0"&amp;H321),2)</f>
        <v>202227475053</v>
      </c>
      <c r="J321" s="1" t="n">
        <f aca="false">COUNTIF(I:I,I321)</f>
        <v>1</v>
      </c>
      <c r="K321" s="1" t="n">
        <v>0</v>
      </c>
      <c r="M321" s="1" t="s">
        <v>23</v>
      </c>
      <c r="N321" s="1" t="n">
        <v>77</v>
      </c>
      <c r="O321" s="1" t="s">
        <v>1504</v>
      </c>
      <c r="P321" s="1" t="n">
        <v>4916</v>
      </c>
      <c r="Q321" s="1" t="s">
        <v>1505</v>
      </c>
      <c r="R321" s="1" t="s">
        <v>1506</v>
      </c>
      <c r="S321" s="1" t="s">
        <v>23</v>
      </c>
      <c r="T321" s="1" t="s">
        <v>23</v>
      </c>
      <c r="U321" s="1" t="s">
        <v>23</v>
      </c>
      <c r="V321" s="1" t="s">
        <v>1507</v>
      </c>
    </row>
    <row r="322" customFormat="false" ht="13.8" hidden="false" customHeight="false" outlineLevel="0" collapsed="false">
      <c r="A322" s="1" t="n">
        <v>321</v>
      </c>
      <c r="B322" s="2" t="s">
        <v>1508</v>
      </c>
      <c r="C322" s="1" t="n">
        <v>4</v>
      </c>
      <c r="D322" s="1" t="n">
        <v>11</v>
      </c>
      <c r="E322" s="1" t="n">
        <v>31</v>
      </c>
      <c r="F322" s="1" t="n">
        <v>32</v>
      </c>
      <c r="G322" s="1" t="n">
        <v>48</v>
      </c>
      <c r="H322" s="1" t="n">
        <v>49</v>
      </c>
      <c r="I322" s="1" t="str">
        <f aca="false">RIGHT(("0"&amp;C322),2)&amp;RIGHT(("0"&amp;D322),2)&amp;RIGHT(("0"&amp;E322),2)&amp;RIGHT(("0"&amp;F322),2)&amp;RIGHT(("0"&amp;G322),2)&amp;RIGHT(("0"&amp;H322),2)</f>
        <v>041131324849</v>
      </c>
      <c r="J322" s="1" t="n">
        <f aca="false">COUNTIF(I:I,I322)</f>
        <v>1</v>
      </c>
      <c r="K322" s="1" t="n">
        <v>0</v>
      </c>
      <c r="M322" s="1" t="s">
        <v>23</v>
      </c>
      <c r="N322" s="1" t="n">
        <v>55</v>
      </c>
      <c r="O322" s="1" t="s">
        <v>1509</v>
      </c>
      <c r="P322" s="1" t="n">
        <v>3729</v>
      </c>
      <c r="Q322" s="1" t="s">
        <v>1510</v>
      </c>
      <c r="R322" s="1" t="s">
        <v>1511</v>
      </c>
      <c r="S322" s="1" t="s">
        <v>23</v>
      </c>
      <c r="T322" s="1" t="s">
        <v>23</v>
      </c>
      <c r="U322" s="1" t="s">
        <v>23</v>
      </c>
      <c r="V322" s="1" t="s">
        <v>1512</v>
      </c>
    </row>
    <row r="323" customFormat="false" ht="13.8" hidden="false" customHeight="false" outlineLevel="0" collapsed="false">
      <c r="A323" s="1" t="n">
        <v>322</v>
      </c>
      <c r="B323" s="2" t="s">
        <v>1513</v>
      </c>
      <c r="C323" s="1" t="n">
        <v>11</v>
      </c>
      <c r="D323" s="1" t="n">
        <v>18</v>
      </c>
      <c r="E323" s="1" t="n">
        <v>29</v>
      </c>
      <c r="F323" s="1" t="n">
        <v>44</v>
      </c>
      <c r="G323" s="1" t="n">
        <v>47</v>
      </c>
      <c r="H323" s="1" t="n">
        <v>56</v>
      </c>
      <c r="I323" s="1" t="str">
        <f aca="false">RIGHT(("0"&amp;C323),2)&amp;RIGHT(("0"&amp;D323),2)&amp;RIGHT(("0"&amp;E323),2)&amp;RIGHT(("0"&amp;F323),2)&amp;RIGHT(("0"&amp;G323),2)&amp;RIGHT(("0"&amp;H323),2)</f>
        <v>111829444756</v>
      </c>
      <c r="J323" s="1" t="n">
        <f aca="false">COUNTIF(I:I,I323)</f>
        <v>1</v>
      </c>
      <c r="K323" s="1" t="n">
        <v>0</v>
      </c>
      <c r="M323" s="1" t="s">
        <v>23</v>
      </c>
      <c r="N323" s="1" t="n">
        <v>87</v>
      </c>
      <c r="O323" s="1" t="s">
        <v>1514</v>
      </c>
      <c r="P323" s="1" t="n">
        <v>7835</v>
      </c>
      <c r="Q323" s="1" t="s">
        <v>1515</v>
      </c>
      <c r="R323" s="1" t="s">
        <v>1516</v>
      </c>
      <c r="S323" s="1" t="s">
        <v>23</v>
      </c>
      <c r="T323" s="1" t="s">
        <v>23</v>
      </c>
      <c r="U323" s="1" t="s">
        <v>23</v>
      </c>
      <c r="V323" s="1" t="s">
        <v>1517</v>
      </c>
    </row>
    <row r="324" customFormat="false" ht="13.8" hidden="false" customHeight="false" outlineLevel="0" collapsed="false">
      <c r="A324" s="1" t="n">
        <v>323</v>
      </c>
      <c r="B324" s="2" t="s">
        <v>1518</v>
      </c>
      <c r="C324" s="1" t="n">
        <v>26</v>
      </c>
      <c r="D324" s="1" t="n">
        <v>31</v>
      </c>
      <c r="E324" s="1" t="n">
        <v>33</v>
      </c>
      <c r="F324" s="1" t="n">
        <v>40</v>
      </c>
      <c r="G324" s="1" t="n">
        <v>49</v>
      </c>
      <c r="H324" s="1" t="n">
        <v>54</v>
      </c>
      <c r="I324" s="1" t="str">
        <f aca="false">RIGHT(("0"&amp;C324),2)&amp;RIGHT(("0"&amp;D324),2)&amp;RIGHT(("0"&amp;E324),2)&amp;RIGHT(("0"&amp;F324),2)&amp;RIGHT(("0"&amp;G324),2)&amp;RIGHT(("0"&amp;H324),2)</f>
        <v>263133404954</v>
      </c>
      <c r="J324" s="1" t="n">
        <f aca="false">COUNTIF(I:I,I324)</f>
        <v>1</v>
      </c>
      <c r="K324" s="1" t="n">
        <v>0</v>
      </c>
      <c r="M324" s="1" t="s">
        <v>23</v>
      </c>
      <c r="N324" s="1" t="n">
        <v>56</v>
      </c>
      <c r="O324" s="1" t="s">
        <v>1519</v>
      </c>
      <c r="P324" s="1" t="n">
        <v>4244</v>
      </c>
      <c r="Q324" s="1" t="s">
        <v>1520</v>
      </c>
      <c r="R324" s="1" t="s">
        <v>1521</v>
      </c>
      <c r="S324" s="1" t="s">
        <v>23</v>
      </c>
      <c r="T324" s="1" t="s">
        <v>23</v>
      </c>
      <c r="U324" s="1" t="s">
        <v>23</v>
      </c>
      <c r="V324" s="1" t="s">
        <v>1522</v>
      </c>
    </row>
    <row r="325" customFormat="false" ht="13.8" hidden="false" customHeight="false" outlineLevel="0" collapsed="false">
      <c r="A325" s="1" t="n">
        <v>324</v>
      </c>
      <c r="B325" s="2" t="s">
        <v>1523</v>
      </c>
      <c r="C325" s="1" t="n">
        <v>8</v>
      </c>
      <c r="D325" s="1" t="n">
        <v>15</v>
      </c>
      <c r="E325" s="1" t="n">
        <v>22</v>
      </c>
      <c r="F325" s="1" t="n">
        <v>25</v>
      </c>
      <c r="G325" s="1" t="n">
        <v>30</v>
      </c>
      <c r="H325" s="1" t="n">
        <v>47</v>
      </c>
      <c r="I325" s="1" t="str">
        <f aca="false">RIGHT(("0"&amp;C325),2)&amp;RIGHT(("0"&amp;D325),2)&amp;RIGHT(("0"&amp;E325),2)&amp;RIGHT(("0"&amp;F325),2)&amp;RIGHT(("0"&amp;G325),2)&amp;RIGHT(("0"&amp;H325),2)</f>
        <v>081522253047</v>
      </c>
      <c r="J325" s="1" t="n">
        <f aca="false">COUNTIF(I:I,I325)</f>
        <v>1</v>
      </c>
      <c r="K325" s="1" t="n">
        <v>0</v>
      </c>
      <c r="M325" s="1" t="s">
        <v>23</v>
      </c>
      <c r="N325" s="1" t="n">
        <v>211</v>
      </c>
      <c r="O325" s="1" t="s">
        <v>1524</v>
      </c>
      <c r="P325" s="1" t="n">
        <v>12192</v>
      </c>
      <c r="Q325" s="1" t="s">
        <v>1525</v>
      </c>
      <c r="R325" s="1" t="s">
        <v>1526</v>
      </c>
      <c r="S325" s="1" t="s">
        <v>23</v>
      </c>
      <c r="T325" s="1" t="s">
        <v>23</v>
      </c>
      <c r="U325" s="1" t="s">
        <v>23</v>
      </c>
      <c r="V325" s="1" t="s">
        <v>1527</v>
      </c>
    </row>
    <row r="326" customFormat="false" ht="13.8" hidden="false" customHeight="false" outlineLevel="0" collapsed="false">
      <c r="A326" s="1" t="n">
        <v>325</v>
      </c>
      <c r="B326" s="2" t="s">
        <v>1528</v>
      </c>
      <c r="C326" s="1" t="n">
        <v>1</v>
      </c>
      <c r="D326" s="1" t="n">
        <v>3</v>
      </c>
      <c r="E326" s="1" t="n">
        <v>4</v>
      </c>
      <c r="F326" s="1" t="n">
        <v>21</v>
      </c>
      <c r="G326" s="1" t="n">
        <v>23</v>
      </c>
      <c r="H326" s="1" t="n">
        <v>53</v>
      </c>
      <c r="I326" s="1" t="str">
        <f aca="false">RIGHT(("0"&amp;C326),2)&amp;RIGHT(("0"&amp;D326),2)&amp;RIGHT(("0"&amp;E326),2)&amp;RIGHT(("0"&amp;F326),2)&amp;RIGHT(("0"&amp;G326),2)&amp;RIGHT(("0"&amp;H326),2)</f>
        <v>010304212353</v>
      </c>
      <c r="J326" s="1" t="n">
        <f aca="false">COUNTIF(I:I,I326)</f>
        <v>1</v>
      </c>
      <c r="K326" s="1" t="n">
        <v>2</v>
      </c>
      <c r="L326" s="1" t="s">
        <v>1529</v>
      </c>
      <c r="M326" s="1" t="s">
        <v>1530</v>
      </c>
      <c r="N326" s="1" t="n">
        <v>256</v>
      </c>
      <c r="O326" s="1" t="s">
        <v>1531</v>
      </c>
      <c r="P326" s="1" t="n">
        <v>15646</v>
      </c>
      <c r="Q326" s="1" t="s">
        <v>1532</v>
      </c>
      <c r="R326" s="1" t="s">
        <v>23</v>
      </c>
      <c r="S326" s="1" t="s">
        <v>23</v>
      </c>
      <c r="T326" s="1" t="s">
        <v>23</v>
      </c>
      <c r="U326" s="1" t="s">
        <v>23</v>
      </c>
      <c r="V326" s="1" t="s">
        <v>1533</v>
      </c>
    </row>
    <row r="327" customFormat="false" ht="13.8" hidden="false" customHeight="false" outlineLevel="0" collapsed="false">
      <c r="A327" s="1" t="n">
        <v>326</v>
      </c>
      <c r="B327" s="2" t="s">
        <v>1534</v>
      </c>
      <c r="C327" s="1" t="n">
        <v>21</v>
      </c>
      <c r="D327" s="1" t="n">
        <v>23</v>
      </c>
      <c r="E327" s="1" t="n">
        <v>40</v>
      </c>
      <c r="F327" s="1" t="n">
        <v>44</v>
      </c>
      <c r="G327" s="1" t="n">
        <v>51</v>
      </c>
      <c r="H327" s="1" t="n">
        <v>52</v>
      </c>
      <c r="I327" s="1" t="str">
        <f aca="false">RIGHT(("0"&amp;C327),2)&amp;RIGHT(("0"&amp;D327),2)&amp;RIGHT(("0"&amp;E327),2)&amp;RIGHT(("0"&amp;F327),2)&amp;RIGHT(("0"&amp;G327),2)&amp;RIGHT(("0"&amp;H327),2)</f>
        <v>212340445152</v>
      </c>
      <c r="J327" s="1" t="n">
        <f aca="false">COUNTIF(I:I,I327)</f>
        <v>1</v>
      </c>
      <c r="K327" s="1" t="n">
        <v>0</v>
      </c>
      <c r="M327" s="1" t="s">
        <v>23</v>
      </c>
      <c r="N327" s="1" t="n">
        <v>27</v>
      </c>
      <c r="O327" s="1" t="s">
        <v>1535</v>
      </c>
      <c r="P327" s="1" t="n">
        <v>2674</v>
      </c>
      <c r="Q327" s="1" t="s">
        <v>1536</v>
      </c>
      <c r="R327" s="1" t="s">
        <v>1537</v>
      </c>
      <c r="S327" s="1" t="s">
        <v>23</v>
      </c>
      <c r="T327" s="1" t="s">
        <v>23</v>
      </c>
      <c r="U327" s="1" t="s">
        <v>23</v>
      </c>
      <c r="V327" s="1" t="s">
        <v>1538</v>
      </c>
    </row>
    <row r="328" customFormat="false" ht="13.8" hidden="false" customHeight="false" outlineLevel="0" collapsed="false">
      <c r="A328" s="1" t="n">
        <v>327</v>
      </c>
      <c r="B328" s="2" t="s">
        <v>1539</v>
      </c>
      <c r="C328" s="1" t="n">
        <v>29</v>
      </c>
      <c r="D328" s="1" t="n">
        <v>32</v>
      </c>
      <c r="E328" s="1" t="n">
        <v>33</v>
      </c>
      <c r="F328" s="1" t="n">
        <v>38</v>
      </c>
      <c r="G328" s="1" t="n">
        <v>46</v>
      </c>
      <c r="H328" s="1" t="n">
        <v>48</v>
      </c>
      <c r="I328" s="1" t="str">
        <f aca="false">RIGHT(("0"&amp;C328),2)&amp;RIGHT(("0"&amp;D328),2)&amp;RIGHT(("0"&amp;E328),2)&amp;RIGHT(("0"&amp;F328),2)&amp;RIGHT(("0"&amp;G328),2)&amp;RIGHT(("0"&amp;H328),2)</f>
        <v>293233384648</v>
      </c>
      <c r="J328" s="1" t="n">
        <f aca="false">COUNTIF(I:I,I328)</f>
        <v>1</v>
      </c>
      <c r="K328" s="1" t="n">
        <v>0</v>
      </c>
      <c r="M328" s="1" t="s">
        <v>23</v>
      </c>
      <c r="N328" s="1" t="n">
        <v>16</v>
      </c>
      <c r="O328" s="1" t="s">
        <v>1540</v>
      </c>
      <c r="P328" s="1" t="n">
        <v>2112</v>
      </c>
      <c r="Q328" s="1" t="s">
        <v>1541</v>
      </c>
      <c r="R328" s="1" t="s">
        <v>1542</v>
      </c>
      <c r="S328" s="1" t="s">
        <v>23</v>
      </c>
      <c r="T328" s="1" t="s">
        <v>23</v>
      </c>
      <c r="U328" s="1" t="s">
        <v>23</v>
      </c>
      <c r="V328" s="1" t="s">
        <v>1543</v>
      </c>
    </row>
    <row r="329" customFormat="false" ht="13.8" hidden="false" customHeight="false" outlineLevel="0" collapsed="false">
      <c r="A329" s="1" t="n">
        <v>328</v>
      </c>
      <c r="B329" s="2" t="s">
        <v>1544</v>
      </c>
      <c r="C329" s="1" t="n">
        <v>5</v>
      </c>
      <c r="D329" s="1" t="n">
        <v>7</v>
      </c>
      <c r="E329" s="1" t="n">
        <v>14</v>
      </c>
      <c r="F329" s="1" t="n">
        <v>21</v>
      </c>
      <c r="G329" s="1" t="n">
        <v>23</v>
      </c>
      <c r="H329" s="1" t="n">
        <v>51</v>
      </c>
      <c r="I329" s="1" t="str">
        <f aca="false">RIGHT(("0"&amp;C329),2)&amp;RIGHT(("0"&amp;D329),2)&amp;RIGHT(("0"&amp;E329),2)&amp;RIGHT(("0"&amp;F329),2)&amp;RIGHT(("0"&amp;G329),2)&amp;RIGHT(("0"&amp;H329),2)</f>
        <v>050714212351</v>
      </c>
      <c r="J329" s="1" t="n">
        <f aca="false">COUNTIF(I:I,I329)</f>
        <v>1</v>
      </c>
      <c r="K329" s="1" t="n">
        <v>1</v>
      </c>
      <c r="L329" s="1" t="s">
        <v>91</v>
      </c>
      <c r="M329" s="1" t="s">
        <v>1545</v>
      </c>
      <c r="N329" s="1" t="n">
        <v>100</v>
      </c>
      <c r="O329" s="1" t="s">
        <v>1546</v>
      </c>
      <c r="P329" s="1" t="n">
        <v>7121</v>
      </c>
      <c r="Q329" s="1" t="s">
        <v>1547</v>
      </c>
      <c r="R329" s="1" t="s">
        <v>23</v>
      </c>
      <c r="S329" s="1" t="s">
        <v>23</v>
      </c>
      <c r="T329" s="1" t="s">
        <v>23</v>
      </c>
      <c r="U329" s="1" t="s">
        <v>23</v>
      </c>
      <c r="V329" s="1" t="s">
        <v>1548</v>
      </c>
    </row>
    <row r="330" customFormat="false" ht="13.8" hidden="false" customHeight="false" outlineLevel="0" collapsed="false">
      <c r="A330" s="1" t="n">
        <v>329</v>
      </c>
      <c r="B330" s="2" t="s">
        <v>1549</v>
      </c>
      <c r="C330" s="1" t="n">
        <v>10</v>
      </c>
      <c r="D330" s="1" t="n">
        <v>11</v>
      </c>
      <c r="E330" s="1" t="n">
        <v>12</v>
      </c>
      <c r="F330" s="1" t="n">
        <v>24</v>
      </c>
      <c r="G330" s="1" t="n">
        <v>35</v>
      </c>
      <c r="H330" s="1" t="n">
        <v>40</v>
      </c>
      <c r="I330" s="1" t="str">
        <f aca="false">RIGHT(("0"&amp;C330),2)&amp;RIGHT(("0"&amp;D330),2)&amp;RIGHT(("0"&amp;E330),2)&amp;RIGHT(("0"&amp;F330),2)&amp;RIGHT(("0"&amp;G330),2)&amp;RIGHT(("0"&amp;H330),2)</f>
        <v>101112243540</v>
      </c>
      <c r="J330" s="1" t="n">
        <f aca="false">COUNTIF(I:I,I330)</f>
        <v>1</v>
      </c>
      <c r="K330" s="1" t="n">
        <v>0</v>
      </c>
      <c r="M330" s="1" t="s">
        <v>23</v>
      </c>
      <c r="N330" s="1" t="n">
        <v>40</v>
      </c>
      <c r="O330" s="1" t="s">
        <v>1550</v>
      </c>
      <c r="P330" s="1" t="n">
        <v>2904</v>
      </c>
      <c r="Q330" s="1" t="s">
        <v>1551</v>
      </c>
      <c r="R330" s="1" t="s">
        <v>1552</v>
      </c>
      <c r="S330" s="1" t="s">
        <v>23</v>
      </c>
      <c r="T330" s="1" t="s">
        <v>23</v>
      </c>
      <c r="U330" s="1" t="s">
        <v>23</v>
      </c>
      <c r="V330" s="1" t="s">
        <v>1553</v>
      </c>
    </row>
    <row r="331" customFormat="false" ht="13.8" hidden="false" customHeight="false" outlineLevel="0" collapsed="false">
      <c r="A331" s="1" t="n">
        <v>330</v>
      </c>
      <c r="B331" s="2" t="s">
        <v>1554</v>
      </c>
      <c r="C331" s="1" t="n">
        <v>2</v>
      </c>
      <c r="D331" s="1" t="n">
        <v>4</v>
      </c>
      <c r="E331" s="1" t="n">
        <v>14</v>
      </c>
      <c r="F331" s="1" t="n">
        <v>23</v>
      </c>
      <c r="G331" s="1" t="n">
        <v>37</v>
      </c>
      <c r="H331" s="1" t="n">
        <v>51</v>
      </c>
      <c r="I331" s="1" t="str">
        <f aca="false">RIGHT(("0"&amp;C331),2)&amp;RIGHT(("0"&amp;D331),2)&amp;RIGHT(("0"&amp;E331),2)&amp;RIGHT(("0"&amp;F331),2)&amp;RIGHT(("0"&amp;G331),2)&amp;RIGHT(("0"&amp;H331),2)</f>
        <v>020414233751</v>
      </c>
      <c r="J331" s="1" t="n">
        <f aca="false">COUNTIF(I:I,I331)</f>
        <v>1</v>
      </c>
      <c r="K331" s="1" t="n">
        <v>0</v>
      </c>
      <c r="M331" s="1" t="s">
        <v>23</v>
      </c>
      <c r="N331" s="1" t="n">
        <v>120</v>
      </c>
      <c r="O331" s="1" t="s">
        <v>1555</v>
      </c>
      <c r="P331" s="1" t="n">
        <v>7914</v>
      </c>
      <c r="Q331" s="1" t="s">
        <v>1556</v>
      </c>
      <c r="R331" s="1" t="s">
        <v>1557</v>
      </c>
      <c r="S331" s="1" t="s">
        <v>23</v>
      </c>
      <c r="T331" s="1" t="s">
        <v>23</v>
      </c>
      <c r="U331" s="1" t="s">
        <v>23</v>
      </c>
      <c r="V331" s="1" t="s">
        <v>1558</v>
      </c>
    </row>
    <row r="332" customFormat="false" ht="13.8" hidden="false" customHeight="false" outlineLevel="0" collapsed="false">
      <c r="A332" s="1" t="n">
        <v>331</v>
      </c>
      <c r="B332" s="2" t="s">
        <v>1559</v>
      </c>
      <c r="C332" s="1" t="n">
        <v>1</v>
      </c>
      <c r="D332" s="1" t="n">
        <v>13</v>
      </c>
      <c r="E332" s="1" t="n">
        <v>20</v>
      </c>
      <c r="F332" s="1" t="n">
        <v>27</v>
      </c>
      <c r="G332" s="1" t="n">
        <v>35</v>
      </c>
      <c r="H332" s="1" t="n">
        <v>37</v>
      </c>
      <c r="I332" s="1" t="str">
        <f aca="false">RIGHT(("0"&amp;C332),2)&amp;RIGHT(("0"&amp;D332),2)&amp;RIGHT(("0"&amp;E332),2)&amp;RIGHT(("0"&amp;F332),2)&amp;RIGHT(("0"&amp;G332),2)&amp;RIGHT(("0"&amp;H332),2)</f>
        <v>011320273537</v>
      </c>
      <c r="J332" s="1" t="n">
        <f aca="false">COUNTIF(I:I,I332)</f>
        <v>1</v>
      </c>
      <c r="K332" s="1" t="n">
        <v>0</v>
      </c>
      <c r="M332" s="1" t="s">
        <v>23</v>
      </c>
      <c r="N332" s="1" t="n">
        <v>70</v>
      </c>
      <c r="O332" s="1" t="s">
        <v>1560</v>
      </c>
      <c r="P332" s="1" t="n">
        <v>6408</v>
      </c>
      <c r="Q332" s="1" t="s">
        <v>1561</v>
      </c>
      <c r="R332" s="1" t="s">
        <v>1562</v>
      </c>
      <c r="S332" s="1" t="s">
        <v>23</v>
      </c>
      <c r="T332" s="1" t="s">
        <v>23</v>
      </c>
      <c r="U332" s="1" t="s">
        <v>23</v>
      </c>
      <c r="V332" s="1" t="s">
        <v>1563</v>
      </c>
    </row>
    <row r="333" customFormat="false" ht="13.8" hidden="false" customHeight="false" outlineLevel="0" collapsed="false">
      <c r="A333" s="1" t="n">
        <v>332</v>
      </c>
      <c r="B333" s="2" t="s">
        <v>1564</v>
      </c>
      <c r="C333" s="1" t="n">
        <v>23</v>
      </c>
      <c r="D333" s="1" t="n">
        <v>28</v>
      </c>
      <c r="E333" s="1" t="n">
        <v>29</v>
      </c>
      <c r="F333" s="1" t="n">
        <v>34</v>
      </c>
      <c r="G333" s="1" t="n">
        <v>42</v>
      </c>
      <c r="H333" s="1" t="n">
        <v>44</v>
      </c>
      <c r="I333" s="1" t="str">
        <f aca="false">RIGHT(("0"&amp;C333),2)&amp;RIGHT(("0"&amp;D333),2)&amp;RIGHT(("0"&amp;E333),2)&amp;RIGHT(("0"&amp;F333),2)&amp;RIGHT(("0"&amp;G333),2)&amp;RIGHT(("0"&amp;H333),2)</f>
        <v>232829344244</v>
      </c>
      <c r="J333" s="1" t="n">
        <f aca="false">COUNTIF(I:I,I333)</f>
        <v>1</v>
      </c>
      <c r="K333" s="1" t="n">
        <v>0</v>
      </c>
      <c r="M333" s="1" t="s">
        <v>23</v>
      </c>
      <c r="N333" s="1" t="n">
        <v>83</v>
      </c>
      <c r="O333" s="1" t="s">
        <v>1565</v>
      </c>
      <c r="P333" s="1" t="n">
        <v>6713</v>
      </c>
      <c r="Q333" s="1" t="s">
        <v>1566</v>
      </c>
      <c r="R333" s="1" t="s">
        <v>1567</v>
      </c>
      <c r="S333" s="1" t="s">
        <v>23</v>
      </c>
      <c r="T333" s="1" t="s">
        <v>23</v>
      </c>
      <c r="U333" s="1" t="s">
        <v>23</v>
      </c>
      <c r="V333" s="1" t="s">
        <v>1568</v>
      </c>
    </row>
    <row r="334" customFormat="false" ht="13.8" hidden="false" customHeight="false" outlineLevel="0" collapsed="false">
      <c r="A334" s="1" t="n">
        <v>333</v>
      </c>
      <c r="B334" s="2" t="s">
        <v>1569</v>
      </c>
      <c r="C334" s="1" t="n">
        <v>4</v>
      </c>
      <c r="D334" s="1" t="n">
        <v>27</v>
      </c>
      <c r="E334" s="1" t="n">
        <v>35</v>
      </c>
      <c r="F334" s="1" t="n">
        <v>44</v>
      </c>
      <c r="G334" s="1" t="n">
        <v>52</v>
      </c>
      <c r="H334" s="1" t="n">
        <v>53</v>
      </c>
      <c r="I334" s="1" t="str">
        <f aca="false">RIGHT(("0"&amp;C334),2)&amp;RIGHT(("0"&amp;D334),2)&amp;RIGHT(("0"&amp;E334),2)&amp;RIGHT(("0"&amp;F334),2)&amp;RIGHT(("0"&amp;G334),2)&amp;RIGHT(("0"&amp;H334),2)</f>
        <v>042735445253</v>
      </c>
      <c r="J334" s="1" t="n">
        <f aca="false">COUNTIF(I:I,I334)</f>
        <v>1</v>
      </c>
      <c r="K334" s="1" t="n">
        <v>0</v>
      </c>
      <c r="M334" s="1" t="s">
        <v>23</v>
      </c>
      <c r="N334" s="1" t="n">
        <v>93</v>
      </c>
      <c r="O334" s="1" t="s">
        <v>1570</v>
      </c>
      <c r="P334" s="1" t="n">
        <v>6221</v>
      </c>
      <c r="Q334" s="1" t="s">
        <v>1571</v>
      </c>
      <c r="R334" s="1" t="s">
        <v>1572</v>
      </c>
      <c r="S334" s="1" t="s">
        <v>23</v>
      </c>
      <c r="T334" s="1" t="s">
        <v>23</v>
      </c>
      <c r="U334" s="1" t="s">
        <v>23</v>
      </c>
      <c r="V334" s="1" t="s">
        <v>1573</v>
      </c>
    </row>
    <row r="335" customFormat="false" ht="13.8" hidden="false" customHeight="false" outlineLevel="0" collapsed="false">
      <c r="A335" s="1" t="n">
        <v>334</v>
      </c>
      <c r="B335" s="2" t="s">
        <v>1574</v>
      </c>
      <c r="C335" s="1" t="n">
        <v>14</v>
      </c>
      <c r="D335" s="1" t="n">
        <v>23</v>
      </c>
      <c r="E335" s="1" t="n">
        <v>24</v>
      </c>
      <c r="F335" s="1" t="n">
        <v>26</v>
      </c>
      <c r="G335" s="1" t="n">
        <v>41</v>
      </c>
      <c r="H335" s="1" t="n">
        <v>51</v>
      </c>
      <c r="I335" s="1" t="str">
        <f aca="false">RIGHT(("0"&amp;C335),2)&amp;RIGHT(("0"&amp;D335),2)&amp;RIGHT(("0"&amp;E335),2)&amp;RIGHT(("0"&amp;F335),2)&amp;RIGHT(("0"&amp;G335),2)&amp;RIGHT(("0"&amp;H335),2)</f>
        <v>142324264151</v>
      </c>
      <c r="J335" s="1" t="n">
        <f aca="false">COUNTIF(I:I,I335)</f>
        <v>1</v>
      </c>
      <c r="K335" s="1" t="n">
        <v>2</v>
      </c>
      <c r="L335" s="1" t="s">
        <v>91</v>
      </c>
      <c r="M335" s="1" t="s">
        <v>1575</v>
      </c>
      <c r="N335" s="1" t="n">
        <v>1200</v>
      </c>
      <c r="O335" s="1" t="s">
        <v>1576</v>
      </c>
      <c r="P335" s="1" t="n">
        <v>8839</v>
      </c>
      <c r="Q335" s="1" t="s">
        <v>1577</v>
      </c>
      <c r="R335" s="1" t="s">
        <v>23</v>
      </c>
      <c r="S335" s="1" t="s">
        <v>23</v>
      </c>
      <c r="T335" s="1" t="s">
        <v>23</v>
      </c>
      <c r="U335" s="1" t="s">
        <v>23</v>
      </c>
      <c r="V335" s="1" t="s">
        <v>1578</v>
      </c>
    </row>
    <row r="336" customFormat="false" ht="13.8" hidden="false" customHeight="false" outlineLevel="0" collapsed="false">
      <c r="A336" s="1" t="n">
        <v>335</v>
      </c>
      <c r="B336" s="2" t="s">
        <v>1579</v>
      </c>
      <c r="C336" s="1" t="n">
        <v>7</v>
      </c>
      <c r="D336" s="1" t="n">
        <v>23</v>
      </c>
      <c r="E336" s="1" t="n">
        <v>33</v>
      </c>
      <c r="F336" s="1" t="n">
        <v>43</v>
      </c>
      <c r="G336" s="1" t="n">
        <v>57</v>
      </c>
      <c r="H336" s="1" t="n">
        <v>59</v>
      </c>
      <c r="I336" s="1" t="str">
        <f aca="false">RIGHT(("0"&amp;C336),2)&amp;RIGHT(("0"&amp;D336),2)&amp;RIGHT(("0"&amp;E336),2)&amp;RIGHT(("0"&amp;F336),2)&amp;RIGHT(("0"&amp;G336),2)&amp;RIGHT(("0"&amp;H336),2)</f>
        <v>072333435759</v>
      </c>
      <c r="J336" s="1" t="n">
        <f aca="false">COUNTIF(I:I,I336)</f>
        <v>1</v>
      </c>
      <c r="K336" s="1" t="n">
        <v>0</v>
      </c>
      <c r="M336" s="1" t="s">
        <v>23</v>
      </c>
      <c r="N336" s="1" t="n">
        <v>24</v>
      </c>
      <c r="O336" s="1" t="s">
        <v>1580</v>
      </c>
      <c r="P336" s="1" t="n">
        <v>2134</v>
      </c>
      <c r="Q336" s="1" t="s">
        <v>1581</v>
      </c>
      <c r="R336" s="1" t="s">
        <v>1582</v>
      </c>
      <c r="S336" s="1" t="s">
        <v>23</v>
      </c>
      <c r="T336" s="1" t="s">
        <v>23</v>
      </c>
      <c r="U336" s="1" t="s">
        <v>23</v>
      </c>
      <c r="V336" s="1" t="s">
        <v>1583</v>
      </c>
    </row>
    <row r="337" customFormat="false" ht="13.8" hidden="false" customHeight="false" outlineLevel="0" collapsed="false">
      <c r="A337" s="1" t="n">
        <v>336</v>
      </c>
      <c r="B337" s="2" t="s">
        <v>1584</v>
      </c>
      <c r="C337" s="1" t="n">
        <v>2</v>
      </c>
      <c r="D337" s="1" t="n">
        <v>18</v>
      </c>
      <c r="E337" s="1" t="n">
        <v>22</v>
      </c>
      <c r="F337" s="1" t="n">
        <v>26</v>
      </c>
      <c r="G337" s="1" t="n">
        <v>30</v>
      </c>
      <c r="H337" s="1" t="n">
        <v>54</v>
      </c>
      <c r="I337" s="1" t="str">
        <f aca="false">RIGHT(("0"&amp;C337),2)&amp;RIGHT(("0"&amp;D337),2)&amp;RIGHT(("0"&amp;E337),2)&amp;RIGHT(("0"&amp;F337),2)&amp;RIGHT(("0"&amp;G337),2)&amp;RIGHT(("0"&amp;H337),2)</f>
        <v>021822263054</v>
      </c>
      <c r="J337" s="1" t="n">
        <f aca="false">COUNTIF(I:I,I337)</f>
        <v>1</v>
      </c>
      <c r="K337" s="1" t="n">
        <v>0</v>
      </c>
      <c r="M337" s="1" t="s">
        <v>23</v>
      </c>
      <c r="N337" s="1" t="n">
        <v>68</v>
      </c>
      <c r="O337" s="1" t="s">
        <v>1585</v>
      </c>
      <c r="P337" s="1" t="n">
        <v>4141</v>
      </c>
      <c r="Q337" s="1" t="s">
        <v>1586</v>
      </c>
      <c r="R337" s="1" t="s">
        <v>1587</v>
      </c>
      <c r="S337" s="1" t="s">
        <v>23</v>
      </c>
      <c r="T337" s="1" t="s">
        <v>23</v>
      </c>
      <c r="U337" s="1" t="s">
        <v>23</v>
      </c>
      <c r="V337" s="1" t="s">
        <v>1588</v>
      </c>
    </row>
    <row r="338" customFormat="false" ht="13.8" hidden="false" customHeight="false" outlineLevel="0" collapsed="false">
      <c r="A338" s="1" t="n">
        <v>337</v>
      </c>
      <c r="B338" s="2" t="s">
        <v>1589</v>
      </c>
      <c r="C338" s="1" t="n">
        <v>4</v>
      </c>
      <c r="D338" s="1" t="n">
        <v>14</v>
      </c>
      <c r="E338" s="1" t="n">
        <v>16</v>
      </c>
      <c r="F338" s="1" t="n">
        <v>31</v>
      </c>
      <c r="G338" s="1" t="n">
        <v>52</v>
      </c>
      <c r="H338" s="1" t="n">
        <v>54</v>
      </c>
      <c r="I338" s="1" t="str">
        <f aca="false">RIGHT(("0"&amp;C338),2)&amp;RIGHT(("0"&amp;D338),2)&amp;RIGHT(("0"&amp;E338),2)&amp;RIGHT(("0"&amp;F338),2)&amp;RIGHT(("0"&amp;G338),2)&amp;RIGHT(("0"&amp;H338),2)</f>
        <v>041416315254</v>
      </c>
      <c r="J338" s="1" t="n">
        <f aca="false">COUNTIF(I:I,I338)</f>
        <v>1</v>
      </c>
      <c r="K338" s="1" t="n">
        <v>0</v>
      </c>
      <c r="M338" s="1" t="s">
        <v>23</v>
      </c>
      <c r="N338" s="1" t="n">
        <v>34</v>
      </c>
      <c r="O338" s="1" t="s">
        <v>1590</v>
      </c>
      <c r="P338" s="1" t="n">
        <v>3454</v>
      </c>
      <c r="Q338" s="1" t="s">
        <v>1591</v>
      </c>
      <c r="R338" s="1" t="s">
        <v>1592</v>
      </c>
      <c r="S338" s="1" t="s">
        <v>23</v>
      </c>
      <c r="T338" s="1" t="s">
        <v>23</v>
      </c>
      <c r="U338" s="1" t="s">
        <v>23</v>
      </c>
      <c r="V338" s="1" t="s">
        <v>1593</v>
      </c>
    </row>
    <row r="339" customFormat="false" ht="13.8" hidden="false" customHeight="false" outlineLevel="0" collapsed="false">
      <c r="A339" s="1" t="n">
        <v>338</v>
      </c>
      <c r="B339" s="2" t="s">
        <v>1594</v>
      </c>
      <c r="C339" s="1" t="n">
        <v>1</v>
      </c>
      <c r="D339" s="1" t="n">
        <v>4</v>
      </c>
      <c r="E339" s="1" t="n">
        <v>9</v>
      </c>
      <c r="F339" s="1" t="n">
        <v>36</v>
      </c>
      <c r="G339" s="1" t="n">
        <v>46</v>
      </c>
      <c r="H339" s="1" t="n">
        <v>48</v>
      </c>
      <c r="I339" s="1" t="str">
        <f aca="false">RIGHT(("0"&amp;C339),2)&amp;RIGHT(("0"&amp;D339),2)&amp;RIGHT(("0"&amp;E339),2)&amp;RIGHT(("0"&amp;F339),2)&amp;RIGHT(("0"&amp;G339),2)&amp;RIGHT(("0"&amp;H339),2)</f>
        <v>010409364648</v>
      </c>
      <c r="J339" s="1" t="n">
        <f aca="false">COUNTIF(I:I,I339)</f>
        <v>1</v>
      </c>
      <c r="K339" s="1" t="n">
        <v>0</v>
      </c>
      <c r="M339" s="1" t="s">
        <v>23</v>
      </c>
      <c r="N339" s="1" t="n">
        <v>43</v>
      </c>
      <c r="O339" s="1" t="s">
        <v>1595</v>
      </c>
      <c r="P339" s="1" t="n">
        <v>3245</v>
      </c>
      <c r="Q339" s="1" t="s">
        <v>1596</v>
      </c>
      <c r="R339" s="1" t="s">
        <v>1597</v>
      </c>
      <c r="S339" s="1" t="s">
        <v>23</v>
      </c>
      <c r="T339" s="1" t="s">
        <v>23</v>
      </c>
      <c r="U339" s="1" t="s">
        <v>23</v>
      </c>
      <c r="V339" s="1" t="s">
        <v>1598</v>
      </c>
    </row>
    <row r="340" customFormat="false" ht="13.8" hidden="false" customHeight="false" outlineLevel="0" collapsed="false">
      <c r="A340" s="1" t="n">
        <v>339</v>
      </c>
      <c r="B340" s="2" t="s">
        <v>1599</v>
      </c>
      <c r="C340" s="1" t="n">
        <v>5</v>
      </c>
      <c r="D340" s="1" t="n">
        <v>12</v>
      </c>
      <c r="E340" s="1" t="n">
        <v>13</v>
      </c>
      <c r="F340" s="1" t="n">
        <v>16</v>
      </c>
      <c r="G340" s="1" t="n">
        <v>27</v>
      </c>
      <c r="H340" s="1" t="n">
        <v>50</v>
      </c>
      <c r="I340" s="1" t="str">
        <f aca="false">RIGHT(("0"&amp;C340),2)&amp;RIGHT(("0"&amp;D340),2)&amp;RIGHT(("0"&amp;E340),2)&amp;RIGHT(("0"&amp;F340),2)&amp;RIGHT(("0"&amp;G340),2)&amp;RIGHT(("0"&amp;H340),2)</f>
        <v>051213162750</v>
      </c>
      <c r="J340" s="1" t="n">
        <f aca="false">COUNTIF(I:I,I340)</f>
        <v>1</v>
      </c>
      <c r="K340" s="1" t="n">
        <v>0</v>
      </c>
      <c r="M340" s="1" t="s">
        <v>23</v>
      </c>
      <c r="N340" s="1" t="n">
        <v>76</v>
      </c>
      <c r="O340" s="1" t="s">
        <v>1600</v>
      </c>
      <c r="P340" s="1" t="n">
        <v>6908</v>
      </c>
      <c r="Q340" s="1" t="s">
        <v>1601</v>
      </c>
      <c r="R340" s="1" t="s">
        <v>1602</v>
      </c>
      <c r="S340" s="1" t="s">
        <v>23</v>
      </c>
      <c r="T340" s="1" t="s">
        <v>23</v>
      </c>
      <c r="U340" s="1" t="s">
        <v>23</v>
      </c>
      <c r="V340" s="1" t="s">
        <v>1603</v>
      </c>
    </row>
    <row r="341" customFormat="false" ht="13.8" hidden="false" customHeight="false" outlineLevel="0" collapsed="false">
      <c r="A341" s="1" t="n">
        <v>340</v>
      </c>
      <c r="B341" s="2" t="s">
        <v>1604</v>
      </c>
      <c r="C341" s="1" t="n">
        <v>9</v>
      </c>
      <c r="D341" s="1" t="n">
        <v>10</v>
      </c>
      <c r="E341" s="1" t="n">
        <v>12</v>
      </c>
      <c r="F341" s="1" t="n">
        <v>33</v>
      </c>
      <c r="G341" s="1" t="n">
        <v>42</v>
      </c>
      <c r="H341" s="1" t="n">
        <v>60</v>
      </c>
      <c r="I341" s="1" t="str">
        <f aca="false">RIGHT(("0"&amp;C341),2)&amp;RIGHT(("0"&amp;D341),2)&amp;RIGHT(("0"&amp;E341),2)&amp;RIGHT(("0"&amp;F341),2)&amp;RIGHT(("0"&amp;G341),2)&amp;RIGHT(("0"&amp;H341),2)</f>
        <v>091012334260</v>
      </c>
      <c r="J341" s="1" t="n">
        <f aca="false">COUNTIF(I:I,I341)</f>
        <v>1</v>
      </c>
      <c r="K341" s="1" t="n">
        <v>0</v>
      </c>
      <c r="M341" s="1" t="s">
        <v>23</v>
      </c>
      <c r="N341" s="1" t="n">
        <v>121</v>
      </c>
      <c r="O341" s="1" t="s">
        <v>1605</v>
      </c>
      <c r="P341" s="1" t="n">
        <v>6970</v>
      </c>
      <c r="Q341" s="1" t="s">
        <v>1606</v>
      </c>
      <c r="R341" s="1" t="s">
        <v>1607</v>
      </c>
      <c r="S341" s="1" t="s">
        <v>23</v>
      </c>
      <c r="T341" s="1" t="s">
        <v>23</v>
      </c>
      <c r="U341" s="1" t="s">
        <v>23</v>
      </c>
      <c r="V341" s="1" t="s">
        <v>1608</v>
      </c>
    </row>
    <row r="342" customFormat="false" ht="13.8" hidden="false" customHeight="false" outlineLevel="0" collapsed="false">
      <c r="A342" s="1" t="n">
        <v>341</v>
      </c>
      <c r="B342" s="2" t="s">
        <v>1609</v>
      </c>
      <c r="C342" s="1" t="n">
        <v>5</v>
      </c>
      <c r="D342" s="1" t="n">
        <v>16</v>
      </c>
      <c r="E342" s="1" t="n">
        <v>22</v>
      </c>
      <c r="F342" s="1" t="n">
        <v>23</v>
      </c>
      <c r="G342" s="1" t="n">
        <v>43</v>
      </c>
      <c r="H342" s="1" t="n">
        <v>56</v>
      </c>
      <c r="I342" s="1" t="str">
        <f aca="false">RIGHT(("0"&amp;C342),2)&amp;RIGHT(("0"&amp;D342),2)&amp;RIGHT(("0"&amp;E342),2)&amp;RIGHT(("0"&amp;F342),2)&amp;RIGHT(("0"&amp;G342),2)&amp;RIGHT(("0"&amp;H342),2)</f>
        <v>051622234356</v>
      </c>
      <c r="J342" s="1" t="n">
        <f aca="false">COUNTIF(I:I,I342)</f>
        <v>1</v>
      </c>
      <c r="K342" s="1" t="n">
        <v>0</v>
      </c>
      <c r="M342" s="1" t="s">
        <v>23</v>
      </c>
      <c r="N342" s="1" t="n">
        <v>166</v>
      </c>
      <c r="O342" s="1" t="s">
        <v>1610</v>
      </c>
      <c r="P342" s="1" t="n">
        <v>11103</v>
      </c>
      <c r="Q342" s="1" t="s">
        <v>1611</v>
      </c>
      <c r="R342" s="1" t="s">
        <v>1612</v>
      </c>
      <c r="S342" s="1" t="s">
        <v>23</v>
      </c>
      <c r="T342" s="1" t="s">
        <v>23</v>
      </c>
      <c r="U342" s="1" t="s">
        <v>23</v>
      </c>
      <c r="V342" s="1" t="s">
        <v>1613</v>
      </c>
    </row>
    <row r="343" customFormat="false" ht="13.8" hidden="false" customHeight="false" outlineLevel="0" collapsed="false">
      <c r="A343" s="1" t="n">
        <v>342</v>
      </c>
      <c r="B343" s="2" t="s">
        <v>1614</v>
      </c>
      <c r="C343" s="1" t="n">
        <v>16</v>
      </c>
      <c r="D343" s="1" t="n">
        <v>29</v>
      </c>
      <c r="E343" s="1" t="n">
        <v>34</v>
      </c>
      <c r="F343" s="1" t="n">
        <v>49</v>
      </c>
      <c r="G343" s="1" t="n">
        <v>51</v>
      </c>
      <c r="H343" s="1" t="n">
        <v>54</v>
      </c>
      <c r="I343" s="1" t="str">
        <f aca="false">RIGHT(("0"&amp;C343),2)&amp;RIGHT(("0"&amp;D343),2)&amp;RIGHT(("0"&amp;E343),2)&amp;RIGHT(("0"&amp;F343),2)&amp;RIGHT(("0"&amp;G343),2)&amp;RIGHT(("0"&amp;H343),2)</f>
        <v>162934495154</v>
      </c>
      <c r="J343" s="1" t="n">
        <f aca="false">COUNTIF(I:I,I343)</f>
        <v>1</v>
      </c>
      <c r="K343" s="1" t="n">
        <v>0</v>
      </c>
      <c r="M343" s="1" t="s">
        <v>23</v>
      </c>
      <c r="N343" s="1" t="n">
        <v>93</v>
      </c>
      <c r="O343" s="1" t="s">
        <v>1615</v>
      </c>
      <c r="P343" s="1" t="n">
        <v>5578</v>
      </c>
      <c r="Q343" s="1" t="s">
        <v>1279</v>
      </c>
      <c r="R343" s="1" t="s">
        <v>1616</v>
      </c>
      <c r="S343" s="1" t="s">
        <v>23</v>
      </c>
      <c r="T343" s="1" t="s">
        <v>23</v>
      </c>
      <c r="U343" s="1" t="s">
        <v>23</v>
      </c>
      <c r="V343" s="1" t="s">
        <v>1617</v>
      </c>
    </row>
    <row r="344" customFormat="false" ht="13.8" hidden="false" customHeight="false" outlineLevel="0" collapsed="false">
      <c r="A344" s="1" t="n">
        <v>343</v>
      </c>
      <c r="B344" s="2" t="s">
        <v>1618</v>
      </c>
      <c r="C344" s="1" t="n">
        <v>4</v>
      </c>
      <c r="D344" s="1" t="n">
        <v>6</v>
      </c>
      <c r="E344" s="1" t="n">
        <v>7</v>
      </c>
      <c r="F344" s="1" t="n">
        <v>12</v>
      </c>
      <c r="G344" s="1" t="n">
        <v>24</v>
      </c>
      <c r="H344" s="1" t="n">
        <v>41</v>
      </c>
      <c r="I344" s="1" t="str">
        <f aca="false">RIGHT(("0"&amp;C344),2)&amp;RIGHT(("0"&amp;D344),2)&amp;RIGHT(("0"&amp;E344),2)&amp;RIGHT(("0"&amp;F344),2)&amp;RIGHT(("0"&amp;G344),2)&amp;RIGHT(("0"&amp;H344),2)</f>
        <v>040607122441</v>
      </c>
      <c r="J344" s="1" t="n">
        <f aca="false">COUNTIF(I:I,I344)</f>
        <v>1</v>
      </c>
      <c r="K344" s="1" t="n">
        <v>2</v>
      </c>
      <c r="L344" s="1" t="s">
        <v>1619</v>
      </c>
      <c r="M344" s="1" t="s">
        <v>1620</v>
      </c>
      <c r="N344" s="1" t="n">
        <v>246</v>
      </c>
      <c r="O344" s="1" t="s">
        <v>1621</v>
      </c>
      <c r="P344" s="1" t="n">
        <v>17023</v>
      </c>
      <c r="Q344" s="1" t="s">
        <v>1622</v>
      </c>
      <c r="R344" s="1" t="s">
        <v>23</v>
      </c>
      <c r="S344" s="1" t="s">
        <v>23</v>
      </c>
      <c r="T344" s="1" t="s">
        <v>23</v>
      </c>
      <c r="U344" s="1" t="s">
        <v>23</v>
      </c>
      <c r="V344" s="1" t="s">
        <v>1578</v>
      </c>
    </row>
    <row r="345" customFormat="false" ht="13.8" hidden="false" customHeight="false" outlineLevel="0" collapsed="false">
      <c r="A345" s="1" t="n">
        <v>344</v>
      </c>
      <c r="B345" s="2" t="s">
        <v>1623</v>
      </c>
      <c r="C345" s="1" t="n">
        <v>10</v>
      </c>
      <c r="D345" s="1" t="n">
        <v>12</v>
      </c>
      <c r="E345" s="1" t="n">
        <v>14</v>
      </c>
      <c r="F345" s="1" t="n">
        <v>33</v>
      </c>
      <c r="G345" s="1" t="n">
        <v>35</v>
      </c>
      <c r="H345" s="1" t="n">
        <v>36</v>
      </c>
      <c r="I345" s="1" t="str">
        <f aca="false">RIGHT(("0"&amp;C345),2)&amp;RIGHT(("0"&amp;D345),2)&amp;RIGHT(("0"&amp;E345),2)&amp;RIGHT(("0"&amp;F345),2)&amp;RIGHT(("0"&amp;G345),2)&amp;RIGHT(("0"&amp;H345),2)</f>
        <v>101214333536</v>
      </c>
      <c r="J345" s="1" t="n">
        <f aca="false">COUNTIF(I:I,I345)</f>
        <v>1</v>
      </c>
      <c r="K345" s="1" t="n">
        <v>0</v>
      </c>
      <c r="M345" s="1" t="s">
        <v>23</v>
      </c>
      <c r="N345" s="1" t="n">
        <v>46</v>
      </c>
      <c r="O345" s="1" t="s">
        <v>1624</v>
      </c>
      <c r="P345" s="1" t="n">
        <v>3487</v>
      </c>
      <c r="Q345" s="1" t="s">
        <v>1625</v>
      </c>
      <c r="R345" s="1" t="s">
        <v>1626</v>
      </c>
      <c r="S345" s="1" t="s">
        <v>23</v>
      </c>
      <c r="T345" s="1" t="s">
        <v>23</v>
      </c>
      <c r="U345" s="1" t="s">
        <v>23</v>
      </c>
      <c r="V345" s="1" t="s">
        <v>1627</v>
      </c>
    </row>
    <row r="346" customFormat="false" ht="13.8" hidden="false" customHeight="false" outlineLevel="0" collapsed="false">
      <c r="A346" s="1" t="n">
        <v>345</v>
      </c>
      <c r="B346" s="2" t="s">
        <v>1628</v>
      </c>
      <c r="C346" s="1" t="n">
        <v>11</v>
      </c>
      <c r="D346" s="1" t="n">
        <v>22</v>
      </c>
      <c r="E346" s="1" t="n">
        <v>46</v>
      </c>
      <c r="F346" s="1" t="n">
        <v>51</v>
      </c>
      <c r="G346" s="1" t="n">
        <v>56</v>
      </c>
      <c r="H346" s="1" t="n">
        <v>58</v>
      </c>
      <c r="I346" s="1" t="str">
        <f aca="false">RIGHT(("0"&amp;C346),2)&amp;RIGHT(("0"&amp;D346),2)&amp;RIGHT(("0"&amp;E346),2)&amp;RIGHT(("0"&amp;F346),2)&amp;RIGHT(("0"&amp;G346),2)&amp;RIGHT(("0"&amp;H346),2)</f>
        <v>112246515658</v>
      </c>
      <c r="J346" s="1" t="n">
        <f aca="false">COUNTIF(I:I,I346)</f>
        <v>1</v>
      </c>
      <c r="K346" s="1" t="n">
        <v>1</v>
      </c>
      <c r="L346" s="1" t="s">
        <v>91</v>
      </c>
      <c r="M346" s="1" t="s">
        <v>1629</v>
      </c>
      <c r="N346" s="1" t="n">
        <v>27</v>
      </c>
      <c r="O346" s="1" t="s">
        <v>1630</v>
      </c>
      <c r="P346" s="1" t="n">
        <v>2170</v>
      </c>
      <c r="Q346" s="1" t="s">
        <v>1631</v>
      </c>
      <c r="R346" s="1" t="s">
        <v>23</v>
      </c>
      <c r="S346" s="1" t="s">
        <v>23</v>
      </c>
      <c r="T346" s="1" t="s">
        <v>23</v>
      </c>
      <c r="U346" s="1" t="s">
        <v>23</v>
      </c>
      <c r="V346" s="1" t="s">
        <v>1632</v>
      </c>
    </row>
    <row r="347" customFormat="false" ht="13.8" hidden="false" customHeight="false" outlineLevel="0" collapsed="false">
      <c r="A347" s="1" t="n">
        <v>346</v>
      </c>
      <c r="B347" s="2" t="s">
        <v>1633</v>
      </c>
      <c r="C347" s="1" t="n">
        <v>7</v>
      </c>
      <c r="D347" s="1" t="n">
        <v>12</v>
      </c>
      <c r="E347" s="1" t="n">
        <v>41</v>
      </c>
      <c r="F347" s="1" t="n">
        <v>46</v>
      </c>
      <c r="G347" s="1" t="n">
        <v>56</v>
      </c>
      <c r="H347" s="1" t="n">
        <v>60</v>
      </c>
      <c r="I347" s="1" t="str">
        <f aca="false">RIGHT(("0"&amp;C347),2)&amp;RIGHT(("0"&amp;D347),2)&amp;RIGHT(("0"&amp;E347),2)&amp;RIGHT(("0"&amp;F347),2)&amp;RIGHT(("0"&amp;G347),2)&amp;RIGHT(("0"&amp;H347),2)</f>
        <v>071241465660</v>
      </c>
      <c r="J347" s="1" t="n">
        <f aca="false">COUNTIF(I:I,I347)</f>
        <v>1</v>
      </c>
      <c r="K347" s="1" t="n">
        <v>0</v>
      </c>
      <c r="M347" s="1" t="s">
        <v>23</v>
      </c>
      <c r="N347" s="1" t="n">
        <v>20</v>
      </c>
      <c r="O347" s="1" t="s">
        <v>1634</v>
      </c>
      <c r="P347" s="1" t="n">
        <v>1589</v>
      </c>
      <c r="Q347" s="1" t="s">
        <v>1635</v>
      </c>
      <c r="R347" s="1" t="s">
        <v>1636</v>
      </c>
      <c r="S347" s="1" t="s">
        <v>23</v>
      </c>
      <c r="T347" s="1" t="s">
        <v>23</v>
      </c>
      <c r="U347" s="1" t="s">
        <v>23</v>
      </c>
      <c r="V347" s="1" t="s">
        <v>1533</v>
      </c>
    </row>
    <row r="348" customFormat="false" ht="13.8" hidden="false" customHeight="false" outlineLevel="0" collapsed="false">
      <c r="A348" s="1" t="n">
        <v>347</v>
      </c>
      <c r="B348" s="2" t="s">
        <v>1637</v>
      </c>
      <c r="C348" s="1" t="n">
        <v>1</v>
      </c>
      <c r="D348" s="1" t="n">
        <v>10</v>
      </c>
      <c r="E348" s="1" t="n">
        <v>12</v>
      </c>
      <c r="F348" s="1" t="n">
        <v>26</v>
      </c>
      <c r="G348" s="1" t="n">
        <v>48</v>
      </c>
      <c r="H348" s="1" t="n">
        <v>52</v>
      </c>
      <c r="I348" s="1" t="str">
        <f aca="false">RIGHT(("0"&amp;C348),2)&amp;RIGHT(("0"&amp;D348),2)&amp;RIGHT(("0"&amp;E348),2)&amp;RIGHT(("0"&amp;F348),2)&amp;RIGHT(("0"&amp;G348),2)&amp;RIGHT(("0"&amp;H348),2)</f>
        <v>011012264852</v>
      </c>
      <c r="J348" s="1" t="n">
        <f aca="false">COUNTIF(I:I,I348)</f>
        <v>1</v>
      </c>
      <c r="K348" s="1" t="n">
        <v>0</v>
      </c>
      <c r="M348" s="1" t="s">
        <v>23</v>
      </c>
      <c r="N348" s="1" t="n">
        <v>72</v>
      </c>
      <c r="O348" s="1" t="s">
        <v>1638</v>
      </c>
      <c r="P348" s="1" t="n">
        <v>4730</v>
      </c>
      <c r="Q348" s="1" t="s">
        <v>1639</v>
      </c>
      <c r="R348" s="1" t="s">
        <v>1640</v>
      </c>
      <c r="S348" s="1" t="s">
        <v>23</v>
      </c>
      <c r="T348" s="1" t="s">
        <v>23</v>
      </c>
      <c r="U348" s="1" t="s">
        <v>23</v>
      </c>
      <c r="V348" s="1" t="s">
        <v>1641</v>
      </c>
    </row>
    <row r="349" customFormat="false" ht="13.8" hidden="false" customHeight="false" outlineLevel="0" collapsed="false">
      <c r="A349" s="1" t="n">
        <v>348</v>
      </c>
      <c r="B349" s="2" t="s">
        <v>1642</v>
      </c>
      <c r="C349" s="1" t="n">
        <v>19</v>
      </c>
      <c r="D349" s="1" t="n">
        <v>30</v>
      </c>
      <c r="E349" s="1" t="n">
        <v>33</v>
      </c>
      <c r="F349" s="1" t="n">
        <v>39</v>
      </c>
      <c r="G349" s="1" t="n">
        <v>40</v>
      </c>
      <c r="H349" s="1" t="n">
        <v>52</v>
      </c>
      <c r="I349" s="1" t="str">
        <f aca="false">RIGHT(("0"&amp;C349),2)&amp;RIGHT(("0"&amp;D349),2)&amp;RIGHT(("0"&amp;E349),2)&amp;RIGHT(("0"&amp;F349),2)&amp;RIGHT(("0"&amp;G349),2)&amp;RIGHT(("0"&amp;H349),2)</f>
        <v>193033394052</v>
      </c>
      <c r="J349" s="1" t="n">
        <f aca="false">COUNTIF(I:I,I349)</f>
        <v>1</v>
      </c>
      <c r="K349" s="1" t="n">
        <v>0</v>
      </c>
      <c r="M349" s="1" t="s">
        <v>23</v>
      </c>
      <c r="N349" s="1" t="n">
        <v>19</v>
      </c>
      <c r="O349" s="1" t="s">
        <v>1643</v>
      </c>
      <c r="P349" s="1" t="n">
        <v>1547</v>
      </c>
      <c r="Q349" s="1" t="s">
        <v>1644</v>
      </c>
      <c r="R349" s="1" t="s">
        <v>1645</v>
      </c>
      <c r="S349" s="1" t="s">
        <v>23</v>
      </c>
      <c r="T349" s="1" t="s">
        <v>23</v>
      </c>
      <c r="U349" s="1" t="s">
        <v>23</v>
      </c>
      <c r="V349" s="1" t="s">
        <v>1646</v>
      </c>
    </row>
    <row r="350" customFormat="false" ht="13.8" hidden="false" customHeight="false" outlineLevel="0" collapsed="false">
      <c r="A350" s="1" t="n">
        <v>349</v>
      </c>
      <c r="B350" s="2" t="s">
        <v>1647</v>
      </c>
      <c r="C350" s="1" t="n">
        <v>8</v>
      </c>
      <c r="D350" s="1" t="n">
        <v>9</v>
      </c>
      <c r="E350" s="1" t="n">
        <v>28</v>
      </c>
      <c r="F350" s="1" t="n">
        <v>32</v>
      </c>
      <c r="G350" s="1" t="n">
        <v>38</v>
      </c>
      <c r="H350" s="1" t="n">
        <v>54</v>
      </c>
      <c r="I350" s="1" t="str">
        <f aca="false">RIGHT(("0"&amp;C350),2)&amp;RIGHT(("0"&amp;D350),2)&amp;RIGHT(("0"&amp;E350),2)&amp;RIGHT(("0"&amp;F350),2)&amp;RIGHT(("0"&amp;G350),2)&amp;RIGHT(("0"&amp;H350),2)</f>
        <v>080928323854</v>
      </c>
      <c r="J350" s="1" t="n">
        <f aca="false">COUNTIF(I:I,I350)</f>
        <v>1</v>
      </c>
      <c r="K350" s="1" t="n">
        <v>0</v>
      </c>
      <c r="M350" s="1" t="s">
        <v>23</v>
      </c>
      <c r="N350" s="1" t="n">
        <v>46</v>
      </c>
      <c r="O350" s="1" t="s">
        <v>1648</v>
      </c>
      <c r="P350" s="1" t="n">
        <v>3264</v>
      </c>
      <c r="Q350" s="1" t="s">
        <v>1649</v>
      </c>
      <c r="R350" s="1" t="s">
        <v>1650</v>
      </c>
      <c r="S350" s="1" t="s">
        <v>23</v>
      </c>
      <c r="T350" s="1" t="s">
        <v>23</v>
      </c>
      <c r="U350" s="1" t="s">
        <v>23</v>
      </c>
      <c r="V350" s="1" t="s">
        <v>1651</v>
      </c>
    </row>
    <row r="351" customFormat="false" ht="13.8" hidden="false" customHeight="false" outlineLevel="0" collapsed="false">
      <c r="A351" s="1" t="n">
        <v>350</v>
      </c>
      <c r="B351" s="2" t="s">
        <v>1652</v>
      </c>
      <c r="C351" s="1" t="n">
        <v>10</v>
      </c>
      <c r="D351" s="1" t="n">
        <v>15</v>
      </c>
      <c r="E351" s="1" t="n">
        <v>23</v>
      </c>
      <c r="F351" s="1" t="n">
        <v>30</v>
      </c>
      <c r="G351" s="1" t="n">
        <v>43</v>
      </c>
      <c r="H351" s="1" t="n">
        <v>57</v>
      </c>
      <c r="I351" s="1" t="str">
        <f aca="false">RIGHT(("0"&amp;C351),2)&amp;RIGHT(("0"&amp;D351),2)&amp;RIGHT(("0"&amp;E351),2)&amp;RIGHT(("0"&amp;F351),2)&amp;RIGHT(("0"&amp;G351),2)&amp;RIGHT(("0"&amp;H351),2)</f>
        <v>101523304357</v>
      </c>
      <c r="J351" s="1" t="n">
        <f aca="false">COUNTIF(I:I,I351)</f>
        <v>1</v>
      </c>
      <c r="K351" s="1" t="n">
        <v>0</v>
      </c>
      <c r="M351" s="1" t="s">
        <v>23</v>
      </c>
      <c r="N351" s="1" t="n">
        <v>80</v>
      </c>
      <c r="O351" s="1" t="s">
        <v>1653</v>
      </c>
      <c r="P351" s="1" t="n">
        <v>5012</v>
      </c>
      <c r="Q351" s="1" t="s">
        <v>1654</v>
      </c>
      <c r="R351" s="1" t="s">
        <v>1655</v>
      </c>
      <c r="S351" s="1" t="s">
        <v>23</v>
      </c>
      <c r="T351" s="1" t="s">
        <v>23</v>
      </c>
      <c r="U351" s="1" t="s">
        <v>23</v>
      </c>
      <c r="V351" s="1" t="s">
        <v>1656</v>
      </c>
    </row>
    <row r="352" customFormat="false" ht="13.8" hidden="false" customHeight="false" outlineLevel="0" collapsed="false">
      <c r="A352" s="1" t="n">
        <v>351</v>
      </c>
      <c r="B352" s="2" t="s">
        <v>1657</v>
      </c>
      <c r="C352" s="1" t="n">
        <v>15</v>
      </c>
      <c r="D352" s="1" t="n">
        <v>16</v>
      </c>
      <c r="E352" s="1" t="n">
        <v>24</v>
      </c>
      <c r="F352" s="1" t="n">
        <v>41</v>
      </c>
      <c r="G352" s="1" t="n">
        <v>59</v>
      </c>
      <c r="H352" s="1" t="n">
        <v>60</v>
      </c>
      <c r="I352" s="1" t="str">
        <f aca="false">RIGHT(("0"&amp;C352),2)&amp;RIGHT(("0"&amp;D352),2)&amp;RIGHT(("0"&amp;E352),2)&amp;RIGHT(("0"&amp;F352),2)&amp;RIGHT(("0"&amp;G352),2)&amp;RIGHT(("0"&amp;H352),2)</f>
        <v>151624415960</v>
      </c>
      <c r="J352" s="1" t="n">
        <f aca="false">COUNTIF(I:I,I352)</f>
        <v>1</v>
      </c>
      <c r="K352" s="1" t="n">
        <v>0</v>
      </c>
      <c r="M352" s="1" t="s">
        <v>23</v>
      </c>
      <c r="N352" s="1" t="n">
        <v>98</v>
      </c>
      <c r="O352" s="1" t="s">
        <v>1658</v>
      </c>
      <c r="P352" s="1" t="n">
        <v>5832</v>
      </c>
      <c r="Q352" s="1" t="s">
        <v>1659</v>
      </c>
      <c r="R352" s="1" t="s">
        <v>1660</v>
      </c>
      <c r="S352" s="1" t="s">
        <v>23</v>
      </c>
      <c r="T352" s="1" t="s">
        <v>23</v>
      </c>
      <c r="U352" s="1" t="s">
        <v>23</v>
      </c>
      <c r="V352" s="1" t="s">
        <v>1661</v>
      </c>
    </row>
    <row r="353" customFormat="false" ht="13.8" hidden="false" customHeight="false" outlineLevel="0" collapsed="false">
      <c r="A353" s="1" t="n">
        <v>352</v>
      </c>
      <c r="B353" s="2" t="s">
        <v>1662</v>
      </c>
      <c r="C353" s="1" t="n">
        <v>7</v>
      </c>
      <c r="D353" s="1" t="n">
        <v>20</v>
      </c>
      <c r="E353" s="1" t="n">
        <v>25</v>
      </c>
      <c r="F353" s="1" t="n">
        <v>44</v>
      </c>
      <c r="G353" s="1" t="n">
        <v>47</v>
      </c>
      <c r="H353" s="1" t="n">
        <v>49</v>
      </c>
      <c r="I353" s="1" t="str">
        <f aca="false">RIGHT(("0"&amp;C353),2)&amp;RIGHT(("0"&amp;D353),2)&amp;RIGHT(("0"&amp;E353),2)&amp;RIGHT(("0"&amp;F353),2)&amp;RIGHT(("0"&amp;G353),2)&amp;RIGHT(("0"&amp;H353),2)</f>
        <v>072025444749</v>
      </c>
      <c r="J353" s="1" t="n">
        <f aca="false">COUNTIF(I:I,I353)</f>
        <v>1</v>
      </c>
      <c r="K353" s="1" t="n">
        <v>0</v>
      </c>
      <c r="M353" s="1" t="s">
        <v>23</v>
      </c>
      <c r="N353" s="1" t="n">
        <v>161</v>
      </c>
      <c r="O353" s="1" t="s">
        <v>1663</v>
      </c>
      <c r="P353" s="1" t="n">
        <v>8080</v>
      </c>
      <c r="Q353" s="1" t="s">
        <v>1664</v>
      </c>
      <c r="R353" s="1" t="s">
        <v>1665</v>
      </c>
      <c r="S353" s="1" t="s">
        <v>23</v>
      </c>
      <c r="T353" s="1" t="s">
        <v>23</v>
      </c>
      <c r="U353" s="1" t="s">
        <v>23</v>
      </c>
      <c r="V353" s="1" t="s">
        <v>1666</v>
      </c>
    </row>
    <row r="354" customFormat="false" ht="13.8" hidden="false" customHeight="false" outlineLevel="0" collapsed="false">
      <c r="A354" s="1" t="n">
        <v>353</v>
      </c>
      <c r="B354" s="2" t="s">
        <v>1667</v>
      </c>
      <c r="C354" s="1" t="n">
        <v>19</v>
      </c>
      <c r="D354" s="1" t="n">
        <v>23</v>
      </c>
      <c r="E354" s="1" t="n">
        <v>30</v>
      </c>
      <c r="F354" s="1" t="n">
        <v>46</v>
      </c>
      <c r="G354" s="1" t="n">
        <v>55</v>
      </c>
      <c r="H354" s="1" t="n">
        <v>60</v>
      </c>
      <c r="I354" s="1" t="str">
        <f aca="false">RIGHT(("0"&amp;C354),2)&amp;RIGHT(("0"&amp;D354),2)&amp;RIGHT(("0"&amp;E354),2)&amp;RIGHT(("0"&amp;F354),2)&amp;RIGHT(("0"&amp;G354),2)&amp;RIGHT(("0"&amp;H354),2)</f>
        <v>192330465560</v>
      </c>
      <c r="J354" s="1" t="n">
        <f aca="false">COUNTIF(I:I,I354)</f>
        <v>1</v>
      </c>
      <c r="K354" s="1" t="n">
        <v>0</v>
      </c>
      <c r="M354" s="1" t="s">
        <v>23</v>
      </c>
      <c r="N354" s="1" t="n">
        <v>89</v>
      </c>
      <c r="O354" s="1" t="s">
        <v>1668</v>
      </c>
      <c r="P354" s="1" t="n">
        <v>6862</v>
      </c>
      <c r="Q354" s="1" t="s">
        <v>1669</v>
      </c>
      <c r="R354" s="1" t="s">
        <v>1670</v>
      </c>
      <c r="S354" s="1" t="s">
        <v>23</v>
      </c>
      <c r="T354" s="1" t="s">
        <v>23</v>
      </c>
      <c r="U354" s="1" t="s">
        <v>23</v>
      </c>
      <c r="V354" s="1" t="s">
        <v>1671</v>
      </c>
    </row>
    <row r="355" customFormat="false" ht="13.8" hidden="false" customHeight="false" outlineLevel="0" collapsed="false">
      <c r="A355" s="1" t="n">
        <v>354</v>
      </c>
      <c r="B355" s="2" t="s">
        <v>1672</v>
      </c>
      <c r="C355" s="1" t="n">
        <v>7</v>
      </c>
      <c r="D355" s="1" t="n">
        <v>16</v>
      </c>
      <c r="E355" s="1" t="n">
        <v>38</v>
      </c>
      <c r="F355" s="1" t="n">
        <v>40</v>
      </c>
      <c r="G355" s="1" t="n">
        <v>41</v>
      </c>
      <c r="H355" s="1" t="n">
        <v>52</v>
      </c>
      <c r="I355" s="1" t="str">
        <f aca="false">RIGHT(("0"&amp;C355),2)&amp;RIGHT(("0"&amp;D355),2)&amp;RIGHT(("0"&amp;E355),2)&amp;RIGHT(("0"&amp;F355),2)&amp;RIGHT(("0"&amp;G355),2)&amp;RIGHT(("0"&amp;H355),2)</f>
        <v>071638404152</v>
      </c>
      <c r="J355" s="1" t="n">
        <f aca="false">COUNTIF(I:I,I355)</f>
        <v>1</v>
      </c>
      <c r="K355" s="1" t="n">
        <v>1</v>
      </c>
      <c r="L355" s="1" t="s">
        <v>91</v>
      </c>
      <c r="M355" s="1" t="s">
        <v>1673</v>
      </c>
      <c r="N355" s="1" t="n">
        <v>93</v>
      </c>
      <c r="O355" s="1" t="s">
        <v>1674</v>
      </c>
      <c r="P355" s="1" t="n">
        <v>6184</v>
      </c>
      <c r="Q355" s="1" t="s">
        <v>1675</v>
      </c>
      <c r="R355" s="1" t="s">
        <v>23</v>
      </c>
      <c r="S355" s="1" t="s">
        <v>23</v>
      </c>
      <c r="T355" s="1" t="s">
        <v>23</v>
      </c>
      <c r="U355" s="1" t="s">
        <v>23</v>
      </c>
      <c r="V355" s="1" t="s">
        <v>1676</v>
      </c>
    </row>
    <row r="356" customFormat="false" ht="13.8" hidden="false" customHeight="false" outlineLevel="0" collapsed="false">
      <c r="A356" s="1" t="n">
        <v>355</v>
      </c>
      <c r="B356" s="2" t="s">
        <v>1677</v>
      </c>
      <c r="C356" s="1" t="n">
        <v>2</v>
      </c>
      <c r="D356" s="1" t="n">
        <v>14</v>
      </c>
      <c r="E356" s="1" t="n">
        <v>22</v>
      </c>
      <c r="F356" s="1" t="n">
        <v>23</v>
      </c>
      <c r="G356" s="1" t="n">
        <v>37</v>
      </c>
      <c r="H356" s="1" t="n">
        <v>60</v>
      </c>
      <c r="I356" s="1" t="str">
        <f aca="false">RIGHT(("0"&amp;C356),2)&amp;RIGHT(("0"&amp;D356),2)&amp;RIGHT(("0"&amp;E356),2)&amp;RIGHT(("0"&amp;F356),2)&amp;RIGHT(("0"&amp;G356),2)&amp;RIGHT(("0"&amp;H356),2)</f>
        <v>021422233760</v>
      </c>
      <c r="J356" s="1" t="n">
        <f aca="false">COUNTIF(I:I,I356)</f>
        <v>1</v>
      </c>
      <c r="K356" s="1" t="n">
        <v>0</v>
      </c>
      <c r="M356" s="1" t="s">
        <v>23</v>
      </c>
      <c r="N356" s="1" t="n">
        <v>50</v>
      </c>
      <c r="O356" s="1" t="s">
        <v>1678</v>
      </c>
      <c r="P356" s="1" t="n">
        <v>4711</v>
      </c>
      <c r="Q356" s="1" t="s">
        <v>1679</v>
      </c>
      <c r="R356" s="1" t="s">
        <v>1680</v>
      </c>
      <c r="S356" s="1" t="s">
        <v>23</v>
      </c>
      <c r="T356" s="1" t="s">
        <v>23</v>
      </c>
      <c r="U356" s="1" t="s">
        <v>23</v>
      </c>
      <c r="V356" s="1" t="s">
        <v>1681</v>
      </c>
    </row>
    <row r="357" customFormat="false" ht="13.8" hidden="false" customHeight="false" outlineLevel="0" collapsed="false">
      <c r="A357" s="1" t="n">
        <v>356</v>
      </c>
      <c r="B357" s="2" t="s">
        <v>1682</v>
      </c>
      <c r="C357" s="1" t="n">
        <v>5</v>
      </c>
      <c r="D357" s="1" t="n">
        <v>19</v>
      </c>
      <c r="E357" s="1" t="n">
        <v>21</v>
      </c>
      <c r="F357" s="1" t="n">
        <v>54</v>
      </c>
      <c r="G357" s="1" t="n">
        <v>56</v>
      </c>
      <c r="H357" s="1" t="n">
        <v>58</v>
      </c>
      <c r="I357" s="1" t="str">
        <f aca="false">RIGHT(("0"&amp;C357),2)&amp;RIGHT(("0"&amp;D357),2)&amp;RIGHT(("0"&amp;E357),2)&amp;RIGHT(("0"&amp;F357),2)&amp;RIGHT(("0"&amp;G357),2)&amp;RIGHT(("0"&amp;H357),2)</f>
        <v>051921545658</v>
      </c>
      <c r="J357" s="1" t="n">
        <f aca="false">COUNTIF(I:I,I357)</f>
        <v>1</v>
      </c>
      <c r="K357" s="1" t="n">
        <v>0</v>
      </c>
      <c r="M357" s="1" t="s">
        <v>23</v>
      </c>
      <c r="N357" s="1" t="n">
        <v>32</v>
      </c>
      <c r="O357" s="1" t="s">
        <v>1683</v>
      </c>
      <c r="P357" s="1" t="n">
        <v>2415</v>
      </c>
      <c r="Q357" s="1" t="s">
        <v>1684</v>
      </c>
      <c r="R357" s="1" t="s">
        <v>1685</v>
      </c>
      <c r="S357" s="1" t="s">
        <v>23</v>
      </c>
      <c r="T357" s="1" t="s">
        <v>23</v>
      </c>
      <c r="U357" s="1" t="s">
        <v>23</v>
      </c>
      <c r="V357" s="1" t="s">
        <v>1686</v>
      </c>
    </row>
    <row r="358" customFormat="false" ht="13.8" hidden="false" customHeight="false" outlineLevel="0" collapsed="false">
      <c r="A358" s="1" t="n">
        <v>357</v>
      </c>
      <c r="B358" s="2" t="s">
        <v>1687</v>
      </c>
      <c r="C358" s="1" t="n">
        <v>2</v>
      </c>
      <c r="D358" s="1" t="n">
        <v>30</v>
      </c>
      <c r="E358" s="1" t="n">
        <v>32</v>
      </c>
      <c r="F358" s="1" t="n">
        <v>35</v>
      </c>
      <c r="G358" s="1" t="n">
        <v>45</v>
      </c>
      <c r="H358" s="1" t="n">
        <v>53</v>
      </c>
      <c r="I358" s="1" t="str">
        <f aca="false">RIGHT(("0"&amp;C358),2)&amp;RIGHT(("0"&amp;D358),2)&amp;RIGHT(("0"&amp;E358),2)&amp;RIGHT(("0"&amp;F358),2)&amp;RIGHT(("0"&amp;G358),2)&amp;RIGHT(("0"&amp;H358),2)</f>
        <v>023032354553</v>
      </c>
      <c r="J358" s="1" t="n">
        <f aca="false">COUNTIF(I:I,I358)</f>
        <v>1</v>
      </c>
      <c r="K358" s="1" t="n">
        <v>0</v>
      </c>
      <c r="M358" s="1" t="s">
        <v>23</v>
      </c>
      <c r="N358" s="1" t="n">
        <v>34</v>
      </c>
      <c r="O358" s="1" t="s">
        <v>1688</v>
      </c>
      <c r="P358" s="1" t="n">
        <v>3265</v>
      </c>
      <c r="Q358" s="1" t="s">
        <v>1689</v>
      </c>
      <c r="R358" s="1" t="s">
        <v>1690</v>
      </c>
      <c r="S358" s="1" t="s">
        <v>23</v>
      </c>
      <c r="T358" s="1" t="s">
        <v>23</v>
      </c>
      <c r="U358" s="1" t="s">
        <v>23</v>
      </c>
      <c r="V358" s="1" t="s">
        <v>1691</v>
      </c>
    </row>
    <row r="359" customFormat="false" ht="13.8" hidden="false" customHeight="false" outlineLevel="0" collapsed="false">
      <c r="A359" s="1" t="n">
        <v>358</v>
      </c>
      <c r="B359" s="2" t="s">
        <v>1692</v>
      </c>
      <c r="C359" s="1" t="n">
        <v>12</v>
      </c>
      <c r="D359" s="1" t="n">
        <v>17</v>
      </c>
      <c r="E359" s="1" t="n">
        <v>21</v>
      </c>
      <c r="F359" s="1" t="n">
        <v>32</v>
      </c>
      <c r="G359" s="1" t="n">
        <v>40</v>
      </c>
      <c r="H359" s="1" t="n">
        <v>42</v>
      </c>
      <c r="I359" s="1" t="str">
        <f aca="false">RIGHT(("0"&amp;C359),2)&amp;RIGHT(("0"&amp;D359),2)&amp;RIGHT(("0"&amp;E359),2)&amp;RIGHT(("0"&amp;F359),2)&amp;RIGHT(("0"&amp;G359),2)&amp;RIGHT(("0"&amp;H359),2)</f>
        <v>121721324042</v>
      </c>
      <c r="J359" s="1" t="n">
        <f aca="false">COUNTIF(I:I,I359)</f>
        <v>1</v>
      </c>
      <c r="K359" s="1" t="n">
        <v>0</v>
      </c>
      <c r="M359" s="1" t="s">
        <v>23</v>
      </c>
      <c r="N359" s="1" t="n">
        <v>84</v>
      </c>
      <c r="O359" s="1" t="s">
        <v>1693</v>
      </c>
      <c r="P359" s="1" t="n">
        <v>5798</v>
      </c>
      <c r="Q359" s="1" t="s">
        <v>1694</v>
      </c>
      <c r="R359" s="1" t="s">
        <v>1695</v>
      </c>
      <c r="S359" s="1" t="s">
        <v>23</v>
      </c>
      <c r="T359" s="1" t="s">
        <v>23</v>
      </c>
      <c r="U359" s="1" t="s">
        <v>23</v>
      </c>
      <c r="V359" s="1" t="s">
        <v>1696</v>
      </c>
    </row>
    <row r="360" customFormat="false" ht="13.8" hidden="false" customHeight="false" outlineLevel="0" collapsed="false">
      <c r="A360" s="1" t="n">
        <v>359</v>
      </c>
      <c r="B360" s="2" t="s">
        <v>1697</v>
      </c>
      <c r="C360" s="1" t="n">
        <v>13</v>
      </c>
      <c r="D360" s="1" t="n">
        <v>19</v>
      </c>
      <c r="E360" s="1" t="n">
        <v>20</v>
      </c>
      <c r="F360" s="1" t="n">
        <v>29</v>
      </c>
      <c r="G360" s="1" t="n">
        <v>31</v>
      </c>
      <c r="H360" s="1" t="n">
        <v>54</v>
      </c>
      <c r="I360" s="1" t="str">
        <f aca="false">RIGHT(("0"&amp;C360),2)&amp;RIGHT(("0"&amp;D360),2)&amp;RIGHT(("0"&amp;E360),2)&amp;RIGHT(("0"&amp;F360),2)&amp;RIGHT(("0"&amp;G360),2)&amp;RIGHT(("0"&amp;H360),2)</f>
        <v>131920293154</v>
      </c>
      <c r="J360" s="1" t="n">
        <f aca="false">COUNTIF(I:I,I360)</f>
        <v>1</v>
      </c>
      <c r="K360" s="1" t="n">
        <v>0</v>
      </c>
      <c r="M360" s="1" t="s">
        <v>23</v>
      </c>
      <c r="N360" s="1" t="n">
        <v>56</v>
      </c>
      <c r="O360" s="1" t="s">
        <v>1698</v>
      </c>
      <c r="P360" s="1" t="n">
        <v>3953</v>
      </c>
      <c r="Q360" s="1" t="s">
        <v>1699</v>
      </c>
      <c r="R360" s="1" t="s">
        <v>1700</v>
      </c>
      <c r="S360" s="1" t="s">
        <v>23</v>
      </c>
      <c r="T360" s="1" t="s">
        <v>23</v>
      </c>
      <c r="U360" s="1" t="s">
        <v>23</v>
      </c>
      <c r="V360" s="1" t="s">
        <v>1701</v>
      </c>
    </row>
    <row r="361" customFormat="false" ht="13.8" hidden="false" customHeight="false" outlineLevel="0" collapsed="false">
      <c r="A361" s="1" t="n">
        <v>360</v>
      </c>
      <c r="B361" s="2" t="s">
        <v>1702</v>
      </c>
      <c r="C361" s="1" t="n">
        <v>23</v>
      </c>
      <c r="D361" s="1" t="n">
        <v>24</v>
      </c>
      <c r="E361" s="1" t="n">
        <v>29</v>
      </c>
      <c r="F361" s="1" t="n">
        <v>47</v>
      </c>
      <c r="G361" s="1" t="n">
        <v>53</v>
      </c>
      <c r="H361" s="1" t="n">
        <v>55</v>
      </c>
      <c r="I361" s="1" t="str">
        <f aca="false">RIGHT(("0"&amp;C361),2)&amp;RIGHT(("0"&amp;D361),2)&amp;RIGHT(("0"&amp;E361),2)&amp;RIGHT(("0"&amp;F361),2)&amp;RIGHT(("0"&amp;G361),2)&amp;RIGHT(("0"&amp;H361),2)</f>
        <v>232429475355</v>
      </c>
      <c r="J361" s="1" t="n">
        <f aca="false">COUNTIF(I:I,I361)</f>
        <v>1</v>
      </c>
      <c r="K361" s="1" t="n">
        <v>0</v>
      </c>
      <c r="M361" s="1" t="s">
        <v>23</v>
      </c>
      <c r="N361" s="1" t="n">
        <v>133</v>
      </c>
      <c r="O361" s="1" t="s">
        <v>1703</v>
      </c>
      <c r="P361" s="1" t="n">
        <v>8382</v>
      </c>
      <c r="Q361" s="1" t="s">
        <v>1704</v>
      </c>
      <c r="R361" s="1" t="s">
        <v>1705</v>
      </c>
      <c r="S361" s="1" t="s">
        <v>23</v>
      </c>
      <c r="T361" s="1" t="s">
        <v>23</v>
      </c>
      <c r="U361" s="1" t="s">
        <v>23</v>
      </c>
      <c r="V361" s="1" t="s">
        <v>1706</v>
      </c>
    </row>
    <row r="362" customFormat="false" ht="13.8" hidden="false" customHeight="false" outlineLevel="0" collapsed="false">
      <c r="A362" s="1" t="n">
        <v>361</v>
      </c>
      <c r="B362" s="2" t="s">
        <v>1707</v>
      </c>
      <c r="C362" s="1" t="n">
        <v>16</v>
      </c>
      <c r="D362" s="1" t="n">
        <v>28</v>
      </c>
      <c r="E362" s="1" t="n">
        <v>31</v>
      </c>
      <c r="F362" s="1" t="n">
        <v>41</v>
      </c>
      <c r="G362" s="1" t="n">
        <v>45</v>
      </c>
      <c r="H362" s="1" t="n">
        <v>59</v>
      </c>
      <c r="I362" s="1" t="str">
        <f aca="false">RIGHT(("0"&amp;C362),2)&amp;RIGHT(("0"&amp;D362),2)&amp;RIGHT(("0"&amp;E362),2)&amp;RIGHT(("0"&amp;F362),2)&amp;RIGHT(("0"&amp;G362),2)&amp;RIGHT(("0"&amp;H362),2)</f>
        <v>162831414559</v>
      </c>
      <c r="J362" s="1" t="n">
        <f aca="false">COUNTIF(I:I,I362)</f>
        <v>1</v>
      </c>
      <c r="K362" s="1" t="n">
        <v>0</v>
      </c>
      <c r="M362" s="1" t="s">
        <v>23</v>
      </c>
      <c r="N362" s="1" t="n">
        <v>98</v>
      </c>
      <c r="O362" s="1" t="s">
        <v>1708</v>
      </c>
      <c r="P362" s="1" t="n">
        <v>5236</v>
      </c>
      <c r="Q362" s="1" t="s">
        <v>1709</v>
      </c>
      <c r="R362" s="1" t="s">
        <v>1710</v>
      </c>
      <c r="S362" s="1" t="s">
        <v>23</v>
      </c>
      <c r="T362" s="1" t="s">
        <v>23</v>
      </c>
      <c r="U362" s="1" t="s">
        <v>23</v>
      </c>
      <c r="V362" s="1" t="s">
        <v>1711</v>
      </c>
    </row>
    <row r="363" customFormat="false" ht="13.8" hidden="false" customHeight="false" outlineLevel="0" collapsed="false">
      <c r="A363" s="1" t="n">
        <v>362</v>
      </c>
      <c r="B363" s="2" t="s">
        <v>1712</v>
      </c>
      <c r="C363" s="1" t="n">
        <v>7</v>
      </c>
      <c r="D363" s="1" t="n">
        <v>20</v>
      </c>
      <c r="E363" s="1" t="n">
        <v>33</v>
      </c>
      <c r="F363" s="1" t="n">
        <v>37</v>
      </c>
      <c r="G363" s="1" t="n">
        <v>46</v>
      </c>
      <c r="H363" s="1" t="n">
        <v>56</v>
      </c>
      <c r="I363" s="1" t="str">
        <f aca="false">RIGHT(("0"&amp;C363),2)&amp;RIGHT(("0"&amp;D363),2)&amp;RIGHT(("0"&amp;E363),2)&amp;RIGHT(("0"&amp;F363),2)&amp;RIGHT(("0"&amp;G363),2)&amp;RIGHT(("0"&amp;H363),2)</f>
        <v>072033374656</v>
      </c>
      <c r="J363" s="1" t="n">
        <f aca="false">COUNTIF(I:I,I363)</f>
        <v>1</v>
      </c>
      <c r="K363" s="1" t="n">
        <v>1</v>
      </c>
      <c r="L363" s="1" t="s">
        <v>66</v>
      </c>
      <c r="M363" s="1" t="s">
        <v>1713</v>
      </c>
      <c r="N363" s="1" t="n">
        <v>110</v>
      </c>
      <c r="O363" s="1" t="s">
        <v>1714</v>
      </c>
      <c r="P363" s="1" t="n">
        <v>8313</v>
      </c>
      <c r="Q363" s="1" t="s">
        <v>1715</v>
      </c>
      <c r="R363" s="1" t="s">
        <v>23</v>
      </c>
      <c r="S363" s="1" t="s">
        <v>23</v>
      </c>
      <c r="T363" s="1" t="s">
        <v>23</v>
      </c>
      <c r="U363" s="1" t="s">
        <v>23</v>
      </c>
      <c r="V363" s="1" t="s">
        <v>1716</v>
      </c>
    </row>
    <row r="364" customFormat="false" ht="13.8" hidden="false" customHeight="false" outlineLevel="0" collapsed="false">
      <c r="A364" s="1" t="n">
        <v>363</v>
      </c>
      <c r="B364" s="2" t="s">
        <v>1717</v>
      </c>
      <c r="C364" s="1" t="n">
        <v>19</v>
      </c>
      <c r="D364" s="1" t="n">
        <v>29</v>
      </c>
      <c r="E364" s="1" t="n">
        <v>39</v>
      </c>
      <c r="F364" s="1" t="n">
        <v>47</v>
      </c>
      <c r="G364" s="1" t="n">
        <v>49</v>
      </c>
      <c r="H364" s="1" t="n">
        <v>54</v>
      </c>
      <c r="I364" s="1" t="str">
        <f aca="false">RIGHT(("0"&amp;C364),2)&amp;RIGHT(("0"&amp;D364),2)&amp;RIGHT(("0"&amp;E364),2)&amp;RIGHT(("0"&amp;F364),2)&amp;RIGHT(("0"&amp;G364),2)&amp;RIGHT(("0"&amp;H364),2)</f>
        <v>192939474954</v>
      </c>
      <c r="J364" s="1" t="n">
        <f aca="false">COUNTIF(I:I,I364)</f>
        <v>1</v>
      </c>
      <c r="K364" s="1" t="n">
        <v>0</v>
      </c>
      <c r="M364" s="1" t="s">
        <v>23</v>
      </c>
      <c r="N364" s="1" t="n">
        <v>27</v>
      </c>
      <c r="O364" s="1" t="s">
        <v>1718</v>
      </c>
      <c r="P364" s="1" t="n">
        <v>2225</v>
      </c>
      <c r="Q364" s="1" t="s">
        <v>1719</v>
      </c>
      <c r="R364" s="1" t="s">
        <v>1720</v>
      </c>
      <c r="S364" s="1" t="s">
        <v>23</v>
      </c>
      <c r="T364" s="1" t="s">
        <v>23</v>
      </c>
      <c r="U364" s="1" t="s">
        <v>23</v>
      </c>
      <c r="V364" s="1" t="s">
        <v>1533</v>
      </c>
    </row>
    <row r="365" customFormat="false" ht="13.8" hidden="false" customHeight="false" outlineLevel="0" collapsed="false">
      <c r="A365" s="1" t="n">
        <v>364</v>
      </c>
      <c r="B365" s="2" t="s">
        <v>1721</v>
      </c>
      <c r="C365" s="1" t="n">
        <v>5</v>
      </c>
      <c r="D365" s="1" t="n">
        <v>29</v>
      </c>
      <c r="E365" s="1" t="n">
        <v>44</v>
      </c>
      <c r="F365" s="1" t="n">
        <v>51</v>
      </c>
      <c r="G365" s="1" t="n">
        <v>57</v>
      </c>
      <c r="H365" s="1" t="n">
        <v>59</v>
      </c>
      <c r="I365" s="1" t="str">
        <f aca="false">RIGHT(("0"&amp;C365),2)&amp;RIGHT(("0"&amp;D365),2)&amp;RIGHT(("0"&amp;E365),2)&amp;RIGHT(("0"&amp;F365),2)&amp;RIGHT(("0"&amp;G365),2)&amp;RIGHT(("0"&amp;H365),2)</f>
        <v>052944515759</v>
      </c>
      <c r="J365" s="1" t="n">
        <f aca="false">COUNTIF(I:I,I365)</f>
        <v>1</v>
      </c>
      <c r="K365" s="1" t="n">
        <v>1</v>
      </c>
      <c r="L365" s="1" t="s">
        <v>1722</v>
      </c>
      <c r="M365" s="1" t="s">
        <v>1723</v>
      </c>
      <c r="N365" s="1" t="n">
        <v>76</v>
      </c>
      <c r="O365" s="1" t="s">
        <v>1724</v>
      </c>
      <c r="P365" s="1" t="n">
        <v>3315</v>
      </c>
      <c r="Q365" s="1" t="s">
        <v>1725</v>
      </c>
      <c r="R365" s="1" t="s">
        <v>23</v>
      </c>
      <c r="S365" s="1" t="s">
        <v>23</v>
      </c>
      <c r="T365" s="1" t="s">
        <v>23</v>
      </c>
      <c r="U365" s="1" t="s">
        <v>23</v>
      </c>
      <c r="V365" s="1" t="s">
        <v>1726</v>
      </c>
    </row>
    <row r="366" customFormat="false" ht="13.8" hidden="false" customHeight="false" outlineLevel="0" collapsed="false">
      <c r="A366" s="1" t="n">
        <v>365</v>
      </c>
      <c r="B366" s="2" t="s">
        <v>1727</v>
      </c>
      <c r="C366" s="1" t="n">
        <v>19</v>
      </c>
      <c r="D366" s="1" t="n">
        <v>23</v>
      </c>
      <c r="E366" s="1" t="n">
        <v>34</v>
      </c>
      <c r="F366" s="1" t="n">
        <v>37</v>
      </c>
      <c r="G366" s="1" t="n">
        <v>52</v>
      </c>
      <c r="H366" s="1" t="n">
        <v>58</v>
      </c>
      <c r="I366" s="1" t="str">
        <f aca="false">RIGHT(("0"&amp;C366),2)&amp;RIGHT(("0"&amp;D366),2)&amp;RIGHT(("0"&amp;E366),2)&amp;RIGHT(("0"&amp;F366),2)&amp;RIGHT(("0"&amp;G366),2)&amp;RIGHT(("0"&amp;H366),2)</f>
        <v>192334375258</v>
      </c>
      <c r="J366" s="1" t="n">
        <f aca="false">COUNTIF(I:I,I366)</f>
        <v>1</v>
      </c>
      <c r="K366" s="1" t="n">
        <v>1</v>
      </c>
      <c r="L366" s="1" t="s">
        <v>157</v>
      </c>
      <c r="M366" s="1" t="s">
        <v>1728</v>
      </c>
      <c r="N366" s="1" t="n">
        <v>45</v>
      </c>
      <c r="O366" s="1" t="s">
        <v>1729</v>
      </c>
      <c r="P366" s="1" t="n">
        <v>2433</v>
      </c>
      <c r="Q366" s="1" t="s">
        <v>1730</v>
      </c>
      <c r="R366" s="1" t="s">
        <v>23</v>
      </c>
      <c r="S366" s="1" t="s">
        <v>23</v>
      </c>
      <c r="T366" s="1" t="s">
        <v>23</v>
      </c>
      <c r="U366" s="1" t="s">
        <v>23</v>
      </c>
      <c r="V366" s="1" t="s">
        <v>1731</v>
      </c>
    </row>
    <row r="367" customFormat="false" ht="13.8" hidden="false" customHeight="false" outlineLevel="0" collapsed="false">
      <c r="A367" s="1" t="n">
        <v>366</v>
      </c>
      <c r="B367" s="2" t="s">
        <v>1732</v>
      </c>
      <c r="C367" s="1" t="n">
        <v>4</v>
      </c>
      <c r="D367" s="1" t="n">
        <v>6</v>
      </c>
      <c r="E367" s="1" t="n">
        <v>7</v>
      </c>
      <c r="F367" s="1" t="n">
        <v>15</v>
      </c>
      <c r="G367" s="1" t="n">
        <v>21</v>
      </c>
      <c r="H367" s="1" t="n">
        <v>51</v>
      </c>
      <c r="I367" s="1" t="str">
        <f aca="false">RIGHT(("0"&amp;C367),2)&amp;RIGHT(("0"&amp;D367),2)&amp;RIGHT(("0"&amp;E367),2)&amp;RIGHT(("0"&amp;F367),2)&amp;RIGHT(("0"&amp;G367),2)&amp;RIGHT(("0"&amp;H367),2)</f>
        <v>040607152151</v>
      </c>
      <c r="J367" s="1" t="n">
        <f aca="false">COUNTIF(I:I,I367)</f>
        <v>1</v>
      </c>
      <c r="K367" s="1" t="n">
        <v>0</v>
      </c>
      <c r="M367" s="1" t="s">
        <v>23</v>
      </c>
      <c r="N367" s="1" t="n">
        <v>41</v>
      </c>
      <c r="O367" s="1" t="s">
        <v>1733</v>
      </c>
      <c r="P367" s="1" t="n">
        <v>3489</v>
      </c>
      <c r="Q367" s="1" t="s">
        <v>1734</v>
      </c>
      <c r="R367" s="1" t="s">
        <v>1735</v>
      </c>
      <c r="S367" s="1" t="s">
        <v>23</v>
      </c>
      <c r="T367" s="1" t="s">
        <v>23</v>
      </c>
      <c r="U367" s="1" t="s">
        <v>23</v>
      </c>
      <c r="V367" s="1" t="s">
        <v>1533</v>
      </c>
    </row>
    <row r="368" customFormat="false" ht="13.8" hidden="false" customHeight="false" outlineLevel="0" collapsed="false">
      <c r="A368" s="1" t="n">
        <v>367</v>
      </c>
      <c r="B368" s="2" t="s">
        <v>1736</v>
      </c>
      <c r="C368" s="1" t="n">
        <v>10</v>
      </c>
      <c r="D368" s="1" t="n">
        <v>12</v>
      </c>
      <c r="E368" s="1" t="n">
        <v>27</v>
      </c>
      <c r="F368" s="1" t="n">
        <v>33</v>
      </c>
      <c r="G368" s="1" t="n">
        <v>49</v>
      </c>
      <c r="H368" s="1" t="n">
        <v>52</v>
      </c>
      <c r="I368" s="1" t="str">
        <f aca="false">RIGHT(("0"&amp;C368),2)&amp;RIGHT(("0"&amp;D368),2)&amp;RIGHT(("0"&amp;E368),2)&amp;RIGHT(("0"&amp;F368),2)&amp;RIGHT(("0"&amp;G368),2)&amp;RIGHT(("0"&amp;H368),2)</f>
        <v>101227334952</v>
      </c>
      <c r="J368" s="1" t="n">
        <f aca="false">COUNTIF(I:I,I368)</f>
        <v>1</v>
      </c>
      <c r="K368" s="1" t="n">
        <v>1</v>
      </c>
      <c r="L368" s="1" t="s">
        <v>190</v>
      </c>
      <c r="M368" s="1" t="s">
        <v>1737</v>
      </c>
      <c r="N368" s="1" t="n">
        <v>71</v>
      </c>
      <c r="O368" s="1" t="s">
        <v>1738</v>
      </c>
      <c r="P368" s="1" t="n">
        <v>3040</v>
      </c>
      <c r="Q368" s="1" t="s">
        <v>1739</v>
      </c>
      <c r="R368" s="1" t="s">
        <v>23</v>
      </c>
      <c r="S368" s="1" t="s">
        <v>23</v>
      </c>
      <c r="T368" s="1" t="s">
        <v>23</v>
      </c>
      <c r="U368" s="1" t="s">
        <v>23</v>
      </c>
      <c r="V368" s="1" t="s">
        <v>1740</v>
      </c>
    </row>
    <row r="369" customFormat="false" ht="13.8" hidden="false" customHeight="false" outlineLevel="0" collapsed="false">
      <c r="A369" s="1" t="n">
        <v>368</v>
      </c>
      <c r="B369" s="2" t="s">
        <v>1741</v>
      </c>
      <c r="C369" s="1" t="n">
        <v>13</v>
      </c>
      <c r="D369" s="1" t="n">
        <v>29</v>
      </c>
      <c r="E369" s="1" t="n">
        <v>32</v>
      </c>
      <c r="F369" s="1" t="n">
        <v>38</v>
      </c>
      <c r="G369" s="1" t="n">
        <v>44</v>
      </c>
      <c r="H369" s="1" t="n">
        <v>50</v>
      </c>
      <c r="I369" s="1" t="str">
        <f aca="false">RIGHT(("0"&amp;C369),2)&amp;RIGHT(("0"&amp;D369),2)&amp;RIGHT(("0"&amp;E369),2)&amp;RIGHT(("0"&amp;F369),2)&amp;RIGHT(("0"&amp;G369),2)&amp;RIGHT(("0"&amp;H369),2)</f>
        <v>132932384450</v>
      </c>
      <c r="J369" s="1" t="n">
        <f aca="false">COUNTIF(I:I,I369)</f>
        <v>1</v>
      </c>
      <c r="K369" s="1" t="n">
        <v>0</v>
      </c>
      <c r="M369" s="1" t="s">
        <v>23</v>
      </c>
      <c r="N369" s="1" t="n">
        <v>53</v>
      </c>
      <c r="O369" s="1" t="s">
        <v>1742</v>
      </c>
      <c r="P369" s="1" t="n">
        <v>3220</v>
      </c>
      <c r="Q369" s="1" t="s">
        <v>1743</v>
      </c>
      <c r="R369" s="1" t="s">
        <v>1744</v>
      </c>
      <c r="S369" s="1" t="s">
        <v>23</v>
      </c>
      <c r="T369" s="1" t="s">
        <v>23</v>
      </c>
      <c r="U369" s="1" t="s">
        <v>23</v>
      </c>
      <c r="V369" s="1" t="s">
        <v>1745</v>
      </c>
    </row>
    <row r="370" customFormat="false" ht="13.8" hidden="false" customHeight="false" outlineLevel="0" collapsed="false">
      <c r="A370" s="1" t="n">
        <v>369</v>
      </c>
      <c r="B370" s="2" t="s">
        <v>1746</v>
      </c>
      <c r="C370" s="1" t="n">
        <v>1</v>
      </c>
      <c r="D370" s="1" t="n">
        <v>14</v>
      </c>
      <c r="E370" s="1" t="n">
        <v>21</v>
      </c>
      <c r="F370" s="1" t="n">
        <v>35</v>
      </c>
      <c r="G370" s="1" t="n">
        <v>42</v>
      </c>
      <c r="H370" s="1" t="n">
        <v>60</v>
      </c>
      <c r="I370" s="1" t="str">
        <f aca="false">RIGHT(("0"&amp;C370),2)&amp;RIGHT(("0"&amp;D370),2)&amp;RIGHT(("0"&amp;E370),2)&amp;RIGHT(("0"&amp;F370),2)&amp;RIGHT(("0"&amp;G370),2)&amp;RIGHT(("0"&amp;H370),2)</f>
        <v>011421354260</v>
      </c>
      <c r="J370" s="1" t="n">
        <f aca="false">COUNTIF(I:I,I370)</f>
        <v>1</v>
      </c>
      <c r="K370" s="1" t="n">
        <v>1</v>
      </c>
      <c r="L370" s="1" t="s">
        <v>1747</v>
      </c>
      <c r="M370" s="1" t="s">
        <v>1748</v>
      </c>
      <c r="N370" s="1" t="n">
        <v>46</v>
      </c>
      <c r="O370" s="1" t="s">
        <v>1749</v>
      </c>
      <c r="P370" s="1" t="n">
        <v>4167</v>
      </c>
      <c r="Q370" s="1" t="s">
        <v>1750</v>
      </c>
      <c r="R370" s="1" t="s">
        <v>23</v>
      </c>
      <c r="S370" s="1" t="s">
        <v>23</v>
      </c>
      <c r="T370" s="1" t="s">
        <v>23</v>
      </c>
      <c r="U370" s="1" t="s">
        <v>23</v>
      </c>
      <c r="V370" s="1" t="s">
        <v>1751</v>
      </c>
    </row>
    <row r="371" customFormat="false" ht="13.8" hidden="false" customHeight="false" outlineLevel="0" collapsed="false">
      <c r="A371" s="1" t="n">
        <v>370</v>
      </c>
      <c r="B371" s="2" t="s">
        <v>1752</v>
      </c>
      <c r="C371" s="1" t="n">
        <v>1</v>
      </c>
      <c r="D371" s="1" t="n">
        <v>4</v>
      </c>
      <c r="E371" s="1" t="n">
        <v>40</v>
      </c>
      <c r="F371" s="1" t="n">
        <v>42</v>
      </c>
      <c r="G371" s="1" t="n">
        <v>51</v>
      </c>
      <c r="H371" s="1" t="n">
        <v>54</v>
      </c>
      <c r="I371" s="1" t="str">
        <f aca="false">RIGHT(("0"&amp;C371),2)&amp;RIGHT(("0"&amp;D371),2)&amp;RIGHT(("0"&amp;E371),2)&amp;RIGHT(("0"&amp;F371),2)&amp;RIGHT(("0"&amp;G371),2)&amp;RIGHT(("0"&amp;H371),2)</f>
        <v>010440425154</v>
      </c>
      <c r="J371" s="1" t="n">
        <f aca="false">COUNTIF(I:I,I371)</f>
        <v>1</v>
      </c>
      <c r="K371" s="1" t="n">
        <v>0</v>
      </c>
      <c r="M371" s="1" t="s">
        <v>23</v>
      </c>
      <c r="N371" s="1" t="n">
        <v>40</v>
      </c>
      <c r="O371" s="1" t="s">
        <v>1753</v>
      </c>
      <c r="P371" s="1" t="n">
        <v>3230</v>
      </c>
      <c r="Q371" s="1" t="s">
        <v>1754</v>
      </c>
      <c r="R371" s="1" t="s">
        <v>1755</v>
      </c>
      <c r="S371" s="1" t="s">
        <v>23</v>
      </c>
      <c r="T371" s="1" t="s">
        <v>23</v>
      </c>
      <c r="U371" s="1" t="s">
        <v>23</v>
      </c>
      <c r="V371" s="1" t="s">
        <v>1756</v>
      </c>
    </row>
    <row r="372" customFormat="false" ht="13.8" hidden="false" customHeight="false" outlineLevel="0" collapsed="false">
      <c r="A372" s="1" t="n">
        <v>371</v>
      </c>
      <c r="B372" s="2" t="s">
        <v>1757</v>
      </c>
      <c r="C372" s="1" t="n">
        <v>4</v>
      </c>
      <c r="D372" s="1" t="n">
        <v>18</v>
      </c>
      <c r="E372" s="1" t="n">
        <v>23</v>
      </c>
      <c r="F372" s="1" t="n">
        <v>33</v>
      </c>
      <c r="G372" s="1" t="n">
        <v>39</v>
      </c>
      <c r="H372" s="1" t="n">
        <v>60</v>
      </c>
      <c r="I372" s="1" t="str">
        <f aca="false">RIGHT(("0"&amp;C372),2)&amp;RIGHT(("0"&amp;D372),2)&amp;RIGHT(("0"&amp;E372),2)&amp;RIGHT(("0"&amp;F372),2)&amp;RIGHT(("0"&amp;G372),2)&amp;RIGHT(("0"&amp;H372),2)</f>
        <v>041823333960</v>
      </c>
      <c r="J372" s="1" t="n">
        <f aca="false">COUNTIF(I:I,I372)</f>
        <v>1</v>
      </c>
      <c r="K372" s="1" t="n">
        <v>0</v>
      </c>
      <c r="M372" s="1" t="s">
        <v>23</v>
      </c>
      <c r="N372" s="1" t="n">
        <v>47</v>
      </c>
      <c r="O372" s="1" t="s">
        <v>1758</v>
      </c>
      <c r="P372" s="1" t="n">
        <v>3979</v>
      </c>
      <c r="Q372" s="1" t="s">
        <v>1759</v>
      </c>
      <c r="R372" s="1" t="s">
        <v>1760</v>
      </c>
      <c r="S372" s="1" t="s">
        <v>23</v>
      </c>
      <c r="T372" s="1" t="s">
        <v>23</v>
      </c>
      <c r="U372" s="1" t="s">
        <v>23</v>
      </c>
      <c r="V372" s="1" t="s">
        <v>1761</v>
      </c>
    </row>
    <row r="373" customFormat="false" ht="13.8" hidden="false" customHeight="false" outlineLevel="0" collapsed="false">
      <c r="A373" s="1" t="n">
        <v>372</v>
      </c>
      <c r="B373" s="2" t="s">
        <v>1762</v>
      </c>
      <c r="C373" s="1" t="n">
        <v>16</v>
      </c>
      <c r="D373" s="1" t="n">
        <v>17</v>
      </c>
      <c r="E373" s="1" t="n">
        <v>24</v>
      </c>
      <c r="F373" s="1" t="n">
        <v>39</v>
      </c>
      <c r="G373" s="1" t="n">
        <v>46</v>
      </c>
      <c r="H373" s="1" t="n">
        <v>57</v>
      </c>
      <c r="I373" s="1" t="str">
        <f aca="false">RIGHT(("0"&amp;C373),2)&amp;RIGHT(("0"&amp;D373),2)&amp;RIGHT(("0"&amp;E373),2)&amp;RIGHT(("0"&amp;F373),2)&amp;RIGHT(("0"&amp;G373),2)&amp;RIGHT(("0"&amp;H373),2)</f>
        <v>161724394657</v>
      </c>
      <c r="J373" s="1" t="n">
        <f aca="false">COUNTIF(I:I,I373)</f>
        <v>1</v>
      </c>
      <c r="K373" s="1" t="n">
        <v>2</v>
      </c>
      <c r="L373" s="1" t="s">
        <v>91</v>
      </c>
      <c r="M373" s="1" t="s">
        <v>1763</v>
      </c>
      <c r="N373" s="1" t="n">
        <v>85</v>
      </c>
      <c r="O373" s="1" t="s">
        <v>1764</v>
      </c>
      <c r="P373" s="1" t="n">
        <v>6743</v>
      </c>
      <c r="Q373" s="1" t="s">
        <v>1765</v>
      </c>
      <c r="R373" s="1" t="s">
        <v>23</v>
      </c>
      <c r="S373" s="1" t="s">
        <v>23</v>
      </c>
      <c r="T373" s="1" t="s">
        <v>23</v>
      </c>
      <c r="U373" s="1" t="s">
        <v>23</v>
      </c>
      <c r="V373" s="1" t="s">
        <v>1766</v>
      </c>
    </row>
    <row r="374" customFormat="false" ht="13.8" hidden="false" customHeight="false" outlineLevel="0" collapsed="false">
      <c r="A374" s="1" t="n">
        <v>373</v>
      </c>
      <c r="B374" s="2" t="s">
        <v>1767</v>
      </c>
      <c r="C374" s="1" t="n">
        <v>1</v>
      </c>
      <c r="D374" s="1" t="n">
        <v>5</v>
      </c>
      <c r="E374" s="1" t="n">
        <v>10</v>
      </c>
      <c r="F374" s="1" t="n">
        <v>24</v>
      </c>
      <c r="G374" s="1" t="n">
        <v>31</v>
      </c>
      <c r="H374" s="1" t="n">
        <v>33</v>
      </c>
      <c r="I374" s="1" t="str">
        <f aca="false">RIGHT(("0"&amp;C374),2)&amp;RIGHT(("0"&amp;D374),2)&amp;RIGHT(("0"&amp;E374),2)&amp;RIGHT(("0"&amp;F374),2)&amp;RIGHT(("0"&amp;G374),2)&amp;RIGHT(("0"&amp;H374),2)</f>
        <v>010510243133</v>
      </c>
      <c r="J374" s="1" t="n">
        <f aca="false">COUNTIF(I:I,I374)</f>
        <v>1</v>
      </c>
      <c r="K374" s="1" t="n">
        <v>0</v>
      </c>
      <c r="M374" s="1" t="s">
        <v>23</v>
      </c>
      <c r="N374" s="1" t="n">
        <v>52</v>
      </c>
      <c r="O374" s="1" t="s">
        <v>1768</v>
      </c>
      <c r="P374" s="1" t="n">
        <v>3292</v>
      </c>
      <c r="Q374" s="1" t="s">
        <v>1769</v>
      </c>
      <c r="R374" s="1" t="s">
        <v>1770</v>
      </c>
      <c r="S374" s="1" t="s">
        <v>23</v>
      </c>
      <c r="T374" s="1" t="s">
        <v>23</v>
      </c>
      <c r="U374" s="1" t="s">
        <v>23</v>
      </c>
      <c r="V374" s="1" t="s">
        <v>1771</v>
      </c>
    </row>
    <row r="375" customFormat="false" ht="13.8" hidden="false" customHeight="false" outlineLevel="0" collapsed="false">
      <c r="A375" s="1" t="n">
        <v>374</v>
      </c>
      <c r="B375" s="2" t="s">
        <v>1772</v>
      </c>
      <c r="C375" s="1" t="n">
        <v>2</v>
      </c>
      <c r="D375" s="1" t="n">
        <v>5</v>
      </c>
      <c r="E375" s="1" t="n">
        <v>16</v>
      </c>
      <c r="F375" s="1" t="n">
        <v>26</v>
      </c>
      <c r="G375" s="1" t="n">
        <v>44</v>
      </c>
      <c r="H375" s="1" t="n">
        <v>54</v>
      </c>
      <c r="I375" s="1" t="str">
        <f aca="false">RIGHT(("0"&amp;C375),2)&amp;RIGHT(("0"&amp;D375),2)&amp;RIGHT(("0"&amp;E375),2)&amp;RIGHT(("0"&amp;F375),2)&amp;RIGHT(("0"&amp;G375),2)&amp;RIGHT(("0"&amp;H375),2)</f>
        <v>020516264454</v>
      </c>
      <c r="J375" s="1" t="n">
        <f aca="false">COUNTIF(I:I,I375)</f>
        <v>1</v>
      </c>
      <c r="K375" s="1" t="n">
        <v>0</v>
      </c>
      <c r="M375" s="1" t="s">
        <v>23</v>
      </c>
      <c r="N375" s="1" t="n">
        <v>80</v>
      </c>
      <c r="O375" s="1" t="s">
        <v>1773</v>
      </c>
      <c r="P375" s="1" t="n">
        <v>3326</v>
      </c>
      <c r="Q375" s="1" t="s">
        <v>1774</v>
      </c>
      <c r="R375" s="1" t="s">
        <v>1775</v>
      </c>
      <c r="S375" s="1" t="s">
        <v>23</v>
      </c>
      <c r="T375" s="1" t="s">
        <v>23</v>
      </c>
      <c r="U375" s="1" t="s">
        <v>23</v>
      </c>
      <c r="V375" s="1" t="s">
        <v>1776</v>
      </c>
    </row>
    <row r="376" customFormat="false" ht="13.8" hidden="false" customHeight="false" outlineLevel="0" collapsed="false">
      <c r="A376" s="1" t="n">
        <v>375</v>
      </c>
      <c r="B376" s="2" t="s">
        <v>1777</v>
      </c>
      <c r="C376" s="1" t="n">
        <v>1</v>
      </c>
      <c r="D376" s="1" t="n">
        <v>5</v>
      </c>
      <c r="E376" s="1" t="n">
        <v>9</v>
      </c>
      <c r="F376" s="1" t="n">
        <v>42</v>
      </c>
      <c r="G376" s="1" t="n">
        <v>51</v>
      </c>
      <c r="H376" s="1" t="n">
        <v>58</v>
      </c>
      <c r="I376" s="1" t="str">
        <f aca="false">RIGHT(("0"&amp;C376),2)&amp;RIGHT(("0"&amp;D376),2)&amp;RIGHT(("0"&amp;E376),2)&amp;RIGHT(("0"&amp;F376),2)&amp;RIGHT(("0"&amp;G376),2)&amp;RIGHT(("0"&amp;H376),2)</f>
        <v>010509425158</v>
      </c>
      <c r="J376" s="1" t="n">
        <f aca="false">COUNTIF(I:I,I376)</f>
        <v>1</v>
      </c>
      <c r="K376" s="1" t="n">
        <v>0</v>
      </c>
      <c r="M376" s="1" t="s">
        <v>23</v>
      </c>
      <c r="N376" s="1" t="n">
        <v>33</v>
      </c>
      <c r="O376" s="1" t="s">
        <v>1778</v>
      </c>
      <c r="P376" s="1" t="n">
        <v>2359</v>
      </c>
      <c r="Q376" s="1" t="s">
        <v>1779</v>
      </c>
      <c r="R376" s="1" t="s">
        <v>1780</v>
      </c>
      <c r="S376" s="1" t="s">
        <v>23</v>
      </c>
      <c r="T376" s="1" t="s">
        <v>23</v>
      </c>
      <c r="U376" s="1" t="s">
        <v>23</v>
      </c>
      <c r="V376" s="1" t="s">
        <v>1543</v>
      </c>
    </row>
    <row r="377" customFormat="false" ht="13.8" hidden="false" customHeight="false" outlineLevel="0" collapsed="false">
      <c r="A377" s="1" t="n">
        <v>376</v>
      </c>
      <c r="B377" s="2" t="s">
        <v>1781</v>
      </c>
      <c r="C377" s="1" t="n">
        <v>10</v>
      </c>
      <c r="D377" s="1" t="n">
        <v>13</v>
      </c>
      <c r="E377" s="1" t="n">
        <v>25</v>
      </c>
      <c r="F377" s="1" t="n">
        <v>35</v>
      </c>
      <c r="G377" s="1" t="n">
        <v>43</v>
      </c>
      <c r="H377" s="1" t="n">
        <v>48</v>
      </c>
      <c r="I377" s="1" t="str">
        <f aca="false">RIGHT(("0"&amp;C377),2)&amp;RIGHT(("0"&amp;D377),2)&amp;RIGHT(("0"&amp;E377),2)&amp;RIGHT(("0"&amp;F377),2)&amp;RIGHT(("0"&amp;G377),2)&amp;RIGHT(("0"&amp;H377),2)</f>
        <v>101325354348</v>
      </c>
      <c r="J377" s="1" t="n">
        <f aca="false">COUNTIF(I:I,I377)</f>
        <v>1</v>
      </c>
      <c r="K377" s="1" t="n">
        <v>0</v>
      </c>
      <c r="M377" s="1" t="s">
        <v>23</v>
      </c>
      <c r="N377" s="1" t="n">
        <v>110</v>
      </c>
      <c r="O377" s="1" t="s">
        <v>1782</v>
      </c>
      <c r="P377" s="1" t="n">
        <v>6956</v>
      </c>
      <c r="Q377" s="1" t="s">
        <v>1783</v>
      </c>
      <c r="R377" s="1" t="s">
        <v>1784</v>
      </c>
      <c r="S377" s="1" t="s">
        <v>23</v>
      </c>
      <c r="T377" s="1" t="s">
        <v>23</v>
      </c>
      <c r="U377" s="1" t="s">
        <v>23</v>
      </c>
      <c r="V377" s="1" t="s">
        <v>1593</v>
      </c>
    </row>
    <row r="378" customFormat="false" ht="13.8" hidden="false" customHeight="false" outlineLevel="0" collapsed="false">
      <c r="A378" s="1" t="n">
        <v>377</v>
      </c>
      <c r="B378" s="2" t="s">
        <v>1785</v>
      </c>
      <c r="C378" s="1" t="n">
        <v>3</v>
      </c>
      <c r="D378" s="1" t="n">
        <v>12</v>
      </c>
      <c r="E378" s="1" t="n">
        <v>19</v>
      </c>
      <c r="F378" s="1" t="n">
        <v>27</v>
      </c>
      <c r="G378" s="1" t="n">
        <v>45</v>
      </c>
      <c r="H378" s="1" t="n">
        <v>46</v>
      </c>
      <c r="I378" s="1" t="str">
        <f aca="false">RIGHT(("0"&amp;C378),2)&amp;RIGHT(("0"&amp;D378),2)&amp;RIGHT(("0"&amp;E378),2)&amp;RIGHT(("0"&amp;F378),2)&amp;RIGHT(("0"&amp;G378),2)&amp;RIGHT(("0"&amp;H378),2)</f>
        <v>031219274546</v>
      </c>
      <c r="J378" s="1" t="n">
        <f aca="false">COUNTIF(I:I,I378)</f>
        <v>1</v>
      </c>
      <c r="K378" s="1" t="n">
        <v>0</v>
      </c>
      <c r="M378" s="1" t="s">
        <v>23</v>
      </c>
      <c r="N378" s="1" t="n">
        <v>87</v>
      </c>
      <c r="O378" s="1" t="s">
        <v>1786</v>
      </c>
      <c r="P378" s="1" t="n">
        <v>5468</v>
      </c>
      <c r="Q378" s="1" t="s">
        <v>1787</v>
      </c>
      <c r="R378" s="1" t="s">
        <v>1788</v>
      </c>
      <c r="S378" s="1" t="s">
        <v>23</v>
      </c>
      <c r="T378" s="1" t="s">
        <v>23</v>
      </c>
      <c r="U378" s="1" t="s">
        <v>23</v>
      </c>
      <c r="V378" s="1" t="s">
        <v>1598</v>
      </c>
    </row>
    <row r="379" customFormat="false" ht="13.8" hidden="false" customHeight="false" outlineLevel="0" collapsed="false">
      <c r="A379" s="1" t="n">
        <v>378</v>
      </c>
      <c r="B379" s="2" t="s">
        <v>1789</v>
      </c>
      <c r="C379" s="1" t="n">
        <v>5</v>
      </c>
      <c r="D379" s="1" t="n">
        <v>38</v>
      </c>
      <c r="E379" s="1" t="n">
        <v>41</v>
      </c>
      <c r="F379" s="1" t="n">
        <v>45</v>
      </c>
      <c r="G379" s="1" t="n">
        <v>48</v>
      </c>
      <c r="H379" s="1" t="n">
        <v>55</v>
      </c>
      <c r="I379" s="1" t="str">
        <f aca="false">RIGHT(("0"&amp;C379),2)&amp;RIGHT(("0"&amp;D379),2)&amp;RIGHT(("0"&amp;E379),2)&amp;RIGHT(("0"&amp;F379),2)&amp;RIGHT(("0"&amp;G379),2)&amp;RIGHT(("0"&amp;H379),2)</f>
        <v>053841454855</v>
      </c>
      <c r="J379" s="1" t="n">
        <f aca="false">COUNTIF(I:I,I379)</f>
        <v>1</v>
      </c>
      <c r="K379" s="1" t="n">
        <v>0</v>
      </c>
      <c r="M379" s="1" t="s">
        <v>23</v>
      </c>
      <c r="N379" s="1" t="n">
        <v>36</v>
      </c>
      <c r="O379" s="1" t="s">
        <v>1790</v>
      </c>
      <c r="P379" s="1" t="n">
        <v>3115</v>
      </c>
      <c r="Q379" s="1" t="s">
        <v>1791</v>
      </c>
      <c r="R379" s="1" t="s">
        <v>1792</v>
      </c>
      <c r="S379" s="1" t="s">
        <v>23</v>
      </c>
      <c r="T379" s="1" t="s">
        <v>23</v>
      </c>
      <c r="U379" s="1" t="s">
        <v>23</v>
      </c>
      <c r="V379" s="1" t="s">
        <v>1793</v>
      </c>
    </row>
    <row r="380" customFormat="false" ht="13.8" hidden="false" customHeight="false" outlineLevel="0" collapsed="false">
      <c r="A380" s="1" t="n">
        <v>379</v>
      </c>
      <c r="B380" s="2" t="s">
        <v>1794</v>
      </c>
      <c r="C380" s="1" t="n">
        <v>24</v>
      </c>
      <c r="D380" s="1" t="n">
        <v>33</v>
      </c>
      <c r="E380" s="1" t="n">
        <v>40</v>
      </c>
      <c r="F380" s="1" t="n">
        <v>41</v>
      </c>
      <c r="G380" s="1" t="n">
        <v>55</v>
      </c>
      <c r="H380" s="1" t="n">
        <v>59</v>
      </c>
      <c r="I380" s="1" t="str">
        <f aca="false">RIGHT(("0"&amp;C380),2)&amp;RIGHT(("0"&amp;D380),2)&amp;RIGHT(("0"&amp;E380),2)&amp;RIGHT(("0"&amp;F380),2)&amp;RIGHT(("0"&amp;G380),2)&amp;RIGHT(("0"&amp;H380),2)</f>
        <v>243340415559</v>
      </c>
      <c r="J380" s="1" t="n">
        <f aca="false">COUNTIF(I:I,I380)</f>
        <v>1</v>
      </c>
      <c r="K380" s="1" t="n">
        <v>0</v>
      </c>
      <c r="M380" s="1" t="s">
        <v>23</v>
      </c>
      <c r="N380" s="1" t="n">
        <v>32</v>
      </c>
      <c r="O380" s="1" t="s">
        <v>1795</v>
      </c>
      <c r="P380" s="1" t="n">
        <v>2830</v>
      </c>
      <c r="Q380" s="1" t="s">
        <v>1796</v>
      </c>
      <c r="R380" s="1" t="s">
        <v>1797</v>
      </c>
      <c r="S380" s="1" t="s">
        <v>23</v>
      </c>
      <c r="T380" s="1" t="s">
        <v>23</v>
      </c>
      <c r="U380" s="1" t="s">
        <v>23</v>
      </c>
      <c r="V380" s="1" t="s">
        <v>1798</v>
      </c>
    </row>
    <row r="381" customFormat="false" ht="13.8" hidden="false" customHeight="false" outlineLevel="0" collapsed="false">
      <c r="A381" s="1" t="n">
        <v>380</v>
      </c>
      <c r="B381" s="2" t="s">
        <v>1799</v>
      </c>
      <c r="C381" s="1" t="n">
        <v>13</v>
      </c>
      <c r="D381" s="1" t="n">
        <v>22</v>
      </c>
      <c r="E381" s="1" t="n">
        <v>30</v>
      </c>
      <c r="F381" s="1" t="n">
        <v>31</v>
      </c>
      <c r="G381" s="1" t="n">
        <v>47</v>
      </c>
      <c r="H381" s="1" t="n">
        <v>57</v>
      </c>
      <c r="I381" s="1" t="str">
        <f aca="false">RIGHT(("0"&amp;C381),2)&amp;RIGHT(("0"&amp;D381),2)&amp;RIGHT(("0"&amp;E381),2)&amp;RIGHT(("0"&amp;F381),2)&amp;RIGHT(("0"&amp;G381),2)&amp;RIGHT(("0"&amp;H381),2)</f>
        <v>132230314757</v>
      </c>
      <c r="J381" s="1" t="n">
        <f aca="false">COUNTIF(I:I,I381)</f>
        <v>1</v>
      </c>
      <c r="K381" s="1" t="n">
        <v>0</v>
      </c>
      <c r="M381" s="1" t="s">
        <v>23</v>
      </c>
      <c r="N381" s="1" t="n">
        <v>206</v>
      </c>
      <c r="O381" s="1" t="s">
        <v>1800</v>
      </c>
      <c r="P381" s="1" t="n">
        <v>7186</v>
      </c>
      <c r="Q381" s="1" t="s">
        <v>1801</v>
      </c>
      <c r="R381" s="1" t="s">
        <v>1802</v>
      </c>
      <c r="S381" s="1" t="s">
        <v>23</v>
      </c>
      <c r="T381" s="1" t="s">
        <v>23</v>
      </c>
      <c r="U381" s="1" t="s">
        <v>23</v>
      </c>
      <c r="V381" s="1" t="s">
        <v>1803</v>
      </c>
    </row>
    <row r="382" customFormat="false" ht="13.8" hidden="false" customHeight="false" outlineLevel="0" collapsed="false">
      <c r="A382" s="1" t="n">
        <v>381</v>
      </c>
      <c r="B382" s="2" t="s">
        <v>1804</v>
      </c>
      <c r="C382" s="1" t="n">
        <v>9</v>
      </c>
      <c r="D382" s="1" t="n">
        <v>10</v>
      </c>
      <c r="E382" s="1" t="n">
        <v>28</v>
      </c>
      <c r="F382" s="1" t="n">
        <v>46</v>
      </c>
      <c r="G382" s="1" t="n">
        <v>55</v>
      </c>
      <c r="H382" s="1" t="n">
        <v>56</v>
      </c>
      <c r="I382" s="1" t="str">
        <f aca="false">RIGHT(("0"&amp;C382),2)&amp;RIGHT(("0"&amp;D382),2)&amp;RIGHT(("0"&amp;E382),2)&amp;RIGHT(("0"&amp;F382),2)&amp;RIGHT(("0"&amp;G382),2)&amp;RIGHT(("0"&amp;H382),2)</f>
        <v>091028465556</v>
      </c>
      <c r="J382" s="1" t="n">
        <f aca="false">COUNTIF(I:I,I382)</f>
        <v>1</v>
      </c>
      <c r="K382" s="1" t="n">
        <v>0</v>
      </c>
      <c r="M382" s="1" t="s">
        <v>23</v>
      </c>
      <c r="N382" s="1" t="n">
        <v>85</v>
      </c>
      <c r="O382" s="1" t="s">
        <v>1805</v>
      </c>
      <c r="P382" s="1" t="n">
        <v>7295</v>
      </c>
      <c r="Q382" s="1" t="s">
        <v>1806</v>
      </c>
      <c r="R382" s="1" t="s">
        <v>1807</v>
      </c>
      <c r="S382" s="1" t="s">
        <v>23</v>
      </c>
      <c r="T382" s="1" t="s">
        <v>23</v>
      </c>
      <c r="U382" s="1" t="s">
        <v>23</v>
      </c>
      <c r="V382" s="1" t="s">
        <v>1808</v>
      </c>
    </row>
    <row r="383" customFormat="false" ht="13.8" hidden="false" customHeight="false" outlineLevel="0" collapsed="false">
      <c r="A383" s="1" t="n">
        <v>382</v>
      </c>
      <c r="B383" s="2" t="s">
        <v>1809</v>
      </c>
      <c r="C383" s="1" t="n">
        <v>31</v>
      </c>
      <c r="D383" s="1" t="n">
        <v>34</v>
      </c>
      <c r="E383" s="1" t="n">
        <v>37</v>
      </c>
      <c r="F383" s="1" t="n">
        <v>38</v>
      </c>
      <c r="G383" s="1" t="n">
        <v>53</v>
      </c>
      <c r="H383" s="1" t="n">
        <v>54</v>
      </c>
      <c r="I383" s="1" t="str">
        <f aca="false">RIGHT(("0"&amp;C383),2)&amp;RIGHT(("0"&amp;D383),2)&amp;RIGHT(("0"&amp;E383),2)&amp;RIGHT(("0"&amp;F383),2)&amp;RIGHT(("0"&amp;G383),2)&amp;RIGHT(("0"&amp;H383),2)</f>
        <v>313437385354</v>
      </c>
      <c r="J383" s="1" t="n">
        <f aca="false">COUNTIF(I:I,I383)</f>
        <v>1</v>
      </c>
      <c r="K383" s="1" t="n">
        <v>0</v>
      </c>
      <c r="M383" s="1" t="s">
        <v>23</v>
      </c>
      <c r="N383" s="1" t="n">
        <v>68</v>
      </c>
      <c r="O383" s="1" t="s">
        <v>1810</v>
      </c>
      <c r="P383" s="1" t="n">
        <v>6291</v>
      </c>
      <c r="Q383" s="1" t="s">
        <v>1811</v>
      </c>
      <c r="R383" s="1" t="s">
        <v>1812</v>
      </c>
      <c r="S383" s="1" t="s">
        <v>23</v>
      </c>
      <c r="T383" s="1" t="s">
        <v>23</v>
      </c>
      <c r="U383" s="1" t="s">
        <v>23</v>
      </c>
      <c r="V383" s="1" t="s">
        <v>1813</v>
      </c>
    </row>
    <row r="384" customFormat="false" ht="13.8" hidden="false" customHeight="false" outlineLevel="0" collapsed="false">
      <c r="A384" s="1" t="n">
        <v>383</v>
      </c>
      <c r="B384" s="2" t="s">
        <v>1814</v>
      </c>
      <c r="C384" s="1" t="n">
        <v>14</v>
      </c>
      <c r="D384" s="1" t="n">
        <v>22</v>
      </c>
      <c r="E384" s="1" t="n">
        <v>48</v>
      </c>
      <c r="F384" s="1" t="n">
        <v>50</v>
      </c>
      <c r="G384" s="1" t="n">
        <v>53</v>
      </c>
      <c r="H384" s="1" t="n">
        <v>56</v>
      </c>
      <c r="I384" s="1" t="str">
        <f aca="false">RIGHT(("0"&amp;C384),2)&amp;RIGHT(("0"&amp;D384),2)&amp;RIGHT(("0"&amp;E384),2)&amp;RIGHT(("0"&amp;F384),2)&amp;RIGHT(("0"&amp;G384),2)&amp;RIGHT(("0"&amp;H384),2)</f>
        <v>142248505356</v>
      </c>
      <c r="J384" s="1" t="n">
        <f aca="false">COUNTIF(I:I,I384)</f>
        <v>1</v>
      </c>
      <c r="K384" s="1" t="n">
        <v>0</v>
      </c>
      <c r="M384" s="1" t="s">
        <v>23</v>
      </c>
      <c r="N384" s="1" t="n">
        <v>73</v>
      </c>
      <c r="O384" s="1" t="s">
        <v>1815</v>
      </c>
      <c r="P384" s="1" t="n">
        <v>6573</v>
      </c>
      <c r="Q384" s="1" t="s">
        <v>1816</v>
      </c>
      <c r="R384" s="1" t="s">
        <v>1817</v>
      </c>
      <c r="S384" s="1" t="s">
        <v>23</v>
      </c>
      <c r="T384" s="1" t="s">
        <v>23</v>
      </c>
      <c r="U384" s="1" t="s">
        <v>23</v>
      </c>
      <c r="V384" s="1" t="s">
        <v>1818</v>
      </c>
    </row>
    <row r="385" customFormat="false" ht="13.8" hidden="false" customHeight="false" outlineLevel="0" collapsed="false">
      <c r="A385" s="1" t="n">
        <v>384</v>
      </c>
      <c r="B385" s="2" t="s">
        <v>1819</v>
      </c>
      <c r="C385" s="1" t="n">
        <v>24</v>
      </c>
      <c r="D385" s="1" t="n">
        <v>28</v>
      </c>
      <c r="E385" s="1" t="n">
        <v>40</v>
      </c>
      <c r="F385" s="1" t="n">
        <v>47</v>
      </c>
      <c r="G385" s="1" t="n">
        <v>50</v>
      </c>
      <c r="H385" s="1" t="n">
        <v>52</v>
      </c>
      <c r="I385" s="1" t="str">
        <f aca="false">RIGHT(("0"&amp;C385),2)&amp;RIGHT(("0"&amp;D385),2)&amp;RIGHT(("0"&amp;E385),2)&amp;RIGHT(("0"&amp;F385),2)&amp;RIGHT(("0"&amp;G385),2)&amp;RIGHT(("0"&amp;H385),2)</f>
        <v>242840475052</v>
      </c>
      <c r="J385" s="1" t="n">
        <f aca="false">COUNTIF(I:I,I385)</f>
        <v>1</v>
      </c>
      <c r="K385" s="1" t="n">
        <v>0</v>
      </c>
      <c r="M385" s="1" t="s">
        <v>23</v>
      </c>
      <c r="N385" s="1" t="n">
        <v>151</v>
      </c>
      <c r="O385" s="1" t="s">
        <v>1820</v>
      </c>
      <c r="P385" s="1" t="n">
        <v>10644</v>
      </c>
      <c r="Q385" s="1" t="s">
        <v>1821</v>
      </c>
      <c r="R385" s="1" t="s">
        <v>1822</v>
      </c>
      <c r="S385" s="1" t="s">
        <v>23</v>
      </c>
      <c r="T385" s="1" t="s">
        <v>23</v>
      </c>
      <c r="U385" s="1" t="s">
        <v>23</v>
      </c>
      <c r="V385" s="1" t="s">
        <v>1823</v>
      </c>
    </row>
    <row r="386" customFormat="false" ht="13.8" hidden="false" customHeight="false" outlineLevel="0" collapsed="false">
      <c r="A386" s="1" t="n">
        <v>385</v>
      </c>
      <c r="B386" s="2" t="s">
        <v>1824</v>
      </c>
      <c r="C386" s="1" t="n">
        <v>5</v>
      </c>
      <c r="D386" s="1" t="n">
        <v>12</v>
      </c>
      <c r="E386" s="1" t="n">
        <v>16</v>
      </c>
      <c r="F386" s="1" t="n">
        <v>18</v>
      </c>
      <c r="G386" s="1" t="n">
        <v>22</v>
      </c>
      <c r="H386" s="1" t="n">
        <v>24</v>
      </c>
      <c r="I386" s="1" t="str">
        <f aca="false">RIGHT(("0"&amp;C386),2)&amp;RIGHT(("0"&amp;D386),2)&amp;RIGHT(("0"&amp;E386),2)&amp;RIGHT(("0"&amp;F386),2)&amp;RIGHT(("0"&amp;G386),2)&amp;RIGHT(("0"&amp;H386),2)</f>
        <v>051216182224</v>
      </c>
      <c r="J386" s="1" t="n">
        <f aca="false">COUNTIF(I:I,I386)</f>
        <v>1</v>
      </c>
      <c r="K386" s="1" t="n">
        <v>2</v>
      </c>
      <c r="L386" s="1" t="s">
        <v>1825</v>
      </c>
      <c r="M386" s="1" t="s">
        <v>1826</v>
      </c>
      <c r="N386" s="1" t="n">
        <v>759</v>
      </c>
      <c r="O386" s="1" t="s">
        <v>1827</v>
      </c>
      <c r="P386" s="1" t="n">
        <v>37449</v>
      </c>
      <c r="Q386" s="1" t="s">
        <v>1828</v>
      </c>
      <c r="R386" s="1" t="s">
        <v>23</v>
      </c>
      <c r="S386" s="1" t="s">
        <v>23</v>
      </c>
      <c r="T386" s="1" t="s">
        <v>23</v>
      </c>
      <c r="U386" s="1" t="s">
        <v>23</v>
      </c>
      <c r="V386" s="1" t="s">
        <v>1829</v>
      </c>
    </row>
    <row r="387" customFormat="false" ht="13.8" hidden="false" customHeight="false" outlineLevel="0" collapsed="false">
      <c r="A387" s="1" t="n">
        <v>386</v>
      </c>
      <c r="B387" s="2" t="s">
        <v>1830</v>
      </c>
      <c r="C387" s="1" t="n">
        <v>17</v>
      </c>
      <c r="D387" s="1" t="n">
        <v>35</v>
      </c>
      <c r="E387" s="1" t="n">
        <v>36</v>
      </c>
      <c r="F387" s="1" t="n">
        <v>39</v>
      </c>
      <c r="G387" s="1" t="n">
        <v>43</v>
      </c>
      <c r="H387" s="1" t="n">
        <v>54</v>
      </c>
      <c r="I387" s="1" t="str">
        <f aca="false">RIGHT(("0"&amp;C387),2)&amp;RIGHT(("0"&amp;D387),2)&amp;RIGHT(("0"&amp;E387),2)&amp;RIGHT(("0"&amp;F387),2)&amp;RIGHT(("0"&amp;G387),2)&amp;RIGHT(("0"&amp;H387),2)</f>
        <v>173536394354</v>
      </c>
      <c r="J387" s="1" t="n">
        <f aca="false">COUNTIF(I:I,I387)</f>
        <v>1</v>
      </c>
      <c r="K387" s="1" t="n">
        <v>0</v>
      </c>
      <c r="M387" s="1" t="s">
        <v>23</v>
      </c>
      <c r="N387" s="1" t="n">
        <v>70</v>
      </c>
      <c r="O387" s="1" t="s">
        <v>1831</v>
      </c>
      <c r="P387" s="1" t="n">
        <v>5236</v>
      </c>
      <c r="Q387" s="1" t="s">
        <v>1832</v>
      </c>
      <c r="R387" s="1" t="s">
        <v>1833</v>
      </c>
      <c r="S387" s="1" t="s">
        <v>23</v>
      </c>
      <c r="T387" s="1" t="s">
        <v>23</v>
      </c>
      <c r="U387" s="1" t="s">
        <v>23</v>
      </c>
      <c r="V387" s="1" t="s">
        <v>1834</v>
      </c>
    </row>
    <row r="388" customFormat="false" ht="13.8" hidden="false" customHeight="false" outlineLevel="0" collapsed="false">
      <c r="A388" s="1" t="n">
        <v>387</v>
      </c>
      <c r="B388" s="2" t="s">
        <v>1835</v>
      </c>
      <c r="C388" s="1" t="n">
        <v>22</v>
      </c>
      <c r="D388" s="1" t="n">
        <v>28</v>
      </c>
      <c r="E388" s="1" t="n">
        <v>29</v>
      </c>
      <c r="F388" s="1" t="n">
        <v>43</v>
      </c>
      <c r="G388" s="1" t="n">
        <v>47</v>
      </c>
      <c r="H388" s="1" t="n">
        <v>48</v>
      </c>
      <c r="I388" s="1" t="str">
        <f aca="false">RIGHT(("0"&amp;C388),2)&amp;RIGHT(("0"&amp;D388),2)&amp;RIGHT(("0"&amp;E388),2)&amp;RIGHT(("0"&amp;F388),2)&amp;RIGHT(("0"&amp;G388),2)&amp;RIGHT(("0"&amp;H388),2)</f>
        <v>222829434748</v>
      </c>
      <c r="J388" s="1" t="n">
        <f aca="false">COUNTIF(I:I,I388)</f>
        <v>1</v>
      </c>
      <c r="K388" s="1" t="n">
        <v>0</v>
      </c>
      <c r="M388" s="1" t="s">
        <v>23</v>
      </c>
      <c r="N388" s="1" t="n">
        <v>40</v>
      </c>
      <c r="O388" s="1" t="s">
        <v>1836</v>
      </c>
      <c r="P388" s="1" t="n">
        <v>2998</v>
      </c>
      <c r="Q388" s="1" t="s">
        <v>1837</v>
      </c>
      <c r="R388" s="1" t="s">
        <v>1838</v>
      </c>
      <c r="S388" s="1" t="s">
        <v>23</v>
      </c>
      <c r="T388" s="1" t="s">
        <v>23</v>
      </c>
      <c r="U388" s="1" t="s">
        <v>23</v>
      </c>
      <c r="V388" s="1" t="s">
        <v>1543</v>
      </c>
    </row>
    <row r="389" customFormat="false" ht="13.8" hidden="false" customHeight="false" outlineLevel="0" collapsed="false">
      <c r="A389" s="1" t="n">
        <v>388</v>
      </c>
      <c r="B389" s="2" t="s">
        <v>1839</v>
      </c>
      <c r="C389" s="1" t="n">
        <v>23</v>
      </c>
      <c r="D389" s="1" t="n">
        <v>36</v>
      </c>
      <c r="E389" s="1" t="n">
        <v>48</v>
      </c>
      <c r="F389" s="1" t="n">
        <v>52</v>
      </c>
      <c r="G389" s="1" t="n">
        <v>53</v>
      </c>
      <c r="H389" s="1" t="n">
        <v>58</v>
      </c>
      <c r="I389" s="1" t="str">
        <f aca="false">RIGHT(("0"&amp;C389),2)&amp;RIGHT(("0"&amp;D389),2)&amp;RIGHT(("0"&amp;E389),2)&amp;RIGHT(("0"&amp;F389),2)&amp;RIGHT(("0"&amp;G389),2)&amp;RIGHT(("0"&amp;H389),2)</f>
        <v>233648525358</v>
      </c>
      <c r="J389" s="1" t="n">
        <f aca="false">COUNTIF(I:I,I389)</f>
        <v>1</v>
      </c>
      <c r="K389" s="1" t="n">
        <v>0</v>
      </c>
      <c r="M389" s="1" t="s">
        <v>23</v>
      </c>
      <c r="N389" s="1" t="n">
        <v>46</v>
      </c>
      <c r="O389" s="1" t="s">
        <v>1840</v>
      </c>
      <c r="P389" s="1" t="n">
        <v>4293</v>
      </c>
      <c r="Q389" s="1" t="s">
        <v>1841</v>
      </c>
      <c r="R389" s="1" t="s">
        <v>1842</v>
      </c>
      <c r="S389" s="1" t="s">
        <v>23</v>
      </c>
      <c r="T389" s="1" t="s">
        <v>23</v>
      </c>
      <c r="U389" s="1" t="s">
        <v>23</v>
      </c>
      <c r="V389" s="1" t="s">
        <v>1843</v>
      </c>
    </row>
    <row r="390" customFormat="false" ht="13.8" hidden="false" customHeight="false" outlineLevel="0" collapsed="false">
      <c r="A390" s="1" t="n">
        <v>389</v>
      </c>
      <c r="B390" s="2" t="s">
        <v>1844</v>
      </c>
      <c r="C390" s="1" t="n">
        <v>5</v>
      </c>
      <c r="D390" s="1" t="n">
        <v>14</v>
      </c>
      <c r="E390" s="1" t="n">
        <v>18</v>
      </c>
      <c r="F390" s="1" t="n">
        <v>43</v>
      </c>
      <c r="G390" s="1" t="n">
        <v>46</v>
      </c>
      <c r="H390" s="1" t="n">
        <v>54</v>
      </c>
      <c r="I390" s="1" t="str">
        <f aca="false">RIGHT(("0"&amp;C390),2)&amp;RIGHT(("0"&amp;D390),2)&amp;RIGHT(("0"&amp;E390),2)&amp;RIGHT(("0"&amp;F390),2)&amp;RIGHT(("0"&amp;G390),2)&amp;RIGHT(("0"&amp;H390),2)</f>
        <v>051418434654</v>
      </c>
      <c r="J390" s="1" t="n">
        <f aca="false">COUNTIF(I:I,I390)</f>
        <v>1</v>
      </c>
      <c r="K390" s="1" t="n">
        <v>0</v>
      </c>
      <c r="M390" s="1" t="s">
        <v>23</v>
      </c>
      <c r="N390" s="1" t="n">
        <v>63</v>
      </c>
      <c r="O390" s="1" t="s">
        <v>1845</v>
      </c>
      <c r="P390" s="1" t="n">
        <v>4169</v>
      </c>
      <c r="Q390" s="1" t="s">
        <v>1846</v>
      </c>
      <c r="R390" s="1" t="s">
        <v>1847</v>
      </c>
      <c r="S390" s="1" t="s">
        <v>23</v>
      </c>
      <c r="T390" s="1" t="s">
        <v>23</v>
      </c>
      <c r="U390" s="1" t="s">
        <v>23</v>
      </c>
      <c r="V390" s="1" t="s">
        <v>1813</v>
      </c>
    </row>
    <row r="391" customFormat="false" ht="13.8" hidden="false" customHeight="false" outlineLevel="0" collapsed="false">
      <c r="A391" s="1" t="n">
        <v>390</v>
      </c>
      <c r="B391" s="2" t="s">
        <v>1848</v>
      </c>
      <c r="C391" s="1" t="n">
        <v>7</v>
      </c>
      <c r="D391" s="1" t="n">
        <v>12</v>
      </c>
      <c r="E391" s="1" t="n">
        <v>22</v>
      </c>
      <c r="F391" s="1" t="n">
        <v>34</v>
      </c>
      <c r="G391" s="1" t="n">
        <v>38</v>
      </c>
      <c r="H391" s="1" t="n">
        <v>53</v>
      </c>
      <c r="I391" s="1" t="str">
        <f aca="false">RIGHT(("0"&amp;C391),2)&amp;RIGHT(("0"&amp;D391),2)&amp;RIGHT(("0"&amp;E391),2)&amp;RIGHT(("0"&amp;F391),2)&amp;RIGHT(("0"&amp;G391),2)&amp;RIGHT(("0"&amp;H391),2)</f>
        <v>071222343853</v>
      </c>
      <c r="J391" s="1" t="n">
        <f aca="false">COUNTIF(I:I,I391)</f>
        <v>1</v>
      </c>
      <c r="K391" s="1" t="n">
        <v>1</v>
      </c>
      <c r="L391" s="1" t="s">
        <v>1722</v>
      </c>
      <c r="M391" s="1" t="s">
        <v>1849</v>
      </c>
      <c r="N391" s="1" t="n">
        <v>171</v>
      </c>
      <c r="O391" s="1" t="s">
        <v>1850</v>
      </c>
      <c r="P391" s="1" t="n">
        <v>10722</v>
      </c>
      <c r="Q391" s="1" t="s">
        <v>1851</v>
      </c>
      <c r="R391" s="1" t="s">
        <v>23</v>
      </c>
      <c r="S391" s="1" t="s">
        <v>23</v>
      </c>
      <c r="T391" s="1" t="s">
        <v>23</v>
      </c>
      <c r="U391" s="1" t="s">
        <v>23</v>
      </c>
      <c r="V391" s="1" t="s">
        <v>1852</v>
      </c>
    </row>
    <row r="392" customFormat="false" ht="13.8" hidden="false" customHeight="false" outlineLevel="0" collapsed="false">
      <c r="A392" s="1" t="n">
        <v>391</v>
      </c>
      <c r="B392" s="2" t="s">
        <v>1853</v>
      </c>
      <c r="C392" s="1" t="n">
        <v>4</v>
      </c>
      <c r="D392" s="1" t="n">
        <v>7</v>
      </c>
      <c r="E392" s="1" t="n">
        <v>15</v>
      </c>
      <c r="F392" s="1" t="n">
        <v>16</v>
      </c>
      <c r="G392" s="1" t="n">
        <v>35</v>
      </c>
      <c r="H392" s="1" t="n">
        <v>40</v>
      </c>
      <c r="I392" s="1" t="str">
        <f aca="false">RIGHT(("0"&amp;C392),2)&amp;RIGHT(("0"&amp;D392),2)&amp;RIGHT(("0"&amp;E392),2)&amp;RIGHT(("0"&amp;F392),2)&amp;RIGHT(("0"&amp;G392),2)&amp;RIGHT(("0"&amp;H392),2)</f>
        <v>040715163540</v>
      </c>
      <c r="J392" s="1" t="n">
        <f aca="false">COUNTIF(I:I,I392)</f>
        <v>1</v>
      </c>
      <c r="K392" s="1" t="n">
        <v>0</v>
      </c>
      <c r="M392" s="1" t="s">
        <v>23</v>
      </c>
      <c r="N392" s="1" t="n">
        <v>44</v>
      </c>
      <c r="O392" s="1" t="s">
        <v>1854</v>
      </c>
      <c r="P392" s="1" t="n">
        <v>2740</v>
      </c>
      <c r="Q392" s="1" t="s">
        <v>1855</v>
      </c>
      <c r="R392" s="1" t="s">
        <v>1856</v>
      </c>
      <c r="S392" s="1" t="s">
        <v>23</v>
      </c>
      <c r="T392" s="1" t="s">
        <v>23</v>
      </c>
      <c r="U392" s="1" t="s">
        <v>23</v>
      </c>
      <c r="V392" s="1" t="s">
        <v>1857</v>
      </c>
    </row>
    <row r="393" customFormat="false" ht="13.8" hidden="false" customHeight="false" outlineLevel="0" collapsed="false">
      <c r="A393" s="1" t="n">
        <v>392</v>
      </c>
      <c r="B393" s="2" t="s">
        <v>1858</v>
      </c>
      <c r="C393" s="1" t="n">
        <v>15</v>
      </c>
      <c r="D393" s="1" t="n">
        <v>23</v>
      </c>
      <c r="E393" s="1" t="n">
        <v>31</v>
      </c>
      <c r="F393" s="1" t="n">
        <v>39</v>
      </c>
      <c r="G393" s="1" t="n">
        <v>47</v>
      </c>
      <c r="H393" s="1" t="n">
        <v>49</v>
      </c>
      <c r="I393" s="1" t="str">
        <f aca="false">RIGHT(("0"&amp;C393),2)&amp;RIGHT(("0"&amp;D393),2)&amp;RIGHT(("0"&amp;E393),2)&amp;RIGHT(("0"&amp;F393),2)&amp;RIGHT(("0"&amp;G393),2)&amp;RIGHT(("0"&amp;H393),2)</f>
        <v>152331394749</v>
      </c>
      <c r="J393" s="1" t="n">
        <f aca="false">COUNTIF(I:I,I393)</f>
        <v>1</v>
      </c>
      <c r="K393" s="1" t="n">
        <v>1</v>
      </c>
      <c r="L393" s="1" t="s">
        <v>91</v>
      </c>
      <c r="M393" s="1" t="s">
        <v>1859</v>
      </c>
      <c r="N393" s="1" t="n">
        <v>68</v>
      </c>
      <c r="O393" s="1" t="s">
        <v>1860</v>
      </c>
      <c r="P393" s="1" t="n">
        <v>3591</v>
      </c>
      <c r="Q393" s="1" t="s">
        <v>1861</v>
      </c>
      <c r="R393" s="1" t="s">
        <v>23</v>
      </c>
      <c r="S393" s="1" t="s">
        <v>23</v>
      </c>
      <c r="T393" s="1" t="s">
        <v>23</v>
      </c>
      <c r="U393" s="1" t="s">
        <v>23</v>
      </c>
      <c r="V393" s="1" t="s">
        <v>1862</v>
      </c>
    </row>
    <row r="394" customFormat="false" ht="13.8" hidden="false" customHeight="false" outlineLevel="0" collapsed="false">
      <c r="A394" s="1" t="n">
        <v>393</v>
      </c>
      <c r="B394" s="2" t="s">
        <v>1863</v>
      </c>
      <c r="C394" s="1" t="n">
        <v>6</v>
      </c>
      <c r="D394" s="1" t="n">
        <v>12</v>
      </c>
      <c r="E394" s="1" t="n">
        <v>35</v>
      </c>
      <c r="F394" s="1" t="n">
        <v>36</v>
      </c>
      <c r="G394" s="1" t="n">
        <v>40</v>
      </c>
      <c r="H394" s="1" t="n">
        <v>50</v>
      </c>
      <c r="I394" s="1" t="str">
        <f aca="false">RIGHT(("0"&amp;C394),2)&amp;RIGHT(("0"&amp;D394),2)&amp;RIGHT(("0"&amp;E394),2)&amp;RIGHT(("0"&amp;F394),2)&amp;RIGHT(("0"&amp;G394),2)&amp;RIGHT(("0"&amp;H394),2)</f>
        <v>061235364050</v>
      </c>
      <c r="J394" s="1" t="n">
        <f aca="false">COUNTIF(I:I,I394)</f>
        <v>1</v>
      </c>
      <c r="K394" s="1" t="n">
        <v>0</v>
      </c>
      <c r="M394" s="1" t="s">
        <v>23</v>
      </c>
      <c r="N394" s="1" t="n">
        <v>31</v>
      </c>
      <c r="O394" s="1" t="s">
        <v>1864</v>
      </c>
      <c r="P394" s="1" t="n">
        <v>1949</v>
      </c>
      <c r="Q394" s="1" t="s">
        <v>1865</v>
      </c>
      <c r="R394" s="1" t="s">
        <v>1866</v>
      </c>
      <c r="S394" s="1" t="s">
        <v>23</v>
      </c>
      <c r="T394" s="1" t="s">
        <v>23</v>
      </c>
      <c r="U394" s="1" t="s">
        <v>23</v>
      </c>
      <c r="V394" s="1" t="s">
        <v>1857</v>
      </c>
    </row>
    <row r="395" customFormat="false" ht="13.8" hidden="false" customHeight="false" outlineLevel="0" collapsed="false">
      <c r="A395" s="1" t="n">
        <v>394</v>
      </c>
      <c r="B395" s="2" t="s">
        <v>1867</v>
      </c>
      <c r="C395" s="1" t="n">
        <v>5</v>
      </c>
      <c r="D395" s="1" t="n">
        <v>15</v>
      </c>
      <c r="E395" s="1" t="n">
        <v>35</v>
      </c>
      <c r="F395" s="1" t="n">
        <v>42</v>
      </c>
      <c r="G395" s="1" t="n">
        <v>45</v>
      </c>
      <c r="H395" s="1" t="n">
        <v>49</v>
      </c>
      <c r="I395" s="1" t="str">
        <f aca="false">RIGHT(("0"&amp;C395),2)&amp;RIGHT(("0"&amp;D395),2)&amp;RIGHT(("0"&amp;E395),2)&amp;RIGHT(("0"&amp;F395),2)&amp;RIGHT(("0"&amp;G395),2)&amp;RIGHT(("0"&amp;H395),2)</f>
        <v>051535424549</v>
      </c>
      <c r="J395" s="1" t="n">
        <f aca="false">COUNTIF(I:I,I395)</f>
        <v>1</v>
      </c>
      <c r="K395" s="1" t="n">
        <v>0</v>
      </c>
      <c r="M395" s="1" t="s">
        <v>23</v>
      </c>
      <c r="N395" s="1" t="n">
        <v>47</v>
      </c>
      <c r="O395" s="1" t="s">
        <v>1868</v>
      </c>
      <c r="P395" s="1" t="n">
        <v>4815</v>
      </c>
      <c r="Q395" s="1" t="s">
        <v>1869</v>
      </c>
      <c r="R395" s="1" t="s">
        <v>1870</v>
      </c>
      <c r="S395" s="1" t="s">
        <v>23</v>
      </c>
      <c r="T395" s="1" t="s">
        <v>23</v>
      </c>
      <c r="U395" s="1" t="s">
        <v>23</v>
      </c>
      <c r="V395" s="1" t="s">
        <v>1538</v>
      </c>
    </row>
    <row r="396" customFormat="false" ht="13.8" hidden="false" customHeight="false" outlineLevel="0" collapsed="false">
      <c r="A396" s="1" t="n">
        <v>395</v>
      </c>
      <c r="B396" s="2" t="s">
        <v>1871</v>
      </c>
      <c r="C396" s="1" t="n">
        <v>10</v>
      </c>
      <c r="D396" s="1" t="n">
        <v>11</v>
      </c>
      <c r="E396" s="1" t="n">
        <v>14</v>
      </c>
      <c r="F396" s="1" t="n">
        <v>20</v>
      </c>
      <c r="G396" s="1" t="n">
        <v>31</v>
      </c>
      <c r="H396" s="1" t="n">
        <v>58</v>
      </c>
      <c r="I396" s="1" t="str">
        <f aca="false">RIGHT(("0"&amp;C396),2)&amp;RIGHT(("0"&amp;D396),2)&amp;RIGHT(("0"&amp;E396),2)&amp;RIGHT(("0"&amp;F396),2)&amp;RIGHT(("0"&amp;G396),2)&amp;RIGHT(("0"&amp;H396),2)</f>
        <v>101114203158</v>
      </c>
      <c r="J396" s="1" t="n">
        <f aca="false">COUNTIF(I:I,I396)</f>
        <v>1</v>
      </c>
      <c r="K396" s="1" t="n">
        <v>1</v>
      </c>
      <c r="L396" s="1" t="s">
        <v>1872</v>
      </c>
      <c r="M396" s="1" t="s">
        <v>1873</v>
      </c>
      <c r="N396" s="1" t="n">
        <v>27</v>
      </c>
      <c r="O396" s="1" t="s">
        <v>1874</v>
      </c>
      <c r="P396" s="1" t="n">
        <v>2328</v>
      </c>
      <c r="Q396" s="1" t="s">
        <v>1875</v>
      </c>
      <c r="R396" s="1" t="s">
        <v>23</v>
      </c>
      <c r="S396" s="1" t="s">
        <v>23</v>
      </c>
      <c r="T396" s="1" t="s">
        <v>23</v>
      </c>
      <c r="U396" s="1" t="s">
        <v>23</v>
      </c>
      <c r="V396" s="1" t="s">
        <v>1876</v>
      </c>
    </row>
    <row r="397" customFormat="false" ht="13.8" hidden="false" customHeight="false" outlineLevel="0" collapsed="false">
      <c r="A397" s="1" t="n">
        <v>396</v>
      </c>
      <c r="B397" s="2" t="s">
        <v>1877</v>
      </c>
      <c r="C397" s="1" t="n">
        <v>6</v>
      </c>
      <c r="D397" s="1" t="n">
        <v>18</v>
      </c>
      <c r="E397" s="1" t="n">
        <v>34</v>
      </c>
      <c r="F397" s="1" t="n">
        <v>42</v>
      </c>
      <c r="G397" s="1" t="n">
        <v>45</v>
      </c>
      <c r="H397" s="1" t="n">
        <v>47</v>
      </c>
      <c r="I397" s="1" t="str">
        <f aca="false">RIGHT(("0"&amp;C397),2)&amp;RIGHT(("0"&amp;D397),2)&amp;RIGHT(("0"&amp;E397),2)&amp;RIGHT(("0"&amp;F397),2)&amp;RIGHT(("0"&amp;G397),2)&amp;RIGHT(("0"&amp;H397),2)</f>
        <v>061834424547</v>
      </c>
      <c r="J397" s="1" t="n">
        <f aca="false">COUNTIF(I:I,I397)</f>
        <v>1</v>
      </c>
      <c r="K397" s="1" t="n">
        <v>0</v>
      </c>
      <c r="M397" s="1" t="s">
        <v>23</v>
      </c>
      <c r="N397" s="1" t="n">
        <v>63</v>
      </c>
      <c r="O397" s="1" t="s">
        <v>1878</v>
      </c>
      <c r="P397" s="1" t="n">
        <v>4201</v>
      </c>
      <c r="Q397" s="1" t="s">
        <v>1879</v>
      </c>
      <c r="R397" s="1" t="s">
        <v>1880</v>
      </c>
      <c r="S397" s="1" t="s">
        <v>23</v>
      </c>
      <c r="T397" s="1" t="s">
        <v>23</v>
      </c>
      <c r="U397" s="1" t="s">
        <v>23</v>
      </c>
      <c r="V397" s="1" t="s">
        <v>1881</v>
      </c>
    </row>
    <row r="398" customFormat="false" ht="13.8" hidden="false" customHeight="false" outlineLevel="0" collapsed="false">
      <c r="A398" s="1" t="n">
        <v>397</v>
      </c>
      <c r="B398" s="2" t="s">
        <v>1882</v>
      </c>
      <c r="C398" s="1" t="n">
        <v>1</v>
      </c>
      <c r="D398" s="1" t="n">
        <v>2</v>
      </c>
      <c r="E398" s="1" t="n">
        <v>5</v>
      </c>
      <c r="F398" s="1" t="n">
        <v>24</v>
      </c>
      <c r="G398" s="1" t="n">
        <v>32</v>
      </c>
      <c r="H398" s="1" t="n">
        <v>46</v>
      </c>
      <c r="I398" s="1" t="str">
        <f aca="false">RIGHT(("0"&amp;C398),2)&amp;RIGHT(("0"&amp;D398),2)&amp;RIGHT(("0"&amp;E398),2)&amp;RIGHT(("0"&amp;F398),2)&amp;RIGHT(("0"&amp;G398),2)&amp;RIGHT(("0"&amp;H398),2)</f>
        <v>010205243246</v>
      </c>
      <c r="J398" s="1" t="n">
        <f aca="false">COUNTIF(I:I,I398)</f>
        <v>1</v>
      </c>
      <c r="K398" s="1" t="n">
        <v>0</v>
      </c>
      <c r="M398" s="1" t="s">
        <v>23</v>
      </c>
      <c r="N398" s="1" t="n">
        <v>61</v>
      </c>
      <c r="O398" s="1" t="s">
        <v>1883</v>
      </c>
      <c r="P398" s="1" t="n">
        <v>4026</v>
      </c>
      <c r="Q398" s="1" t="s">
        <v>1884</v>
      </c>
      <c r="R398" s="1" t="s">
        <v>1885</v>
      </c>
      <c r="S398" s="1" t="s">
        <v>23</v>
      </c>
      <c r="T398" s="1" t="s">
        <v>23</v>
      </c>
      <c r="U398" s="1" t="s">
        <v>23</v>
      </c>
      <c r="V398" s="1" t="s">
        <v>1886</v>
      </c>
    </row>
    <row r="399" customFormat="false" ht="13.8" hidden="false" customHeight="false" outlineLevel="0" collapsed="false">
      <c r="A399" s="1" t="n">
        <v>398</v>
      </c>
      <c r="B399" s="2" t="s">
        <v>1887</v>
      </c>
      <c r="C399" s="1" t="n">
        <v>7</v>
      </c>
      <c r="D399" s="1" t="n">
        <v>16</v>
      </c>
      <c r="E399" s="1" t="n">
        <v>22</v>
      </c>
      <c r="F399" s="1" t="n">
        <v>28</v>
      </c>
      <c r="G399" s="1" t="n">
        <v>36</v>
      </c>
      <c r="H399" s="1" t="n">
        <v>37</v>
      </c>
      <c r="I399" s="1" t="str">
        <f aca="false">RIGHT(("0"&amp;C399),2)&amp;RIGHT(("0"&amp;D399),2)&amp;RIGHT(("0"&amp;E399),2)&amp;RIGHT(("0"&amp;F399),2)&amp;RIGHT(("0"&amp;G399),2)&amp;RIGHT(("0"&amp;H399),2)</f>
        <v>071622283637</v>
      </c>
      <c r="J399" s="1" t="n">
        <f aca="false">COUNTIF(I:I,I399)</f>
        <v>1</v>
      </c>
      <c r="K399" s="1" t="n">
        <v>1</v>
      </c>
      <c r="L399" s="1" t="s">
        <v>1747</v>
      </c>
      <c r="M399" s="1" t="s">
        <v>1888</v>
      </c>
      <c r="N399" s="1" t="n">
        <v>63</v>
      </c>
      <c r="O399" s="1" t="s">
        <v>1889</v>
      </c>
      <c r="P399" s="1" t="n">
        <v>5106</v>
      </c>
      <c r="Q399" s="1" t="s">
        <v>1890</v>
      </c>
      <c r="R399" s="1" t="s">
        <v>23</v>
      </c>
      <c r="S399" s="1" t="s">
        <v>23</v>
      </c>
      <c r="T399" s="1" t="s">
        <v>23</v>
      </c>
      <c r="U399" s="1" t="s">
        <v>23</v>
      </c>
      <c r="V399" s="1" t="s">
        <v>1578</v>
      </c>
    </row>
    <row r="400" customFormat="false" ht="13.8" hidden="false" customHeight="false" outlineLevel="0" collapsed="false">
      <c r="A400" s="1" t="n">
        <v>399</v>
      </c>
      <c r="B400" s="2" t="s">
        <v>1891</v>
      </c>
      <c r="C400" s="1" t="n">
        <v>11</v>
      </c>
      <c r="D400" s="1" t="n">
        <v>16</v>
      </c>
      <c r="E400" s="1" t="n">
        <v>27</v>
      </c>
      <c r="F400" s="1" t="n">
        <v>47</v>
      </c>
      <c r="G400" s="1" t="n">
        <v>55</v>
      </c>
      <c r="H400" s="1" t="n">
        <v>59</v>
      </c>
      <c r="I400" s="1" t="str">
        <f aca="false">RIGHT(("0"&amp;C400),2)&amp;RIGHT(("0"&amp;D400),2)&amp;RIGHT(("0"&amp;E400),2)&amp;RIGHT(("0"&amp;F400),2)&amp;RIGHT(("0"&amp;G400),2)&amp;RIGHT(("0"&amp;H400),2)</f>
        <v>111627475559</v>
      </c>
      <c r="J400" s="1" t="n">
        <f aca="false">COUNTIF(I:I,I400)</f>
        <v>1</v>
      </c>
      <c r="K400" s="1" t="n">
        <v>0</v>
      </c>
      <c r="M400" s="1" t="s">
        <v>23</v>
      </c>
      <c r="N400" s="1" t="n">
        <v>20</v>
      </c>
      <c r="O400" s="1" t="s">
        <v>1892</v>
      </c>
      <c r="P400" s="1" t="n">
        <v>1730</v>
      </c>
      <c r="Q400" s="1" t="s">
        <v>1893</v>
      </c>
      <c r="R400" s="1" t="s">
        <v>1894</v>
      </c>
      <c r="S400" s="1" t="s">
        <v>23</v>
      </c>
      <c r="T400" s="1" t="s">
        <v>23</v>
      </c>
      <c r="U400" s="1" t="s">
        <v>23</v>
      </c>
      <c r="V400" s="1" t="s">
        <v>1895</v>
      </c>
    </row>
    <row r="401" customFormat="false" ht="13.8" hidden="false" customHeight="false" outlineLevel="0" collapsed="false">
      <c r="A401" s="1" t="n">
        <v>400</v>
      </c>
      <c r="B401" s="2" t="s">
        <v>1896</v>
      </c>
      <c r="C401" s="1" t="n">
        <v>10</v>
      </c>
      <c r="D401" s="1" t="n">
        <v>13</v>
      </c>
      <c r="E401" s="1" t="n">
        <v>28</v>
      </c>
      <c r="F401" s="1" t="n">
        <v>29</v>
      </c>
      <c r="G401" s="1" t="n">
        <v>54</v>
      </c>
      <c r="H401" s="1" t="n">
        <v>59</v>
      </c>
      <c r="I401" s="1" t="str">
        <f aca="false">RIGHT(("0"&amp;C401),2)&amp;RIGHT(("0"&amp;D401),2)&amp;RIGHT(("0"&amp;E401),2)&amp;RIGHT(("0"&amp;F401),2)&amp;RIGHT(("0"&amp;G401),2)&amp;RIGHT(("0"&amp;H401),2)</f>
        <v>101328295459</v>
      </c>
      <c r="J401" s="1" t="n">
        <f aca="false">COUNTIF(I:I,I401)</f>
        <v>1</v>
      </c>
      <c r="K401" s="1" t="n">
        <v>0</v>
      </c>
      <c r="M401" s="1" t="s">
        <v>23</v>
      </c>
      <c r="N401" s="1" t="n">
        <v>75</v>
      </c>
      <c r="O401" s="1" t="s">
        <v>1897</v>
      </c>
      <c r="P401" s="1" t="n">
        <v>4875</v>
      </c>
      <c r="Q401" s="1" t="s">
        <v>1898</v>
      </c>
      <c r="R401" s="1" t="s">
        <v>1899</v>
      </c>
      <c r="S401" s="1" t="s">
        <v>23</v>
      </c>
      <c r="T401" s="1" t="s">
        <v>23</v>
      </c>
      <c r="U401" s="1" t="s">
        <v>23</v>
      </c>
      <c r="V401" s="1" t="s">
        <v>1900</v>
      </c>
    </row>
    <row r="402" customFormat="false" ht="13.8" hidden="false" customHeight="false" outlineLevel="0" collapsed="false">
      <c r="A402" s="1" t="n">
        <v>401</v>
      </c>
      <c r="B402" s="2" t="s">
        <v>1901</v>
      </c>
      <c r="C402" s="1" t="n">
        <v>11</v>
      </c>
      <c r="D402" s="1" t="n">
        <v>18</v>
      </c>
      <c r="E402" s="1" t="n">
        <v>43</v>
      </c>
      <c r="F402" s="1" t="n">
        <v>44</v>
      </c>
      <c r="G402" s="1" t="n">
        <v>50</v>
      </c>
      <c r="H402" s="1" t="n">
        <v>53</v>
      </c>
      <c r="I402" s="1" t="str">
        <f aca="false">RIGHT(("0"&amp;C402),2)&amp;RIGHT(("0"&amp;D402),2)&amp;RIGHT(("0"&amp;E402),2)&amp;RIGHT(("0"&amp;F402),2)&amp;RIGHT(("0"&amp;G402),2)&amp;RIGHT(("0"&amp;H402),2)</f>
        <v>111843445053</v>
      </c>
      <c r="J402" s="1" t="n">
        <f aca="false">COUNTIF(I:I,I402)</f>
        <v>1</v>
      </c>
      <c r="K402" s="1" t="n">
        <v>0</v>
      </c>
      <c r="M402" s="1" t="s">
        <v>23</v>
      </c>
      <c r="N402" s="1" t="n">
        <v>33</v>
      </c>
      <c r="O402" s="1" t="s">
        <v>1902</v>
      </c>
      <c r="P402" s="1" t="n">
        <v>2853</v>
      </c>
      <c r="Q402" s="1" t="s">
        <v>1903</v>
      </c>
      <c r="R402" s="1" t="s">
        <v>1904</v>
      </c>
      <c r="S402" s="1" t="s">
        <v>23</v>
      </c>
      <c r="T402" s="1" t="s">
        <v>23</v>
      </c>
      <c r="U402" s="1" t="s">
        <v>23</v>
      </c>
      <c r="V402" s="1" t="s">
        <v>1905</v>
      </c>
    </row>
    <row r="403" customFormat="false" ht="13.8" hidden="false" customHeight="false" outlineLevel="0" collapsed="false">
      <c r="A403" s="1" t="n">
        <v>402</v>
      </c>
      <c r="B403" s="2" t="s">
        <v>1906</v>
      </c>
      <c r="C403" s="1" t="n">
        <v>5</v>
      </c>
      <c r="D403" s="1" t="n">
        <v>16</v>
      </c>
      <c r="E403" s="1" t="n">
        <v>27</v>
      </c>
      <c r="F403" s="1" t="n">
        <v>43</v>
      </c>
      <c r="G403" s="1" t="n">
        <v>56</v>
      </c>
      <c r="H403" s="1" t="n">
        <v>58</v>
      </c>
      <c r="I403" s="1" t="str">
        <f aca="false">RIGHT(("0"&amp;C403),2)&amp;RIGHT(("0"&amp;D403),2)&amp;RIGHT(("0"&amp;E403),2)&amp;RIGHT(("0"&amp;F403),2)&amp;RIGHT(("0"&amp;G403),2)&amp;RIGHT(("0"&amp;H403),2)</f>
        <v>051627435658</v>
      </c>
      <c r="J403" s="1" t="n">
        <f aca="false">COUNTIF(I:I,I403)</f>
        <v>1</v>
      </c>
      <c r="K403" s="1" t="n">
        <v>0</v>
      </c>
      <c r="M403" s="1" t="s">
        <v>23</v>
      </c>
      <c r="N403" s="1" t="n">
        <v>146</v>
      </c>
      <c r="O403" s="1" t="s">
        <v>1907</v>
      </c>
      <c r="P403" s="1" t="n">
        <v>7787</v>
      </c>
      <c r="Q403" s="1" t="s">
        <v>1908</v>
      </c>
      <c r="R403" s="1" t="s">
        <v>1909</v>
      </c>
      <c r="S403" s="1" t="s">
        <v>23</v>
      </c>
      <c r="T403" s="1" t="s">
        <v>23</v>
      </c>
      <c r="U403" s="1" t="s">
        <v>23</v>
      </c>
      <c r="V403" s="1" t="s">
        <v>1910</v>
      </c>
    </row>
    <row r="404" customFormat="false" ht="13.8" hidden="false" customHeight="false" outlineLevel="0" collapsed="false">
      <c r="A404" s="1" t="n">
        <v>403</v>
      </c>
      <c r="B404" s="2" t="s">
        <v>1911</v>
      </c>
      <c r="C404" s="1" t="n">
        <v>7</v>
      </c>
      <c r="D404" s="1" t="n">
        <v>16</v>
      </c>
      <c r="E404" s="1" t="n">
        <v>27</v>
      </c>
      <c r="F404" s="1" t="n">
        <v>31</v>
      </c>
      <c r="G404" s="1" t="n">
        <v>46</v>
      </c>
      <c r="H404" s="1" t="n">
        <v>60</v>
      </c>
      <c r="I404" s="1" t="str">
        <f aca="false">RIGHT(("0"&amp;C404),2)&amp;RIGHT(("0"&amp;D404),2)&amp;RIGHT(("0"&amp;E404),2)&amp;RIGHT(("0"&amp;F404),2)&amp;RIGHT(("0"&amp;G404),2)&amp;RIGHT(("0"&amp;H404),2)</f>
        <v>071627314660</v>
      </c>
      <c r="J404" s="1" t="n">
        <f aca="false">COUNTIF(I:I,I404)</f>
        <v>1</v>
      </c>
      <c r="K404" s="1" t="n">
        <v>0</v>
      </c>
      <c r="M404" s="1" t="s">
        <v>23</v>
      </c>
      <c r="N404" s="1" t="n">
        <v>48</v>
      </c>
      <c r="O404" s="1" t="s">
        <v>1912</v>
      </c>
      <c r="P404" s="1" t="n">
        <v>4099</v>
      </c>
      <c r="Q404" s="1" t="s">
        <v>1913</v>
      </c>
      <c r="R404" s="1" t="s">
        <v>1914</v>
      </c>
      <c r="S404" s="1" t="s">
        <v>23</v>
      </c>
      <c r="T404" s="1" t="s">
        <v>23</v>
      </c>
      <c r="U404" s="1" t="s">
        <v>23</v>
      </c>
      <c r="V404" s="1" t="s">
        <v>1915</v>
      </c>
    </row>
    <row r="405" customFormat="false" ht="13.8" hidden="false" customHeight="false" outlineLevel="0" collapsed="false">
      <c r="A405" s="1" t="n">
        <v>404</v>
      </c>
      <c r="B405" s="2" t="s">
        <v>1916</v>
      </c>
      <c r="C405" s="1" t="n">
        <v>1</v>
      </c>
      <c r="D405" s="1" t="n">
        <v>24</v>
      </c>
      <c r="E405" s="1" t="n">
        <v>28</v>
      </c>
      <c r="F405" s="1" t="n">
        <v>38</v>
      </c>
      <c r="G405" s="1" t="n">
        <v>40</v>
      </c>
      <c r="H405" s="1" t="n">
        <v>58</v>
      </c>
      <c r="I405" s="1" t="str">
        <f aca="false">RIGHT(("0"&amp;C405),2)&amp;RIGHT(("0"&amp;D405),2)&amp;RIGHT(("0"&amp;E405),2)&amp;RIGHT(("0"&amp;F405),2)&amp;RIGHT(("0"&amp;G405),2)&amp;RIGHT(("0"&amp;H405),2)</f>
        <v>012428384058</v>
      </c>
      <c r="J405" s="1" t="n">
        <f aca="false">COUNTIF(I:I,I405)</f>
        <v>1</v>
      </c>
      <c r="K405" s="1" t="n">
        <v>0</v>
      </c>
      <c r="M405" s="1" t="s">
        <v>23</v>
      </c>
      <c r="N405" s="1" t="n">
        <v>66</v>
      </c>
      <c r="O405" s="1" t="s">
        <v>1917</v>
      </c>
      <c r="P405" s="1" t="n">
        <v>4364</v>
      </c>
      <c r="Q405" s="1" t="s">
        <v>1918</v>
      </c>
      <c r="R405" s="1" t="s">
        <v>1919</v>
      </c>
      <c r="S405" s="1" t="s">
        <v>23</v>
      </c>
      <c r="T405" s="1" t="s">
        <v>23</v>
      </c>
      <c r="U405" s="1" t="s">
        <v>23</v>
      </c>
      <c r="V405" s="1" t="s">
        <v>1920</v>
      </c>
    </row>
    <row r="406" customFormat="false" ht="13.8" hidden="false" customHeight="false" outlineLevel="0" collapsed="false">
      <c r="A406" s="1" t="n">
        <v>405</v>
      </c>
      <c r="B406" s="2" t="s">
        <v>1921</v>
      </c>
      <c r="C406" s="1" t="n">
        <v>24</v>
      </c>
      <c r="D406" s="1" t="n">
        <v>29</v>
      </c>
      <c r="E406" s="1" t="n">
        <v>34</v>
      </c>
      <c r="F406" s="1" t="n">
        <v>47</v>
      </c>
      <c r="G406" s="1" t="n">
        <v>57</v>
      </c>
      <c r="H406" s="1" t="n">
        <v>60</v>
      </c>
      <c r="I406" s="1" t="str">
        <f aca="false">RIGHT(("0"&amp;C406),2)&amp;RIGHT(("0"&amp;D406),2)&amp;RIGHT(("0"&amp;E406),2)&amp;RIGHT(("0"&amp;F406),2)&amp;RIGHT(("0"&amp;G406),2)&amp;RIGHT(("0"&amp;H406),2)</f>
        <v>242934475760</v>
      </c>
      <c r="J406" s="1" t="n">
        <f aca="false">COUNTIF(I:I,I406)</f>
        <v>1</v>
      </c>
      <c r="K406" s="1" t="n">
        <v>0</v>
      </c>
      <c r="M406" s="1" t="s">
        <v>23</v>
      </c>
      <c r="N406" s="1" t="n">
        <v>67</v>
      </c>
      <c r="O406" s="1" t="s">
        <v>1922</v>
      </c>
      <c r="P406" s="1" t="n">
        <v>4579</v>
      </c>
      <c r="Q406" s="1" t="s">
        <v>1923</v>
      </c>
      <c r="R406" s="1" t="s">
        <v>1924</v>
      </c>
      <c r="S406" s="1" t="s">
        <v>23</v>
      </c>
      <c r="T406" s="1" t="s">
        <v>23</v>
      </c>
      <c r="U406" s="1" t="s">
        <v>23</v>
      </c>
      <c r="V406" s="1" t="s">
        <v>1925</v>
      </c>
    </row>
    <row r="407" customFormat="false" ht="13.8" hidden="false" customHeight="false" outlineLevel="0" collapsed="false">
      <c r="A407" s="1" t="n">
        <v>406</v>
      </c>
      <c r="B407" s="2" t="s">
        <v>1926</v>
      </c>
      <c r="C407" s="1" t="n">
        <v>2</v>
      </c>
      <c r="D407" s="1" t="n">
        <v>12</v>
      </c>
      <c r="E407" s="1" t="n">
        <v>32</v>
      </c>
      <c r="F407" s="1" t="n">
        <v>38</v>
      </c>
      <c r="G407" s="1" t="n">
        <v>47</v>
      </c>
      <c r="H407" s="1" t="n">
        <v>48</v>
      </c>
      <c r="I407" s="1" t="str">
        <f aca="false">RIGHT(("0"&amp;C407),2)&amp;RIGHT(("0"&amp;D407),2)&amp;RIGHT(("0"&amp;E407),2)&amp;RIGHT(("0"&amp;F407),2)&amp;RIGHT(("0"&amp;G407),2)&amp;RIGHT(("0"&amp;H407),2)</f>
        <v>021232384748</v>
      </c>
      <c r="J407" s="1" t="n">
        <f aca="false">COUNTIF(I:I,I407)</f>
        <v>1</v>
      </c>
      <c r="K407" s="1" t="n">
        <v>0</v>
      </c>
      <c r="M407" s="1" t="s">
        <v>23</v>
      </c>
      <c r="N407" s="1" t="n">
        <v>78</v>
      </c>
      <c r="O407" s="1" t="s">
        <v>1927</v>
      </c>
      <c r="P407" s="1" t="n">
        <v>6557</v>
      </c>
      <c r="Q407" s="1" t="s">
        <v>1928</v>
      </c>
      <c r="R407" s="1" t="s">
        <v>1929</v>
      </c>
      <c r="S407" s="1" t="s">
        <v>23</v>
      </c>
      <c r="T407" s="1" t="s">
        <v>23</v>
      </c>
      <c r="U407" s="1" t="s">
        <v>23</v>
      </c>
      <c r="V407" s="1" t="s">
        <v>1930</v>
      </c>
    </row>
    <row r="408" customFormat="false" ht="13.8" hidden="false" customHeight="false" outlineLevel="0" collapsed="false">
      <c r="A408" s="1" t="n">
        <v>407</v>
      </c>
      <c r="B408" s="2" t="s">
        <v>1931</v>
      </c>
      <c r="C408" s="1" t="n">
        <v>2</v>
      </c>
      <c r="D408" s="1" t="n">
        <v>18</v>
      </c>
      <c r="E408" s="1" t="n">
        <v>22</v>
      </c>
      <c r="F408" s="1" t="n">
        <v>49</v>
      </c>
      <c r="G408" s="1" t="n">
        <v>51</v>
      </c>
      <c r="H408" s="1" t="n">
        <v>57</v>
      </c>
      <c r="I408" s="1" t="str">
        <f aca="false">RIGHT(("0"&amp;C408),2)&amp;RIGHT(("0"&amp;D408),2)&amp;RIGHT(("0"&amp;E408),2)&amp;RIGHT(("0"&amp;F408),2)&amp;RIGHT(("0"&amp;G408),2)&amp;RIGHT(("0"&amp;H408),2)</f>
        <v>021822495157</v>
      </c>
      <c r="J408" s="1" t="n">
        <f aca="false">COUNTIF(I:I,I408)</f>
        <v>1</v>
      </c>
      <c r="K408" s="1" t="n">
        <v>0</v>
      </c>
      <c r="M408" s="1" t="s">
        <v>23</v>
      </c>
      <c r="N408" s="1" t="n">
        <v>90</v>
      </c>
      <c r="O408" s="1" t="s">
        <v>1932</v>
      </c>
      <c r="P408" s="1" t="n">
        <v>6383</v>
      </c>
      <c r="Q408" s="1" t="s">
        <v>1933</v>
      </c>
      <c r="R408" s="1" t="s">
        <v>1934</v>
      </c>
      <c r="S408" s="1" t="s">
        <v>23</v>
      </c>
      <c r="T408" s="1" t="s">
        <v>23</v>
      </c>
      <c r="U408" s="1" t="s">
        <v>23</v>
      </c>
      <c r="V408" s="1" t="s">
        <v>1935</v>
      </c>
    </row>
    <row r="409" customFormat="false" ht="13.8" hidden="false" customHeight="false" outlineLevel="0" collapsed="false">
      <c r="A409" s="1" t="n">
        <v>408</v>
      </c>
      <c r="B409" s="2" t="s">
        <v>1936</v>
      </c>
      <c r="C409" s="1" t="n">
        <v>14</v>
      </c>
      <c r="D409" s="1" t="n">
        <v>28</v>
      </c>
      <c r="E409" s="1" t="n">
        <v>33</v>
      </c>
      <c r="F409" s="1" t="n">
        <v>44</v>
      </c>
      <c r="G409" s="1" t="n">
        <v>49</v>
      </c>
      <c r="H409" s="1" t="n">
        <v>56</v>
      </c>
      <c r="I409" s="1" t="str">
        <f aca="false">RIGHT(("0"&amp;C409),2)&amp;RIGHT(("0"&amp;D409),2)&amp;RIGHT(("0"&amp;E409),2)&amp;RIGHT(("0"&amp;F409),2)&amp;RIGHT(("0"&amp;G409),2)&amp;RIGHT(("0"&amp;H409),2)</f>
        <v>142833444956</v>
      </c>
      <c r="J409" s="1" t="n">
        <f aca="false">COUNTIF(I:I,I409)</f>
        <v>1</v>
      </c>
      <c r="K409" s="1" t="n">
        <v>1</v>
      </c>
      <c r="L409" s="1" t="s">
        <v>66</v>
      </c>
      <c r="M409" s="1" t="s">
        <v>1937</v>
      </c>
      <c r="N409" s="1" t="n">
        <v>269</v>
      </c>
      <c r="O409" s="1" t="s">
        <v>1938</v>
      </c>
      <c r="P409" s="1" t="n">
        <v>13970</v>
      </c>
      <c r="Q409" s="1" t="s">
        <v>1939</v>
      </c>
      <c r="R409" s="1" t="s">
        <v>23</v>
      </c>
      <c r="S409" s="1" t="s">
        <v>23</v>
      </c>
      <c r="T409" s="1" t="s">
        <v>23</v>
      </c>
      <c r="U409" s="1" t="s">
        <v>23</v>
      </c>
      <c r="V409" s="1" t="s">
        <v>1676</v>
      </c>
    </row>
    <row r="410" customFormat="false" ht="13.8" hidden="false" customHeight="false" outlineLevel="0" collapsed="false">
      <c r="A410" s="1" t="n">
        <v>409</v>
      </c>
      <c r="B410" s="2" t="s">
        <v>1940</v>
      </c>
      <c r="C410" s="1" t="n">
        <v>18</v>
      </c>
      <c r="D410" s="1" t="n">
        <v>25</v>
      </c>
      <c r="E410" s="1" t="n">
        <v>26</v>
      </c>
      <c r="F410" s="1" t="n">
        <v>31</v>
      </c>
      <c r="G410" s="1" t="n">
        <v>34</v>
      </c>
      <c r="H410" s="1" t="n">
        <v>49</v>
      </c>
      <c r="I410" s="1" t="str">
        <f aca="false">RIGHT(("0"&amp;C410),2)&amp;RIGHT(("0"&amp;D410),2)&amp;RIGHT(("0"&amp;E410),2)&amp;RIGHT(("0"&amp;F410),2)&amp;RIGHT(("0"&amp;G410),2)&amp;RIGHT(("0"&amp;H410),2)</f>
        <v>182526313449</v>
      </c>
      <c r="J410" s="1" t="n">
        <f aca="false">COUNTIF(I:I,I410)</f>
        <v>1</v>
      </c>
      <c r="K410" s="1" t="n">
        <v>0</v>
      </c>
      <c r="M410" s="1" t="s">
        <v>23</v>
      </c>
      <c r="N410" s="1" t="n">
        <v>23</v>
      </c>
      <c r="O410" s="1" t="s">
        <v>1941</v>
      </c>
      <c r="P410" s="1" t="n">
        <v>1958</v>
      </c>
      <c r="Q410" s="1" t="s">
        <v>1942</v>
      </c>
      <c r="R410" s="1" t="s">
        <v>1943</v>
      </c>
      <c r="S410" s="1" t="s">
        <v>23</v>
      </c>
      <c r="T410" s="1" t="s">
        <v>23</v>
      </c>
      <c r="U410" s="1" t="s">
        <v>23</v>
      </c>
      <c r="V410" s="1" t="s">
        <v>1944</v>
      </c>
    </row>
    <row r="411" customFormat="false" ht="13.8" hidden="false" customHeight="false" outlineLevel="0" collapsed="false">
      <c r="A411" s="1" t="n">
        <v>410</v>
      </c>
      <c r="B411" s="2" t="s">
        <v>1945</v>
      </c>
      <c r="C411" s="1" t="n">
        <v>8</v>
      </c>
      <c r="D411" s="1" t="n">
        <v>24</v>
      </c>
      <c r="E411" s="1" t="n">
        <v>31</v>
      </c>
      <c r="F411" s="1" t="n">
        <v>36</v>
      </c>
      <c r="G411" s="1" t="n">
        <v>38</v>
      </c>
      <c r="H411" s="1" t="n">
        <v>55</v>
      </c>
      <c r="I411" s="1" t="str">
        <f aca="false">RIGHT(("0"&amp;C411),2)&amp;RIGHT(("0"&amp;D411),2)&amp;RIGHT(("0"&amp;E411),2)&amp;RIGHT(("0"&amp;F411),2)&amp;RIGHT(("0"&amp;G411),2)&amp;RIGHT(("0"&amp;H411),2)</f>
        <v>082431363855</v>
      </c>
      <c r="J411" s="1" t="n">
        <f aca="false">COUNTIF(I:I,I411)</f>
        <v>1</v>
      </c>
      <c r="K411" s="1" t="n">
        <v>0</v>
      </c>
      <c r="M411" s="1" t="s">
        <v>23</v>
      </c>
      <c r="N411" s="1" t="n">
        <v>101</v>
      </c>
      <c r="O411" s="1" t="s">
        <v>1946</v>
      </c>
      <c r="P411" s="1" t="n">
        <v>5799</v>
      </c>
      <c r="Q411" s="1" t="s">
        <v>1263</v>
      </c>
      <c r="R411" s="1" t="s">
        <v>1947</v>
      </c>
      <c r="S411" s="1" t="s">
        <v>23</v>
      </c>
      <c r="T411" s="1" t="s">
        <v>23</v>
      </c>
      <c r="U411" s="1" t="s">
        <v>23</v>
      </c>
      <c r="V411" s="1" t="s">
        <v>1948</v>
      </c>
    </row>
    <row r="412" customFormat="false" ht="13.8" hidden="false" customHeight="false" outlineLevel="0" collapsed="false">
      <c r="A412" s="1" t="n">
        <v>411</v>
      </c>
      <c r="B412" s="2" t="s">
        <v>1949</v>
      </c>
      <c r="C412" s="1" t="n">
        <v>10</v>
      </c>
      <c r="D412" s="1" t="n">
        <v>12</v>
      </c>
      <c r="E412" s="1" t="n">
        <v>31</v>
      </c>
      <c r="F412" s="1" t="n">
        <v>38</v>
      </c>
      <c r="G412" s="1" t="n">
        <v>45</v>
      </c>
      <c r="H412" s="1" t="n">
        <v>56</v>
      </c>
      <c r="I412" s="1" t="str">
        <f aca="false">RIGHT(("0"&amp;C412),2)&amp;RIGHT(("0"&amp;D412),2)&amp;RIGHT(("0"&amp;E412),2)&amp;RIGHT(("0"&amp;F412),2)&amp;RIGHT(("0"&amp;G412),2)&amp;RIGHT(("0"&amp;H412),2)</f>
        <v>101231384556</v>
      </c>
      <c r="J412" s="1" t="n">
        <f aca="false">COUNTIF(I:I,I412)</f>
        <v>1</v>
      </c>
      <c r="K412" s="1" t="n">
        <v>0</v>
      </c>
      <c r="M412" s="1" t="s">
        <v>23</v>
      </c>
      <c r="N412" s="1" t="n">
        <v>91</v>
      </c>
      <c r="O412" s="1" t="s">
        <v>1950</v>
      </c>
      <c r="P412" s="1" t="n">
        <v>5115</v>
      </c>
      <c r="Q412" s="1" t="s">
        <v>1951</v>
      </c>
      <c r="R412" s="1" t="s">
        <v>1952</v>
      </c>
      <c r="S412" s="1" t="s">
        <v>23</v>
      </c>
      <c r="T412" s="1" t="s">
        <v>23</v>
      </c>
      <c r="U412" s="1" t="s">
        <v>23</v>
      </c>
      <c r="V412" s="1" t="s">
        <v>1953</v>
      </c>
    </row>
    <row r="413" customFormat="false" ht="13.8" hidden="false" customHeight="false" outlineLevel="0" collapsed="false">
      <c r="A413" s="1" t="n">
        <v>412</v>
      </c>
      <c r="B413" s="2" t="s">
        <v>1954</v>
      </c>
      <c r="C413" s="1" t="n">
        <v>5</v>
      </c>
      <c r="D413" s="1" t="n">
        <v>12</v>
      </c>
      <c r="E413" s="1" t="n">
        <v>14</v>
      </c>
      <c r="F413" s="1" t="n">
        <v>21</v>
      </c>
      <c r="G413" s="1" t="n">
        <v>45</v>
      </c>
      <c r="H413" s="1" t="n">
        <v>59</v>
      </c>
      <c r="I413" s="1" t="str">
        <f aca="false">RIGHT(("0"&amp;C413),2)&amp;RIGHT(("0"&amp;D413),2)&amp;RIGHT(("0"&amp;E413),2)&amp;RIGHT(("0"&amp;F413),2)&amp;RIGHT(("0"&amp;G413),2)&amp;RIGHT(("0"&amp;H413),2)</f>
        <v>051214214559</v>
      </c>
      <c r="J413" s="1" t="n">
        <f aca="false">COUNTIF(I:I,I413)</f>
        <v>1</v>
      </c>
      <c r="K413" s="1" t="n">
        <v>0</v>
      </c>
      <c r="M413" s="1" t="s">
        <v>23</v>
      </c>
      <c r="N413" s="1" t="n">
        <v>89</v>
      </c>
      <c r="O413" s="1" t="s">
        <v>1955</v>
      </c>
      <c r="P413" s="1" t="n">
        <v>8542</v>
      </c>
      <c r="Q413" s="1" t="s">
        <v>1956</v>
      </c>
      <c r="R413" s="1" t="s">
        <v>1957</v>
      </c>
      <c r="S413" s="1" t="s">
        <v>23</v>
      </c>
      <c r="T413" s="1" t="s">
        <v>23</v>
      </c>
      <c r="U413" s="1" t="s">
        <v>23</v>
      </c>
      <c r="V413" s="1" t="s">
        <v>1568</v>
      </c>
    </row>
    <row r="414" customFormat="false" ht="13.8" hidden="false" customHeight="false" outlineLevel="0" collapsed="false">
      <c r="A414" s="1" t="n">
        <v>413</v>
      </c>
      <c r="B414" s="2" t="s">
        <v>1958</v>
      </c>
      <c r="C414" s="1" t="n">
        <v>2</v>
      </c>
      <c r="D414" s="1" t="n">
        <v>4</v>
      </c>
      <c r="E414" s="1" t="n">
        <v>29</v>
      </c>
      <c r="F414" s="1" t="n">
        <v>33</v>
      </c>
      <c r="G414" s="1" t="n">
        <v>35</v>
      </c>
      <c r="H414" s="1" t="n">
        <v>53</v>
      </c>
      <c r="I414" s="1" t="str">
        <f aca="false">RIGHT(("0"&amp;C414),2)&amp;RIGHT(("0"&amp;D414),2)&amp;RIGHT(("0"&amp;E414),2)&amp;RIGHT(("0"&amp;F414),2)&amp;RIGHT(("0"&amp;G414),2)&amp;RIGHT(("0"&amp;H414),2)</f>
        <v>020429333553</v>
      </c>
      <c r="J414" s="1" t="n">
        <f aca="false">COUNTIF(I:I,I414)</f>
        <v>1</v>
      </c>
      <c r="K414" s="1" t="n">
        <v>0</v>
      </c>
      <c r="M414" s="1" t="s">
        <v>23</v>
      </c>
      <c r="N414" s="1" t="n">
        <v>102</v>
      </c>
      <c r="O414" s="1" t="s">
        <v>1959</v>
      </c>
      <c r="P414" s="1" t="n">
        <v>7746</v>
      </c>
      <c r="Q414" s="1" t="s">
        <v>1960</v>
      </c>
      <c r="R414" s="1" t="s">
        <v>1961</v>
      </c>
      <c r="S414" s="1" t="s">
        <v>23</v>
      </c>
      <c r="T414" s="1" t="s">
        <v>23</v>
      </c>
      <c r="U414" s="1" t="s">
        <v>23</v>
      </c>
      <c r="V414" s="1" t="s">
        <v>1962</v>
      </c>
    </row>
    <row r="415" customFormat="false" ht="13.8" hidden="false" customHeight="false" outlineLevel="0" collapsed="false">
      <c r="A415" s="1" t="n">
        <v>414</v>
      </c>
      <c r="B415" s="2" t="s">
        <v>1963</v>
      </c>
      <c r="C415" s="1" t="n">
        <v>16</v>
      </c>
      <c r="D415" s="1" t="n">
        <v>26</v>
      </c>
      <c r="E415" s="1" t="n">
        <v>35</v>
      </c>
      <c r="F415" s="1" t="n">
        <v>45</v>
      </c>
      <c r="G415" s="1" t="n">
        <v>52</v>
      </c>
      <c r="H415" s="1" t="n">
        <v>58</v>
      </c>
      <c r="I415" s="1" t="str">
        <f aca="false">RIGHT(("0"&amp;C415),2)&amp;RIGHT(("0"&amp;D415),2)&amp;RIGHT(("0"&amp;E415),2)&amp;RIGHT(("0"&amp;F415),2)&amp;RIGHT(("0"&amp;G415),2)&amp;RIGHT(("0"&amp;H415),2)</f>
        <v>162635455258</v>
      </c>
      <c r="J415" s="1" t="n">
        <f aca="false">COUNTIF(I:I,I415)</f>
        <v>1</v>
      </c>
      <c r="K415" s="1" t="n">
        <v>1</v>
      </c>
      <c r="L415" s="1" t="s">
        <v>1419</v>
      </c>
      <c r="M415" s="1" t="s">
        <v>1964</v>
      </c>
      <c r="N415" s="1" t="n">
        <v>51</v>
      </c>
      <c r="O415" s="1" t="s">
        <v>1965</v>
      </c>
      <c r="P415" s="1" t="n">
        <v>5527</v>
      </c>
      <c r="Q415" s="1" t="s">
        <v>1966</v>
      </c>
      <c r="R415" s="1" t="s">
        <v>23</v>
      </c>
      <c r="S415" s="1" t="s">
        <v>23</v>
      </c>
      <c r="T415" s="1" t="s">
        <v>23</v>
      </c>
      <c r="U415" s="1" t="s">
        <v>23</v>
      </c>
      <c r="V415" s="1" t="s">
        <v>1676</v>
      </c>
    </row>
    <row r="416" customFormat="false" ht="13.8" hidden="false" customHeight="false" outlineLevel="0" collapsed="false">
      <c r="A416" s="1" t="n">
        <v>415</v>
      </c>
      <c r="B416" s="2" t="s">
        <v>1967</v>
      </c>
      <c r="C416" s="1" t="n">
        <v>1</v>
      </c>
      <c r="D416" s="1" t="n">
        <v>4</v>
      </c>
      <c r="E416" s="1" t="n">
        <v>27</v>
      </c>
      <c r="F416" s="1" t="n">
        <v>38</v>
      </c>
      <c r="G416" s="1" t="n">
        <v>42</v>
      </c>
      <c r="H416" s="1" t="n">
        <v>44</v>
      </c>
      <c r="I416" s="1" t="str">
        <f aca="false">RIGHT(("0"&amp;C416),2)&amp;RIGHT(("0"&amp;D416),2)&amp;RIGHT(("0"&amp;E416),2)&amp;RIGHT(("0"&amp;F416),2)&amp;RIGHT(("0"&amp;G416),2)&amp;RIGHT(("0"&amp;H416),2)</f>
        <v>010427384244</v>
      </c>
      <c r="J416" s="1" t="n">
        <f aca="false">COUNTIF(I:I,I416)</f>
        <v>1</v>
      </c>
      <c r="K416" s="1" t="n">
        <v>0</v>
      </c>
      <c r="M416" s="1" t="s">
        <v>23</v>
      </c>
      <c r="N416" s="1" t="n">
        <v>40</v>
      </c>
      <c r="O416" s="1" t="s">
        <v>1968</v>
      </c>
      <c r="P416" s="1" t="n">
        <v>2415</v>
      </c>
      <c r="Q416" s="1" t="s">
        <v>1969</v>
      </c>
      <c r="R416" s="1" t="s">
        <v>1970</v>
      </c>
      <c r="S416" s="1" t="s">
        <v>23</v>
      </c>
      <c r="T416" s="1" t="s">
        <v>23</v>
      </c>
      <c r="U416" s="1" t="s">
        <v>23</v>
      </c>
      <c r="V416" s="1" t="s">
        <v>1681</v>
      </c>
    </row>
    <row r="417" customFormat="false" ht="13.8" hidden="false" customHeight="false" outlineLevel="0" collapsed="false">
      <c r="A417" s="1" t="n">
        <v>416</v>
      </c>
      <c r="B417" s="2" t="s">
        <v>1971</v>
      </c>
      <c r="C417" s="1" t="n">
        <v>1</v>
      </c>
      <c r="D417" s="1" t="n">
        <v>13</v>
      </c>
      <c r="E417" s="1" t="n">
        <v>23</v>
      </c>
      <c r="F417" s="1" t="n">
        <v>33</v>
      </c>
      <c r="G417" s="1" t="n">
        <v>54</v>
      </c>
      <c r="H417" s="1" t="n">
        <v>56</v>
      </c>
      <c r="I417" s="1" t="str">
        <f aca="false">RIGHT(("0"&amp;C417),2)&amp;RIGHT(("0"&amp;D417),2)&amp;RIGHT(("0"&amp;E417),2)&amp;RIGHT(("0"&amp;F417),2)&amp;RIGHT(("0"&amp;G417),2)&amp;RIGHT(("0"&amp;H417),2)</f>
        <v>011323335456</v>
      </c>
      <c r="J417" s="1" t="n">
        <f aca="false">COUNTIF(I:I,I417)</f>
        <v>1</v>
      </c>
      <c r="K417" s="1" t="n">
        <v>0</v>
      </c>
      <c r="M417" s="1" t="s">
        <v>23</v>
      </c>
      <c r="N417" s="1" t="n">
        <v>44</v>
      </c>
      <c r="O417" s="1" t="s">
        <v>1972</v>
      </c>
      <c r="P417" s="1" t="n">
        <v>4032</v>
      </c>
      <c r="Q417" s="1" t="s">
        <v>1973</v>
      </c>
      <c r="R417" s="1" t="s">
        <v>1974</v>
      </c>
      <c r="S417" s="1" t="s">
        <v>23</v>
      </c>
      <c r="T417" s="1" t="s">
        <v>23</v>
      </c>
      <c r="U417" s="1" t="s">
        <v>23</v>
      </c>
      <c r="V417" s="1" t="s">
        <v>1975</v>
      </c>
    </row>
    <row r="418" customFormat="false" ht="13.8" hidden="false" customHeight="false" outlineLevel="0" collapsed="false">
      <c r="A418" s="1" t="n">
        <v>417</v>
      </c>
      <c r="B418" s="2" t="s">
        <v>1976</v>
      </c>
      <c r="C418" s="1" t="n">
        <v>7</v>
      </c>
      <c r="D418" s="1" t="n">
        <v>12</v>
      </c>
      <c r="E418" s="1" t="n">
        <v>21</v>
      </c>
      <c r="F418" s="1" t="n">
        <v>25</v>
      </c>
      <c r="G418" s="1" t="n">
        <v>34</v>
      </c>
      <c r="H418" s="1" t="n">
        <v>42</v>
      </c>
      <c r="I418" s="1" t="str">
        <f aca="false">RIGHT(("0"&amp;C418),2)&amp;RIGHT(("0"&amp;D418),2)&amp;RIGHT(("0"&amp;E418),2)&amp;RIGHT(("0"&amp;F418),2)&amp;RIGHT(("0"&amp;G418),2)&amp;RIGHT(("0"&amp;H418),2)</f>
        <v>071221253442</v>
      </c>
      <c r="J418" s="1" t="n">
        <f aca="false">COUNTIF(I:I,I418)</f>
        <v>1</v>
      </c>
      <c r="K418" s="1" t="n">
        <v>0</v>
      </c>
      <c r="M418" s="1" t="s">
        <v>23</v>
      </c>
      <c r="N418" s="1" t="n">
        <v>78</v>
      </c>
      <c r="O418" s="1" t="s">
        <v>1977</v>
      </c>
      <c r="P418" s="1" t="n">
        <v>5218</v>
      </c>
      <c r="Q418" s="1" t="s">
        <v>1978</v>
      </c>
      <c r="R418" s="1" t="s">
        <v>1979</v>
      </c>
      <c r="S418" s="1" t="s">
        <v>23</v>
      </c>
      <c r="T418" s="1" t="s">
        <v>23</v>
      </c>
      <c r="U418" s="1" t="s">
        <v>23</v>
      </c>
      <c r="V418" s="1" t="s">
        <v>1980</v>
      </c>
    </row>
    <row r="419" customFormat="false" ht="13.8" hidden="false" customHeight="false" outlineLevel="0" collapsed="false">
      <c r="A419" s="1" t="n">
        <v>418</v>
      </c>
      <c r="B419" s="2" t="s">
        <v>1981</v>
      </c>
      <c r="C419" s="1" t="n">
        <v>8</v>
      </c>
      <c r="D419" s="1" t="n">
        <v>15</v>
      </c>
      <c r="E419" s="1" t="n">
        <v>32</v>
      </c>
      <c r="F419" s="1" t="n">
        <v>45</v>
      </c>
      <c r="G419" s="1" t="n">
        <v>49</v>
      </c>
      <c r="H419" s="1" t="n">
        <v>52</v>
      </c>
      <c r="I419" s="1" t="str">
        <f aca="false">RIGHT(("0"&amp;C419),2)&amp;RIGHT(("0"&amp;D419),2)&amp;RIGHT(("0"&amp;E419),2)&amp;RIGHT(("0"&amp;F419),2)&amp;RIGHT(("0"&amp;G419),2)&amp;RIGHT(("0"&amp;H419),2)</f>
        <v>081532454952</v>
      </c>
      <c r="J419" s="1" t="n">
        <f aca="false">COUNTIF(I:I,I419)</f>
        <v>1</v>
      </c>
      <c r="K419" s="1" t="n">
        <v>2</v>
      </c>
      <c r="L419" s="1" t="s">
        <v>1982</v>
      </c>
      <c r="M419" s="1" t="s">
        <v>1983</v>
      </c>
      <c r="N419" s="1" t="n">
        <v>82</v>
      </c>
      <c r="O419" s="1" t="s">
        <v>1984</v>
      </c>
      <c r="P419" s="1" t="n">
        <v>5133</v>
      </c>
      <c r="Q419" s="1" t="s">
        <v>1985</v>
      </c>
      <c r="R419" s="1" t="s">
        <v>23</v>
      </c>
      <c r="S419" s="1" t="s">
        <v>23</v>
      </c>
      <c r="T419" s="1" t="s">
        <v>23</v>
      </c>
      <c r="U419" s="1" t="s">
        <v>23</v>
      </c>
      <c r="V419" s="1" t="s">
        <v>1676</v>
      </c>
    </row>
    <row r="420" customFormat="false" ht="13.8" hidden="false" customHeight="false" outlineLevel="0" collapsed="false">
      <c r="A420" s="1" t="n">
        <v>419</v>
      </c>
      <c r="B420" s="2" t="s">
        <v>1986</v>
      </c>
      <c r="C420" s="1" t="n">
        <v>9</v>
      </c>
      <c r="D420" s="1" t="n">
        <v>16</v>
      </c>
      <c r="E420" s="1" t="n">
        <v>41</v>
      </c>
      <c r="F420" s="1" t="n">
        <v>42</v>
      </c>
      <c r="G420" s="1" t="n">
        <v>52</v>
      </c>
      <c r="H420" s="1" t="n">
        <v>53</v>
      </c>
      <c r="I420" s="1" t="str">
        <f aca="false">RIGHT(("0"&amp;C420),2)&amp;RIGHT(("0"&amp;D420),2)&amp;RIGHT(("0"&amp;E420),2)&amp;RIGHT(("0"&amp;F420),2)&amp;RIGHT(("0"&amp;G420),2)&amp;RIGHT(("0"&amp;H420),2)</f>
        <v>091641425253</v>
      </c>
      <c r="J420" s="1" t="n">
        <f aca="false">COUNTIF(I:I,I420)</f>
        <v>1</v>
      </c>
      <c r="K420" s="1" t="n">
        <v>0</v>
      </c>
      <c r="M420" s="1" t="s">
        <v>23</v>
      </c>
      <c r="N420" s="1" t="n">
        <v>30</v>
      </c>
      <c r="O420" s="1" t="s">
        <v>1987</v>
      </c>
      <c r="P420" s="1" t="n">
        <v>1594</v>
      </c>
      <c r="Q420" s="1" t="s">
        <v>1988</v>
      </c>
      <c r="R420" s="1" t="s">
        <v>1989</v>
      </c>
      <c r="S420" s="1" t="s">
        <v>23</v>
      </c>
      <c r="T420" s="1" t="s">
        <v>23</v>
      </c>
      <c r="U420" s="1" t="s">
        <v>23</v>
      </c>
      <c r="V420" s="1" t="s">
        <v>1990</v>
      </c>
    </row>
    <row r="421" customFormat="false" ht="13.8" hidden="false" customHeight="false" outlineLevel="0" collapsed="false">
      <c r="A421" s="1" t="n">
        <v>420</v>
      </c>
      <c r="B421" s="2" t="s">
        <v>1991</v>
      </c>
      <c r="C421" s="1" t="n">
        <v>12</v>
      </c>
      <c r="D421" s="1" t="n">
        <v>29</v>
      </c>
      <c r="E421" s="1" t="n">
        <v>30</v>
      </c>
      <c r="F421" s="1" t="n">
        <v>43</v>
      </c>
      <c r="G421" s="1" t="n">
        <v>57</v>
      </c>
      <c r="H421" s="1" t="n">
        <v>59</v>
      </c>
      <c r="I421" s="1" t="str">
        <f aca="false">RIGHT(("0"&amp;C421),2)&amp;RIGHT(("0"&amp;D421),2)&amp;RIGHT(("0"&amp;E421),2)&amp;RIGHT(("0"&amp;F421),2)&amp;RIGHT(("0"&amp;G421),2)&amp;RIGHT(("0"&amp;H421),2)</f>
        <v>122930435759</v>
      </c>
      <c r="J421" s="1" t="n">
        <f aca="false">COUNTIF(I:I,I421)</f>
        <v>1</v>
      </c>
      <c r="K421" s="1" t="n">
        <v>0</v>
      </c>
      <c r="M421" s="1" t="s">
        <v>23</v>
      </c>
      <c r="N421" s="1" t="n">
        <v>83</v>
      </c>
      <c r="O421" s="1" t="s">
        <v>1992</v>
      </c>
      <c r="P421" s="1" t="n">
        <v>5614</v>
      </c>
      <c r="Q421" s="1" t="s">
        <v>1993</v>
      </c>
      <c r="R421" s="1" t="s">
        <v>1994</v>
      </c>
      <c r="S421" s="1" t="s">
        <v>23</v>
      </c>
      <c r="T421" s="1" t="s">
        <v>23</v>
      </c>
      <c r="U421" s="1" t="s">
        <v>23</v>
      </c>
      <c r="V421" s="1" t="s">
        <v>1944</v>
      </c>
    </row>
    <row r="422" customFormat="false" ht="13.8" hidden="false" customHeight="false" outlineLevel="0" collapsed="false">
      <c r="A422" s="1" t="n">
        <v>421</v>
      </c>
      <c r="B422" s="2" t="s">
        <v>1995</v>
      </c>
      <c r="C422" s="1" t="n">
        <v>5</v>
      </c>
      <c r="D422" s="1" t="n">
        <v>35</v>
      </c>
      <c r="E422" s="1" t="n">
        <v>37</v>
      </c>
      <c r="F422" s="1" t="n">
        <v>38</v>
      </c>
      <c r="G422" s="1" t="n">
        <v>45</v>
      </c>
      <c r="H422" s="1" t="n">
        <v>51</v>
      </c>
      <c r="I422" s="1" t="str">
        <f aca="false">RIGHT(("0"&amp;C422),2)&amp;RIGHT(("0"&amp;D422),2)&amp;RIGHT(("0"&amp;E422),2)&amp;RIGHT(("0"&amp;F422),2)&amp;RIGHT(("0"&amp;G422),2)&amp;RIGHT(("0"&amp;H422),2)</f>
        <v>053537384551</v>
      </c>
      <c r="J422" s="1" t="n">
        <f aca="false">COUNTIF(I:I,I422)</f>
        <v>1</v>
      </c>
      <c r="K422" s="1" t="n">
        <v>0</v>
      </c>
      <c r="M422" s="1" t="s">
        <v>23</v>
      </c>
      <c r="N422" s="1" t="n">
        <v>47</v>
      </c>
      <c r="O422" s="1" t="s">
        <v>1996</v>
      </c>
      <c r="P422" s="1" t="n">
        <v>4716</v>
      </c>
      <c r="Q422" s="1" t="s">
        <v>1997</v>
      </c>
      <c r="R422" s="1" t="s">
        <v>1998</v>
      </c>
      <c r="S422" s="1" t="s">
        <v>23</v>
      </c>
      <c r="T422" s="1" t="s">
        <v>23</v>
      </c>
      <c r="U422" s="1" t="s">
        <v>23</v>
      </c>
      <c r="V422" s="1" t="s">
        <v>1999</v>
      </c>
    </row>
    <row r="423" customFormat="false" ht="13.8" hidden="false" customHeight="false" outlineLevel="0" collapsed="false">
      <c r="A423" s="1" t="n">
        <v>422</v>
      </c>
      <c r="B423" s="2" t="s">
        <v>2000</v>
      </c>
      <c r="C423" s="1" t="n">
        <v>12</v>
      </c>
      <c r="D423" s="1" t="n">
        <v>37</v>
      </c>
      <c r="E423" s="1" t="n">
        <v>43</v>
      </c>
      <c r="F423" s="1" t="n">
        <v>55</v>
      </c>
      <c r="G423" s="1" t="n">
        <v>56</v>
      </c>
      <c r="H423" s="1" t="n">
        <v>60</v>
      </c>
      <c r="I423" s="1" t="str">
        <f aca="false">RIGHT(("0"&amp;C423),2)&amp;RIGHT(("0"&amp;D423),2)&amp;RIGHT(("0"&amp;E423),2)&amp;RIGHT(("0"&amp;F423),2)&amp;RIGHT(("0"&amp;G423),2)&amp;RIGHT(("0"&amp;H423),2)</f>
        <v>123743555660</v>
      </c>
      <c r="J423" s="1" t="n">
        <f aca="false">COUNTIF(I:I,I423)</f>
        <v>1</v>
      </c>
      <c r="K423" s="1" t="n">
        <v>0</v>
      </c>
      <c r="M423" s="1" t="s">
        <v>23</v>
      </c>
      <c r="N423" s="1" t="n">
        <v>80</v>
      </c>
      <c r="O423" s="1" t="s">
        <v>2001</v>
      </c>
      <c r="P423" s="1" t="n">
        <v>6516</v>
      </c>
      <c r="Q423" s="1" t="s">
        <v>2002</v>
      </c>
      <c r="R423" s="1" t="s">
        <v>2003</v>
      </c>
      <c r="S423" s="1" t="s">
        <v>23</v>
      </c>
      <c r="T423" s="1" t="s">
        <v>23</v>
      </c>
      <c r="U423" s="1" t="s">
        <v>23</v>
      </c>
      <c r="V423" s="1" t="s">
        <v>1953</v>
      </c>
    </row>
    <row r="424" customFormat="false" ht="13.8" hidden="false" customHeight="false" outlineLevel="0" collapsed="false">
      <c r="A424" s="1" t="n">
        <v>423</v>
      </c>
      <c r="B424" s="2" t="s">
        <v>2004</v>
      </c>
      <c r="C424" s="1" t="n">
        <v>8</v>
      </c>
      <c r="D424" s="1" t="n">
        <v>22</v>
      </c>
      <c r="E424" s="1" t="n">
        <v>32</v>
      </c>
      <c r="F424" s="1" t="n">
        <v>33</v>
      </c>
      <c r="G424" s="1" t="n">
        <v>40</v>
      </c>
      <c r="H424" s="1" t="n">
        <v>53</v>
      </c>
      <c r="I424" s="1" t="str">
        <f aca="false">RIGHT(("0"&amp;C424),2)&amp;RIGHT(("0"&amp;D424),2)&amp;RIGHT(("0"&amp;E424),2)&amp;RIGHT(("0"&amp;F424),2)&amp;RIGHT(("0"&amp;G424),2)&amp;RIGHT(("0"&amp;H424),2)</f>
        <v>082232334053</v>
      </c>
      <c r="J424" s="1" t="n">
        <f aca="false">COUNTIF(I:I,I424)</f>
        <v>1</v>
      </c>
      <c r="K424" s="1" t="n">
        <v>0</v>
      </c>
      <c r="M424" s="1" t="s">
        <v>23</v>
      </c>
      <c r="N424" s="1" t="n">
        <v>66</v>
      </c>
      <c r="O424" s="1" t="s">
        <v>2005</v>
      </c>
      <c r="P424" s="1" t="n">
        <v>4178</v>
      </c>
      <c r="Q424" s="1" t="s">
        <v>2006</v>
      </c>
      <c r="R424" s="1" t="s">
        <v>2007</v>
      </c>
      <c r="S424" s="1" t="s">
        <v>23</v>
      </c>
      <c r="T424" s="1" t="s">
        <v>23</v>
      </c>
      <c r="U424" s="1" t="s">
        <v>23</v>
      </c>
      <c r="V424" s="1" t="s">
        <v>2008</v>
      </c>
    </row>
    <row r="425" customFormat="false" ht="13.8" hidden="false" customHeight="false" outlineLevel="0" collapsed="false">
      <c r="A425" s="1" t="n">
        <v>424</v>
      </c>
      <c r="B425" s="2" t="s">
        <v>2009</v>
      </c>
      <c r="C425" s="1" t="n">
        <v>18</v>
      </c>
      <c r="D425" s="1" t="n">
        <v>27</v>
      </c>
      <c r="E425" s="1" t="n">
        <v>29</v>
      </c>
      <c r="F425" s="1" t="n">
        <v>36</v>
      </c>
      <c r="G425" s="1" t="n">
        <v>46</v>
      </c>
      <c r="H425" s="1" t="n">
        <v>59</v>
      </c>
      <c r="I425" s="1" t="str">
        <f aca="false">RIGHT(("0"&amp;C425),2)&amp;RIGHT(("0"&amp;D425),2)&amp;RIGHT(("0"&amp;E425),2)&amp;RIGHT(("0"&amp;F425),2)&amp;RIGHT(("0"&amp;G425),2)&amp;RIGHT(("0"&amp;H425),2)</f>
        <v>182729364659</v>
      </c>
      <c r="J425" s="1" t="n">
        <f aca="false">COUNTIF(I:I,I425)</f>
        <v>1</v>
      </c>
      <c r="K425" s="1" t="n">
        <v>0</v>
      </c>
      <c r="M425" s="1" t="s">
        <v>23</v>
      </c>
      <c r="N425" s="1" t="n">
        <v>91</v>
      </c>
      <c r="O425" s="1" t="s">
        <v>2010</v>
      </c>
      <c r="P425" s="1" t="n">
        <v>7389</v>
      </c>
      <c r="Q425" s="1" t="s">
        <v>2011</v>
      </c>
      <c r="R425" s="1" t="s">
        <v>2012</v>
      </c>
      <c r="S425" s="1" t="s">
        <v>23</v>
      </c>
      <c r="T425" s="1" t="s">
        <v>23</v>
      </c>
      <c r="U425" s="1" t="s">
        <v>23</v>
      </c>
      <c r="V425" s="1" t="s">
        <v>1671</v>
      </c>
    </row>
    <row r="426" customFormat="false" ht="13.8" hidden="false" customHeight="false" outlineLevel="0" collapsed="false">
      <c r="A426" s="1" t="n">
        <v>425</v>
      </c>
      <c r="B426" s="2" t="s">
        <v>2013</v>
      </c>
      <c r="C426" s="1" t="n">
        <v>6</v>
      </c>
      <c r="D426" s="1" t="n">
        <v>10</v>
      </c>
      <c r="E426" s="1" t="n">
        <v>16</v>
      </c>
      <c r="F426" s="1" t="n">
        <v>34</v>
      </c>
      <c r="G426" s="1" t="n">
        <v>42</v>
      </c>
      <c r="H426" s="1" t="n">
        <v>47</v>
      </c>
      <c r="I426" s="1" t="str">
        <f aca="false">RIGHT(("0"&amp;C426),2)&amp;RIGHT(("0"&amp;D426),2)&amp;RIGHT(("0"&amp;E426),2)&amp;RIGHT(("0"&amp;F426),2)&amp;RIGHT(("0"&amp;G426),2)&amp;RIGHT(("0"&amp;H426),2)</f>
        <v>061016344247</v>
      </c>
      <c r="J426" s="1" t="n">
        <f aca="false">COUNTIF(I:I,I426)</f>
        <v>1</v>
      </c>
      <c r="K426" s="1" t="n">
        <v>1</v>
      </c>
      <c r="L426" s="1" t="s">
        <v>1872</v>
      </c>
      <c r="M426" s="1" t="s">
        <v>2014</v>
      </c>
      <c r="N426" s="1" t="n">
        <v>279</v>
      </c>
      <c r="O426" s="1" t="s">
        <v>2015</v>
      </c>
      <c r="P426" s="1" t="n">
        <v>17411</v>
      </c>
      <c r="Q426" s="1" t="s">
        <v>2016</v>
      </c>
      <c r="R426" s="1" t="s">
        <v>23</v>
      </c>
      <c r="S426" s="1" t="s">
        <v>23</v>
      </c>
      <c r="T426" s="1" t="s">
        <v>23</v>
      </c>
      <c r="U426" s="1" t="s">
        <v>23</v>
      </c>
      <c r="V426" s="1" t="s">
        <v>2017</v>
      </c>
    </row>
    <row r="427" customFormat="false" ht="13.8" hidden="false" customHeight="false" outlineLevel="0" collapsed="false">
      <c r="A427" s="1" t="n">
        <v>426</v>
      </c>
      <c r="B427" s="2" t="s">
        <v>2018</v>
      </c>
      <c r="C427" s="1" t="n">
        <v>7</v>
      </c>
      <c r="D427" s="1" t="n">
        <v>30</v>
      </c>
      <c r="E427" s="1" t="n">
        <v>32</v>
      </c>
      <c r="F427" s="1" t="n">
        <v>37</v>
      </c>
      <c r="G427" s="1" t="n">
        <v>50</v>
      </c>
      <c r="H427" s="1" t="n">
        <v>54</v>
      </c>
      <c r="I427" s="1" t="str">
        <f aca="false">RIGHT(("0"&amp;C427),2)&amp;RIGHT(("0"&amp;D427),2)&amp;RIGHT(("0"&amp;E427),2)&amp;RIGHT(("0"&amp;F427),2)&amp;RIGHT(("0"&amp;G427),2)&amp;RIGHT(("0"&amp;H427),2)</f>
        <v>073032375054</v>
      </c>
      <c r="J427" s="1" t="n">
        <f aca="false">COUNTIF(I:I,I427)</f>
        <v>1</v>
      </c>
      <c r="K427" s="1" t="n">
        <v>0</v>
      </c>
      <c r="M427" s="1" t="s">
        <v>23</v>
      </c>
      <c r="N427" s="1" t="n">
        <v>58</v>
      </c>
      <c r="O427" s="1" t="s">
        <v>2019</v>
      </c>
      <c r="P427" s="1" t="n">
        <v>3139</v>
      </c>
      <c r="Q427" s="1" t="s">
        <v>2020</v>
      </c>
      <c r="R427" s="1" t="s">
        <v>2021</v>
      </c>
      <c r="S427" s="1" t="s">
        <v>23</v>
      </c>
      <c r="T427" s="1" t="s">
        <v>23</v>
      </c>
      <c r="U427" s="1" t="s">
        <v>23</v>
      </c>
      <c r="V427" s="1" t="s">
        <v>2022</v>
      </c>
    </row>
    <row r="428" customFormat="false" ht="13.8" hidden="false" customHeight="false" outlineLevel="0" collapsed="false">
      <c r="A428" s="1" t="n">
        <v>427</v>
      </c>
      <c r="B428" s="2" t="s">
        <v>2023</v>
      </c>
      <c r="C428" s="1" t="n">
        <v>3</v>
      </c>
      <c r="D428" s="1" t="n">
        <v>13</v>
      </c>
      <c r="E428" s="1" t="n">
        <v>14</v>
      </c>
      <c r="F428" s="1" t="n">
        <v>24</v>
      </c>
      <c r="G428" s="1" t="n">
        <v>43</v>
      </c>
      <c r="H428" s="1" t="n">
        <v>51</v>
      </c>
      <c r="I428" s="1" t="str">
        <f aca="false">RIGHT(("0"&amp;C428),2)&amp;RIGHT(("0"&amp;D428),2)&amp;RIGHT(("0"&amp;E428),2)&amp;RIGHT(("0"&amp;F428),2)&amp;RIGHT(("0"&amp;G428),2)&amp;RIGHT(("0"&amp;H428),2)</f>
        <v>031314244351</v>
      </c>
      <c r="J428" s="1" t="n">
        <f aca="false">COUNTIF(I:I,I428)</f>
        <v>1</v>
      </c>
      <c r="K428" s="1" t="n">
        <v>0</v>
      </c>
      <c r="M428" s="1" t="s">
        <v>23</v>
      </c>
      <c r="N428" s="1" t="n">
        <v>48</v>
      </c>
      <c r="O428" s="1" t="s">
        <v>2024</v>
      </c>
      <c r="P428" s="1" t="n">
        <v>3563</v>
      </c>
      <c r="Q428" s="1" t="s">
        <v>2025</v>
      </c>
      <c r="R428" s="1" t="s">
        <v>2026</v>
      </c>
      <c r="S428" s="1" t="s">
        <v>23</v>
      </c>
      <c r="T428" s="1" t="s">
        <v>23</v>
      </c>
      <c r="U428" s="1" t="s">
        <v>23</v>
      </c>
      <c r="V428" s="1" t="s">
        <v>2027</v>
      </c>
    </row>
    <row r="429" customFormat="false" ht="13.8" hidden="false" customHeight="false" outlineLevel="0" collapsed="false">
      <c r="A429" s="1" t="n">
        <v>428</v>
      </c>
      <c r="B429" s="2" t="s">
        <v>2028</v>
      </c>
      <c r="C429" s="1" t="n">
        <v>8</v>
      </c>
      <c r="D429" s="1" t="n">
        <v>28</v>
      </c>
      <c r="E429" s="1" t="n">
        <v>30</v>
      </c>
      <c r="F429" s="1" t="n">
        <v>32</v>
      </c>
      <c r="G429" s="1" t="n">
        <v>46</v>
      </c>
      <c r="H429" s="1" t="n">
        <v>60</v>
      </c>
      <c r="I429" s="1" t="str">
        <f aca="false">RIGHT(("0"&amp;C429),2)&amp;RIGHT(("0"&amp;D429),2)&amp;RIGHT(("0"&amp;E429),2)&amp;RIGHT(("0"&amp;F429),2)&amp;RIGHT(("0"&amp;G429),2)&amp;RIGHT(("0"&amp;H429),2)</f>
        <v>082830324660</v>
      </c>
      <c r="J429" s="1" t="n">
        <f aca="false">COUNTIF(I:I,I429)</f>
        <v>1</v>
      </c>
      <c r="K429" s="1" t="n">
        <v>0</v>
      </c>
      <c r="M429" s="1" t="s">
        <v>23</v>
      </c>
      <c r="N429" s="1" t="n">
        <v>48</v>
      </c>
      <c r="O429" s="1" t="s">
        <v>2029</v>
      </c>
      <c r="P429" s="1" t="n">
        <v>3734</v>
      </c>
      <c r="Q429" s="1" t="s">
        <v>2030</v>
      </c>
      <c r="R429" s="1" t="s">
        <v>2031</v>
      </c>
      <c r="S429" s="1" t="s">
        <v>23</v>
      </c>
      <c r="T429" s="1" t="s">
        <v>23</v>
      </c>
      <c r="U429" s="1" t="s">
        <v>23</v>
      </c>
      <c r="V429" s="1" t="s">
        <v>1593</v>
      </c>
    </row>
    <row r="430" customFormat="false" ht="13.8" hidden="false" customHeight="false" outlineLevel="0" collapsed="false">
      <c r="A430" s="1" t="n">
        <v>429</v>
      </c>
      <c r="B430" s="2" t="s">
        <v>2032</v>
      </c>
      <c r="C430" s="1" t="n">
        <v>17</v>
      </c>
      <c r="D430" s="1" t="n">
        <v>26</v>
      </c>
      <c r="E430" s="1" t="n">
        <v>32</v>
      </c>
      <c r="F430" s="1" t="n">
        <v>36</v>
      </c>
      <c r="G430" s="1" t="n">
        <v>43</v>
      </c>
      <c r="H430" s="1" t="n">
        <v>55</v>
      </c>
      <c r="I430" s="1" t="str">
        <f aca="false">RIGHT(("0"&amp;C430),2)&amp;RIGHT(("0"&amp;D430),2)&amp;RIGHT(("0"&amp;E430),2)&amp;RIGHT(("0"&amp;F430),2)&amp;RIGHT(("0"&amp;G430),2)&amp;RIGHT(("0"&amp;H430),2)</f>
        <v>172632364355</v>
      </c>
      <c r="J430" s="1" t="n">
        <f aca="false">COUNTIF(I:I,I430)</f>
        <v>1</v>
      </c>
      <c r="K430" s="1" t="n">
        <v>0</v>
      </c>
      <c r="M430" s="1" t="s">
        <v>23</v>
      </c>
      <c r="N430" s="1" t="n">
        <v>44</v>
      </c>
      <c r="O430" s="1" t="s">
        <v>2033</v>
      </c>
      <c r="P430" s="1" t="n">
        <v>3300</v>
      </c>
      <c r="Q430" s="1" t="s">
        <v>2034</v>
      </c>
      <c r="R430" s="1" t="s">
        <v>2035</v>
      </c>
      <c r="S430" s="1" t="s">
        <v>23</v>
      </c>
      <c r="T430" s="1" t="s">
        <v>23</v>
      </c>
      <c r="U430" s="1" t="s">
        <v>23</v>
      </c>
      <c r="V430" s="1" t="s">
        <v>1522</v>
      </c>
    </row>
    <row r="431" customFormat="false" ht="13.8" hidden="false" customHeight="false" outlineLevel="0" collapsed="false">
      <c r="A431" s="1" t="n">
        <v>430</v>
      </c>
      <c r="B431" s="2" t="s">
        <v>2036</v>
      </c>
      <c r="C431" s="1" t="n">
        <v>8</v>
      </c>
      <c r="D431" s="1" t="n">
        <v>10</v>
      </c>
      <c r="E431" s="1" t="n">
        <v>21</v>
      </c>
      <c r="F431" s="1" t="n">
        <v>25</v>
      </c>
      <c r="G431" s="1" t="n">
        <v>38</v>
      </c>
      <c r="H431" s="1" t="n">
        <v>50</v>
      </c>
      <c r="I431" s="1" t="str">
        <f aca="false">RIGHT(("0"&amp;C431),2)&amp;RIGHT(("0"&amp;D431),2)&amp;RIGHT(("0"&amp;E431),2)&amp;RIGHT(("0"&amp;F431),2)&amp;RIGHT(("0"&amp;G431),2)&amp;RIGHT(("0"&amp;H431),2)</f>
        <v>081021253850</v>
      </c>
      <c r="J431" s="1" t="n">
        <f aca="false">COUNTIF(I:I,I431)</f>
        <v>1</v>
      </c>
      <c r="K431" s="1" t="n">
        <v>1</v>
      </c>
      <c r="L431" s="1" t="s">
        <v>28</v>
      </c>
      <c r="M431" s="1" t="s">
        <v>2037</v>
      </c>
      <c r="N431" s="1" t="n">
        <v>85</v>
      </c>
      <c r="O431" s="1" t="s">
        <v>2038</v>
      </c>
      <c r="P431" s="1" t="n">
        <v>6944</v>
      </c>
      <c r="Q431" s="1" t="s">
        <v>2039</v>
      </c>
      <c r="R431" s="1" t="s">
        <v>23</v>
      </c>
      <c r="S431" s="1" t="s">
        <v>23</v>
      </c>
      <c r="T431" s="1" t="s">
        <v>23</v>
      </c>
      <c r="U431" s="1" t="s">
        <v>23</v>
      </c>
      <c r="V431" s="1" t="s">
        <v>1862</v>
      </c>
    </row>
    <row r="432" customFormat="false" ht="13.8" hidden="false" customHeight="false" outlineLevel="0" collapsed="false">
      <c r="A432" s="1" t="n">
        <v>431</v>
      </c>
      <c r="B432" s="2" t="s">
        <v>2040</v>
      </c>
      <c r="C432" s="1" t="n">
        <v>26</v>
      </c>
      <c r="D432" s="1" t="n">
        <v>37</v>
      </c>
      <c r="E432" s="1" t="n">
        <v>40</v>
      </c>
      <c r="F432" s="1" t="n">
        <v>47</v>
      </c>
      <c r="G432" s="1" t="n">
        <v>52</v>
      </c>
      <c r="H432" s="1" t="n">
        <v>58</v>
      </c>
      <c r="I432" s="1" t="str">
        <f aca="false">RIGHT(("0"&amp;C432),2)&amp;RIGHT(("0"&amp;D432),2)&amp;RIGHT(("0"&amp;E432),2)&amp;RIGHT(("0"&amp;F432),2)&amp;RIGHT(("0"&amp;G432),2)&amp;RIGHT(("0"&amp;H432),2)</f>
        <v>263740475258</v>
      </c>
      <c r="J432" s="1" t="n">
        <f aca="false">COUNTIF(I:I,I432)</f>
        <v>1</v>
      </c>
      <c r="K432" s="1" t="n">
        <v>0</v>
      </c>
      <c r="M432" s="1" t="s">
        <v>23</v>
      </c>
      <c r="N432" s="1" t="n">
        <v>20</v>
      </c>
      <c r="O432" s="1" t="s">
        <v>2041</v>
      </c>
      <c r="P432" s="1" t="n">
        <v>1184</v>
      </c>
      <c r="Q432" s="1" t="s">
        <v>2042</v>
      </c>
      <c r="R432" s="1" t="s">
        <v>2043</v>
      </c>
      <c r="S432" s="1" t="s">
        <v>23</v>
      </c>
      <c r="T432" s="1" t="s">
        <v>23</v>
      </c>
      <c r="U432" s="1" t="s">
        <v>23</v>
      </c>
      <c r="V432" s="1" t="s">
        <v>2044</v>
      </c>
    </row>
    <row r="433" customFormat="false" ht="13.8" hidden="false" customHeight="false" outlineLevel="0" collapsed="false">
      <c r="A433" s="1" t="n">
        <v>432</v>
      </c>
      <c r="B433" s="2" t="s">
        <v>2045</v>
      </c>
      <c r="C433" s="1" t="n">
        <v>4</v>
      </c>
      <c r="D433" s="1" t="n">
        <v>13</v>
      </c>
      <c r="E433" s="1" t="n">
        <v>17</v>
      </c>
      <c r="F433" s="1" t="n">
        <v>27</v>
      </c>
      <c r="G433" s="1" t="n">
        <v>39</v>
      </c>
      <c r="H433" s="1" t="n">
        <v>50</v>
      </c>
      <c r="I433" s="1" t="str">
        <f aca="false">RIGHT(("0"&amp;C433),2)&amp;RIGHT(("0"&amp;D433),2)&amp;RIGHT(("0"&amp;E433),2)&amp;RIGHT(("0"&amp;F433),2)&amp;RIGHT(("0"&amp;G433),2)&amp;RIGHT(("0"&amp;H433),2)</f>
        <v>041317273950</v>
      </c>
      <c r="J433" s="1" t="n">
        <f aca="false">COUNTIF(I:I,I433)</f>
        <v>1</v>
      </c>
      <c r="K433" s="1" t="n">
        <v>0</v>
      </c>
      <c r="M433" s="1" t="s">
        <v>23</v>
      </c>
      <c r="N433" s="1" t="n">
        <v>54</v>
      </c>
      <c r="O433" s="1" t="s">
        <v>2046</v>
      </c>
      <c r="P433" s="1" t="n">
        <v>4278</v>
      </c>
      <c r="Q433" s="1" t="s">
        <v>2047</v>
      </c>
      <c r="R433" s="1" t="s">
        <v>2048</v>
      </c>
      <c r="S433" s="1" t="s">
        <v>23</v>
      </c>
      <c r="T433" s="1" t="s">
        <v>23</v>
      </c>
      <c r="U433" s="1" t="s">
        <v>23</v>
      </c>
      <c r="V433" s="1" t="s">
        <v>2049</v>
      </c>
    </row>
    <row r="434" customFormat="false" ht="13.8" hidden="false" customHeight="false" outlineLevel="0" collapsed="false">
      <c r="A434" s="1" t="n">
        <v>433</v>
      </c>
      <c r="B434" s="2" t="s">
        <v>2050</v>
      </c>
      <c r="C434" s="1" t="n">
        <v>16</v>
      </c>
      <c r="D434" s="1" t="n">
        <v>17</v>
      </c>
      <c r="E434" s="1" t="n">
        <v>28</v>
      </c>
      <c r="F434" s="1" t="n">
        <v>30</v>
      </c>
      <c r="G434" s="1" t="n">
        <v>36</v>
      </c>
      <c r="H434" s="1" t="n">
        <v>54</v>
      </c>
      <c r="I434" s="1" t="str">
        <f aca="false">RIGHT(("0"&amp;C434),2)&amp;RIGHT(("0"&amp;D434),2)&amp;RIGHT(("0"&amp;E434),2)&amp;RIGHT(("0"&amp;F434),2)&amp;RIGHT(("0"&amp;G434),2)&amp;RIGHT(("0"&amp;H434),2)</f>
        <v>161728303654</v>
      </c>
      <c r="J434" s="1" t="n">
        <f aca="false">COUNTIF(I:I,I434)</f>
        <v>1</v>
      </c>
      <c r="K434" s="1" t="n">
        <v>0</v>
      </c>
      <c r="M434" s="1" t="s">
        <v>23</v>
      </c>
      <c r="N434" s="1" t="n">
        <v>31</v>
      </c>
      <c r="O434" s="1" t="s">
        <v>2051</v>
      </c>
      <c r="P434" s="1" t="n">
        <v>2332</v>
      </c>
      <c r="Q434" s="1" t="s">
        <v>2052</v>
      </c>
      <c r="R434" s="1" t="s">
        <v>2053</v>
      </c>
      <c r="S434" s="1" t="s">
        <v>23</v>
      </c>
      <c r="T434" s="1" t="s">
        <v>23</v>
      </c>
      <c r="U434" s="1" t="s">
        <v>23</v>
      </c>
      <c r="V434" s="1" t="s">
        <v>1543</v>
      </c>
    </row>
    <row r="435" customFormat="false" ht="13.8" hidden="false" customHeight="false" outlineLevel="0" collapsed="false">
      <c r="A435" s="1" t="n">
        <v>434</v>
      </c>
      <c r="B435" s="2" t="s">
        <v>2054</v>
      </c>
      <c r="C435" s="1" t="n">
        <v>4</v>
      </c>
      <c r="D435" s="1" t="n">
        <v>10</v>
      </c>
      <c r="E435" s="1" t="n">
        <v>17</v>
      </c>
      <c r="F435" s="1" t="n">
        <v>24</v>
      </c>
      <c r="G435" s="1" t="n">
        <v>30</v>
      </c>
      <c r="H435" s="1" t="n">
        <v>54</v>
      </c>
      <c r="I435" s="1" t="str">
        <f aca="false">RIGHT(("0"&amp;C435),2)&amp;RIGHT(("0"&amp;D435),2)&amp;RIGHT(("0"&amp;E435),2)&amp;RIGHT(("0"&amp;F435),2)&amp;RIGHT(("0"&amp;G435),2)&amp;RIGHT(("0"&amp;H435),2)</f>
        <v>041017243054</v>
      </c>
      <c r="J435" s="1" t="n">
        <f aca="false">COUNTIF(I:I,I435)</f>
        <v>1</v>
      </c>
      <c r="K435" s="1" t="n">
        <v>0</v>
      </c>
      <c r="M435" s="1" t="s">
        <v>23</v>
      </c>
      <c r="N435" s="1" t="n">
        <v>84</v>
      </c>
      <c r="O435" s="1" t="s">
        <v>2055</v>
      </c>
      <c r="P435" s="1" t="n">
        <v>4870</v>
      </c>
      <c r="Q435" s="1" t="s">
        <v>2056</v>
      </c>
      <c r="R435" s="1" t="s">
        <v>2057</v>
      </c>
      <c r="S435" s="1" t="s">
        <v>23</v>
      </c>
      <c r="T435" s="1" t="s">
        <v>23</v>
      </c>
      <c r="U435" s="1" t="s">
        <v>23</v>
      </c>
      <c r="V435" s="1" t="s">
        <v>1593</v>
      </c>
    </row>
    <row r="436" customFormat="false" ht="13.8" hidden="false" customHeight="false" outlineLevel="0" collapsed="false">
      <c r="A436" s="1" t="n">
        <v>435</v>
      </c>
      <c r="B436" s="2" t="s">
        <v>2058</v>
      </c>
      <c r="C436" s="1" t="n">
        <v>10</v>
      </c>
      <c r="D436" s="1" t="n">
        <v>11</v>
      </c>
      <c r="E436" s="1" t="n">
        <v>17</v>
      </c>
      <c r="F436" s="1" t="n">
        <v>31</v>
      </c>
      <c r="G436" s="1" t="n">
        <v>37</v>
      </c>
      <c r="H436" s="1" t="n">
        <v>43</v>
      </c>
      <c r="I436" s="1" t="str">
        <f aca="false">RIGHT(("0"&amp;C436),2)&amp;RIGHT(("0"&amp;D436),2)&amp;RIGHT(("0"&amp;E436),2)&amp;RIGHT(("0"&amp;F436),2)&amp;RIGHT(("0"&amp;G436),2)&amp;RIGHT(("0"&amp;H436),2)</f>
        <v>101117313743</v>
      </c>
      <c r="J436" s="1" t="n">
        <f aca="false">COUNTIF(I:I,I436)</f>
        <v>1</v>
      </c>
      <c r="K436" s="1" t="n">
        <v>0</v>
      </c>
      <c r="M436" s="1" t="s">
        <v>23</v>
      </c>
      <c r="N436" s="1" t="n">
        <v>55</v>
      </c>
      <c r="O436" s="1" t="s">
        <v>2059</v>
      </c>
      <c r="P436" s="1" t="n">
        <v>3243</v>
      </c>
      <c r="Q436" s="1" t="s">
        <v>2060</v>
      </c>
      <c r="R436" s="1" t="s">
        <v>2061</v>
      </c>
      <c r="S436" s="1" t="s">
        <v>23</v>
      </c>
      <c r="T436" s="1" t="s">
        <v>23</v>
      </c>
      <c r="U436" s="1" t="s">
        <v>23</v>
      </c>
      <c r="V436" s="1" t="s">
        <v>2062</v>
      </c>
    </row>
    <row r="437" customFormat="false" ht="13.8" hidden="false" customHeight="false" outlineLevel="0" collapsed="false">
      <c r="A437" s="1" t="n">
        <v>436</v>
      </c>
      <c r="B437" s="2" t="s">
        <v>2063</v>
      </c>
      <c r="C437" s="1" t="n">
        <v>1</v>
      </c>
      <c r="D437" s="1" t="n">
        <v>6</v>
      </c>
      <c r="E437" s="1" t="n">
        <v>7</v>
      </c>
      <c r="F437" s="1" t="n">
        <v>29</v>
      </c>
      <c r="G437" s="1" t="n">
        <v>48</v>
      </c>
      <c r="H437" s="1" t="n">
        <v>57</v>
      </c>
      <c r="I437" s="1" t="str">
        <f aca="false">RIGHT(("0"&amp;C437),2)&amp;RIGHT(("0"&amp;D437),2)&amp;RIGHT(("0"&amp;E437),2)&amp;RIGHT(("0"&amp;F437),2)&amp;RIGHT(("0"&amp;G437),2)&amp;RIGHT(("0"&amp;H437),2)</f>
        <v>010607294857</v>
      </c>
      <c r="J437" s="1" t="n">
        <f aca="false">COUNTIF(I:I,I437)</f>
        <v>1</v>
      </c>
      <c r="K437" s="1" t="n">
        <v>0</v>
      </c>
      <c r="M437" s="1" t="s">
        <v>23</v>
      </c>
      <c r="N437" s="1" t="n">
        <v>47</v>
      </c>
      <c r="O437" s="1" t="s">
        <v>2064</v>
      </c>
      <c r="P437" s="1" t="n">
        <v>4696</v>
      </c>
      <c r="Q437" s="1" t="s">
        <v>2065</v>
      </c>
      <c r="R437" s="1" t="s">
        <v>2066</v>
      </c>
      <c r="S437" s="1" t="s">
        <v>23</v>
      </c>
      <c r="T437" s="1" t="s">
        <v>23</v>
      </c>
      <c r="U437" s="1" t="s">
        <v>23</v>
      </c>
      <c r="V437" s="1" t="s">
        <v>2067</v>
      </c>
    </row>
    <row r="438" customFormat="false" ht="13.8" hidden="false" customHeight="false" outlineLevel="0" collapsed="false">
      <c r="A438" s="1" t="n">
        <v>437</v>
      </c>
      <c r="B438" s="2" t="s">
        <v>2068</v>
      </c>
      <c r="C438" s="1" t="n">
        <v>7</v>
      </c>
      <c r="D438" s="1" t="n">
        <v>10</v>
      </c>
      <c r="E438" s="1" t="n">
        <v>30</v>
      </c>
      <c r="F438" s="1" t="n">
        <v>44</v>
      </c>
      <c r="G438" s="1" t="n">
        <v>54</v>
      </c>
      <c r="H438" s="1" t="n">
        <v>59</v>
      </c>
      <c r="I438" s="1" t="str">
        <f aca="false">RIGHT(("0"&amp;C438),2)&amp;RIGHT(("0"&amp;D438),2)&amp;RIGHT(("0"&amp;E438),2)&amp;RIGHT(("0"&amp;F438),2)&amp;RIGHT(("0"&amp;G438),2)&amp;RIGHT(("0"&amp;H438),2)</f>
        <v>071030445459</v>
      </c>
      <c r="J438" s="1" t="n">
        <f aca="false">COUNTIF(I:I,I438)</f>
        <v>1</v>
      </c>
      <c r="K438" s="1" t="n">
        <v>0</v>
      </c>
      <c r="M438" s="1" t="s">
        <v>23</v>
      </c>
      <c r="N438" s="1" t="n">
        <v>33</v>
      </c>
      <c r="O438" s="1" t="s">
        <v>2069</v>
      </c>
      <c r="P438" s="1" t="n">
        <v>2829</v>
      </c>
      <c r="Q438" s="1" t="s">
        <v>2070</v>
      </c>
      <c r="R438" s="1" t="s">
        <v>2071</v>
      </c>
      <c r="S438" s="1" t="s">
        <v>23</v>
      </c>
      <c r="T438" s="1" t="s">
        <v>23</v>
      </c>
      <c r="U438" s="1" t="s">
        <v>23</v>
      </c>
      <c r="V438" s="1" t="s">
        <v>2072</v>
      </c>
    </row>
    <row r="439" customFormat="false" ht="13.8" hidden="false" customHeight="false" outlineLevel="0" collapsed="false">
      <c r="A439" s="1" t="n">
        <v>438</v>
      </c>
      <c r="B439" s="2" t="s">
        <v>2073</v>
      </c>
      <c r="C439" s="1" t="n">
        <v>3</v>
      </c>
      <c r="D439" s="1" t="n">
        <v>5</v>
      </c>
      <c r="E439" s="1" t="n">
        <v>11</v>
      </c>
      <c r="F439" s="1" t="n">
        <v>14</v>
      </c>
      <c r="G439" s="1" t="n">
        <v>38</v>
      </c>
      <c r="H439" s="1" t="n">
        <v>48</v>
      </c>
      <c r="I439" s="1" t="str">
        <f aca="false">RIGHT(("0"&amp;C439),2)&amp;RIGHT(("0"&amp;D439),2)&amp;RIGHT(("0"&amp;E439),2)&amp;RIGHT(("0"&amp;F439),2)&amp;RIGHT(("0"&amp;G439),2)&amp;RIGHT(("0"&amp;H439),2)</f>
        <v>030511143848</v>
      </c>
      <c r="J439" s="1" t="n">
        <f aca="false">COUNTIF(I:I,I439)</f>
        <v>1</v>
      </c>
      <c r="K439" s="1" t="n">
        <v>0</v>
      </c>
      <c r="M439" s="1" t="s">
        <v>23</v>
      </c>
      <c r="N439" s="1" t="n">
        <v>65</v>
      </c>
      <c r="O439" s="1" t="s">
        <v>2074</v>
      </c>
      <c r="P439" s="1" t="n">
        <v>6276</v>
      </c>
      <c r="Q439" s="1" t="s">
        <v>2075</v>
      </c>
      <c r="R439" s="1" t="s">
        <v>2076</v>
      </c>
      <c r="S439" s="1" t="s">
        <v>23</v>
      </c>
      <c r="T439" s="1" t="s">
        <v>23</v>
      </c>
      <c r="U439" s="1" t="s">
        <v>23</v>
      </c>
      <c r="V439" s="1" t="s">
        <v>2077</v>
      </c>
    </row>
    <row r="440" customFormat="false" ht="13.8" hidden="false" customHeight="false" outlineLevel="0" collapsed="false">
      <c r="A440" s="1" t="n">
        <v>439</v>
      </c>
      <c r="B440" s="2" t="s">
        <v>2078</v>
      </c>
      <c r="C440" s="1" t="n">
        <v>13</v>
      </c>
      <c r="D440" s="1" t="n">
        <v>20</v>
      </c>
      <c r="E440" s="1" t="n">
        <v>29</v>
      </c>
      <c r="F440" s="1" t="n">
        <v>42</v>
      </c>
      <c r="G440" s="1" t="n">
        <v>43</v>
      </c>
      <c r="H440" s="1" t="n">
        <v>57</v>
      </c>
      <c r="I440" s="1" t="str">
        <f aca="false">RIGHT(("0"&amp;C440),2)&amp;RIGHT(("0"&amp;D440),2)&amp;RIGHT(("0"&amp;E440),2)&amp;RIGHT(("0"&amp;F440),2)&amp;RIGHT(("0"&amp;G440),2)&amp;RIGHT(("0"&amp;H440),2)</f>
        <v>132029424357</v>
      </c>
      <c r="J440" s="1" t="n">
        <f aca="false">COUNTIF(I:I,I440)</f>
        <v>1</v>
      </c>
      <c r="K440" s="1" t="n">
        <v>0</v>
      </c>
      <c r="M440" s="1" t="s">
        <v>23</v>
      </c>
      <c r="N440" s="1" t="n">
        <v>65</v>
      </c>
      <c r="O440" s="1" t="s">
        <v>2079</v>
      </c>
      <c r="P440" s="1" t="n">
        <v>4407</v>
      </c>
      <c r="Q440" s="1" t="s">
        <v>2080</v>
      </c>
      <c r="R440" s="1" t="s">
        <v>2081</v>
      </c>
      <c r="S440" s="1" t="s">
        <v>23</v>
      </c>
      <c r="T440" s="1" t="s">
        <v>23</v>
      </c>
      <c r="U440" s="1" t="s">
        <v>23</v>
      </c>
      <c r="V440" s="1" t="s">
        <v>2082</v>
      </c>
    </row>
    <row r="441" customFormat="false" ht="13.8" hidden="false" customHeight="false" outlineLevel="0" collapsed="false">
      <c r="A441" s="1" t="n">
        <v>440</v>
      </c>
      <c r="B441" s="2" t="s">
        <v>2083</v>
      </c>
      <c r="C441" s="1" t="n">
        <v>3</v>
      </c>
      <c r="D441" s="1" t="n">
        <v>5</v>
      </c>
      <c r="E441" s="1" t="n">
        <v>23</v>
      </c>
      <c r="F441" s="1" t="n">
        <v>30</v>
      </c>
      <c r="G441" s="1" t="n">
        <v>46</v>
      </c>
      <c r="H441" s="1" t="n">
        <v>47</v>
      </c>
      <c r="I441" s="1" t="str">
        <f aca="false">RIGHT(("0"&amp;C441),2)&amp;RIGHT(("0"&amp;D441),2)&amp;RIGHT(("0"&amp;E441),2)&amp;RIGHT(("0"&amp;F441),2)&amp;RIGHT(("0"&amp;G441),2)&amp;RIGHT(("0"&amp;H441),2)</f>
        <v>030523304647</v>
      </c>
      <c r="J441" s="1" t="n">
        <f aca="false">COUNTIF(I:I,I441)</f>
        <v>1</v>
      </c>
      <c r="K441" s="1" t="n">
        <v>0</v>
      </c>
      <c r="M441" s="1" t="s">
        <v>23</v>
      </c>
      <c r="N441" s="1" t="n">
        <v>139</v>
      </c>
      <c r="O441" s="1" t="s">
        <v>2084</v>
      </c>
      <c r="P441" s="1" t="n">
        <v>10120</v>
      </c>
      <c r="Q441" s="1" t="s">
        <v>2085</v>
      </c>
      <c r="R441" s="1" t="s">
        <v>2086</v>
      </c>
      <c r="S441" s="1" t="s">
        <v>23</v>
      </c>
      <c r="T441" s="1" t="s">
        <v>23</v>
      </c>
      <c r="U441" s="1" t="s">
        <v>23</v>
      </c>
      <c r="V441" s="1" t="s">
        <v>1813</v>
      </c>
    </row>
    <row r="442" customFormat="false" ht="13.8" hidden="false" customHeight="false" outlineLevel="0" collapsed="false">
      <c r="A442" s="1" t="n">
        <v>441</v>
      </c>
      <c r="B442" s="2" t="s">
        <v>2087</v>
      </c>
      <c r="C442" s="1" t="n">
        <v>2</v>
      </c>
      <c r="D442" s="1" t="n">
        <v>10</v>
      </c>
      <c r="E442" s="1" t="n">
        <v>15</v>
      </c>
      <c r="F442" s="1" t="n">
        <v>21</v>
      </c>
      <c r="G442" s="1" t="n">
        <v>58</v>
      </c>
      <c r="H442" s="1" t="n">
        <v>59</v>
      </c>
      <c r="I442" s="1" t="str">
        <f aca="false">RIGHT(("0"&amp;C442),2)&amp;RIGHT(("0"&amp;D442),2)&amp;RIGHT(("0"&amp;E442),2)&amp;RIGHT(("0"&amp;F442),2)&amp;RIGHT(("0"&amp;G442),2)&amp;RIGHT(("0"&amp;H442),2)</f>
        <v>021015215859</v>
      </c>
      <c r="J442" s="1" t="n">
        <f aca="false">COUNTIF(I:I,I442)</f>
        <v>1</v>
      </c>
      <c r="K442" s="1" t="n">
        <v>0</v>
      </c>
      <c r="M442" s="1" t="s">
        <v>23</v>
      </c>
      <c r="N442" s="1" t="n">
        <v>121</v>
      </c>
      <c r="O442" s="1" t="s">
        <v>2088</v>
      </c>
      <c r="P442" s="1" t="n">
        <v>6941</v>
      </c>
      <c r="Q442" s="1" t="s">
        <v>2089</v>
      </c>
      <c r="R442" s="1" t="s">
        <v>2090</v>
      </c>
      <c r="S442" s="1" t="s">
        <v>23</v>
      </c>
      <c r="T442" s="1" t="s">
        <v>23</v>
      </c>
      <c r="U442" s="1" t="s">
        <v>23</v>
      </c>
      <c r="V442" s="1" t="s">
        <v>2091</v>
      </c>
    </row>
    <row r="443" customFormat="false" ht="13.8" hidden="false" customHeight="false" outlineLevel="0" collapsed="false">
      <c r="A443" s="1" t="n">
        <v>442</v>
      </c>
      <c r="B443" s="2" t="s">
        <v>2092</v>
      </c>
      <c r="C443" s="1" t="n">
        <v>6</v>
      </c>
      <c r="D443" s="1" t="n">
        <v>15</v>
      </c>
      <c r="E443" s="1" t="n">
        <v>23</v>
      </c>
      <c r="F443" s="1" t="n">
        <v>31</v>
      </c>
      <c r="G443" s="1" t="n">
        <v>37</v>
      </c>
      <c r="H443" s="1" t="n">
        <v>59</v>
      </c>
      <c r="I443" s="1" t="str">
        <f aca="false">RIGHT(("0"&amp;C443),2)&amp;RIGHT(("0"&amp;D443),2)&amp;RIGHT(("0"&amp;E443),2)&amp;RIGHT(("0"&amp;F443),2)&amp;RIGHT(("0"&amp;G443),2)&amp;RIGHT(("0"&amp;H443),2)</f>
        <v>061523313759</v>
      </c>
      <c r="J443" s="1" t="n">
        <f aca="false">COUNTIF(I:I,I443)</f>
        <v>1</v>
      </c>
      <c r="K443" s="1" t="n">
        <v>1</v>
      </c>
      <c r="L443" s="1" t="s">
        <v>91</v>
      </c>
      <c r="M443" s="1" t="s">
        <v>2093</v>
      </c>
      <c r="N443" s="1" t="n">
        <v>135</v>
      </c>
      <c r="O443" s="1" t="s">
        <v>2094</v>
      </c>
      <c r="P443" s="1" t="n">
        <v>9944</v>
      </c>
      <c r="Q443" s="1" t="s">
        <v>2095</v>
      </c>
      <c r="R443" s="1" t="s">
        <v>23</v>
      </c>
      <c r="S443" s="1" t="s">
        <v>23</v>
      </c>
      <c r="T443" s="1" t="s">
        <v>23</v>
      </c>
      <c r="U443" s="1" t="s">
        <v>23</v>
      </c>
      <c r="V443" s="1" t="s">
        <v>2096</v>
      </c>
    </row>
    <row r="444" customFormat="false" ht="13.8" hidden="false" customHeight="false" outlineLevel="0" collapsed="false">
      <c r="A444" s="1" t="n">
        <v>443</v>
      </c>
      <c r="B444" s="2" t="s">
        <v>2097</v>
      </c>
      <c r="C444" s="1" t="n">
        <v>11</v>
      </c>
      <c r="D444" s="1" t="n">
        <v>17</v>
      </c>
      <c r="E444" s="1" t="n">
        <v>26</v>
      </c>
      <c r="F444" s="1" t="n">
        <v>36</v>
      </c>
      <c r="G444" s="1" t="n">
        <v>48</v>
      </c>
      <c r="H444" s="1" t="n">
        <v>52</v>
      </c>
      <c r="I444" s="1" t="str">
        <f aca="false">RIGHT(("0"&amp;C444),2)&amp;RIGHT(("0"&amp;D444),2)&amp;RIGHT(("0"&amp;E444),2)&amp;RIGHT(("0"&amp;F444),2)&amp;RIGHT(("0"&amp;G444),2)&amp;RIGHT(("0"&amp;H444),2)</f>
        <v>111726364852</v>
      </c>
      <c r="J444" s="1" t="n">
        <f aca="false">COUNTIF(I:I,I444)</f>
        <v>1</v>
      </c>
      <c r="K444" s="1" t="n">
        <v>0</v>
      </c>
      <c r="M444" s="1" t="s">
        <v>23</v>
      </c>
      <c r="N444" s="1" t="n">
        <v>47</v>
      </c>
      <c r="O444" s="1" t="s">
        <v>2098</v>
      </c>
      <c r="P444" s="1" t="n">
        <v>3738</v>
      </c>
      <c r="Q444" s="1" t="s">
        <v>2099</v>
      </c>
      <c r="R444" s="1" t="s">
        <v>2100</v>
      </c>
      <c r="S444" s="1" t="s">
        <v>23</v>
      </c>
      <c r="T444" s="1" t="s">
        <v>23</v>
      </c>
      <c r="U444" s="1" t="s">
        <v>23</v>
      </c>
      <c r="V444" s="1" t="s">
        <v>2101</v>
      </c>
    </row>
    <row r="445" customFormat="false" ht="13.8" hidden="false" customHeight="false" outlineLevel="0" collapsed="false">
      <c r="A445" s="1" t="n">
        <v>444</v>
      </c>
      <c r="B445" s="2" t="s">
        <v>2102</v>
      </c>
      <c r="C445" s="1" t="n">
        <v>3</v>
      </c>
      <c r="D445" s="1" t="n">
        <v>24</v>
      </c>
      <c r="E445" s="1" t="n">
        <v>33</v>
      </c>
      <c r="F445" s="1" t="n">
        <v>48</v>
      </c>
      <c r="G445" s="1" t="n">
        <v>52</v>
      </c>
      <c r="H445" s="1" t="n">
        <v>57</v>
      </c>
      <c r="I445" s="1" t="str">
        <f aca="false">RIGHT(("0"&amp;C445),2)&amp;RIGHT(("0"&amp;D445),2)&amp;RIGHT(("0"&amp;E445),2)&amp;RIGHT(("0"&amp;F445),2)&amp;RIGHT(("0"&amp;G445),2)&amp;RIGHT(("0"&amp;H445),2)</f>
        <v>032433485257</v>
      </c>
      <c r="J445" s="1" t="n">
        <f aca="false">COUNTIF(I:I,I445)</f>
        <v>1</v>
      </c>
      <c r="K445" s="1" t="n">
        <v>0</v>
      </c>
      <c r="M445" s="1" t="s">
        <v>23</v>
      </c>
      <c r="N445" s="1" t="n">
        <v>43</v>
      </c>
      <c r="O445" s="1" t="s">
        <v>2103</v>
      </c>
      <c r="P445" s="1" t="n">
        <v>3332</v>
      </c>
      <c r="Q445" s="1" t="s">
        <v>2104</v>
      </c>
      <c r="R445" s="1" t="s">
        <v>2105</v>
      </c>
      <c r="S445" s="1" t="s">
        <v>23</v>
      </c>
      <c r="T445" s="1" t="s">
        <v>23</v>
      </c>
      <c r="U445" s="1" t="s">
        <v>23</v>
      </c>
      <c r="V445" s="1" t="s">
        <v>2106</v>
      </c>
    </row>
    <row r="446" customFormat="false" ht="13.8" hidden="false" customHeight="false" outlineLevel="0" collapsed="false">
      <c r="A446" s="1" t="n">
        <v>445</v>
      </c>
      <c r="B446" s="2" t="s">
        <v>2107</v>
      </c>
      <c r="C446" s="1" t="n">
        <v>7</v>
      </c>
      <c r="D446" s="1" t="n">
        <v>20</v>
      </c>
      <c r="E446" s="1" t="n">
        <v>31</v>
      </c>
      <c r="F446" s="1" t="n">
        <v>32</v>
      </c>
      <c r="G446" s="1" t="n">
        <v>50</v>
      </c>
      <c r="H446" s="1" t="n">
        <v>53</v>
      </c>
      <c r="I446" s="1" t="str">
        <f aca="false">RIGHT(("0"&amp;C446),2)&amp;RIGHT(("0"&amp;D446),2)&amp;RIGHT(("0"&amp;E446),2)&amp;RIGHT(("0"&amp;F446),2)&amp;RIGHT(("0"&amp;G446),2)&amp;RIGHT(("0"&amp;H446),2)</f>
        <v>072031325053</v>
      </c>
      <c r="J446" s="1" t="n">
        <f aca="false">COUNTIF(I:I,I446)</f>
        <v>1</v>
      </c>
      <c r="K446" s="1" t="n">
        <v>0</v>
      </c>
      <c r="M446" s="1" t="s">
        <v>23</v>
      </c>
      <c r="N446" s="1" t="n">
        <v>31</v>
      </c>
      <c r="O446" s="1" t="s">
        <v>2108</v>
      </c>
      <c r="P446" s="1" t="n">
        <v>3101</v>
      </c>
      <c r="Q446" s="1" t="s">
        <v>2109</v>
      </c>
      <c r="R446" s="1" t="s">
        <v>2110</v>
      </c>
      <c r="S446" s="1" t="s">
        <v>23</v>
      </c>
      <c r="T446" s="1" t="s">
        <v>23</v>
      </c>
      <c r="U446" s="1" t="s">
        <v>23</v>
      </c>
      <c r="V446" s="1" t="s">
        <v>2111</v>
      </c>
    </row>
    <row r="447" customFormat="false" ht="13.8" hidden="false" customHeight="false" outlineLevel="0" collapsed="false">
      <c r="A447" s="1" t="n">
        <v>446</v>
      </c>
      <c r="B447" s="2" t="s">
        <v>2112</v>
      </c>
      <c r="C447" s="1" t="n">
        <v>8</v>
      </c>
      <c r="D447" s="1" t="n">
        <v>11</v>
      </c>
      <c r="E447" s="1" t="n">
        <v>12</v>
      </c>
      <c r="F447" s="1" t="n">
        <v>17</v>
      </c>
      <c r="G447" s="1" t="n">
        <v>20</v>
      </c>
      <c r="H447" s="1" t="n">
        <v>47</v>
      </c>
      <c r="I447" s="1" t="str">
        <f aca="false">RIGHT(("0"&amp;C447),2)&amp;RIGHT(("0"&amp;D447),2)&amp;RIGHT(("0"&amp;E447),2)&amp;RIGHT(("0"&amp;F447),2)&amp;RIGHT(("0"&amp;G447),2)&amp;RIGHT(("0"&amp;H447),2)</f>
        <v>081112172047</v>
      </c>
      <c r="J447" s="1" t="n">
        <f aca="false">COUNTIF(I:I,I447)</f>
        <v>1</v>
      </c>
      <c r="K447" s="1" t="n">
        <v>2</v>
      </c>
      <c r="L447" s="1" t="s">
        <v>2113</v>
      </c>
      <c r="M447" s="1" t="s">
        <v>2114</v>
      </c>
      <c r="N447" s="1" t="n">
        <v>65</v>
      </c>
      <c r="O447" s="1" t="s">
        <v>2115</v>
      </c>
      <c r="P447" s="1" t="n">
        <v>5039</v>
      </c>
      <c r="Q447" s="1" t="s">
        <v>2116</v>
      </c>
      <c r="R447" s="1" t="s">
        <v>23</v>
      </c>
      <c r="S447" s="1" t="s">
        <v>23</v>
      </c>
      <c r="T447" s="1" t="s">
        <v>23</v>
      </c>
      <c r="U447" s="1" t="s">
        <v>23</v>
      </c>
      <c r="V447" s="1" t="s">
        <v>2117</v>
      </c>
    </row>
    <row r="448" customFormat="false" ht="13.8" hidden="false" customHeight="false" outlineLevel="0" collapsed="false">
      <c r="A448" s="1" t="n">
        <v>447</v>
      </c>
      <c r="B448" s="2" t="s">
        <v>2118</v>
      </c>
      <c r="C448" s="1" t="n">
        <v>15</v>
      </c>
      <c r="D448" s="1" t="n">
        <v>24</v>
      </c>
      <c r="E448" s="1" t="n">
        <v>25</v>
      </c>
      <c r="F448" s="1" t="n">
        <v>33</v>
      </c>
      <c r="G448" s="1" t="n">
        <v>42</v>
      </c>
      <c r="H448" s="1" t="n">
        <v>55</v>
      </c>
      <c r="I448" s="1" t="str">
        <f aca="false">RIGHT(("0"&amp;C448),2)&amp;RIGHT(("0"&amp;D448),2)&amp;RIGHT(("0"&amp;E448),2)&amp;RIGHT(("0"&amp;F448),2)&amp;RIGHT(("0"&amp;G448),2)&amp;RIGHT(("0"&amp;H448),2)</f>
        <v>152425334255</v>
      </c>
      <c r="J448" s="1" t="n">
        <f aca="false">COUNTIF(I:I,I448)</f>
        <v>1</v>
      </c>
      <c r="K448" s="1" t="n">
        <v>0</v>
      </c>
      <c r="M448" s="1" t="s">
        <v>23</v>
      </c>
      <c r="N448" s="1" t="n">
        <v>55</v>
      </c>
      <c r="O448" s="1" t="s">
        <v>2119</v>
      </c>
      <c r="P448" s="1" t="n">
        <v>5613</v>
      </c>
      <c r="Q448" s="1" t="s">
        <v>2120</v>
      </c>
      <c r="R448" s="1" t="s">
        <v>2121</v>
      </c>
      <c r="S448" s="1" t="s">
        <v>23</v>
      </c>
      <c r="T448" s="1" t="s">
        <v>23</v>
      </c>
      <c r="U448" s="1" t="s">
        <v>23</v>
      </c>
      <c r="V448" s="1" t="s">
        <v>2122</v>
      </c>
    </row>
    <row r="449" customFormat="false" ht="13.8" hidden="false" customHeight="false" outlineLevel="0" collapsed="false">
      <c r="A449" s="1" t="n">
        <v>448</v>
      </c>
      <c r="B449" s="2" t="s">
        <v>2123</v>
      </c>
      <c r="C449" s="1" t="n">
        <v>3</v>
      </c>
      <c r="D449" s="1" t="n">
        <v>5</v>
      </c>
      <c r="E449" s="1" t="n">
        <v>9</v>
      </c>
      <c r="F449" s="1" t="n">
        <v>45</v>
      </c>
      <c r="G449" s="1" t="n">
        <v>51</v>
      </c>
      <c r="H449" s="1" t="n">
        <v>52</v>
      </c>
      <c r="I449" s="1" t="str">
        <f aca="false">RIGHT(("0"&amp;C449),2)&amp;RIGHT(("0"&amp;D449),2)&amp;RIGHT(("0"&amp;E449),2)&amp;RIGHT(("0"&amp;F449),2)&amp;RIGHT(("0"&amp;G449),2)&amp;RIGHT(("0"&amp;H449),2)</f>
        <v>030509455152</v>
      </c>
      <c r="J449" s="1" t="n">
        <f aca="false">COUNTIF(I:I,I449)</f>
        <v>1</v>
      </c>
      <c r="K449" s="1" t="n">
        <v>0</v>
      </c>
      <c r="M449" s="1" t="s">
        <v>23</v>
      </c>
      <c r="N449" s="1" t="n">
        <v>40</v>
      </c>
      <c r="O449" s="1" t="s">
        <v>2124</v>
      </c>
      <c r="P449" s="1" t="n">
        <v>2999</v>
      </c>
      <c r="Q449" s="1" t="s">
        <v>2125</v>
      </c>
      <c r="R449" s="1" t="s">
        <v>2126</v>
      </c>
      <c r="S449" s="1" t="s">
        <v>23</v>
      </c>
      <c r="T449" s="1" t="s">
        <v>23</v>
      </c>
      <c r="U449" s="1" t="s">
        <v>23</v>
      </c>
      <c r="V449" s="1" t="s">
        <v>2127</v>
      </c>
    </row>
    <row r="450" customFormat="false" ht="13.8" hidden="false" customHeight="false" outlineLevel="0" collapsed="false">
      <c r="A450" s="1" t="n">
        <v>449</v>
      </c>
      <c r="B450" s="2" t="s">
        <v>2128</v>
      </c>
      <c r="C450" s="1" t="n">
        <v>1</v>
      </c>
      <c r="D450" s="1" t="n">
        <v>8</v>
      </c>
      <c r="E450" s="1" t="n">
        <v>24</v>
      </c>
      <c r="F450" s="1" t="n">
        <v>34</v>
      </c>
      <c r="G450" s="1" t="n">
        <v>49</v>
      </c>
      <c r="H450" s="1" t="n">
        <v>56</v>
      </c>
      <c r="I450" s="1" t="str">
        <f aca="false">RIGHT(("0"&amp;C450),2)&amp;RIGHT(("0"&amp;D450),2)&amp;RIGHT(("0"&amp;E450),2)&amp;RIGHT(("0"&amp;F450),2)&amp;RIGHT(("0"&amp;G450),2)&amp;RIGHT(("0"&amp;H450),2)</f>
        <v>010824344956</v>
      </c>
      <c r="J450" s="1" t="n">
        <f aca="false">COUNTIF(I:I,I450)</f>
        <v>1</v>
      </c>
      <c r="K450" s="1" t="n">
        <v>0</v>
      </c>
      <c r="M450" s="1" t="s">
        <v>23</v>
      </c>
      <c r="N450" s="1" t="n">
        <v>55</v>
      </c>
      <c r="O450" s="1" t="s">
        <v>2129</v>
      </c>
      <c r="P450" s="1" t="n">
        <v>3656</v>
      </c>
      <c r="Q450" s="1" t="s">
        <v>2130</v>
      </c>
      <c r="R450" s="1" t="s">
        <v>2131</v>
      </c>
      <c r="S450" s="1" t="s">
        <v>23</v>
      </c>
      <c r="T450" s="1" t="s">
        <v>23</v>
      </c>
      <c r="U450" s="1" t="s">
        <v>23</v>
      </c>
      <c r="V450" s="1" t="s">
        <v>2132</v>
      </c>
    </row>
    <row r="451" customFormat="false" ht="13.8" hidden="false" customHeight="false" outlineLevel="0" collapsed="false">
      <c r="A451" s="1" t="n">
        <v>450</v>
      </c>
      <c r="B451" s="2" t="s">
        <v>2133</v>
      </c>
      <c r="C451" s="1" t="n">
        <v>1</v>
      </c>
      <c r="D451" s="1" t="n">
        <v>9</v>
      </c>
      <c r="E451" s="1" t="n">
        <v>13</v>
      </c>
      <c r="F451" s="1" t="n">
        <v>50</v>
      </c>
      <c r="G451" s="1" t="n">
        <v>51</v>
      </c>
      <c r="H451" s="1" t="n">
        <v>59</v>
      </c>
      <c r="I451" s="1" t="str">
        <f aca="false">RIGHT(("0"&amp;C451),2)&amp;RIGHT(("0"&amp;D451),2)&amp;RIGHT(("0"&amp;E451),2)&amp;RIGHT(("0"&amp;F451),2)&amp;RIGHT(("0"&amp;G451),2)&amp;RIGHT(("0"&amp;H451),2)</f>
        <v>010913505159</v>
      </c>
      <c r="J451" s="1" t="n">
        <f aca="false">COUNTIF(I:I,I451)</f>
        <v>1</v>
      </c>
      <c r="K451" s="1" t="n">
        <v>0</v>
      </c>
      <c r="M451" s="1" t="s">
        <v>23</v>
      </c>
      <c r="N451" s="1" t="n">
        <v>108</v>
      </c>
      <c r="O451" s="1" t="s">
        <v>2134</v>
      </c>
      <c r="P451" s="1" t="n">
        <v>6194</v>
      </c>
      <c r="Q451" s="1" t="s">
        <v>2135</v>
      </c>
      <c r="R451" s="1" t="s">
        <v>2136</v>
      </c>
      <c r="S451" s="1" t="s">
        <v>23</v>
      </c>
      <c r="T451" s="1" t="s">
        <v>23</v>
      </c>
      <c r="U451" s="1" t="s">
        <v>23</v>
      </c>
      <c r="V451" s="1" t="s">
        <v>2137</v>
      </c>
    </row>
    <row r="452" customFormat="false" ht="13.8" hidden="false" customHeight="false" outlineLevel="0" collapsed="false">
      <c r="A452" s="1" t="n">
        <v>451</v>
      </c>
      <c r="B452" s="2" t="s">
        <v>2138</v>
      </c>
      <c r="C452" s="1" t="n">
        <v>17</v>
      </c>
      <c r="D452" s="1" t="n">
        <v>18</v>
      </c>
      <c r="E452" s="1" t="n">
        <v>23</v>
      </c>
      <c r="F452" s="1" t="n">
        <v>28</v>
      </c>
      <c r="G452" s="1" t="n">
        <v>31</v>
      </c>
      <c r="H452" s="1" t="n">
        <v>53</v>
      </c>
      <c r="I452" s="1" t="str">
        <f aca="false">RIGHT(("0"&amp;C452),2)&amp;RIGHT(("0"&amp;D452),2)&amp;RIGHT(("0"&amp;E452),2)&amp;RIGHT(("0"&amp;F452),2)&amp;RIGHT(("0"&amp;G452),2)&amp;RIGHT(("0"&amp;H452),2)</f>
        <v>171823283153</v>
      </c>
      <c r="J452" s="1" t="n">
        <f aca="false">COUNTIF(I:I,I452)</f>
        <v>1</v>
      </c>
      <c r="K452" s="1" t="n">
        <v>0</v>
      </c>
      <c r="M452" s="1" t="s">
        <v>23</v>
      </c>
      <c r="N452" s="1" t="n">
        <v>87</v>
      </c>
      <c r="O452" s="1" t="s">
        <v>2139</v>
      </c>
      <c r="P452" s="1" t="n">
        <v>7368</v>
      </c>
      <c r="Q452" s="1" t="s">
        <v>2140</v>
      </c>
      <c r="R452" s="1" t="s">
        <v>2141</v>
      </c>
      <c r="S452" s="1" t="s">
        <v>23</v>
      </c>
      <c r="T452" s="1" t="s">
        <v>23</v>
      </c>
      <c r="U452" s="1" t="s">
        <v>23</v>
      </c>
      <c r="V452" s="1" t="s">
        <v>2142</v>
      </c>
    </row>
    <row r="453" customFormat="false" ht="13.8" hidden="false" customHeight="false" outlineLevel="0" collapsed="false">
      <c r="A453" s="1" t="n">
        <v>452</v>
      </c>
      <c r="B453" s="2" t="s">
        <v>2143</v>
      </c>
      <c r="C453" s="1" t="n">
        <v>11</v>
      </c>
      <c r="D453" s="1" t="n">
        <v>16</v>
      </c>
      <c r="E453" s="1" t="n">
        <v>30</v>
      </c>
      <c r="F453" s="1" t="n">
        <v>36</v>
      </c>
      <c r="G453" s="1" t="n">
        <v>51</v>
      </c>
      <c r="H453" s="1" t="n">
        <v>54</v>
      </c>
      <c r="I453" s="1" t="str">
        <f aca="false">RIGHT(("0"&amp;C453),2)&amp;RIGHT(("0"&amp;D453),2)&amp;RIGHT(("0"&amp;E453),2)&amp;RIGHT(("0"&amp;F453),2)&amp;RIGHT(("0"&amp;G453),2)&amp;RIGHT(("0"&amp;H453),2)</f>
        <v>111630365154</v>
      </c>
      <c r="J453" s="1" t="n">
        <f aca="false">COUNTIF(I:I,I453)</f>
        <v>1</v>
      </c>
      <c r="K453" s="1" t="n">
        <v>0</v>
      </c>
      <c r="M453" s="1" t="s">
        <v>23</v>
      </c>
      <c r="N453" s="1" t="n">
        <v>76</v>
      </c>
      <c r="O453" s="1" t="s">
        <v>2144</v>
      </c>
      <c r="P453" s="1" t="n">
        <v>6317</v>
      </c>
      <c r="Q453" s="1" t="s">
        <v>2145</v>
      </c>
      <c r="R453" s="1" t="s">
        <v>2146</v>
      </c>
      <c r="S453" s="1" t="s">
        <v>23</v>
      </c>
      <c r="T453" s="1" t="s">
        <v>23</v>
      </c>
      <c r="U453" s="1" t="s">
        <v>23</v>
      </c>
      <c r="V453" s="1" t="s">
        <v>1813</v>
      </c>
    </row>
    <row r="454" customFormat="false" ht="13.8" hidden="false" customHeight="false" outlineLevel="0" collapsed="false">
      <c r="A454" s="1" t="n">
        <v>453</v>
      </c>
      <c r="B454" s="2" t="s">
        <v>2147</v>
      </c>
      <c r="C454" s="1" t="n">
        <v>8</v>
      </c>
      <c r="D454" s="1" t="n">
        <v>20</v>
      </c>
      <c r="E454" s="1" t="n">
        <v>23</v>
      </c>
      <c r="F454" s="1" t="n">
        <v>34</v>
      </c>
      <c r="G454" s="1" t="n">
        <v>52</v>
      </c>
      <c r="H454" s="1" t="n">
        <v>58</v>
      </c>
      <c r="I454" s="1" t="str">
        <f aca="false">RIGHT(("0"&amp;C454),2)&amp;RIGHT(("0"&amp;D454),2)&amp;RIGHT(("0"&amp;E454),2)&amp;RIGHT(("0"&amp;F454),2)&amp;RIGHT(("0"&amp;G454),2)&amp;RIGHT(("0"&amp;H454),2)</f>
        <v>082023345258</v>
      </c>
      <c r="J454" s="1" t="n">
        <f aca="false">COUNTIF(I:I,I454)</f>
        <v>1</v>
      </c>
      <c r="K454" s="1" t="n">
        <v>0</v>
      </c>
      <c r="M454" s="1" t="s">
        <v>23</v>
      </c>
      <c r="N454" s="1" t="n">
        <v>120</v>
      </c>
      <c r="O454" s="1" t="s">
        <v>2148</v>
      </c>
      <c r="P454" s="1" t="n">
        <v>7882</v>
      </c>
      <c r="Q454" s="1" t="s">
        <v>2149</v>
      </c>
      <c r="R454" s="1" t="s">
        <v>2150</v>
      </c>
      <c r="S454" s="1" t="s">
        <v>23</v>
      </c>
      <c r="T454" s="1" t="s">
        <v>23</v>
      </c>
      <c r="U454" s="1" t="s">
        <v>23</v>
      </c>
      <c r="V454" s="1" t="s">
        <v>2151</v>
      </c>
    </row>
    <row r="455" customFormat="false" ht="13.8" hidden="false" customHeight="false" outlineLevel="0" collapsed="false">
      <c r="A455" s="1" t="n">
        <v>454</v>
      </c>
      <c r="B455" s="2" t="s">
        <v>2152</v>
      </c>
      <c r="C455" s="1" t="n">
        <v>4</v>
      </c>
      <c r="D455" s="1" t="n">
        <v>17</v>
      </c>
      <c r="E455" s="1" t="n">
        <v>24</v>
      </c>
      <c r="F455" s="1" t="n">
        <v>42</v>
      </c>
      <c r="G455" s="1" t="n">
        <v>46</v>
      </c>
      <c r="H455" s="1" t="n">
        <v>56</v>
      </c>
      <c r="I455" s="1" t="str">
        <f aca="false">RIGHT(("0"&amp;C455),2)&amp;RIGHT(("0"&amp;D455),2)&amp;RIGHT(("0"&amp;E455),2)&amp;RIGHT(("0"&amp;F455),2)&amp;RIGHT(("0"&amp;G455),2)&amp;RIGHT(("0"&amp;H455),2)</f>
        <v>041724424656</v>
      </c>
      <c r="J455" s="1" t="n">
        <f aca="false">COUNTIF(I:I,I455)</f>
        <v>1</v>
      </c>
      <c r="K455" s="1" t="n">
        <v>0</v>
      </c>
      <c r="M455" s="1" t="s">
        <v>23</v>
      </c>
      <c r="N455" s="1" t="n">
        <v>275</v>
      </c>
      <c r="O455" s="1" t="s">
        <v>2153</v>
      </c>
      <c r="P455" s="1" t="n">
        <v>16564</v>
      </c>
      <c r="Q455" s="1" t="s">
        <v>2154</v>
      </c>
      <c r="R455" s="1" t="s">
        <v>2155</v>
      </c>
      <c r="S455" s="1" t="s">
        <v>23</v>
      </c>
      <c r="T455" s="1" t="s">
        <v>23</v>
      </c>
      <c r="U455" s="1" t="s">
        <v>23</v>
      </c>
      <c r="V455" s="1" t="s">
        <v>2156</v>
      </c>
    </row>
    <row r="456" customFormat="false" ht="13.8" hidden="false" customHeight="false" outlineLevel="0" collapsed="false">
      <c r="A456" s="1" t="n">
        <v>455</v>
      </c>
      <c r="B456" s="2" t="s">
        <v>2157</v>
      </c>
      <c r="C456" s="1" t="n">
        <v>2</v>
      </c>
      <c r="D456" s="1" t="n">
        <v>14</v>
      </c>
      <c r="E456" s="1" t="n">
        <v>15</v>
      </c>
      <c r="F456" s="1" t="n">
        <v>17</v>
      </c>
      <c r="G456" s="1" t="n">
        <v>50</v>
      </c>
      <c r="H456" s="1" t="n">
        <v>59</v>
      </c>
      <c r="I456" s="1" t="str">
        <f aca="false">RIGHT(("0"&amp;C456),2)&amp;RIGHT(("0"&amp;D456),2)&amp;RIGHT(("0"&amp;E456),2)&amp;RIGHT(("0"&amp;F456),2)&amp;RIGHT(("0"&amp;G456),2)&amp;RIGHT(("0"&amp;H456),2)</f>
        <v>021415175059</v>
      </c>
      <c r="J456" s="1" t="n">
        <f aca="false">COUNTIF(I:I,I456)</f>
        <v>1</v>
      </c>
      <c r="K456" s="1" t="n">
        <v>0</v>
      </c>
      <c r="M456" s="1" t="s">
        <v>23</v>
      </c>
      <c r="N456" s="1" t="n">
        <v>86</v>
      </c>
      <c r="O456" s="1" t="s">
        <v>2158</v>
      </c>
      <c r="P456" s="1" t="n">
        <v>7989</v>
      </c>
      <c r="Q456" s="1" t="s">
        <v>2159</v>
      </c>
      <c r="R456" s="1" t="s">
        <v>2160</v>
      </c>
      <c r="S456" s="1" t="s">
        <v>23</v>
      </c>
      <c r="T456" s="1" t="s">
        <v>23</v>
      </c>
      <c r="U456" s="1" t="s">
        <v>23</v>
      </c>
      <c r="V456" s="1" t="s">
        <v>2161</v>
      </c>
    </row>
    <row r="457" customFormat="false" ht="13.8" hidden="false" customHeight="false" outlineLevel="0" collapsed="false">
      <c r="A457" s="1" t="n">
        <v>456</v>
      </c>
      <c r="B457" s="2" t="s">
        <v>2162</v>
      </c>
      <c r="C457" s="1" t="n">
        <v>3</v>
      </c>
      <c r="D457" s="1" t="n">
        <v>17</v>
      </c>
      <c r="E457" s="1" t="n">
        <v>22</v>
      </c>
      <c r="F457" s="1" t="n">
        <v>27</v>
      </c>
      <c r="G457" s="1" t="n">
        <v>33</v>
      </c>
      <c r="H457" s="1" t="n">
        <v>40</v>
      </c>
      <c r="I457" s="1" t="str">
        <f aca="false">RIGHT(("0"&amp;C457),2)&amp;RIGHT(("0"&amp;D457),2)&amp;RIGHT(("0"&amp;E457),2)&amp;RIGHT(("0"&amp;F457),2)&amp;RIGHT(("0"&amp;G457),2)&amp;RIGHT(("0"&amp;H457),2)</f>
        <v>031722273340</v>
      </c>
      <c r="J457" s="1" t="n">
        <f aca="false">COUNTIF(I:I,I457)</f>
        <v>1</v>
      </c>
      <c r="K457" s="1" t="n">
        <v>0</v>
      </c>
      <c r="M457" s="1" t="s">
        <v>23</v>
      </c>
      <c r="N457" s="1" t="n">
        <v>221</v>
      </c>
      <c r="O457" s="1" t="s">
        <v>2163</v>
      </c>
      <c r="P457" s="1" t="n">
        <v>16964</v>
      </c>
      <c r="Q457" s="1" t="s">
        <v>2164</v>
      </c>
      <c r="R457" s="1" t="s">
        <v>2165</v>
      </c>
      <c r="S457" s="1" t="s">
        <v>23</v>
      </c>
      <c r="T457" s="1" t="s">
        <v>23</v>
      </c>
      <c r="U457" s="1" t="s">
        <v>23</v>
      </c>
      <c r="V457" s="1" t="s">
        <v>2166</v>
      </c>
    </row>
    <row r="458" customFormat="false" ht="13.8" hidden="false" customHeight="false" outlineLevel="0" collapsed="false">
      <c r="A458" s="1" t="n">
        <v>457</v>
      </c>
      <c r="B458" s="2" t="s">
        <v>2167</v>
      </c>
      <c r="C458" s="1" t="n">
        <v>15</v>
      </c>
      <c r="D458" s="1" t="n">
        <v>17</v>
      </c>
      <c r="E458" s="1" t="n">
        <v>24</v>
      </c>
      <c r="F458" s="1" t="n">
        <v>27</v>
      </c>
      <c r="G458" s="1" t="n">
        <v>32</v>
      </c>
      <c r="H458" s="1" t="n">
        <v>48</v>
      </c>
      <c r="I458" s="1" t="str">
        <f aca="false">RIGHT(("0"&amp;C458),2)&amp;RIGHT(("0"&amp;D458),2)&amp;RIGHT(("0"&amp;E458),2)&amp;RIGHT(("0"&amp;F458),2)&amp;RIGHT(("0"&amp;G458),2)&amp;RIGHT(("0"&amp;H458),2)</f>
        <v>151724273248</v>
      </c>
      <c r="J458" s="1" t="n">
        <f aca="false">COUNTIF(I:I,I458)</f>
        <v>1</v>
      </c>
      <c r="K458" s="1" t="n">
        <v>3</v>
      </c>
      <c r="L458" s="1" t="s">
        <v>1222</v>
      </c>
      <c r="M458" s="1" t="s">
        <v>2168</v>
      </c>
      <c r="N458" s="1" t="n">
        <v>480</v>
      </c>
      <c r="O458" s="1" t="s">
        <v>2169</v>
      </c>
      <c r="P458" s="1" t="n">
        <v>31340</v>
      </c>
      <c r="Q458" s="1" t="s">
        <v>2170</v>
      </c>
      <c r="R458" s="1" t="s">
        <v>23</v>
      </c>
      <c r="S458" s="1" t="s">
        <v>23</v>
      </c>
      <c r="T458" s="1" t="s">
        <v>23</v>
      </c>
      <c r="U458" s="1" t="s">
        <v>23</v>
      </c>
      <c r="V458" s="1" t="s">
        <v>2171</v>
      </c>
    </row>
    <row r="459" customFormat="false" ht="13.8" hidden="false" customHeight="false" outlineLevel="0" collapsed="false">
      <c r="A459" s="1" t="n">
        <v>458</v>
      </c>
      <c r="B459" s="2" t="s">
        <v>2172</v>
      </c>
      <c r="C459" s="1" t="n">
        <v>13</v>
      </c>
      <c r="D459" s="1" t="n">
        <v>24</v>
      </c>
      <c r="E459" s="1" t="n">
        <v>32</v>
      </c>
      <c r="F459" s="1" t="n">
        <v>34</v>
      </c>
      <c r="G459" s="1" t="n">
        <v>43</v>
      </c>
      <c r="H459" s="1" t="n">
        <v>53</v>
      </c>
      <c r="I459" s="1" t="str">
        <f aca="false">RIGHT(("0"&amp;C459),2)&amp;RIGHT(("0"&amp;D459),2)&amp;RIGHT(("0"&amp;E459),2)&amp;RIGHT(("0"&amp;F459),2)&amp;RIGHT(("0"&amp;G459),2)&amp;RIGHT(("0"&amp;H459),2)</f>
        <v>132432344353</v>
      </c>
      <c r="J459" s="1" t="n">
        <f aca="false">COUNTIF(I:I,I459)</f>
        <v>1</v>
      </c>
      <c r="K459" s="1" t="n">
        <v>0</v>
      </c>
      <c r="M459" s="1" t="s">
        <v>23</v>
      </c>
      <c r="N459" s="1" t="n">
        <v>82</v>
      </c>
      <c r="O459" s="1" t="s">
        <v>2173</v>
      </c>
      <c r="P459" s="1" t="n">
        <v>3921</v>
      </c>
      <c r="Q459" s="1" t="s">
        <v>2174</v>
      </c>
      <c r="R459" s="1" t="s">
        <v>2175</v>
      </c>
      <c r="S459" s="1" t="s">
        <v>23</v>
      </c>
      <c r="T459" s="1" t="s">
        <v>23</v>
      </c>
      <c r="U459" s="1" t="s">
        <v>23</v>
      </c>
      <c r="V459" s="1" t="s">
        <v>1538</v>
      </c>
    </row>
    <row r="460" customFormat="false" ht="13.8" hidden="false" customHeight="false" outlineLevel="0" collapsed="false">
      <c r="A460" s="1" t="n">
        <v>459</v>
      </c>
      <c r="B460" s="2" t="s">
        <v>2176</v>
      </c>
      <c r="C460" s="1" t="n">
        <v>8</v>
      </c>
      <c r="D460" s="1" t="n">
        <v>15</v>
      </c>
      <c r="E460" s="1" t="n">
        <v>17</v>
      </c>
      <c r="F460" s="1" t="n">
        <v>39</v>
      </c>
      <c r="G460" s="1" t="n">
        <v>43</v>
      </c>
      <c r="H460" s="1" t="n">
        <v>49</v>
      </c>
      <c r="I460" s="1" t="str">
        <f aca="false">RIGHT(("0"&amp;C460),2)&amp;RIGHT(("0"&amp;D460),2)&amp;RIGHT(("0"&amp;E460),2)&amp;RIGHT(("0"&amp;F460),2)&amp;RIGHT(("0"&amp;G460),2)&amp;RIGHT(("0"&amp;H460),2)</f>
        <v>081517394349</v>
      </c>
      <c r="J460" s="1" t="n">
        <f aca="false">COUNTIF(I:I,I460)</f>
        <v>1</v>
      </c>
      <c r="K460" s="1" t="n">
        <v>0</v>
      </c>
      <c r="M460" s="1" t="s">
        <v>23</v>
      </c>
      <c r="N460" s="1" t="n">
        <v>62</v>
      </c>
      <c r="O460" s="1" t="s">
        <v>2177</v>
      </c>
      <c r="P460" s="1" t="n">
        <v>4197</v>
      </c>
      <c r="Q460" s="1" t="s">
        <v>2178</v>
      </c>
      <c r="R460" s="1" t="s">
        <v>2179</v>
      </c>
      <c r="S460" s="1" t="s">
        <v>23</v>
      </c>
      <c r="T460" s="1" t="s">
        <v>23</v>
      </c>
      <c r="U460" s="1" t="s">
        <v>23</v>
      </c>
      <c r="V460" s="1" t="s">
        <v>2180</v>
      </c>
    </row>
    <row r="461" customFormat="false" ht="13.8" hidden="false" customHeight="false" outlineLevel="0" collapsed="false">
      <c r="A461" s="1" t="n">
        <v>460</v>
      </c>
      <c r="B461" s="2" t="s">
        <v>2181</v>
      </c>
      <c r="C461" s="1" t="n">
        <v>19</v>
      </c>
      <c r="D461" s="1" t="n">
        <v>23</v>
      </c>
      <c r="E461" s="1" t="n">
        <v>30</v>
      </c>
      <c r="F461" s="1" t="n">
        <v>37</v>
      </c>
      <c r="G461" s="1" t="n">
        <v>49</v>
      </c>
      <c r="H461" s="1" t="n">
        <v>55</v>
      </c>
      <c r="I461" s="1" t="str">
        <f aca="false">RIGHT(("0"&amp;C461),2)&amp;RIGHT(("0"&amp;D461),2)&amp;RIGHT(("0"&amp;E461),2)&amp;RIGHT(("0"&amp;F461),2)&amp;RIGHT(("0"&amp;G461),2)&amp;RIGHT(("0"&amp;H461),2)</f>
        <v>192330374955</v>
      </c>
      <c r="J461" s="1" t="n">
        <f aca="false">COUNTIF(I:I,I461)</f>
        <v>1</v>
      </c>
      <c r="K461" s="1" t="n">
        <v>0</v>
      </c>
      <c r="M461" s="1" t="s">
        <v>23</v>
      </c>
      <c r="N461" s="1" t="n">
        <v>155</v>
      </c>
      <c r="O461" s="1" t="s">
        <v>2182</v>
      </c>
      <c r="P461" s="1" t="n">
        <v>9464</v>
      </c>
      <c r="Q461" s="1" t="s">
        <v>2183</v>
      </c>
      <c r="R461" s="1" t="s">
        <v>2184</v>
      </c>
      <c r="S461" s="1" t="s">
        <v>23</v>
      </c>
      <c r="T461" s="1" t="s">
        <v>23</v>
      </c>
      <c r="U461" s="1" t="s">
        <v>23</v>
      </c>
      <c r="V461" s="1" t="s">
        <v>2185</v>
      </c>
    </row>
    <row r="462" customFormat="false" ht="13.8" hidden="false" customHeight="false" outlineLevel="0" collapsed="false">
      <c r="A462" s="1" t="n">
        <v>461</v>
      </c>
      <c r="B462" s="2" t="s">
        <v>2186</v>
      </c>
      <c r="C462" s="1" t="n">
        <v>15</v>
      </c>
      <c r="D462" s="1" t="n">
        <v>17</v>
      </c>
      <c r="E462" s="1" t="n">
        <v>20</v>
      </c>
      <c r="F462" s="1" t="n">
        <v>29</v>
      </c>
      <c r="G462" s="1" t="n">
        <v>30</v>
      </c>
      <c r="H462" s="1" t="n">
        <v>60</v>
      </c>
      <c r="I462" s="1" t="str">
        <f aca="false">RIGHT(("0"&amp;C462),2)&amp;RIGHT(("0"&amp;D462),2)&amp;RIGHT(("0"&amp;E462),2)&amp;RIGHT(("0"&amp;F462),2)&amp;RIGHT(("0"&amp;G462),2)&amp;RIGHT(("0"&amp;H462),2)</f>
        <v>151720293060</v>
      </c>
      <c r="J462" s="1" t="n">
        <f aca="false">COUNTIF(I:I,I462)</f>
        <v>1</v>
      </c>
      <c r="K462" s="1" t="n">
        <v>0</v>
      </c>
      <c r="M462" s="1" t="s">
        <v>23</v>
      </c>
      <c r="N462" s="1" t="n">
        <v>189</v>
      </c>
      <c r="O462" s="1" t="s">
        <v>2187</v>
      </c>
      <c r="P462" s="1" t="n">
        <v>8312</v>
      </c>
      <c r="Q462" s="1" t="s">
        <v>2188</v>
      </c>
      <c r="R462" s="1" t="s">
        <v>2189</v>
      </c>
      <c r="S462" s="1" t="s">
        <v>23</v>
      </c>
      <c r="T462" s="1" t="s">
        <v>23</v>
      </c>
      <c r="U462" s="1" t="s">
        <v>23</v>
      </c>
      <c r="V462" s="1" t="s">
        <v>2190</v>
      </c>
    </row>
    <row r="463" customFormat="false" ht="13.8" hidden="false" customHeight="false" outlineLevel="0" collapsed="false">
      <c r="A463" s="1" t="n">
        <v>462</v>
      </c>
      <c r="B463" s="2" t="s">
        <v>2191</v>
      </c>
      <c r="C463" s="1" t="n">
        <v>17</v>
      </c>
      <c r="D463" s="1" t="n">
        <v>19</v>
      </c>
      <c r="E463" s="1" t="n">
        <v>22</v>
      </c>
      <c r="F463" s="1" t="n">
        <v>26</v>
      </c>
      <c r="G463" s="1" t="n">
        <v>27</v>
      </c>
      <c r="H463" s="1" t="n">
        <v>48</v>
      </c>
      <c r="I463" s="1" t="str">
        <f aca="false">RIGHT(("0"&amp;C463),2)&amp;RIGHT(("0"&amp;D463),2)&amp;RIGHT(("0"&amp;E463),2)&amp;RIGHT(("0"&amp;F463),2)&amp;RIGHT(("0"&amp;G463),2)&amp;RIGHT(("0"&amp;H463),2)</f>
        <v>171922262748</v>
      </c>
      <c r="J463" s="1" t="n">
        <f aca="false">COUNTIF(I:I,I463)</f>
        <v>1</v>
      </c>
      <c r="K463" s="1" t="n">
        <v>0</v>
      </c>
      <c r="M463" s="1" t="s">
        <v>23</v>
      </c>
      <c r="N463" s="1" t="n">
        <v>212</v>
      </c>
      <c r="O463" s="1" t="s">
        <v>2192</v>
      </c>
      <c r="P463" s="1" t="n">
        <v>14463</v>
      </c>
      <c r="Q463" s="1" t="s">
        <v>2193</v>
      </c>
      <c r="R463" s="1" t="s">
        <v>2194</v>
      </c>
      <c r="S463" s="1" t="s">
        <v>23</v>
      </c>
      <c r="T463" s="1" t="s">
        <v>23</v>
      </c>
      <c r="U463" s="1" t="s">
        <v>23</v>
      </c>
      <c r="V463" s="1" t="s">
        <v>2195</v>
      </c>
    </row>
    <row r="464" customFormat="false" ht="13.8" hidden="false" customHeight="false" outlineLevel="0" collapsed="false">
      <c r="A464" s="1" t="n">
        <v>463</v>
      </c>
      <c r="B464" s="2" t="s">
        <v>2196</v>
      </c>
      <c r="C464" s="1" t="n">
        <v>2</v>
      </c>
      <c r="D464" s="1" t="n">
        <v>3</v>
      </c>
      <c r="E464" s="1" t="n">
        <v>7</v>
      </c>
      <c r="F464" s="1" t="n">
        <v>18</v>
      </c>
      <c r="G464" s="1" t="n">
        <v>45</v>
      </c>
      <c r="H464" s="1" t="n">
        <v>53</v>
      </c>
      <c r="I464" s="1" t="str">
        <f aca="false">RIGHT(("0"&amp;C464),2)&amp;RIGHT(("0"&amp;D464),2)&amp;RIGHT(("0"&amp;E464),2)&amp;RIGHT(("0"&amp;F464),2)&amp;RIGHT(("0"&amp;G464),2)&amp;RIGHT(("0"&amp;H464),2)</f>
        <v>020307184553</v>
      </c>
      <c r="J464" s="1" t="n">
        <f aca="false">COUNTIF(I:I,I464)</f>
        <v>1</v>
      </c>
      <c r="K464" s="1" t="n">
        <v>0</v>
      </c>
      <c r="M464" s="1" t="s">
        <v>23</v>
      </c>
      <c r="N464" s="1" t="n">
        <v>166</v>
      </c>
      <c r="O464" s="1" t="s">
        <v>2197</v>
      </c>
      <c r="P464" s="1" t="n">
        <v>15269</v>
      </c>
      <c r="Q464" s="1" t="s">
        <v>2198</v>
      </c>
      <c r="R464" s="1" t="s">
        <v>2199</v>
      </c>
      <c r="S464" s="1" t="s">
        <v>23</v>
      </c>
      <c r="T464" s="1" t="s">
        <v>23</v>
      </c>
      <c r="U464" s="1" t="s">
        <v>23</v>
      </c>
      <c r="V464" s="1" t="s">
        <v>2200</v>
      </c>
    </row>
    <row r="465" customFormat="false" ht="13.8" hidden="false" customHeight="false" outlineLevel="0" collapsed="false">
      <c r="A465" s="1" t="n">
        <v>464</v>
      </c>
      <c r="B465" s="2" t="s">
        <v>2201</v>
      </c>
      <c r="C465" s="1" t="n">
        <v>6</v>
      </c>
      <c r="D465" s="1" t="n">
        <v>24</v>
      </c>
      <c r="E465" s="1" t="n">
        <v>33</v>
      </c>
      <c r="F465" s="1" t="n">
        <v>38</v>
      </c>
      <c r="G465" s="1" t="n">
        <v>45</v>
      </c>
      <c r="H465" s="1" t="n">
        <v>50</v>
      </c>
      <c r="I465" s="1" t="str">
        <f aca="false">RIGHT(("0"&amp;C465),2)&amp;RIGHT(("0"&amp;D465),2)&amp;RIGHT(("0"&amp;E465),2)&amp;RIGHT(("0"&amp;F465),2)&amp;RIGHT(("0"&amp;G465),2)&amp;RIGHT(("0"&amp;H465),2)</f>
        <v>062433384550</v>
      </c>
      <c r="J465" s="1" t="n">
        <f aca="false">COUNTIF(I:I,I465)</f>
        <v>1</v>
      </c>
      <c r="K465" s="1" t="n">
        <v>1</v>
      </c>
      <c r="L465" s="1" t="s">
        <v>140</v>
      </c>
      <c r="M465" s="1" t="s">
        <v>2202</v>
      </c>
      <c r="N465" s="1" t="n">
        <v>241</v>
      </c>
      <c r="O465" s="1" t="s">
        <v>2203</v>
      </c>
      <c r="P465" s="1" t="n">
        <v>15457</v>
      </c>
      <c r="Q465" s="1" t="s">
        <v>2204</v>
      </c>
      <c r="R465" s="1" t="s">
        <v>23</v>
      </c>
      <c r="S465" s="1" t="s">
        <v>23</v>
      </c>
      <c r="T465" s="1" t="s">
        <v>23</v>
      </c>
      <c r="U465" s="1" t="s">
        <v>23</v>
      </c>
      <c r="V465" s="1" t="s">
        <v>2205</v>
      </c>
    </row>
    <row r="466" customFormat="false" ht="13.8" hidden="false" customHeight="false" outlineLevel="0" collapsed="false">
      <c r="A466" s="1" t="n">
        <v>465</v>
      </c>
      <c r="B466" s="2" t="s">
        <v>2206</v>
      </c>
      <c r="C466" s="1" t="n">
        <v>1</v>
      </c>
      <c r="D466" s="1" t="n">
        <v>22</v>
      </c>
      <c r="E466" s="1" t="n">
        <v>31</v>
      </c>
      <c r="F466" s="1" t="n">
        <v>46</v>
      </c>
      <c r="G466" s="1" t="n">
        <v>51</v>
      </c>
      <c r="H466" s="1" t="n">
        <v>57</v>
      </c>
      <c r="I466" s="1" t="str">
        <f aca="false">RIGHT(("0"&amp;C466),2)&amp;RIGHT(("0"&amp;D466),2)&amp;RIGHT(("0"&amp;E466),2)&amp;RIGHT(("0"&amp;F466),2)&amp;RIGHT(("0"&amp;G466),2)&amp;RIGHT(("0"&amp;H466),2)</f>
        <v>012231465157</v>
      </c>
      <c r="J466" s="1" t="n">
        <f aca="false">COUNTIF(I:I,I466)</f>
        <v>1</v>
      </c>
      <c r="K466" s="1" t="n">
        <v>0</v>
      </c>
      <c r="M466" s="1" t="s">
        <v>23</v>
      </c>
      <c r="N466" s="1" t="n">
        <v>19</v>
      </c>
      <c r="O466" s="1" t="s">
        <v>2207</v>
      </c>
      <c r="P466" s="1" t="n">
        <v>2175</v>
      </c>
      <c r="Q466" s="1" t="s">
        <v>2208</v>
      </c>
      <c r="R466" s="1" t="s">
        <v>2209</v>
      </c>
      <c r="S466" s="1" t="s">
        <v>23</v>
      </c>
      <c r="T466" s="1" t="s">
        <v>23</v>
      </c>
      <c r="U466" s="1" t="s">
        <v>23</v>
      </c>
      <c r="V466" s="1" t="s">
        <v>2210</v>
      </c>
    </row>
    <row r="467" customFormat="false" ht="13.8" hidden="false" customHeight="false" outlineLevel="0" collapsed="false">
      <c r="A467" s="1" t="n">
        <v>466</v>
      </c>
      <c r="B467" s="2" t="s">
        <v>2211</v>
      </c>
      <c r="C467" s="1" t="n">
        <v>11</v>
      </c>
      <c r="D467" s="1" t="n">
        <v>16</v>
      </c>
      <c r="E467" s="1" t="n">
        <v>28</v>
      </c>
      <c r="F467" s="1" t="n">
        <v>29</v>
      </c>
      <c r="G467" s="1" t="n">
        <v>30</v>
      </c>
      <c r="H467" s="1" t="n">
        <v>45</v>
      </c>
      <c r="I467" s="1" t="str">
        <f aca="false">RIGHT(("0"&amp;C467),2)&amp;RIGHT(("0"&amp;D467),2)&amp;RIGHT(("0"&amp;E467),2)&amp;RIGHT(("0"&amp;F467),2)&amp;RIGHT(("0"&amp;G467),2)&amp;RIGHT(("0"&amp;H467),2)</f>
        <v>111628293045</v>
      </c>
      <c r="J467" s="1" t="n">
        <f aca="false">COUNTIF(I:I,I467)</f>
        <v>1</v>
      </c>
      <c r="K467" s="1" t="n">
        <v>0</v>
      </c>
      <c r="M467" s="1" t="s">
        <v>23</v>
      </c>
      <c r="N467" s="1" t="n">
        <v>64</v>
      </c>
      <c r="O467" s="1" t="s">
        <v>2212</v>
      </c>
      <c r="P467" s="1" t="n">
        <v>3582</v>
      </c>
      <c r="Q467" s="1" t="s">
        <v>2213</v>
      </c>
      <c r="R467" s="1" t="s">
        <v>2214</v>
      </c>
      <c r="S467" s="1" t="s">
        <v>23</v>
      </c>
      <c r="T467" s="1" t="s">
        <v>23</v>
      </c>
      <c r="U467" s="1" t="s">
        <v>23</v>
      </c>
      <c r="V467" s="1" t="s">
        <v>1543</v>
      </c>
    </row>
    <row r="468" customFormat="false" ht="13.8" hidden="false" customHeight="false" outlineLevel="0" collapsed="false">
      <c r="A468" s="1" t="n">
        <v>467</v>
      </c>
      <c r="B468" s="2" t="s">
        <v>2215</v>
      </c>
      <c r="C468" s="1" t="n">
        <v>8</v>
      </c>
      <c r="D468" s="1" t="n">
        <v>18</v>
      </c>
      <c r="E468" s="1" t="n">
        <v>21</v>
      </c>
      <c r="F468" s="1" t="n">
        <v>22</v>
      </c>
      <c r="G468" s="1" t="n">
        <v>38</v>
      </c>
      <c r="H468" s="1" t="n">
        <v>60</v>
      </c>
      <c r="I468" s="1" t="str">
        <f aca="false">RIGHT(("0"&amp;C468),2)&amp;RIGHT(("0"&amp;D468),2)&amp;RIGHT(("0"&amp;E468),2)&amp;RIGHT(("0"&amp;F468),2)&amp;RIGHT(("0"&amp;G468),2)&amp;RIGHT(("0"&amp;H468),2)</f>
        <v>081821223860</v>
      </c>
      <c r="J468" s="1" t="n">
        <f aca="false">COUNTIF(I:I,I468)</f>
        <v>1</v>
      </c>
      <c r="K468" s="1" t="n">
        <v>0</v>
      </c>
      <c r="M468" s="1" t="s">
        <v>23</v>
      </c>
      <c r="N468" s="1" t="n">
        <v>45</v>
      </c>
      <c r="O468" s="1" t="s">
        <v>2216</v>
      </c>
      <c r="P468" s="1" t="n">
        <v>3907</v>
      </c>
      <c r="Q468" s="1" t="s">
        <v>2217</v>
      </c>
      <c r="R468" s="1" t="s">
        <v>2218</v>
      </c>
      <c r="S468" s="1" t="s">
        <v>23</v>
      </c>
      <c r="T468" s="1" t="s">
        <v>23</v>
      </c>
      <c r="U468" s="1" t="s">
        <v>23</v>
      </c>
      <c r="V468" s="1" t="s">
        <v>2219</v>
      </c>
    </row>
    <row r="469" customFormat="false" ht="13.8" hidden="false" customHeight="false" outlineLevel="0" collapsed="false">
      <c r="A469" s="1" t="n">
        <v>468</v>
      </c>
      <c r="B469" s="2" t="s">
        <v>2220</v>
      </c>
      <c r="C469" s="1" t="n">
        <v>5</v>
      </c>
      <c r="D469" s="1" t="n">
        <v>6</v>
      </c>
      <c r="E469" s="1" t="n">
        <v>23</v>
      </c>
      <c r="F469" s="1" t="n">
        <v>25</v>
      </c>
      <c r="G469" s="1" t="n">
        <v>39</v>
      </c>
      <c r="H469" s="1" t="n">
        <v>51</v>
      </c>
      <c r="I469" s="1" t="str">
        <f aca="false">RIGHT(("0"&amp;C469),2)&amp;RIGHT(("0"&amp;D469),2)&amp;RIGHT(("0"&amp;E469),2)&amp;RIGHT(("0"&amp;F469),2)&amp;RIGHT(("0"&amp;G469),2)&amp;RIGHT(("0"&amp;H469),2)</f>
        <v>050623253951</v>
      </c>
      <c r="J469" s="1" t="n">
        <f aca="false">COUNTIF(I:I,I469)</f>
        <v>1</v>
      </c>
      <c r="K469" s="1" t="n">
        <v>0</v>
      </c>
      <c r="M469" s="1" t="s">
        <v>23</v>
      </c>
      <c r="N469" s="1" t="n">
        <v>58</v>
      </c>
      <c r="O469" s="1" t="s">
        <v>2221</v>
      </c>
      <c r="P469" s="1" t="n">
        <v>4701</v>
      </c>
      <c r="Q469" s="1" t="s">
        <v>2222</v>
      </c>
      <c r="R469" s="1" t="s">
        <v>2223</v>
      </c>
      <c r="S469" s="1" t="s">
        <v>23</v>
      </c>
      <c r="T469" s="1" t="s">
        <v>23</v>
      </c>
      <c r="U469" s="1" t="s">
        <v>23</v>
      </c>
      <c r="V469" s="1" t="s">
        <v>2224</v>
      </c>
    </row>
    <row r="470" customFormat="false" ht="13.8" hidden="false" customHeight="false" outlineLevel="0" collapsed="false">
      <c r="A470" s="1" t="n">
        <v>469</v>
      </c>
      <c r="B470" s="2" t="s">
        <v>2225</v>
      </c>
      <c r="C470" s="1" t="n">
        <v>13</v>
      </c>
      <c r="D470" s="1" t="n">
        <v>21</v>
      </c>
      <c r="E470" s="1" t="n">
        <v>26</v>
      </c>
      <c r="F470" s="1" t="n">
        <v>29</v>
      </c>
      <c r="G470" s="1" t="n">
        <v>42</v>
      </c>
      <c r="H470" s="1" t="n">
        <v>47</v>
      </c>
      <c r="I470" s="1" t="str">
        <f aca="false">RIGHT(("0"&amp;C470),2)&amp;RIGHT(("0"&amp;D470),2)&amp;RIGHT(("0"&amp;E470),2)&amp;RIGHT(("0"&amp;F470),2)&amp;RIGHT(("0"&amp;G470),2)&amp;RIGHT(("0"&amp;H470),2)</f>
        <v>132126294247</v>
      </c>
      <c r="J470" s="1" t="n">
        <f aca="false">COUNTIF(I:I,I470)</f>
        <v>1</v>
      </c>
      <c r="K470" s="1" t="n">
        <v>2</v>
      </c>
      <c r="L470" s="1" t="s">
        <v>2226</v>
      </c>
      <c r="M470" s="1" t="s">
        <v>2227</v>
      </c>
      <c r="N470" s="1" t="n">
        <v>187</v>
      </c>
      <c r="O470" s="1" t="s">
        <v>2228</v>
      </c>
      <c r="P470" s="1" t="n">
        <v>8798</v>
      </c>
      <c r="Q470" s="1" t="s">
        <v>2229</v>
      </c>
      <c r="R470" s="1" t="s">
        <v>23</v>
      </c>
      <c r="S470" s="1" t="s">
        <v>23</v>
      </c>
      <c r="T470" s="1" t="s">
        <v>23</v>
      </c>
      <c r="U470" s="1" t="s">
        <v>23</v>
      </c>
      <c r="V470" s="1" t="s">
        <v>2230</v>
      </c>
    </row>
    <row r="471" customFormat="false" ht="13.8" hidden="false" customHeight="false" outlineLevel="0" collapsed="false">
      <c r="A471" s="1" t="n">
        <v>470</v>
      </c>
      <c r="B471" s="2" t="s">
        <v>2231</v>
      </c>
      <c r="C471" s="1" t="n">
        <v>8</v>
      </c>
      <c r="D471" s="1" t="n">
        <v>11</v>
      </c>
      <c r="E471" s="1" t="n">
        <v>23</v>
      </c>
      <c r="F471" s="1" t="n">
        <v>37</v>
      </c>
      <c r="G471" s="1" t="n">
        <v>51</v>
      </c>
      <c r="H471" s="1" t="n">
        <v>58</v>
      </c>
      <c r="I471" s="1" t="str">
        <f aca="false">RIGHT(("0"&amp;C471),2)&amp;RIGHT(("0"&amp;D471),2)&amp;RIGHT(("0"&amp;E471),2)&amp;RIGHT(("0"&amp;F471),2)&amp;RIGHT(("0"&amp;G471),2)&amp;RIGHT(("0"&amp;H471),2)</f>
        <v>081123375158</v>
      </c>
      <c r="J471" s="1" t="n">
        <f aca="false">COUNTIF(I:I,I471)</f>
        <v>1</v>
      </c>
      <c r="K471" s="1" t="n">
        <v>0</v>
      </c>
      <c r="M471" s="1" t="s">
        <v>23</v>
      </c>
      <c r="N471" s="1" t="n">
        <v>86</v>
      </c>
      <c r="O471" s="1" t="s">
        <v>2232</v>
      </c>
      <c r="P471" s="1" t="n">
        <v>6094</v>
      </c>
      <c r="Q471" s="1" t="s">
        <v>2233</v>
      </c>
      <c r="R471" s="1" t="s">
        <v>2234</v>
      </c>
      <c r="S471" s="1" t="s">
        <v>23</v>
      </c>
      <c r="T471" s="1" t="s">
        <v>23</v>
      </c>
      <c r="U471" s="1" t="s">
        <v>23</v>
      </c>
      <c r="V471" s="1" t="s">
        <v>1661</v>
      </c>
    </row>
    <row r="472" customFormat="false" ht="13.8" hidden="false" customHeight="false" outlineLevel="0" collapsed="false">
      <c r="A472" s="1" t="n">
        <v>471</v>
      </c>
      <c r="B472" s="2" t="s">
        <v>2235</v>
      </c>
      <c r="C472" s="1" t="n">
        <v>5</v>
      </c>
      <c r="D472" s="1" t="n">
        <v>31</v>
      </c>
      <c r="E472" s="1" t="n">
        <v>32</v>
      </c>
      <c r="F472" s="1" t="n">
        <v>36</v>
      </c>
      <c r="G472" s="1" t="n">
        <v>51</v>
      </c>
      <c r="H472" s="1" t="n">
        <v>59</v>
      </c>
      <c r="I472" s="1" t="str">
        <f aca="false">RIGHT(("0"&amp;C472),2)&amp;RIGHT(("0"&amp;D472),2)&amp;RIGHT(("0"&amp;E472),2)&amp;RIGHT(("0"&amp;F472),2)&amp;RIGHT(("0"&amp;G472),2)&amp;RIGHT(("0"&amp;H472),2)</f>
        <v>053132365159</v>
      </c>
      <c r="J472" s="1" t="n">
        <f aca="false">COUNTIF(I:I,I472)</f>
        <v>1</v>
      </c>
      <c r="K472" s="1" t="n">
        <v>0</v>
      </c>
      <c r="M472" s="1" t="s">
        <v>23</v>
      </c>
      <c r="N472" s="1" t="n">
        <v>76</v>
      </c>
      <c r="O472" s="1" t="s">
        <v>2236</v>
      </c>
      <c r="P472" s="1" t="n">
        <v>5490</v>
      </c>
      <c r="Q472" s="1" t="s">
        <v>2237</v>
      </c>
      <c r="R472" s="1" t="s">
        <v>2238</v>
      </c>
      <c r="S472" s="1" t="s">
        <v>23</v>
      </c>
      <c r="T472" s="1" t="s">
        <v>23</v>
      </c>
      <c r="U472" s="1" t="s">
        <v>23</v>
      </c>
      <c r="V472" s="1" t="s">
        <v>1666</v>
      </c>
    </row>
    <row r="473" customFormat="false" ht="13.8" hidden="false" customHeight="false" outlineLevel="0" collapsed="false">
      <c r="A473" s="1" t="n">
        <v>472</v>
      </c>
      <c r="B473" s="2" t="s">
        <v>2239</v>
      </c>
      <c r="C473" s="1" t="n">
        <v>3</v>
      </c>
      <c r="D473" s="1" t="n">
        <v>4</v>
      </c>
      <c r="E473" s="1" t="n">
        <v>12</v>
      </c>
      <c r="F473" s="1" t="n">
        <v>29</v>
      </c>
      <c r="G473" s="1" t="n">
        <v>38</v>
      </c>
      <c r="H473" s="1" t="n">
        <v>51</v>
      </c>
      <c r="I473" s="1" t="str">
        <f aca="false">RIGHT(("0"&amp;C473),2)&amp;RIGHT(("0"&amp;D473),2)&amp;RIGHT(("0"&amp;E473),2)&amp;RIGHT(("0"&amp;F473),2)&amp;RIGHT(("0"&amp;G473),2)&amp;RIGHT(("0"&amp;H473),2)</f>
        <v>030412293851</v>
      </c>
      <c r="J473" s="1" t="n">
        <f aca="false">COUNTIF(I:I,I473)</f>
        <v>1</v>
      </c>
      <c r="K473" s="1" t="n">
        <v>0</v>
      </c>
      <c r="M473" s="1" t="s">
        <v>23</v>
      </c>
      <c r="N473" s="1" t="n">
        <v>82</v>
      </c>
      <c r="O473" s="1" t="s">
        <v>2240</v>
      </c>
      <c r="P473" s="1" t="n">
        <v>6518</v>
      </c>
      <c r="Q473" s="1" t="s">
        <v>2241</v>
      </c>
      <c r="R473" s="1" t="s">
        <v>2242</v>
      </c>
      <c r="S473" s="1" t="s">
        <v>23</v>
      </c>
      <c r="T473" s="1" t="s">
        <v>23</v>
      </c>
      <c r="U473" s="1" t="s">
        <v>23</v>
      </c>
      <c r="V473" s="1" t="s">
        <v>2243</v>
      </c>
    </row>
    <row r="474" customFormat="false" ht="13.8" hidden="false" customHeight="false" outlineLevel="0" collapsed="false">
      <c r="A474" s="1" t="n">
        <v>473</v>
      </c>
      <c r="B474" s="2" t="s">
        <v>2244</v>
      </c>
      <c r="C474" s="1" t="n">
        <v>7</v>
      </c>
      <c r="D474" s="1" t="n">
        <v>23</v>
      </c>
      <c r="E474" s="1" t="n">
        <v>41</v>
      </c>
      <c r="F474" s="1" t="n">
        <v>49</v>
      </c>
      <c r="G474" s="1" t="n">
        <v>51</v>
      </c>
      <c r="H474" s="1" t="n">
        <v>58</v>
      </c>
      <c r="I474" s="1" t="str">
        <f aca="false">RIGHT(("0"&amp;C474),2)&amp;RIGHT(("0"&amp;D474),2)&amp;RIGHT(("0"&amp;E474),2)&amp;RIGHT(("0"&amp;F474),2)&amp;RIGHT(("0"&amp;G474),2)&amp;RIGHT(("0"&amp;H474),2)</f>
        <v>072341495158</v>
      </c>
      <c r="J474" s="1" t="n">
        <f aca="false">COUNTIF(I:I,I474)</f>
        <v>1</v>
      </c>
      <c r="K474" s="1" t="n">
        <v>0</v>
      </c>
      <c r="M474" s="1" t="s">
        <v>23</v>
      </c>
      <c r="N474" s="1" t="n">
        <v>65</v>
      </c>
      <c r="O474" s="1" t="s">
        <v>2245</v>
      </c>
      <c r="P474" s="1" t="n">
        <v>6524</v>
      </c>
      <c r="Q474" s="1" t="s">
        <v>2246</v>
      </c>
      <c r="R474" s="1" t="s">
        <v>2247</v>
      </c>
      <c r="S474" s="1" t="s">
        <v>23</v>
      </c>
      <c r="T474" s="1" t="s">
        <v>23</v>
      </c>
      <c r="U474" s="1" t="s">
        <v>23</v>
      </c>
      <c r="V474" s="1" t="s">
        <v>2248</v>
      </c>
    </row>
    <row r="475" customFormat="false" ht="13.8" hidden="false" customHeight="false" outlineLevel="0" collapsed="false">
      <c r="A475" s="1" t="n">
        <v>474</v>
      </c>
      <c r="B475" s="2" t="s">
        <v>2249</v>
      </c>
      <c r="C475" s="1" t="n">
        <v>3</v>
      </c>
      <c r="D475" s="1" t="n">
        <v>12</v>
      </c>
      <c r="E475" s="1" t="n">
        <v>32</v>
      </c>
      <c r="F475" s="1" t="n">
        <v>34</v>
      </c>
      <c r="G475" s="1" t="n">
        <v>40</v>
      </c>
      <c r="H475" s="1" t="n">
        <v>50</v>
      </c>
      <c r="I475" s="1" t="str">
        <f aca="false">RIGHT(("0"&amp;C475),2)&amp;RIGHT(("0"&amp;D475),2)&amp;RIGHT(("0"&amp;E475),2)&amp;RIGHT(("0"&amp;F475),2)&amp;RIGHT(("0"&amp;G475),2)&amp;RIGHT(("0"&amp;H475),2)</f>
        <v>031232344050</v>
      </c>
      <c r="J475" s="1" t="n">
        <f aca="false">COUNTIF(I:I,I475)</f>
        <v>1</v>
      </c>
      <c r="K475" s="1" t="n">
        <v>0</v>
      </c>
      <c r="M475" s="1" t="s">
        <v>23</v>
      </c>
      <c r="N475" s="1" t="n">
        <v>56</v>
      </c>
      <c r="O475" s="1" t="s">
        <v>2250</v>
      </c>
      <c r="P475" s="1" t="n">
        <v>6910</v>
      </c>
      <c r="Q475" s="1" t="s">
        <v>2251</v>
      </c>
      <c r="R475" s="1" t="s">
        <v>2252</v>
      </c>
      <c r="S475" s="1" t="s">
        <v>23</v>
      </c>
      <c r="T475" s="1" t="s">
        <v>23</v>
      </c>
      <c r="U475" s="1" t="s">
        <v>23</v>
      </c>
      <c r="V475" s="1" t="s">
        <v>2253</v>
      </c>
    </row>
    <row r="476" customFormat="false" ht="13.8" hidden="false" customHeight="false" outlineLevel="0" collapsed="false">
      <c r="A476" s="1" t="n">
        <v>475</v>
      </c>
      <c r="B476" s="2" t="s">
        <v>2254</v>
      </c>
      <c r="C476" s="1" t="n">
        <v>6</v>
      </c>
      <c r="D476" s="1" t="n">
        <v>8</v>
      </c>
      <c r="E476" s="1" t="n">
        <v>19</v>
      </c>
      <c r="F476" s="1" t="n">
        <v>22</v>
      </c>
      <c r="G476" s="1" t="n">
        <v>43</v>
      </c>
      <c r="H476" s="1" t="n">
        <v>52</v>
      </c>
      <c r="I476" s="1" t="str">
        <f aca="false">RIGHT(("0"&amp;C476),2)&amp;RIGHT(("0"&amp;D476),2)&amp;RIGHT(("0"&amp;E476),2)&amp;RIGHT(("0"&amp;F476),2)&amp;RIGHT(("0"&amp;G476),2)&amp;RIGHT(("0"&amp;H476),2)</f>
        <v>060819224352</v>
      </c>
      <c r="J476" s="1" t="n">
        <f aca="false">COUNTIF(I:I,I476)</f>
        <v>1</v>
      </c>
      <c r="K476" s="1" t="n">
        <v>0</v>
      </c>
      <c r="M476" s="1" t="s">
        <v>23</v>
      </c>
      <c r="N476" s="1" t="n">
        <v>156</v>
      </c>
      <c r="O476" s="1" t="s">
        <v>2255</v>
      </c>
      <c r="P476" s="1" t="n">
        <v>13235</v>
      </c>
      <c r="Q476" s="1" t="s">
        <v>2256</v>
      </c>
      <c r="R476" s="1" t="s">
        <v>2257</v>
      </c>
      <c r="S476" s="1" t="s">
        <v>23</v>
      </c>
      <c r="T476" s="1" t="s">
        <v>23</v>
      </c>
      <c r="U476" s="1" t="s">
        <v>23</v>
      </c>
      <c r="V476" s="1" t="s">
        <v>2258</v>
      </c>
    </row>
    <row r="477" customFormat="false" ht="13.8" hidden="false" customHeight="false" outlineLevel="0" collapsed="false">
      <c r="A477" s="1" t="n">
        <v>476</v>
      </c>
      <c r="B477" s="2" t="s">
        <v>2259</v>
      </c>
      <c r="C477" s="1" t="n">
        <v>17</v>
      </c>
      <c r="D477" s="1" t="n">
        <v>20</v>
      </c>
      <c r="E477" s="1" t="n">
        <v>38</v>
      </c>
      <c r="F477" s="1" t="n">
        <v>43</v>
      </c>
      <c r="G477" s="1" t="n">
        <v>55</v>
      </c>
      <c r="H477" s="1" t="n">
        <v>58</v>
      </c>
      <c r="I477" s="1" t="str">
        <f aca="false">RIGHT(("0"&amp;C477),2)&amp;RIGHT(("0"&amp;D477),2)&amp;RIGHT(("0"&amp;E477),2)&amp;RIGHT(("0"&amp;F477),2)&amp;RIGHT(("0"&amp;G477),2)&amp;RIGHT(("0"&amp;H477),2)</f>
        <v>172038435558</v>
      </c>
      <c r="J477" s="1" t="n">
        <f aca="false">COUNTIF(I:I,I477)</f>
        <v>1</v>
      </c>
      <c r="K477" s="1" t="n">
        <v>0</v>
      </c>
      <c r="M477" s="1" t="s">
        <v>23</v>
      </c>
      <c r="N477" s="1" t="n">
        <v>163</v>
      </c>
      <c r="O477" s="1" t="s">
        <v>2260</v>
      </c>
      <c r="P477" s="1" t="n">
        <v>11465</v>
      </c>
      <c r="Q477" s="1" t="s">
        <v>2261</v>
      </c>
      <c r="R477" s="1" t="s">
        <v>2262</v>
      </c>
      <c r="S477" s="1" t="s">
        <v>23</v>
      </c>
      <c r="T477" s="1" t="s">
        <v>23</v>
      </c>
      <c r="U477" s="1" t="s">
        <v>23</v>
      </c>
      <c r="V477" s="1" t="s">
        <v>2263</v>
      </c>
    </row>
    <row r="478" customFormat="false" ht="13.8" hidden="false" customHeight="false" outlineLevel="0" collapsed="false">
      <c r="A478" s="1" t="n">
        <v>477</v>
      </c>
      <c r="B478" s="2" t="s">
        <v>2264</v>
      </c>
      <c r="C478" s="1" t="n">
        <v>6</v>
      </c>
      <c r="D478" s="1" t="n">
        <v>8</v>
      </c>
      <c r="E478" s="1" t="n">
        <v>18</v>
      </c>
      <c r="F478" s="1" t="n">
        <v>34</v>
      </c>
      <c r="G478" s="1" t="n">
        <v>38</v>
      </c>
      <c r="H478" s="1" t="n">
        <v>47</v>
      </c>
      <c r="I478" s="1" t="str">
        <f aca="false">RIGHT(("0"&amp;C478),2)&amp;RIGHT(("0"&amp;D478),2)&amp;RIGHT(("0"&amp;E478),2)&amp;RIGHT(("0"&amp;F478),2)&amp;RIGHT(("0"&amp;G478),2)&amp;RIGHT(("0"&amp;H478),2)</f>
        <v>060818343847</v>
      </c>
      <c r="J478" s="1" t="n">
        <f aca="false">COUNTIF(I:I,I478)</f>
        <v>1</v>
      </c>
      <c r="K478" s="1" t="n">
        <v>3</v>
      </c>
      <c r="L478" s="1" t="s">
        <v>2265</v>
      </c>
      <c r="M478" s="1" t="s">
        <v>2266</v>
      </c>
      <c r="N478" s="1" t="n">
        <v>279</v>
      </c>
      <c r="O478" s="1" t="s">
        <v>2267</v>
      </c>
      <c r="P478" s="1" t="n">
        <v>21958</v>
      </c>
      <c r="Q478" s="1" t="s">
        <v>2268</v>
      </c>
      <c r="R478" s="1" t="s">
        <v>23</v>
      </c>
      <c r="S478" s="1" t="s">
        <v>23</v>
      </c>
      <c r="T478" s="1" t="s">
        <v>23</v>
      </c>
      <c r="U478" s="1" t="s">
        <v>23</v>
      </c>
      <c r="V478" s="1" t="s">
        <v>2205</v>
      </c>
    </row>
    <row r="479" customFormat="false" ht="13.8" hidden="false" customHeight="false" outlineLevel="0" collapsed="false">
      <c r="A479" s="1" t="n">
        <v>478</v>
      </c>
      <c r="B479" s="2" t="s">
        <v>2269</v>
      </c>
      <c r="C479" s="1" t="n">
        <v>3</v>
      </c>
      <c r="D479" s="1" t="n">
        <v>8</v>
      </c>
      <c r="E479" s="1" t="n">
        <v>21</v>
      </c>
      <c r="F479" s="1" t="n">
        <v>25</v>
      </c>
      <c r="G479" s="1" t="n">
        <v>30</v>
      </c>
      <c r="H479" s="1" t="n">
        <v>31</v>
      </c>
      <c r="I479" s="1" t="str">
        <f aca="false">RIGHT(("0"&amp;C479),2)&amp;RIGHT(("0"&amp;D479),2)&amp;RIGHT(("0"&amp;E479),2)&amp;RIGHT(("0"&amp;F479),2)&amp;RIGHT(("0"&amp;G479),2)&amp;RIGHT(("0"&amp;H479),2)</f>
        <v>030821253031</v>
      </c>
      <c r="J479" s="1" t="n">
        <f aca="false">COUNTIF(I:I,I479)</f>
        <v>1</v>
      </c>
      <c r="K479" s="1" t="n">
        <v>0</v>
      </c>
      <c r="M479" s="1" t="s">
        <v>23</v>
      </c>
      <c r="N479" s="1" t="n">
        <v>92</v>
      </c>
      <c r="O479" s="1" t="s">
        <v>2270</v>
      </c>
      <c r="P479" s="1" t="n">
        <v>4876</v>
      </c>
      <c r="Q479" s="1" t="s">
        <v>2271</v>
      </c>
      <c r="R479" s="1" t="s">
        <v>2272</v>
      </c>
      <c r="S479" s="1" t="s">
        <v>23</v>
      </c>
      <c r="T479" s="1" t="s">
        <v>23</v>
      </c>
      <c r="U479" s="1" t="s">
        <v>23</v>
      </c>
      <c r="V479" s="1" t="s">
        <v>1776</v>
      </c>
    </row>
    <row r="480" customFormat="false" ht="13.8" hidden="false" customHeight="false" outlineLevel="0" collapsed="false">
      <c r="A480" s="1" t="n">
        <v>479</v>
      </c>
      <c r="B480" s="2" t="s">
        <v>2273</v>
      </c>
      <c r="C480" s="1" t="n">
        <v>20</v>
      </c>
      <c r="D480" s="1" t="n">
        <v>26</v>
      </c>
      <c r="E480" s="1" t="n">
        <v>41</v>
      </c>
      <c r="F480" s="1" t="n">
        <v>46</v>
      </c>
      <c r="G480" s="1" t="n">
        <v>54</v>
      </c>
      <c r="H480" s="1" t="n">
        <v>58</v>
      </c>
      <c r="I480" s="1" t="str">
        <f aca="false">RIGHT(("0"&amp;C480),2)&amp;RIGHT(("0"&amp;D480),2)&amp;RIGHT(("0"&amp;E480),2)&amp;RIGHT(("0"&amp;F480),2)&amp;RIGHT(("0"&amp;G480),2)&amp;RIGHT(("0"&amp;H480),2)</f>
        <v>202641465458</v>
      </c>
      <c r="J480" s="1" t="n">
        <f aca="false">COUNTIF(I:I,I480)</f>
        <v>1</v>
      </c>
      <c r="K480" s="1" t="n">
        <v>0</v>
      </c>
      <c r="M480" s="1" t="s">
        <v>23</v>
      </c>
      <c r="N480" s="1" t="n">
        <v>32</v>
      </c>
      <c r="O480" s="1" t="s">
        <v>2274</v>
      </c>
      <c r="P480" s="1" t="n">
        <v>2834</v>
      </c>
      <c r="Q480" s="1" t="s">
        <v>2275</v>
      </c>
      <c r="R480" s="1" t="s">
        <v>2276</v>
      </c>
      <c r="S480" s="1" t="s">
        <v>23</v>
      </c>
      <c r="T480" s="1" t="s">
        <v>23</v>
      </c>
      <c r="U480" s="1" t="s">
        <v>23</v>
      </c>
      <c r="V480" s="1" t="s">
        <v>2277</v>
      </c>
    </row>
    <row r="481" customFormat="false" ht="13.8" hidden="false" customHeight="false" outlineLevel="0" collapsed="false">
      <c r="A481" s="1" t="n">
        <v>480</v>
      </c>
      <c r="B481" s="2" t="s">
        <v>2278</v>
      </c>
      <c r="C481" s="1" t="n">
        <v>14</v>
      </c>
      <c r="D481" s="1" t="n">
        <v>33</v>
      </c>
      <c r="E481" s="1" t="n">
        <v>36</v>
      </c>
      <c r="F481" s="1" t="n">
        <v>38</v>
      </c>
      <c r="G481" s="1" t="n">
        <v>41</v>
      </c>
      <c r="H481" s="1" t="n">
        <v>49</v>
      </c>
      <c r="I481" s="1" t="str">
        <f aca="false">RIGHT(("0"&amp;C481),2)&amp;RIGHT(("0"&amp;D481),2)&amp;RIGHT(("0"&amp;E481),2)&amp;RIGHT(("0"&amp;F481),2)&amp;RIGHT(("0"&amp;G481),2)&amp;RIGHT(("0"&amp;H481),2)</f>
        <v>143336384149</v>
      </c>
      <c r="J481" s="1" t="n">
        <f aca="false">COUNTIF(I:I,I481)</f>
        <v>1</v>
      </c>
      <c r="K481" s="1" t="n">
        <v>0</v>
      </c>
      <c r="M481" s="1" t="s">
        <v>23</v>
      </c>
      <c r="N481" s="1" t="n">
        <v>112</v>
      </c>
      <c r="O481" s="1" t="s">
        <v>2279</v>
      </c>
      <c r="P481" s="1" t="n">
        <v>8589</v>
      </c>
      <c r="Q481" s="1" t="s">
        <v>2280</v>
      </c>
      <c r="R481" s="1" t="s">
        <v>2281</v>
      </c>
      <c r="S481" s="1" t="s">
        <v>23</v>
      </c>
      <c r="T481" s="1" t="s">
        <v>23</v>
      </c>
      <c r="U481" s="1" t="s">
        <v>23</v>
      </c>
      <c r="V481" s="1" t="s">
        <v>2248</v>
      </c>
    </row>
    <row r="482" customFormat="false" ht="13.8" hidden="false" customHeight="false" outlineLevel="0" collapsed="false">
      <c r="A482" s="1" t="n">
        <v>481</v>
      </c>
      <c r="B482" s="2" t="s">
        <v>2282</v>
      </c>
      <c r="C482" s="1" t="n">
        <v>6</v>
      </c>
      <c r="D482" s="1" t="n">
        <v>13</v>
      </c>
      <c r="E482" s="1" t="n">
        <v>22</v>
      </c>
      <c r="F482" s="1" t="n">
        <v>24</v>
      </c>
      <c r="G482" s="1" t="n">
        <v>42</v>
      </c>
      <c r="H482" s="1" t="n">
        <v>44</v>
      </c>
      <c r="I482" s="1" t="str">
        <f aca="false">RIGHT(("0"&amp;C482),2)&amp;RIGHT(("0"&amp;D482),2)&amp;RIGHT(("0"&amp;E482),2)&amp;RIGHT(("0"&amp;F482),2)&amp;RIGHT(("0"&amp;G482),2)&amp;RIGHT(("0"&amp;H482),2)</f>
        <v>061322244244</v>
      </c>
      <c r="J482" s="1" t="n">
        <f aca="false">COUNTIF(I:I,I482)</f>
        <v>1</v>
      </c>
      <c r="K482" s="1" t="n">
        <v>3</v>
      </c>
      <c r="L482" s="1" t="s">
        <v>2283</v>
      </c>
      <c r="M482" s="1" t="s">
        <v>2284</v>
      </c>
      <c r="N482" s="1" t="n">
        <v>359</v>
      </c>
      <c r="O482" s="1" t="s">
        <v>2285</v>
      </c>
      <c r="P482" s="1" t="n">
        <v>19465</v>
      </c>
      <c r="Q482" s="1" t="s">
        <v>2286</v>
      </c>
      <c r="R482" s="1" t="s">
        <v>23</v>
      </c>
      <c r="S482" s="1" t="s">
        <v>23</v>
      </c>
      <c r="T482" s="1" t="s">
        <v>23</v>
      </c>
      <c r="U482" s="1" t="s">
        <v>23</v>
      </c>
      <c r="V482" s="1" t="s">
        <v>1876</v>
      </c>
    </row>
    <row r="483" customFormat="false" ht="13.8" hidden="false" customHeight="false" outlineLevel="0" collapsed="false">
      <c r="A483" s="1" t="n">
        <v>482</v>
      </c>
      <c r="B483" s="2" t="s">
        <v>2287</v>
      </c>
      <c r="C483" s="1" t="n">
        <v>12</v>
      </c>
      <c r="D483" s="1" t="n">
        <v>13</v>
      </c>
      <c r="E483" s="1" t="n">
        <v>33</v>
      </c>
      <c r="F483" s="1" t="n">
        <v>53</v>
      </c>
      <c r="G483" s="1" t="n">
        <v>54</v>
      </c>
      <c r="H483" s="1" t="n">
        <v>56</v>
      </c>
      <c r="I483" s="1" t="str">
        <f aca="false">RIGHT(("0"&amp;C483),2)&amp;RIGHT(("0"&amp;D483),2)&amp;RIGHT(("0"&amp;E483),2)&amp;RIGHT(("0"&amp;F483),2)&amp;RIGHT(("0"&amp;G483),2)&amp;RIGHT(("0"&amp;H483),2)</f>
        <v>121333535456</v>
      </c>
      <c r="J483" s="1" t="n">
        <f aca="false">COUNTIF(I:I,I483)</f>
        <v>1</v>
      </c>
      <c r="K483" s="1" t="n">
        <v>0</v>
      </c>
      <c r="M483" s="1" t="s">
        <v>23</v>
      </c>
      <c r="N483" s="1" t="n">
        <v>41</v>
      </c>
      <c r="O483" s="1" t="s">
        <v>2288</v>
      </c>
      <c r="P483" s="1" t="n">
        <v>2929</v>
      </c>
      <c r="Q483" s="1" t="s">
        <v>2289</v>
      </c>
      <c r="R483" s="1" t="s">
        <v>2290</v>
      </c>
      <c r="S483" s="1" t="s">
        <v>23</v>
      </c>
      <c r="T483" s="1" t="s">
        <v>23</v>
      </c>
      <c r="U483" s="1" t="s">
        <v>23</v>
      </c>
      <c r="V483" s="1" t="s">
        <v>2291</v>
      </c>
    </row>
    <row r="484" customFormat="false" ht="13.8" hidden="false" customHeight="false" outlineLevel="0" collapsed="false">
      <c r="A484" s="1" t="n">
        <v>483</v>
      </c>
      <c r="B484" s="2" t="s">
        <v>2292</v>
      </c>
      <c r="C484" s="1" t="n">
        <v>16</v>
      </c>
      <c r="D484" s="1" t="n">
        <v>18</v>
      </c>
      <c r="E484" s="1" t="n">
        <v>23</v>
      </c>
      <c r="F484" s="1" t="n">
        <v>35</v>
      </c>
      <c r="G484" s="1" t="n">
        <v>44</v>
      </c>
      <c r="H484" s="1" t="n">
        <v>59</v>
      </c>
      <c r="I484" s="1" t="str">
        <f aca="false">RIGHT(("0"&amp;C484),2)&amp;RIGHT(("0"&amp;D484),2)&amp;RIGHT(("0"&amp;E484),2)&amp;RIGHT(("0"&amp;F484),2)&amp;RIGHT(("0"&amp;G484),2)&amp;RIGHT(("0"&amp;H484),2)</f>
        <v>161823354459</v>
      </c>
      <c r="J484" s="1" t="n">
        <f aca="false">COUNTIF(I:I,I484)</f>
        <v>1</v>
      </c>
      <c r="K484" s="1" t="n">
        <v>0</v>
      </c>
      <c r="M484" s="1" t="s">
        <v>23</v>
      </c>
      <c r="N484" s="1" t="n">
        <v>90</v>
      </c>
      <c r="O484" s="1" t="s">
        <v>2293</v>
      </c>
      <c r="P484" s="1" t="n">
        <v>6279</v>
      </c>
      <c r="Q484" s="1" t="s">
        <v>2294</v>
      </c>
      <c r="R484" s="1" t="s">
        <v>2295</v>
      </c>
      <c r="S484" s="1" t="s">
        <v>23</v>
      </c>
      <c r="T484" s="1" t="s">
        <v>23</v>
      </c>
      <c r="U484" s="1" t="s">
        <v>23</v>
      </c>
      <c r="V484" s="1" t="s">
        <v>1646</v>
      </c>
    </row>
    <row r="485" customFormat="false" ht="13.8" hidden="false" customHeight="false" outlineLevel="0" collapsed="false">
      <c r="A485" s="1" t="n">
        <v>484</v>
      </c>
      <c r="B485" s="2" t="s">
        <v>2296</v>
      </c>
      <c r="C485" s="1" t="n">
        <v>17</v>
      </c>
      <c r="D485" s="1" t="n">
        <v>18</v>
      </c>
      <c r="E485" s="1" t="n">
        <v>19</v>
      </c>
      <c r="F485" s="1" t="n">
        <v>38</v>
      </c>
      <c r="G485" s="1" t="n">
        <v>49</v>
      </c>
      <c r="H485" s="1" t="n">
        <v>53</v>
      </c>
      <c r="I485" s="1" t="str">
        <f aca="false">RIGHT(("0"&amp;C485),2)&amp;RIGHT(("0"&amp;D485),2)&amp;RIGHT(("0"&amp;E485),2)&amp;RIGHT(("0"&amp;F485),2)&amp;RIGHT(("0"&amp;G485),2)&amp;RIGHT(("0"&amp;H485),2)</f>
        <v>171819384953</v>
      </c>
      <c r="J485" s="1" t="n">
        <f aca="false">COUNTIF(I:I,I485)</f>
        <v>1</v>
      </c>
      <c r="K485" s="1" t="n">
        <v>0</v>
      </c>
      <c r="M485" s="1" t="s">
        <v>23</v>
      </c>
      <c r="N485" s="1" t="n">
        <v>55</v>
      </c>
      <c r="O485" s="1" t="s">
        <v>2297</v>
      </c>
      <c r="P485" s="1" t="n">
        <v>4015</v>
      </c>
      <c r="Q485" s="1" t="s">
        <v>2298</v>
      </c>
      <c r="R485" s="1" t="s">
        <v>2299</v>
      </c>
      <c r="S485" s="1" t="s">
        <v>23</v>
      </c>
      <c r="T485" s="1" t="s">
        <v>23</v>
      </c>
      <c r="U485" s="1" t="s">
        <v>23</v>
      </c>
      <c r="V485" s="1" t="s">
        <v>2300</v>
      </c>
    </row>
    <row r="486" customFormat="false" ht="13.8" hidden="false" customHeight="false" outlineLevel="0" collapsed="false">
      <c r="A486" s="1" t="n">
        <v>485</v>
      </c>
      <c r="B486" s="2" t="s">
        <v>2301</v>
      </c>
      <c r="C486" s="1" t="n">
        <v>19</v>
      </c>
      <c r="D486" s="1" t="n">
        <v>28</v>
      </c>
      <c r="E486" s="1" t="n">
        <v>30</v>
      </c>
      <c r="F486" s="1" t="n">
        <v>38</v>
      </c>
      <c r="G486" s="1" t="n">
        <v>52</v>
      </c>
      <c r="H486" s="1" t="n">
        <v>57</v>
      </c>
      <c r="I486" s="1" t="str">
        <f aca="false">RIGHT(("0"&amp;C486),2)&amp;RIGHT(("0"&amp;D486),2)&amp;RIGHT(("0"&amp;E486),2)&amp;RIGHT(("0"&amp;F486),2)&amp;RIGHT(("0"&amp;G486),2)&amp;RIGHT(("0"&amp;H486),2)</f>
        <v>192830385257</v>
      </c>
      <c r="J486" s="1" t="n">
        <f aca="false">COUNTIF(I:I,I486)</f>
        <v>1</v>
      </c>
      <c r="K486" s="1" t="n">
        <v>0</v>
      </c>
      <c r="M486" s="1" t="s">
        <v>23</v>
      </c>
      <c r="N486" s="1" t="n">
        <v>30</v>
      </c>
      <c r="O486" s="1" t="s">
        <v>2302</v>
      </c>
      <c r="P486" s="1" t="n">
        <v>3203</v>
      </c>
      <c r="Q486" s="1" t="s">
        <v>2303</v>
      </c>
      <c r="R486" s="1" t="s">
        <v>2304</v>
      </c>
      <c r="S486" s="1" t="s">
        <v>23</v>
      </c>
      <c r="T486" s="1" t="s">
        <v>23</v>
      </c>
      <c r="U486" s="1" t="s">
        <v>23</v>
      </c>
      <c r="V486" s="1" t="s">
        <v>2305</v>
      </c>
    </row>
    <row r="487" customFormat="false" ht="13.8" hidden="false" customHeight="false" outlineLevel="0" collapsed="false">
      <c r="A487" s="1" t="n">
        <v>486</v>
      </c>
      <c r="B487" s="2" t="s">
        <v>2306</v>
      </c>
      <c r="C487" s="1" t="n">
        <v>8</v>
      </c>
      <c r="D487" s="1" t="n">
        <v>14</v>
      </c>
      <c r="E487" s="1" t="n">
        <v>19</v>
      </c>
      <c r="F487" s="1" t="n">
        <v>30</v>
      </c>
      <c r="G487" s="1" t="n">
        <v>42</v>
      </c>
      <c r="H487" s="1" t="n">
        <v>50</v>
      </c>
      <c r="I487" s="1" t="str">
        <f aca="false">RIGHT(("0"&amp;C487),2)&amp;RIGHT(("0"&amp;D487),2)&amp;RIGHT(("0"&amp;E487),2)&amp;RIGHT(("0"&amp;F487),2)&amp;RIGHT(("0"&amp;G487),2)&amp;RIGHT(("0"&amp;H487),2)</f>
        <v>081419304250</v>
      </c>
      <c r="J487" s="1" t="n">
        <f aca="false">COUNTIF(I:I,I487)</f>
        <v>1</v>
      </c>
      <c r="K487" s="1" t="n">
        <v>1</v>
      </c>
      <c r="L487" s="1" t="s">
        <v>91</v>
      </c>
      <c r="M487" s="1" t="s">
        <v>2307</v>
      </c>
      <c r="N487" s="1" t="n">
        <v>55</v>
      </c>
      <c r="O487" s="1" t="s">
        <v>2308</v>
      </c>
      <c r="P487" s="1" t="n">
        <v>4325</v>
      </c>
      <c r="Q487" s="1" t="s">
        <v>2309</v>
      </c>
      <c r="R487" s="1" t="s">
        <v>23</v>
      </c>
      <c r="S487" s="1" t="s">
        <v>23</v>
      </c>
      <c r="T487" s="1" t="s">
        <v>23</v>
      </c>
      <c r="U487" s="1" t="s">
        <v>23</v>
      </c>
      <c r="V487" s="1" t="s">
        <v>2205</v>
      </c>
    </row>
    <row r="488" customFormat="false" ht="13.8" hidden="false" customHeight="false" outlineLevel="0" collapsed="false">
      <c r="A488" s="1" t="n">
        <v>487</v>
      </c>
      <c r="B488" s="2" t="s">
        <v>2310</v>
      </c>
      <c r="C488" s="1" t="n">
        <v>8</v>
      </c>
      <c r="D488" s="1" t="n">
        <v>22</v>
      </c>
      <c r="E488" s="1" t="n">
        <v>25</v>
      </c>
      <c r="F488" s="1" t="n">
        <v>48</v>
      </c>
      <c r="G488" s="1" t="n">
        <v>52</v>
      </c>
      <c r="H488" s="1" t="n">
        <v>54</v>
      </c>
      <c r="I488" s="1" t="str">
        <f aca="false">RIGHT(("0"&amp;C488),2)&amp;RIGHT(("0"&amp;D488),2)&amp;RIGHT(("0"&amp;E488),2)&amp;RIGHT(("0"&amp;F488),2)&amp;RIGHT(("0"&amp;G488),2)&amp;RIGHT(("0"&amp;H488),2)</f>
        <v>082225485254</v>
      </c>
      <c r="J488" s="1" t="n">
        <f aca="false">COUNTIF(I:I,I488)</f>
        <v>1</v>
      </c>
      <c r="K488" s="1" t="n">
        <v>2</v>
      </c>
      <c r="L488" s="1" t="s">
        <v>2311</v>
      </c>
      <c r="M488" s="1" t="s">
        <v>2312</v>
      </c>
      <c r="N488" s="1" t="n">
        <v>104</v>
      </c>
      <c r="O488" s="1" t="s">
        <v>2313</v>
      </c>
      <c r="P488" s="1" t="n">
        <v>5329</v>
      </c>
      <c r="Q488" s="1" t="s">
        <v>2314</v>
      </c>
      <c r="R488" s="1" t="s">
        <v>23</v>
      </c>
      <c r="S488" s="1" t="s">
        <v>23</v>
      </c>
      <c r="T488" s="1" t="s">
        <v>23</v>
      </c>
      <c r="U488" s="1" t="s">
        <v>23</v>
      </c>
      <c r="V488" s="1" t="s">
        <v>2315</v>
      </c>
    </row>
    <row r="489" customFormat="false" ht="13.8" hidden="false" customHeight="false" outlineLevel="0" collapsed="false">
      <c r="A489" s="1" t="n">
        <v>488</v>
      </c>
      <c r="B489" s="2" t="s">
        <v>2316</v>
      </c>
      <c r="C489" s="1" t="n">
        <v>15</v>
      </c>
      <c r="D489" s="1" t="n">
        <v>30</v>
      </c>
      <c r="E489" s="1" t="n">
        <v>35</v>
      </c>
      <c r="F489" s="1" t="n">
        <v>39</v>
      </c>
      <c r="G489" s="1" t="n">
        <v>43</v>
      </c>
      <c r="H489" s="1" t="n">
        <v>57</v>
      </c>
      <c r="I489" s="1" t="str">
        <f aca="false">RIGHT(("0"&amp;C489),2)&amp;RIGHT(("0"&amp;D489),2)&amp;RIGHT(("0"&amp;E489),2)&amp;RIGHT(("0"&amp;F489),2)&amp;RIGHT(("0"&amp;G489),2)&amp;RIGHT(("0"&amp;H489),2)</f>
        <v>153035394357</v>
      </c>
      <c r="J489" s="1" t="n">
        <f aca="false">COUNTIF(I:I,I489)</f>
        <v>1</v>
      </c>
      <c r="K489" s="1" t="n">
        <v>0</v>
      </c>
      <c r="M489" s="1" t="s">
        <v>23</v>
      </c>
      <c r="N489" s="1" t="n">
        <v>46</v>
      </c>
      <c r="O489" s="1" t="s">
        <v>2317</v>
      </c>
      <c r="P489" s="1" t="n">
        <v>2699</v>
      </c>
      <c r="Q489" s="1" t="s">
        <v>2318</v>
      </c>
      <c r="R489" s="1" t="s">
        <v>2319</v>
      </c>
      <c r="S489" s="1" t="s">
        <v>23</v>
      </c>
      <c r="T489" s="1" t="s">
        <v>23</v>
      </c>
      <c r="U489" s="1" t="s">
        <v>23</v>
      </c>
      <c r="V489" s="1" t="s">
        <v>2320</v>
      </c>
    </row>
    <row r="490" customFormat="false" ht="13.8" hidden="false" customHeight="false" outlineLevel="0" collapsed="false">
      <c r="A490" s="1" t="n">
        <v>489</v>
      </c>
      <c r="B490" s="2" t="s">
        <v>2321</v>
      </c>
      <c r="C490" s="1" t="n">
        <v>17</v>
      </c>
      <c r="D490" s="1" t="n">
        <v>28</v>
      </c>
      <c r="E490" s="1" t="n">
        <v>33</v>
      </c>
      <c r="F490" s="1" t="n">
        <v>36</v>
      </c>
      <c r="G490" s="1" t="n">
        <v>53</v>
      </c>
      <c r="H490" s="1" t="n">
        <v>59</v>
      </c>
      <c r="I490" s="1" t="str">
        <f aca="false">RIGHT(("0"&amp;C490),2)&amp;RIGHT(("0"&amp;D490),2)&amp;RIGHT(("0"&amp;E490),2)&amp;RIGHT(("0"&amp;F490),2)&amp;RIGHT(("0"&amp;G490),2)&amp;RIGHT(("0"&amp;H490),2)</f>
        <v>172833365359</v>
      </c>
      <c r="J490" s="1" t="n">
        <f aca="false">COUNTIF(I:I,I490)</f>
        <v>1</v>
      </c>
      <c r="K490" s="1" t="n">
        <v>0</v>
      </c>
      <c r="M490" s="1" t="s">
        <v>23</v>
      </c>
      <c r="N490" s="1" t="n">
        <v>67</v>
      </c>
      <c r="O490" s="1" t="s">
        <v>2322</v>
      </c>
      <c r="P490" s="1" t="n">
        <v>5107</v>
      </c>
      <c r="Q490" s="1" t="s">
        <v>2323</v>
      </c>
      <c r="R490" s="1" t="s">
        <v>2324</v>
      </c>
      <c r="S490" s="1" t="s">
        <v>23</v>
      </c>
      <c r="T490" s="1" t="s">
        <v>23</v>
      </c>
      <c r="U490" s="1" t="s">
        <v>23</v>
      </c>
      <c r="V490" s="1" t="s">
        <v>2325</v>
      </c>
    </row>
    <row r="491" customFormat="false" ht="13.8" hidden="false" customHeight="false" outlineLevel="0" collapsed="false">
      <c r="A491" s="1" t="n">
        <v>490</v>
      </c>
      <c r="B491" s="2" t="s">
        <v>2326</v>
      </c>
      <c r="C491" s="1" t="n">
        <v>5</v>
      </c>
      <c r="D491" s="1" t="n">
        <v>11</v>
      </c>
      <c r="E491" s="1" t="n">
        <v>23</v>
      </c>
      <c r="F491" s="1" t="n">
        <v>29</v>
      </c>
      <c r="G491" s="1" t="n">
        <v>54</v>
      </c>
      <c r="H491" s="1" t="n">
        <v>58</v>
      </c>
      <c r="I491" s="1" t="str">
        <f aca="false">RIGHT(("0"&amp;C491),2)&amp;RIGHT(("0"&amp;D491),2)&amp;RIGHT(("0"&amp;E491),2)&amp;RIGHT(("0"&amp;F491),2)&amp;RIGHT(("0"&amp;G491),2)&amp;RIGHT(("0"&amp;H491),2)</f>
        <v>051123295458</v>
      </c>
      <c r="J491" s="1" t="n">
        <f aca="false">COUNTIF(I:I,I491)</f>
        <v>1</v>
      </c>
      <c r="K491" s="1" t="n">
        <v>1</v>
      </c>
      <c r="L491" s="1" t="s">
        <v>66</v>
      </c>
      <c r="M491" s="1" t="s">
        <v>2327</v>
      </c>
      <c r="N491" s="1" t="n">
        <v>148</v>
      </c>
      <c r="O491" s="1" t="s">
        <v>2328</v>
      </c>
      <c r="P491" s="1" t="n">
        <v>8438</v>
      </c>
      <c r="Q491" s="1" t="s">
        <v>2329</v>
      </c>
      <c r="R491" s="1" t="s">
        <v>23</v>
      </c>
      <c r="S491" s="1" t="s">
        <v>23</v>
      </c>
      <c r="T491" s="1" t="s">
        <v>23</v>
      </c>
      <c r="U491" s="1" t="s">
        <v>23</v>
      </c>
      <c r="V491" s="1" t="s">
        <v>2330</v>
      </c>
    </row>
    <row r="492" customFormat="false" ht="13.8" hidden="false" customHeight="false" outlineLevel="0" collapsed="false">
      <c r="A492" s="1" t="n">
        <v>491</v>
      </c>
      <c r="B492" s="2" t="s">
        <v>2331</v>
      </c>
      <c r="C492" s="1" t="n">
        <v>1</v>
      </c>
      <c r="D492" s="1" t="n">
        <v>9</v>
      </c>
      <c r="E492" s="1" t="n">
        <v>15</v>
      </c>
      <c r="F492" s="1" t="n">
        <v>22</v>
      </c>
      <c r="G492" s="1" t="n">
        <v>43</v>
      </c>
      <c r="H492" s="1" t="n">
        <v>55</v>
      </c>
      <c r="I492" s="1" t="str">
        <f aca="false">RIGHT(("0"&amp;C492),2)&amp;RIGHT(("0"&amp;D492),2)&amp;RIGHT(("0"&amp;E492),2)&amp;RIGHT(("0"&amp;F492),2)&amp;RIGHT(("0"&amp;G492),2)&amp;RIGHT(("0"&amp;H492),2)</f>
        <v>010915224355</v>
      </c>
      <c r="J492" s="1" t="n">
        <f aca="false">COUNTIF(I:I,I492)</f>
        <v>1</v>
      </c>
      <c r="K492" s="1" t="n">
        <v>1</v>
      </c>
      <c r="L492" s="1" t="s">
        <v>66</v>
      </c>
      <c r="M492" s="1" t="s">
        <v>2332</v>
      </c>
      <c r="N492" s="1" t="n">
        <v>81</v>
      </c>
      <c r="O492" s="1" t="s">
        <v>2333</v>
      </c>
      <c r="P492" s="1" t="n">
        <v>4221</v>
      </c>
      <c r="Q492" s="1" t="s">
        <v>2334</v>
      </c>
      <c r="R492" s="1" t="s">
        <v>23</v>
      </c>
      <c r="S492" s="1" t="s">
        <v>23</v>
      </c>
      <c r="T492" s="1" t="s">
        <v>23</v>
      </c>
      <c r="U492" s="1" t="s">
        <v>23</v>
      </c>
      <c r="V492" s="1" t="s">
        <v>2205</v>
      </c>
    </row>
    <row r="493" customFormat="false" ht="13.8" hidden="false" customHeight="false" outlineLevel="0" collapsed="false">
      <c r="A493" s="1" t="n">
        <v>492</v>
      </c>
      <c r="B493" s="2" t="s">
        <v>2335</v>
      </c>
      <c r="C493" s="1" t="n">
        <v>2</v>
      </c>
      <c r="D493" s="1" t="n">
        <v>6</v>
      </c>
      <c r="E493" s="1" t="n">
        <v>15</v>
      </c>
      <c r="F493" s="1" t="n">
        <v>18</v>
      </c>
      <c r="G493" s="1" t="n">
        <v>56</v>
      </c>
      <c r="H493" s="1" t="n">
        <v>57</v>
      </c>
      <c r="I493" s="1" t="str">
        <f aca="false">RIGHT(("0"&amp;C493),2)&amp;RIGHT(("0"&amp;D493),2)&amp;RIGHT(("0"&amp;E493),2)&amp;RIGHT(("0"&amp;F493),2)&amp;RIGHT(("0"&amp;G493),2)&amp;RIGHT(("0"&amp;H493),2)</f>
        <v>020615185657</v>
      </c>
      <c r="J493" s="1" t="n">
        <f aca="false">COUNTIF(I:I,I493)</f>
        <v>1</v>
      </c>
      <c r="K493" s="1" t="n">
        <v>0</v>
      </c>
      <c r="M493" s="1" t="s">
        <v>23</v>
      </c>
      <c r="N493" s="1" t="n">
        <v>26</v>
      </c>
      <c r="O493" s="1" t="s">
        <v>2336</v>
      </c>
      <c r="P493" s="1" t="n">
        <v>2629</v>
      </c>
      <c r="Q493" s="1" t="s">
        <v>2337</v>
      </c>
      <c r="R493" s="1" t="s">
        <v>2338</v>
      </c>
      <c r="S493" s="1" t="s">
        <v>23</v>
      </c>
      <c r="T493" s="1" t="s">
        <v>23</v>
      </c>
      <c r="U493" s="1" t="s">
        <v>23</v>
      </c>
      <c r="V493" s="1" t="s">
        <v>2320</v>
      </c>
    </row>
    <row r="494" customFormat="false" ht="13.8" hidden="false" customHeight="false" outlineLevel="0" collapsed="false">
      <c r="A494" s="1" t="n">
        <v>493</v>
      </c>
      <c r="B494" s="2" t="s">
        <v>2339</v>
      </c>
      <c r="C494" s="1" t="n">
        <v>3</v>
      </c>
      <c r="D494" s="1" t="n">
        <v>18</v>
      </c>
      <c r="E494" s="1" t="n">
        <v>20</v>
      </c>
      <c r="F494" s="1" t="n">
        <v>24</v>
      </c>
      <c r="G494" s="1" t="n">
        <v>42</v>
      </c>
      <c r="H494" s="1" t="n">
        <v>54</v>
      </c>
      <c r="I494" s="1" t="str">
        <f aca="false">RIGHT(("0"&amp;C494),2)&amp;RIGHT(("0"&amp;D494),2)&amp;RIGHT(("0"&amp;E494),2)&amp;RIGHT(("0"&amp;F494),2)&amp;RIGHT(("0"&amp;G494),2)&amp;RIGHT(("0"&amp;H494),2)</f>
        <v>031820244254</v>
      </c>
      <c r="J494" s="1" t="n">
        <f aca="false">COUNTIF(I:I,I494)</f>
        <v>1</v>
      </c>
      <c r="K494" s="1" t="n">
        <v>0</v>
      </c>
      <c r="M494" s="1" t="s">
        <v>23</v>
      </c>
      <c r="N494" s="1" t="n">
        <v>79</v>
      </c>
      <c r="O494" s="1" t="s">
        <v>2340</v>
      </c>
      <c r="P494" s="1" t="n">
        <v>5294</v>
      </c>
      <c r="Q494" s="1" t="s">
        <v>2341</v>
      </c>
      <c r="R494" s="1" t="s">
        <v>2342</v>
      </c>
      <c r="S494" s="1" t="s">
        <v>23</v>
      </c>
      <c r="T494" s="1" t="s">
        <v>23</v>
      </c>
      <c r="U494" s="1" t="s">
        <v>23</v>
      </c>
      <c r="V494" s="1" t="s">
        <v>2343</v>
      </c>
    </row>
    <row r="495" customFormat="false" ht="13.8" hidden="false" customHeight="false" outlineLevel="0" collapsed="false">
      <c r="A495" s="1" t="n">
        <v>494</v>
      </c>
      <c r="B495" s="2" t="s">
        <v>2344</v>
      </c>
      <c r="C495" s="1" t="n">
        <v>18</v>
      </c>
      <c r="D495" s="1" t="n">
        <v>20</v>
      </c>
      <c r="E495" s="1" t="n">
        <v>28</v>
      </c>
      <c r="F495" s="1" t="n">
        <v>32</v>
      </c>
      <c r="G495" s="1" t="n">
        <v>49</v>
      </c>
      <c r="H495" s="1" t="n">
        <v>53</v>
      </c>
      <c r="I495" s="1" t="str">
        <f aca="false">RIGHT(("0"&amp;C495),2)&amp;RIGHT(("0"&amp;D495),2)&amp;RIGHT(("0"&amp;E495),2)&amp;RIGHT(("0"&amp;F495),2)&amp;RIGHT(("0"&amp;G495),2)&amp;RIGHT(("0"&amp;H495),2)</f>
        <v>182028324953</v>
      </c>
      <c r="J495" s="1" t="n">
        <f aca="false">COUNTIF(I:I,I495)</f>
        <v>1</v>
      </c>
      <c r="K495" s="1" t="n">
        <v>0</v>
      </c>
      <c r="M495" s="1" t="s">
        <v>23</v>
      </c>
      <c r="N495" s="1" t="n">
        <v>32</v>
      </c>
      <c r="O495" s="1" t="s">
        <v>2345</v>
      </c>
      <c r="P495" s="1" t="n">
        <v>2766</v>
      </c>
      <c r="Q495" s="1" t="s">
        <v>2346</v>
      </c>
      <c r="R495" s="1" t="s">
        <v>2347</v>
      </c>
      <c r="S495" s="1" t="s">
        <v>23</v>
      </c>
      <c r="T495" s="1" t="s">
        <v>23</v>
      </c>
      <c r="U495" s="1" t="s">
        <v>23</v>
      </c>
      <c r="V495" s="1" t="s">
        <v>2348</v>
      </c>
    </row>
    <row r="496" customFormat="false" ht="13.8" hidden="false" customHeight="false" outlineLevel="0" collapsed="false">
      <c r="A496" s="1" t="n">
        <v>495</v>
      </c>
      <c r="B496" s="2" t="s">
        <v>2349</v>
      </c>
      <c r="C496" s="1" t="n">
        <v>8</v>
      </c>
      <c r="D496" s="1" t="n">
        <v>15</v>
      </c>
      <c r="E496" s="1" t="n">
        <v>29</v>
      </c>
      <c r="F496" s="1" t="n">
        <v>36</v>
      </c>
      <c r="G496" s="1" t="n">
        <v>49</v>
      </c>
      <c r="H496" s="1" t="n">
        <v>60</v>
      </c>
      <c r="I496" s="1" t="str">
        <f aca="false">RIGHT(("0"&amp;C496),2)&amp;RIGHT(("0"&amp;D496),2)&amp;RIGHT(("0"&amp;E496),2)&amp;RIGHT(("0"&amp;F496),2)&amp;RIGHT(("0"&amp;G496),2)&amp;RIGHT(("0"&amp;H496),2)</f>
        <v>081529364960</v>
      </c>
      <c r="J496" s="1" t="n">
        <f aca="false">COUNTIF(I:I,I496)</f>
        <v>1</v>
      </c>
      <c r="K496" s="1" t="n">
        <v>0</v>
      </c>
      <c r="M496" s="1" t="s">
        <v>23</v>
      </c>
      <c r="N496" s="1" t="n">
        <v>48</v>
      </c>
      <c r="O496" s="1" t="s">
        <v>2350</v>
      </c>
      <c r="P496" s="1" t="n">
        <v>5313</v>
      </c>
      <c r="Q496" s="1" t="s">
        <v>2351</v>
      </c>
      <c r="R496" s="1" t="s">
        <v>2352</v>
      </c>
      <c r="S496" s="1" t="s">
        <v>23</v>
      </c>
      <c r="T496" s="1" t="s">
        <v>23</v>
      </c>
      <c r="U496" s="1" t="s">
        <v>23</v>
      </c>
      <c r="V496" s="1" t="s">
        <v>2353</v>
      </c>
    </row>
    <row r="497" customFormat="false" ht="13.8" hidden="false" customHeight="false" outlineLevel="0" collapsed="false">
      <c r="A497" s="1" t="n">
        <v>496</v>
      </c>
      <c r="B497" s="2" t="s">
        <v>2354</v>
      </c>
      <c r="C497" s="1" t="n">
        <v>10</v>
      </c>
      <c r="D497" s="1" t="n">
        <v>19</v>
      </c>
      <c r="E497" s="1" t="n">
        <v>20</v>
      </c>
      <c r="F497" s="1" t="n">
        <v>29</v>
      </c>
      <c r="G497" s="1" t="n">
        <v>41</v>
      </c>
      <c r="H497" s="1" t="n">
        <v>59</v>
      </c>
      <c r="I497" s="1" t="str">
        <f aca="false">RIGHT(("0"&amp;C497),2)&amp;RIGHT(("0"&amp;D497),2)&amp;RIGHT(("0"&amp;E497),2)&amp;RIGHT(("0"&amp;F497),2)&amp;RIGHT(("0"&amp;G497),2)&amp;RIGHT(("0"&amp;H497),2)</f>
        <v>101920294159</v>
      </c>
      <c r="J497" s="1" t="n">
        <f aca="false">COUNTIF(I:I,I497)</f>
        <v>1</v>
      </c>
      <c r="K497" s="1" t="n">
        <v>0</v>
      </c>
      <c r="M497" s="1" t="s">
        <v>23</v>
      </c>
      <c r="N497" s="1" t="n">
        <v>31</v>
      </c>
      <c r="O497" s="1" t="s">
        <v>2355</v>
      </c>
      <c r="P497" s="1" t="n">
        <v>3495</v>
      </c>
      <c r="Q497" s="1" t="s">
        <v>2356</v>
      </c>
      <c r="R497" s="1" t="s">
        <v>2357</v>
      </c>
      <c r="S497" s="1" t="s">
        <v>23</v>
      </c>
      <c r="T497" s="1" t="s">
        <v>23</v>
      </c>
      <c r="U497" s="1" t="s">
        <v>23</v>
      </c>
      <c r="V497" s="1" t="s">
        <v>2358</v>
      </c>
    </row>
    <row r="498" customFormat="false" ht="13.8" hidden="false" customHeight="false" outlineLevel="0" collapsed="false">
      <c r="A498" s="1" t="n">
        <v>497</v>
      </c>
      <c r="B498" s="2" t="s">
        <v>2359</v>
      </c>
      <c r="C498" s="1" t="n">
        <v>9</v>
      </c>
      <c r="D498" s="1" t="n">
        <v>13</v>
      </c>
      <c r="E498" s="1" t="n">
        <v>20</v>
      </c>
      <c r="F498" s="1" t="n">
        <v>32</v>
      </c>
      <c r="G498" s="1" t="n">
        <v>41</v>
      </c>
      <c r="H498" s="1" t="n">
        <v>58</v>
      </c>
      <c r="I498" s="1" t="str">
        <f aca="false">RIGHT(("0"&amp;C498),2)&amp;RIGHT(("0"&amp;D498),2)&amp;RIGHT(("0"&amp;E498),2)&amp;RIGHT(("0"&amp;F498),2)&amp;RIGHT(("0"&amp;G498),2)&amp;RIGHT(("0"&amp;H498),2)</f>
        <v>091320324158</v>
      </c>
      <c r="J498" s="1" t="n">
        <f aca="false">COUNTIF(I:I,I498)</f>
        <v>1</v>
      </c>
      <c r="K498" s="1" t="n">
        <v>0</v>
      </c>
      <c r="M498" s="1" t="s">
        <v>23</v>
      </c>
      <c r="N498" s="1" t="n">
        <v>72</v>
      </c>
      <c r="O498" s="1" t="s">
        <v>2360</v>
      </c>
      <c r="P498" s="1" t="n">
        <v>5439</v>
      </c>
      <c r="Q498" s="1" t="s">
        <v>2361</v>
      </c>
      <c r="R498" s="1" t="s">
        <v>2362</v>
      </c>
      <c r="S498" s="1" t="s">
        <v>23</v>
      </c>
      <c r="T498" s="1" t="s">
        <v>23</v>
      </c>
      <c r="U498" s="1" t="s">
        <v>23</v>
      </c>
      <c r="V498" s="1" t="s">
        <v>2363</v>
      </c>
    </row>
    <row r="499" customFormat="false" ht="13.8" hidden="false" customHeight="false" outlineLevel="0" collapsed="false">
      <c r="A499" s="1" t="n">
        <v>498</v>
      </c>
      <c r="B499" s="2" t="s">
        <v>2364</v>
      </c>
      <c r="C499" s="1" t="n">
        <v>2</v>
      </c>
      <c r="D499" s="1" t="n">
        <v>6</v>
      </c>
      <c r="E499" s="1" t="n">
        <v>28</v>
      </c>
      <c r="F499" s="1" t="n">
        <v>49</v>
      </c>
      <c r="G499" s="1" t="n">
        <v>50</v>
      </c>
      <c r="H499" s="1" t="n">
        <v>57</v>
      </c>
      <c r="I499" s="1" t="str">
        <f aca="false">RIGHT(("0"&amp;C499),2)&amp;RIGHT(("0"&amp;D499),2)&amp;RIGHT(("0"&amp;E499),2)&amp;RIGHT(("0"&amp;F499),2)&amp;RIGHT(("0"&amp;G499),2)&amp;RIGHT(("0"&amp;H499),2)</f>
        <v>020628495057</v>
      </c>
      <c r="J499" s="1" t="n">
        <f aca="false">COUNTIF(I:I,I499)</f>
        <v>1</v>
      </c>
      <c r="K499" s="1" t="n">
        <v>0</v>
      </c>
      <c r="M499" s="1" t="s">
        <v>23</v>
      </c>
      <c r="N499" s="1" t="n">
        <v>58</v>
      </c>
      <c r="O499" s="1" t="s">
        <v>2365</v>
      </c>
      <c r="P499" s="1" t="n">
        <v>4592</v>
      </c>
      <c r="Q499" s="1" t="s">
        <v>2366</v>
      </c>
      <c r="R499" s="1" t="s">
        <v>2367</v>
      </c>
      <c r="S499" s="1" t="s">
        <v>23</v>
      </c>
      <c r="T499" s="1" t="s">
        <v>23</v>
      </c>
      <c r="U499" s="1" t="s">
        <v>23</v>
      </c>
      <c r="V499" s="1" t="s">
        <v>2368</v>
      </c>
    </row>
    <row r="500" customFormat="false" ht="13.8" hidden="false" customHeight="false" outlineLevel="0" collapsed="false">
      <c r="A500" s="1" t="n">
        <v>499</v>
      </c>
      <c r="B500" s="2" t="s">
        <v>2369</v>
      </c>
      <c r="C500" s="1" t="n">
        <v>1</v>
      </c>
      <c r="D500" s="1" t="n">
        <v>4</v>
      </c>
      <c r="E500" s="1" t="n">
        <v>5</v>
      </c>
      <c r="F500" s="1" t="n">
        <v>11</v>
      </c>
      <c r="G500" s="1" t="n">
        <v>44</v>
      </c>
      <c r="H500" s="1" t="n">
        <v>59</v>
      </c>
      <c r="I500" s="1" t="str">
        <f aca="false">RIGHT(("0"&amp;C500),2)&amp;RIGHT(("0"&amp;D500),2)&amp;RIGHT(("0"&amp;E500),2)&amp;RIGHT(("0"&amp;F500),2)&amp;RIGHT(("0"&amp;G500),2)&amp;RIGHT(("0"&amp;H500),2)</f>
        <v>010405114459</v>
      </c>
      <c r="J500" s="1" t="n">
        <f aca="false">COUNTIF(I:I,I500)</f>
        <v>1</v>
      </c>
      <c r="K500" s="1" t="n">
        <v>1</v>
      </c>
      <c r="L500" s="1" t="s">
        <v>1267</v>
      </c>
      <c r="M500" s="1" t="s">
        <v>2370</v>
      </c>
      <c r="N500" s="1" t="n">
        <v>126</v>
      </c>
      <c r="O500" s="1" t="s">
        <v>2371</v>
      </c>
      <c r="P500" s="1" t="n">
        <v>8903</v>
      </c>
      <c r="Q500" s="1" t="s">
        <v>2372</v>
      </c>
      <c r="R500" s="1" t="s">
        <v>23</v>
      </c>
      <c r="S500" s="1" t="s">
        <v>23</v>
      </c>
      <c r="T500" s="1" t="s">
        <v>23</v>
      </c>
      <c r="U500" s="1" t="s">
        <v>23</v>
      </c>
      <c r="V500" s="1" t="s">
        <v>2373</v>
      </c>
    </row>
    <row r="501" customFormat="false" ht="13.8" hidden="false" customHeight="false" outlineLevel="0" collapsed="false">
      <c r="A501" s="1" t="n">
        <v>500</v>
      </c>
      <c r="B501" s="2" t="s">
        <v>2374</v>
      </c>
      <c r="C501" s="1" t="n">
        <v>21</v>
      </c>
      <c r="D501" s="1" t="n">
        <v>29</v>
      </c>
      <c r="E501" s="1" t="n">
        <v>35</v>
      </c>
      <c r="F501" s="1" t="n">
        <v>36</v>
      </c>
      <c r="G501" s="1" t="n">
        <v>38</v>
      </c>
      <c r="H501" s="1" t="n">
        <v>54</v>
      </c>
      <c r="I501" s="1" t="str">
        <f aca="false">RIGHT(("0"&amp;C501),2)&amp;RIGHT(("0"&amp;D501),2)&amp;RIGHT(("0"&amp;E501),2)&amp;RIGHT(("0"&amp;F501),2)&amp;RIGHT(("0"&amp;G501),2)&amp;RIGHT(("0"&amp;H501),2)</f>
        <v>212935363854</v>
      </c>
      <c r="J501" s="1" t="n">
        <f aca="false">COUNTIF(I:I,I501)</f>
        <v>1</v>
      </c>
      <c r="K501" s="1" t="n">
        <v>1</v>
      </c>
      <c r="L501" s="1" t="s">
        <v>28</v>
      </c>
      <c r="M501" s="1" t="s">
        <v>2375</v>
      </c>
      <c r="N501" s="1" t="n">
        <v>73</v>
      </c>
      <c r="O501" s="1" t="s">
        <v>2376</v>
      </c>
      <c r="P501" s="1" t="n">
        <v>6818</v>
      </c>
      <c r="Q501" s="1" t="s">
        <v>2377</v>
      </c>
      <c r="R501" s="1" t="s">
        <v>23</v>
      </c>
      <c r="S501" s="1" t="s">
        <v>23</v>
      </c>
      <c r="T501" s="1" t="s">
        <v>23</v>
      </c>
      <c r="U501" s="1" t="s">
        <v>23</v>
      </c>
      <c r="V501" s="1" t="s">
        <v>2205</v>
      </c>
    </row>
    <row r="502" customFormat="false" ht="13.8" hidden="false" customHeight="false" outlineLevel="0" collapsed="false">
      <c r="A502" s="1" t="n">
        <v>501</v>
      </c>
      <c r="B502" s="2" t="s">
        <v>2378</v>
      </c>
      <c r="C502" s="1" t="n">
        <v>16</v>
      </c>
      <c r="D502" s="1" t="n">
        <v>27</v>
      </c>
      <c r="E502" s="1" t="n">
        <v>28</v>
      </c>
      <c r="F502" s="1" t="n">
        <v>34</v>
      </c>
      <c r="G502" s="1" t="n">
        <v>39</v>
      </c>
      <c r="H502" s="1" t="n">
        <v>56</v>
      </c>
      <c r="I502" s="1" t="str">
        <f aca="false">RIGHT(("0"&amp;C502),2)&amp;RIGHT(("0"&amp;D502),2)&amp;RIGHT(("0"&amp;E502),2)&amp;RIGHT(("0"&amp;F502),2)&amp;RIGHT(("0"&amp;G502),2)&amp;RIGHT(("0"&amp;H502),2)</f>
        <v>162728343956</v>
      </c>
      <c r="J502" s="1" t="n">
        <f aca="false">COUNTIF(I:I,I502)</f>
        <v>1</v>
      </c>
      <c r="K502" s="1" t="n">
        <v>0</v>
      </c>
      <c r="M502" s="1" t="s">
        <v>23</v>
      </c>
      <c r="N502" s="1" t="n">
        <v>43</v>
      </c>
      <c r="O502" s="1" t="s">
        <v>2379</v>
      </c>
      <c r="P502" s="1" t="n">
        <v>3037</v>
      </c>
      <c r="Q502" s="1" t="s">
        <v>150</v>
      </c>
      <c r="R502" s="1" t="s">
        <v>2380</v>
      </c>
      <c r="S502" s="1" t="s">
        <v>23</v>
      </c>
      <c r="T502" s="1" t="s">
        <v>23</v>
      </c>
      <c r="U502" s="1" t="s">
        <v>23</v>
      </c>
      <c r="V502" s="1" t="s">
        <v>2320</v>
      </c>
    </row>
    <row r="503" customFormat="false" ht="13.8" hidden="false" customHeight="false" outlineLevel="0" collapsed="false">
      <c r="A503" s="1" t="n">
        <v>502</v>
      </c>
      <c r="B503" s="2" t="s">
        <v>2381</v>
      </c>
      <c r="C503" s="1" t="n">
        <v>7</v>
      </c>
      <c r="D503" s="1" t="n">
        <v>13</v>
      </c>
      <c r="E503" s="1" t="n">
        <v>21</v>
      </c>
      <c r="F503" s="1" t="n">
        <v>24</v>
      </c>
      <c r="G503" s="1" t="n">
        <v>33</v>
      </c>
      <c r="H503" s="1" t="n">
        <v>50</v>
      </c>
      <c r="I503" s="1" t="str">
        <f aca="false">RIGHT(("0"&amp;C503),2)&amp;RIGHT(("0"&amp;D503),2)&amp;RIGHT(("0"&amp;E503),2)&amp;RIGHT(("0"&amp;F503),2)&amp;RIGHT(("0"&amp;G503),2)&amp;RIGHT(("0"&amp;H503),2)</f>
        <v>071321243350</v>
      </c>
      <c r="J503" s="1" t="n">
        <f aca="false">COUNTIF(I:I,I503)</f>
        <v>1</v>
      </c>
      <c r="K503" s="1" t="n">
        <v>2</v>
      </c>
      <c r="L503" s="1" t="s">
        <v>2382</v>
      </c>
      <c r="M503" s="1" t="s">
        <v>2383</v>
      </c>
      <c r="N503" s="1" t="n">
        <v>268</v>
      </c>
      <c r="O503" s="1" t="s">
        <v>2384</v>
      </c>
      <c r="P503" s="1" t="n">
        <v>9549</v>
      </c>
      <c r="Q503" s="1" t="s">
        <v>2385</v>
      </c>
      <c r="R503" s="1" t="s">
        <v>23</v>
      </c>
      <c r="S503" s="1" t="s">
        <v>23</v>
      </c>
      <c r="T503" s="1" t="s">
        <v>23</v>
      </c>
      <c r="U503" s="1" t="s">
        <v>23</v>
      </c>
      <c r="V503" s="1" t="s">
        <v>2205</v>
      </c>
    </row>
    <row r="504" customFormat="false" ht="13.8" hidden="false" customHeight="false" outlineLevel="0" collapsed="false">
      <c r="A504" s="1" t="n">
        <v>503</v>
      </c>
      <c r="B504" s="2" t="s">
        <v>2386</v>
      </c>
      <c r="C504" s="1" t="n">
        <v>7</v>
      </c>
      <c r="D504" s="1" t="n">
        <v>10</v>
      </c>
      <c r="E504" s="1" t="n">
        <v>21</v>
      </c>
      <c r="F504" s="1" t="n">
        <v>27</v>
      </c>
      <c r="G504" s="1" t="n">
        <v>48</v>
      </c>
      <c r="H504" s="1" t="n">
        <v>49</v>
      </c>
      <c r="I504" s="1" t="str">
        <f aca="false">RIGHT(("0"&amp;C504),2)&amp;RIGHT(("0"&amp;D504),2)&amp;RIGHT(("0"&amp;E504),2)&amp;RIGHT(("0"&amp;F504),2)&amp;RIGHT(("0"&amp;G504),2)&amp;RIGHT(("0"&amp;H504),2)</f>
        <v>071021274849</v>
      </c>
      <c r="J504" s="1" t="n">
        <f aca="false">COUNTIF(I:I,I504)</f>
        <v>1</v>
      </c>
      <c r="K504" s="1" t="n">
        <v>0</v>
      </c>
      <c r="M504" s="1" t="s">
        <v>23</v>
      </c>
      <c r="N504" s="1" t="n">
        <v>40</v>
      </c>
      <c r="O504" s="1" t="s">
        <v>2387</v>
      </c>
      <c r="P504" s="1" t="n">
        <v>2934</v>
      </c>
      <c r="Q504" s="1" t="s">
        <v>2388</v>
      </c>
      <c r="R504" s="1" t="s">
        <v>2389</v>
      </c>
      <c r="S504" s="1" t="s">
        <v>23</v>
      </c>
      <c r="T504" s="1" t="s">
        <v>23</v>
      </c>
      <c r="U504" s="1" t="s">
        <v>23</v>
      </c>
      <c r="V504" s="1" t="s">
        <v>2390</v>
      </c>
    </row>
    <row r="505" customFormat="false" ht="13.8" hidden="false" customHeight="false" outlineLevel="0" collapsed="false">
      <c r="A505" s="1" t="n">
        <v>504</v>
      </c>
      <c r="B505" s="2" t="s">
        <v>2391</v>
      </c>
      <c r="C505" s="1" t="n">
        <v>8</v>
      </c>
      <c r="D505" s="1" t="n">
        <v>11</v>
      </c>
      <c r="E505" s="1" t="n">
        <v>19</v>
      </c>
      <c r="F505" s="1" t="n">
        <v>30</v>
      </c>
      <c r="G505" s="1" t="n">
        <v>39</v>
      </c>
      <c r="H505" s="1" t="n">
        <v>50</v>
      </c>
      <c r="I505" s="1" t="str">
        <f aca="false">RIGHT(("0"&amp;C505),2)&amp;RIGHT(("0"&amp;D505),2)&amp;RIGHT(("0"&amp;E505),2)&amp;RIGHT(("0"&amp;F505),2)&amp;RIGHT(("0"&amp;G505),2)&amp;RIGHT(("0"&amp;H505),2)</f>
        <v>081119303950</v>
      </c>
      <c r="J505" s="1" t="n">
        <f aca="false">COUNTIF(I:I,I505)</f>
        <v>1</v>
      </c>
      <c r="K505" s="1" t="n">
        <v>0</v>
      </c>
      <c r="M505" s="1" t="s">
        <v>23</v>
      </c>
      <c r="N505" s="1" t="n">
        <v>54</v>
      </c>
      <c r="O505" s="1" t="s">
        <v>2392</v>
      </c>
      <c r="P505" s="1" t="n">
        <v>4006</v>
      </c>
      <c r="Q505" s="1" t="s">
        <v>2393</v>
      </c>
      <c r="R505" s="1" t="s">
        <v>2394</v>
      </c>
      <c r="S505" s="1" t="s">
        <v>23</v>
      </c>
      <c r="T505" s="1" t="s">
        <v>23</v>
      </c>
      <c r="U505" s="1" t="s">
        <v>23</v>
      </c>
      <c r="V505" s="1" t="s">
        <v>2395</v>
      </c>
    </row>
    <row r="506" customFormat="false" ht="13.8" hidden="false" customHeight="false" outlineLevel="0" collapsed="false">
      <c r="A506" s="1" t="n">
        <v>505</v>
      </c>
      <c r="B506" s="2" t="s">
        <v>2396</v>
      </c>
      <c r="C506" s="1" t="n">
        <v>3</v>
      </c>
      <c r="D506" s="1" t="n">
        <v>20</v>
      </c>
      <c r="E506" s="1" t="n">
        <v>28</v>
      </c>
      <c r="F506" s="1" t="n">
        <v>46</v>
      </c>
      <c r="G506" s="1" t="n">
        <v>47</v>
      </c>
      <c r="H506" s="1" t="n">
        <v>52</v>
      </c>
      <c r="I506" s="1" t="str">
        <f aca="false">RIGHT(("0"&amp;C506),2)&amp;RIGHT(("0"&amp;D506),2)&amp;RIGHT(("0"&amp;E506),2)&amp;RIGHT(("0"&amp;F506),2)&amp;RIGHT(("0"&amp;G506),2)&amp;RIGHT(("0"&amp;H506),2)</f>
        <v>032028464752</v>
      </c>
      <c r="J506" s="1" t="n">
        <f aca="false">COUNTIF(I:I,I506)</f>
        <v>1</v>
      </c>
      <c r="K506" s="1" t="n">
        <v>0</v>
      </c>
      <c r="M506" s="1" t="s">
        <v>23</v>
      </c>
      <c r="N506" s="1" t="n">
        <v>30</v>
      </c>
      <c r="O506" s="1" t="s">
        <v>2397</v>
      </c>
      <c r="P506" s="1" t="n">
        <v>2559</v>
      </c>
      <c r="Q506" s="1" t="s">
        <v>2398</v>
      </c>
      <c r="R506" s="1" t="s">
        <v>2399</v>
      </c>
      <c r="S506" s="1" t="s">
        <v>23</v>
      </c>
      <c r="T506" s="1" t="s">
        <v>23</v>
      </c>
      <c r="U506" s="1" t="s">
        <v>23</v>
      </c>
      <c r="V506" s="1" t="s">
        <v>2400</v>
      </c>
    </row>
    <row r="507" customFormat="false" ht="13.8" hidden="false" customHeight="false" outlineLevel="0" collapsed="false">
      <c r="A507" s="1" t="n">
        <v>506</v>
      </c>
      <c r="B507" s="2" t="s">
        <v>2401</v>
      </c>
      <c r="C507" s="1" t="n">
        <v>4</v>
      </c>
      <c r="D507" s="1" t="n">
        <v>15</v>
      </c>
      <c r="E507" s="1" t="n">
        <v>31</v>
      </c>
      <c r="F507" s="1" t="n">
        <v>34</v>
      </c>
      <c r="G507" s="1" t="n">
        <v>37</v>
      </c>
      <c r="H507" s="1" t="n">
        <v>38</v>
      </c>
      <c r="I507" s="1" t="str">
        <f aca="false">RIGHT(("0"&amp;C507),2)&amp;RIGHT(("0"&amp;D507),2)&amp;RIGHT(("0"&amp;E507),2)&amp;RIGHT(("0"&amp;F507),2)&amp;RIGHT(("0"&amp;G507),2)&amp;RIGHT(("0"&amp;H507),2)</f>
        <v>041531343738</v>
      </c>
      <c r="J507" s="1" t="n">
        <f aca="false">COUNTIF(I:I,I507)</f>
        <v>1</v>
      </c>
      <c r="K507" s="1" t="n">
        <v>0</v>
      </c>
      <c r="M507" s="1" t="s">
        <v>23</v>
      </c>
      <c r="N507" s="1" t="n">
        <v>65</v>
      </c>
      <c r="O507" s="1" t="s">
        <v>2402</v>
      </c>
      <c r="P507" s="1" t="n">
        <v>4735</v>
      </c>
      <c r="Q507" s="1" t="s">
        <v>2403</v>
      </c>
      <c r="R507" s="1" t="s">
        <v>2404</v>
      </c>
      <c r="S507" s="1" t="s">
        <v>23</v>
      </c>
      <c r="T507" s="1" t="s">
        <v>23</v>
      </c>
      <c r="U507" s="1" t="s">
        <v>23</v>
      </c>
      <c r="V507" s="1" t="s">
        <v>2405</v>
      </c>
    </row>
    <row r="508" customFormat="false" ht="13.8" hidden="false" customHeight="false" outlineLevel="0" collapsed="false">
      <c r="A508" s="1" t="n">
        <v>507</v>
      </c>
      <c r="B508" s="2" t="s">
        <v>2406</v>
      </c>
      <c r="C508" s="1" t="n">
        <v>3</v>
      </c>
      <c r="D508" s="1" t="n">
        <v>5</v>
      </c>
      <c r="E508" s="1" t="n">
        <v>27</v>
      </c>
      <c r="F508" s="1" t="n">
        <v>33</v>
      </c>
      <c r="G508" s="1" t="n">
        <v>44</v>
      </c>
      <c r="H508" s="1" t="n">
        <v>58</v>
      </c>
      <c r="I508" s="1" t="str">
        <f aca="false">RIGHT(("0"&amp;C508),2)&amp;RIGHT(("0"&amp;D508),2)&amp;RIGHT(("0"&amp;E508),2)&amp;RIGHT(("0"&amp;F508),2)&amp;RIGHT(("0"&amp;G508),2)&amp;RIGHT(("0"&amp;H508),2)</f>
        <v>030527334458</v>
      </c>
      <c r="J508" s="1" t="n">
        <f aca="false">COUNTIF(I:I,I508)</f>
        <v>1</v>
      </c>
      <c r="K508" s="1" t="n">
        <v>2</v>
      </c>
      <c r="L508" s="1" t="s">
        <v>2407</v>
      </c>
      <c r="M508" s="1" t="s">
        <v>2408</v>
      </c>
      <c r="N508" s="1" t="n">
        <v>212</v>
      </c>
      <c r="O508" s="1" t="s">
        <v>2409</v>
      </c>
      <c r="P508" s="1" t="n">
        <v>6604</v>
      </c>
      <c r="Q508" s="1" t="s">
        <v>2410</v>
      </c>
      <c r="R508" s="1" t="s">
        <v>23</v>
      </c>
      <c r="S508" s="1" t="s">
        <v>23</v>
      </c>
      <c r="T508" s="1" t="s">
        <v>23</v>
      </c>
      <c r="U508" s="1" t="s">
        <v>23</v>
      </c>
      <c r="V508" s="1" t="s">
        <v>2205</v>
      </c>
    </row>
    <row r="509" customFormat="false" ht="13.8" hidden="false" customHeight="false" outlineLevel="0" collapsed="false">
      <c r="A509" s="1" t="n">
        <v>508</v>
      </c>
      <c r="B509" s="2" t="s">
        <v>2411</v>
      </c>
      <c r="C509" s="1" t="n">
        <v>5</v>
      </c>
      <c r="D509" s="1" t="n">
        <v>10</v>
      </c>
      <c r="E509" s="1" t="n">
        <v>15</v>
      </c>
      <c r="F509" s="1" t="n">
        <v>45</v>
      </c>
      <c r="G509" s="1" t="n">
        <v>46</v>
      </c>
      <c r="H509" s="1" t="n">
        <v>56</v>
      </c>
      <c r="I509" s="1" t="str">
        <f aca="false">RIGHT(("0"&amp;C509),2)&amp;RIGHT(("0"&amp;D509),2)&amp;RIGHT(("0"&amp;E509),2)&amp;RIGHT(("0"&amp;F509),2)&amp;RIGHT(("0"&amp;G509),2)&amp;RIGHT(("0"&amp;H509),2)</f>
        <v>051015454656</v>
      </c>
      <c r="J509" s="1" t="n">
        <f aca="false">COUNTIF(I:I,I509)</f>
        <v>1</v>
      </c>
      <c r="K509" s="1" t="n">
        <v>0</v>
      </c>
      <c r="M509" s="1" t="s">
        <v>23</v>
      </c>
      <c r="N509" s="1" t="n">
        <v>33</v>
      </c>
      <c r="O509" s="1" t="s">
        <v>2412</v>
      </c>
      <c r="P509" s="1" t="n">
        <v>3025</v>
      </c>
      <c r="Q509" s="1" t="s">
        <v>2413</v>
      </c>
      <c r="R509" s="1" t="s">
        <v>2414</v>
      </c>
      <c r="S509" s="1" t="s">
        <v>23</v>
      </c>
      <c r="T509" s="1" t="s">
        <v>23</v>
      </c>
      <c r="U509" s="1" t="s">
        <v>23</v>
      </c>
      <c r="V509" s="1" t="s">
        <v>2122</v>
      </c>
    </row>
    <row r="510" customFormat="false" ht="13.8" hidden="false" customHeight="false" outlineLevel="0" collapsed="false">
      <c r="A510" s="1" t="n">
        <v>509</v>
      </c>
      <c r="B510" s="2" t="s">
        <v>2415</v>
      </c>
      <c r="C510" s="1" t="n">
        <v>28</v>
      </c>
      <c r="D510" s="1" t="n">
        <v>32</v>
      </c>
      <c r="E510" s="1" t="n">
        <v>33</v>
      </c>
      <c r="F510" s="1" t="n">
        <v>34</v>
      </c>
      <c r="G510" s="1" t="n">
        <v>35</v>
      </c>
      <c r="H510" s="1" t="n">
        <v>55</v>
      </c>
      <c r="I510" s="1" t="str">
        <f aca="false">RIGHT(("0"&amp;C510),2)&amp;RIGHT(("0"&amp;D510),2)&amp;RIGHT(("0"&amp;E510),2)&amp;RIGHT(("0"&amp;F510),2)&amp;RIGHT(("0"&amp;G510),2)&amp;RIGHT(("0"&amp;H510),2)</f>
        <v>283233343555</v>
      </c>
      <c r="J510" s="1" t="n">
        <f aca="false">COUNTIF(I:I,I510)</f>
        <v>1</v>
      </c>
      <c r="K510" s="1" t="n">
        <v>0</v>
      </c>
      <c r="M510" s="1" t="s">
        <v>23</v>
      </c>
      <c r="N510" s="1" t="n">
        <v>39</v>
      </c>
      <c r="O510" s="1" t="s">
        <v>2416</v>
      </c>
      <c r="P510" s="1" t="n">
        <v>2852</v>
      </c>
      <c r="Q510" s="1" t="s">
        <v>2417</v>
      </c>
      <c r="R510" s="1" t="s">
        <v>2418</v>
      </c>
      <c r="S510" s="1" t="s">
        <v>23</v>
      </c>
      <c r="T510" s="1" t="s">
        <v>23</v>
      </c>
      <c r="U510" s="1" t="s">
        <v>23</v>
      </c>
      <c r="V510" s="1" t="s">
        <v>2419</v>
      </c>
    </row>
    <row r="511" customFormat="false" ht="13.8" hidden="false" customHeight="false" outlineLevel="0" collapsed="false">
      <c r="A511" s="1" t="n">
        <v>510</v>
      </c>
      <c r="B511" s="2" t="s">
        <v>2420</v>
      </c>
      <c r="C511" s="1" t="n">
        <v>1</v>
      </c>
      <c r="D511" s="1" t="n">
        <v>4</v>
      </c>
      <c r="E511" s="1" t="n">
        <v>30</v>
      </c>
      <c r="F511" s="1" t="n">
        <v>41</v>
      </c>
      <c r="G511" s="1" t="n">
        <v>45</v>
      </c>
      <c r="H511" s="1" t="n">
        <v>58</v>
      </c>
      <c r="I511" s="1" t="str">
        <f aca="false">RIGHT(("0"&amp;C511),2)&amp;RIGHT(("0"&amp;D511),2)&amp;RIGHT(("0"&amp;E511),2)&amp;RIGHT(("0"&amp;F511),2)&amp;RIGHT(("0"&amp;G511),2)&amp;RIGHT(("0"&amp;H511),2)</f>
        <v>010430414558</v>
      </c>
      <c r="J511" s="1" t="n">
        <f aca="false">COUNTIF(I:I,I511)</f>
        <v>1</v>
      </c>
      <c r="K511" s="1" t="n">
        <v>2</v>
      </c>
      <c r="L511" s="1" t="s">
        <v>2421</v>
      </c>
      <c r="M511" s="1" t="s">
        <v>2422</v>
      </c>
      <c r="N511" s="1" t="n">
        <v>70</v>
      </c>
      <c r="O511" s="1" t="s">
        <v>2423</v>
      </c>
      <c r="P511" s="1" t="n">
        <v>4392</v>
      </c>
      <c r="Q511" s="1" t="s">
        <v>2424</v>
      </c>
      <c r="R511" s="1" t="s">
        <v>23</v>
      </c>
      <c r="S511" s="1" t="s">
        <v>23</v>
      </c>
      <c r="T511" s="1" t="s">
        <v>23</v>
      </c>
      <c r="U511" s="1" t="s">
        <v>23</v>
      </c>
      <c r="V511" s="1" t="s">
        <v>2205</v>
      </c>
    </row>
    <row r="512" customFormat="false" ht="13.8" hidden="false" customHeight="false" outlineLevel="0" collapsed="false">
      <c r="A512" s="1" t="n">
        <v>511</v>
      </c>
      <c r="B512" s="2" t="s">
        <v>2425</v>
      </c>
      <c r="C512" s="1" t="n">
        <v>3</v>
      </c>
      <c r="D512" s="1" t="n">
        <v>4</v>
      </c>
      <c r="E512" s="1" t="n">
        <v>8</v>
      </c>
      <c r="F512" s="1" t="n">
        <v>34</v>
      </c>
      <c r="G512" s="1" t="n">
        <v>36</v>
      </c>
      <c r="H512" s="1" t="n">
        <v>37</v>
      </c>
      <c r="I512" s="1" t="str">
        <f aca="false">RIGHT(("0"&amp;C512),2)&amp;RIGHT(("0"&amp;D512),2)&amp;RIGHT(("0"&amp;E512),2)&amp;RIGHT(("0"&amp;F512),2)&amp;RIGHT(("0"&amp;G512),2)&amp;RIGHT(("0"&amp;H512),2)</f>
        <v>030408343637</v>
      </c>
      <c r="J512" s="1" t="n">
        <f aca="false">COUNTIF(I:I,I512)</f>
        <v>1</v>
      </c>
      <c r="K512" s="1" t="n">
        <v>0</v>
      </c>
      <c r="M512" s="1" t="s">
        <v>23</v>
      </c>
      <c r="N512" s="1" t="n">
        <v>50</v>
      </c>
      <c r="O512" s="1" t="s">
        <v>2426</v>
      </c>
      <c r="P512" s="1" t="n">
        <v>3155</v>
      </c>
      <c r="Q512" s="1" t="s">
        <v>2427</v>
      </c>
      <c r="R512" s="1" t="s">
        <v>2428</v>
      </c>
      <c r="S512" s="1" t="s">
        <v>23</v>
      </c>
      <c r="T512" s="1" t="s">
        <v>23</v>
      </c>
      <c r="U512" s="1" t="s">
        <v>23</v>
      </c>
      <c r="V512" s="1" t="s">
        <v>2429</v>
      </c>
    </row>
    <row r="513" customFormat="false" ht="13.8" hidden="false" customHeight="false" outlineLevel="0" collapsed="false">
      <c r="A513" s="1" t="n">
        <v>512</v>
      </c>
      <c r="B513" s="2" t="s">
        <v>2430</v>
      </c>
      <c r="C513" s="1" t="n">
        <v>4</v>
      </c>
      <c r="D513" s="1" t="n">
        <v>8</v>
      </c>
      <c r="E513" s="1" t="n">
        <v>31</v>
      </c>
      <c r="F513" s="1" t="n">
        <v>40</v>
      </c>
      <c r="G513" s="1" t="n">
        <v>53</v>
      </c>
      <c r="H513" s="1" t="n">
        <v>58</v>
      </c>
      <c r="I513" s="1" t="str">
        <f aca="false">RIGHT(("0"&amp;C513),2)&amp;RIGHT(("0"&amp;D513),2)&amp;RIGHT(("0"&amp;E513),2)&amp;RIGHT(("0"&amp;F513),2)&amp;RIGHT(("0"&amp;G513),2)&amp;RIGHT(("0"&amp;H513),2)</f>
        <v>040831405358</v>
      </c>
      <c r="J513" s="1" t="n">
        <f aca="false">COUNTIF(I:I,I513)</f>
        <v>1</v>
      </c>
      <c r="K513" s="1" t="n">
        <v>3</v>
      </c>
      <c r="L513" s="1" t="s">
        <v>2431</v>
      </c>
      <c r="M513" s="1" t="s">
        <v>2432</v>
      </c>
      <c r="N513" s="1" t="n">
        <v>41</v>
      </c>
      <c r="O513" s="1" t="s">
        <v>2433</v>
      </c>
      <c r="P513" s="1" t="n">
        <v>2277</v>
      </c>
      <c r="Q513" s="1" t="s">
        <v>2434</v>
      </c>
      <c r="R513" s="1" t="s">
        <v>23</v>
      </c>
      <c r="S513" s="1" t="s">
        <v>23</v>
      </c>
      <c r="T513" s="1" t="s">
        <v>23</v>
      </c>
      <c r="U513" s="1" t="s">
        <v>23</v>
      </c>
      <c r="V513" s="1" t="s">
        <v>2205</v>
      </c>
    </row>
    <row r="514" customFormat="false" ht="13.8" hidden="false" customHeight="false" outlineLevel="0" collapsed="false">
      <c r="A514" s="1" t="n">
        <v>513</v>
      </c>
      <c r="B514" s="2" t="s">
        <v>2435</v>
      </c>
      <c r="C514" s="1" t="n">
        <v>10</v>
      </c>
      <c r="D514" s="1" t="n">
        <v>19</v>
      </c>
      <c r="E514" s="1" t="n">
        <v>27</v>
      </c>
      <c r="F514" s="1" t="n">
        <v>33</v>
      </c>
      <c r="G514" s="1" t="n">
        <v>39</v>
      </c>
      <c r="H514" s="1" t="n">
        <v>46</v>
      </c>
      <c r="I514" s="1" t="str">
        <f aca="false">RIGHT(("0"&amp;C514),2)&amp;RIGHT(("0"&amp;D514),2)&amp;RIGHT(("0"&amp;E514),2)&amp;RIGHT(("0"&amp;F514),2)&amp;RIGHT(("0"&amp;G514),2)&amp;RIGHT(("0"&amp;H514),2)</f>
        <v>101927333946</v>
      </c>
      <c r="J514" s="1" t="n">
        <f aca="false">COUNTIF(I:I,I514)</f>
        <v>1</v>
      </c>
      <c r="K514" s="1" t="n">
        <v>0</v>
      </c>
      <c r="M514" s="1" t="s">
        <v>23</v>
      </c>
      <c r="N514" s="1" t="n">
        <v>46</v>
      </c>
      <c r="O514" s="1" t="s">
        <v>2436</v>
      </c>
      <c r="P514" s="1" t="n">
        <v>2427</v>
      </c>
      <c r="Q514" s="1" t="s">
        <v>2437</v>
      </c>
      <c r="R514" s="1" t="s">
        <v>2438</v>
      </c>
      <c r="S514" s="1" t="s">
        <v>23</v>
      </c>
      <c r="T514" s="1" t="s">
        <v>23</v>
      </c>
      <c r="U514" s="1" t="s">
        <v>23</v>
      </c>
      <c r="V514" s="1" t="s">
        <v>2439</v>
      </c>
    </row>
    <row r="515" customFormat="false" ht="13.8" hidden="false" customHeight="false" outlineLevel="0" collapsed="false">
      <c r="A515" s="1" t="n">
        <v>514</v>
      </c>
      <c r="B515" s="2" t="s">
        <v>2440</v>
      </c>
      <c r="C515" s="1" t="n">
        <v>15</v>
      </c>
      <c r="D515" s="1" t="n">
        <v>36</v>
      </c>
      <c r="E515" s="1" t="n">
        <v>40</v>
      </c>
      <c r="F515" s="1" t="n">
        <v>42</v>
      </c>
      <c r="G515" s="1" t="n">
        <v>51</v>
      </c>
      <c r="H515" s="1" t="n">
        <v>52</v>
      </c>
      <c r="I515" s="1" t="str">
        <f aca="false">RIGHT(("0"&amp;C515),2)&amp;RIGHT(("0"&amp;D515),2)&amp;RIGHT(("0"&amp;E515),2)&amp;RIGHT(("0"&amp;F515),2)&amp;RIGHT(("0"&amp;G515),2)&amp;RIGHT(("0"&amp;H515),2)</f>
        <v>153640425152</v>
      </c>
      <c r="J515" s="1" t="n">
        <f aca="false">COUNTIF(I:I,I515)</f>
        <v>1</v>
      </c>
      <c r="K515" s="1" t="n">
        <v>0</v>
      </c>
      <c r="M515" s="1" t="s">
        <v>23</v>
      </c>
      <c r="N515" s="1" t="n">
        <v>20</v>
      </c>
      <c r="O515" s="1" t="s">
        <v>2441</v>
      </c>
      <c r="P515" s="1" t="n">
        <v>1209</v>
      </c>
      <c r="Q515" s="1" t="s">
        <v>2442</v>
      </c>
      <c r="R515" s="1" t="s">
        <v>2443</v>
      </c>
      <c r="S515" s="1" t="s">
        <v>23</v>
      </c>
      <c r="T515" s="1" t="s">
        <v>23</v>
      </c>
      <c r="U515" s="1" t="s">
        <v>23</v>
      </c>
      <c r="V515" s="1" t="s">
        <v>2444</v>
      </c>
    </row>
    <row r="516" customFormat="false" ht="13.8" hidden="false" customHeight="false" outlineLevel="0" collapsed="false">
      <c r="A516" s="1" t="n">
        <v>515</v>
      </c>
      <c r="B516" s="2" t="s">
        <v>2445</v>
      </c>
      <c r="C516" s="1" t="n">
        <v>15</v>
      </c>
      <c r="D516" s="1" t="n">
        <v>16</v>
      </c>
      <c r="E516" s="1" t="n">
        <v>39</v>
      </c>
      <c r="F516" s="1" t="n">
        <v>45</v>
      </c>
      <c r="G516" s="1" t="n">
        <v>48</v>
      </c>
      <c r="H516" s="1" t="n">
        <v>57</v>
      </c>
      <c r="I516" s="1" t="str">
        <f aca="false">RIGHT(("0"&amp;C516),2)&amp;RIGHT(("0"&amp;D516),2)&amp;RIGHT(("0"&amp;E516),2)&amp;RIGHT(("0"&amp;F516),2)&amp;RIGHT(("0"&amp;G516),2)&amp;RIGHT(("0"&amp;H516),2)</f>
        <v>151639454857</v>
      </c>
      <c r="J516" s="1" t="n">
        <f aca="false">COUNTIF(I:I,I516)</f>
        <v>1</v>
      </c>
      <c r="K516" s="1" t="n">
        <v>0</v>
      </c>
      <c r="M516" s="1" t="s">
        <v>23</v>
      </c>
      <c r="N516" s="1" t="n">
        <v>33</v>
      </c>
      <c r="O516" s="1" t="s">
        <v>2446</v>
      </c>
      <c r="P516" s="1" t="n">
        <v>2636</v>
      </c>
      <c r="Q516" s="1" t="s">
        <v>2447</v>
      </c>
      <c r="R516" s="1" t="s">
        <v>2448</v>
      </c>
      <c r="S516" s="1" t="s">
        <v>23</v>
      </c>
      <c r="T516" s="1" t="s">
        <v>23</v>
      </c>
      <c r="U516" s="1" t="s">
        <v>23</v>
      </c>
      <c r="V516" s="1" t="s">
        <v>2449</v>
      </c>
    </row>
    <row r="517" customFormat="false" ht="13.8" hidden="false" customHeight="false" outlineLevel="0" collapsed="false">
      <c r="A517" s="1" t="n">
        <v>516</v>
      </c>
      <c r="B517" s="2" t="s">
        <v>2450</v>
      </c>
      <c r="C517" s="1" t="n">
        <v>5</v>
      </c>
      <c r="D517" s="1" t="n">
        <v>13</v>
      </c>
      <c r="E517" s="1" t="n">
        <v>24</v>
      </c>
      <c r="F517" s="1" t="n">
        <v>33</v>
      </c>
      <c r="G517" s="1" t="n">
        <v>34</v>
      </c>
      <c r="H517" s="1" t="n">
        <v>35</v>
      </c>
      <c r="I517" s="1" t="str">
        <f aca="false">RIGHT(("0"&amp;C517),2)&amp;RIGHT(("0"&amp;D517),2)&amp;RIGHT(("0"&amp;E517),2)&amp;RIGHT(("0"&amp;F517),2)&amp;RIGHT(("0"&amp;G517),2)&amp;RIGHT(("0"&amp;H517),2)</f>
        <v>051324333435</v>
      </c>
      <c r="J517" s="1" t="n">
        <f aca="false">COUNTIF(I:I,I517)</f>
        <v>1</v>
      </c>
      <c r="K517" s="1" t="n">
        <v>0</v>
      </c>
      <c r="M517" s="1" t="s">
        <v>23</v>
      </c>
      <c r="N517" s="1" t="n">
        <v>164</v>
      </c>
      <c r="O517" s="1" t="s">
        <v>2451</v>
      </c>
      <c r="P517" s="1" t="n">
        <v>7718</v>
      </c>
      <c r="Q517" s="1" t="s">
        <v>2452</v>
      </c>
      <c r="R517" s="1" t="s">
        <v>2453</v>
      </c>
      <c r="S517" s="1" t="s">
        <v>23</v>
      </c>
      <c r="T517" s="1" t="s">
        <v>23</v>
      </c>
      <c r="U517" s="1" t="s">
        <v>23</v>
      </c>
      <c r="V517" s="1" t="s">
        <v>2454</v>
      </c>
    </row>
    <row r="518" customFormat="false" ht="13.8" hidden="false" customHeight="false" outlineLevel="0" collapsed="false">
      <c r="A518" s="1" t="n">
        <v>517</v>
      </c>
      <c r="B518" s="2" t="s">
        <v>2455</v>
      </c>
      <c r="C518" s="1" t="n">
        <v>7</v>
      </c>
      <c r="D518" s="1" t="n">
        <v>8</v>
      </c>
      <c r="E518" s="1" t="n">
        <v>28</v>
      </c>
      <c r="F518" s="1" t="n">
        <v>32</v>
      </c>
      <c r="G518" s="1" t="n">
        <v>38</v>
      </c>
      <c r="H518" s="1" t="n">
        <v>51</v>
      </c>
      <c r="I518" s="1" t="str">
        <f aca="false">RIGHT(("0"&amp;C518),2)&amp;RIGHT(("0"&amp;D518),2)&amp;RIGHT(("0"&amp;E518),2)&amp;RIGHT(("0"&amp;F518),2)&amp;RIGHT(("0"&amp;G518),2)&amp;RIGHT(("0"&amp;H518),2)</f>
        <v>070828323851</v>
      </c>
      <c r="J518" s="1" t="n">
        <f aca="false">COUNTIF(I:I,I518)</f>
        <v>1</v>
      </c>
      <c r="K518" s="1" t="n">
        <v>0</v>
      </c>
      <c r="M518" s="1" t="s">
        <v>23</v>
      </c>
      <c r="N518" s="1" t="n">
        <v>36</v>
      </c>
      <c r="O518" s="1" t="s">
        <v>2456</v>
      </c>
      <c r="P518" s="1" t="n">
        <v>3262</v>
      </c>
      <c r="Q518" s="1" t="s">
        <v>2457</v>
      </c>
      <c r="R518" s="1" t="s">
        <v>2458</v>
      </c>
      <c r="S518" s="1" t="s">
        <v>23</v>
      </c>
      <c r="T518" s="1" t="s">
        <v>23</v>
      </c>
      <c r="U518" s="1" t="s">
        <v>23</v>
      </c>
      <c r="V518" s="1" t="s">
        <v>2459</v>
      </c>
    </row>
    <row r="519" customFormat="false" ht="13.8" hidden="false" customHeight="false" outlineLevel="0" collapsed="false">
      <c r="A519" s="1" t="n">
        <v>518</v>
      </c>
      <c r="B519" s="2" t="s">
        <v>2460</v>
      </c>
      <c r="C519" s="1" t="n">
        <v>5</v>
      </c>
      <c r="D519" s="1" t="n">
        <v>8</v>
      </c>
      <c r="E519" s="1" t="n">
        <v>10</v>
      </c>
      <c r="F519" s="1" t="n">
        <v>15</v>
      </c>
      <c r="G519" s="1" t="n">
        <v>18</v>
      </c>
      <c r="H519" s="1" t="n">
        <v>44</v>
      </c>
      <c r="I519" s="1" t="str">
        <f aca="false">RIGHT(("0"&amp;C519),2)&amp;RIGHT(("0"&amp;D519),2)&amp;RIGHT(("0"&amp;E519),2)&amp;RIGHT(("0"&amp;F519),2)&amp;RIGHT(("0"&amp;G519),2)&amp;RIGHT(("0"&amp;H519),2)</f>
        <v>050810151844</v>
      </c>
      <c r="J519" s="1" t="n">
        <f aca="false">COUNTIF(I:I,I519)</f>
        <v>1</v>
      </c>
      <c r="K519" s="1" t="n">
        <v>0</v>
      </c>
      <c r="M519" s="1" t="s">
        <v>23</v>
      </c>
      <c r="N519" s="1" t="n">
        <v>182</v>
      </c>
      <c r="O519" s="1" t="s">
        <v>2461</v>
      </c>
      <c r="P519" s="1" t="n">
        <v>8653</v>
      </c>
      <c r="Q519" s="1" t="s">
        <v>2462</v>
      </c>
      <c r="R519" s="1" t="s">
        <v>2463</v>
      </c>
      <c r="S519" s="1" t="s">
        <v>23</v>
      </c>
      <c r="T519" s="1" t="s">
        <v>23</v>
      </c>
      <c r="U519" s="1" t="s">
        <v>23</v>
      </c>
      <c r="V519" s="1" t="s">
        <v>2464</v>
      </c>
    </row>
    <row r="520" customFormat="false" ht="13.8" hidden="false" customHeight="false" outlineLevel="0" collapsed="false">
      <c r="A520" s="1" t="n">
        <v>519</v>
      </c>
      <c r="B520" s="2" t="s">
        <v>2465</v>
      </c>
      <c r="C520" s="1" t="n">
        <v>9</v>
      </c>
      <c r="D520" s="1" t="n">
        <v>15</v>
      </c>
      <c r="E520" s="1" t="n">
        <v>19</v>
      </c>
      <c r="F520" s="1" t="n">
        <v>22</v>
      </c>
      <c r="G520" s="1" t="n">
        <v>36</v>
      </c>
      <c r="H520" s="1" t="n">
        <v>42</v>
      </c>
      <c r="I520" s="1" t="str">
        <f aca="false">RIGHT(("0"&amp;C520),2)&amp;RIGHT(("0"&amp;D520),2)&amp;RIGHT(("0"&amp;E520),2)&amp;RIGHT(("0"&amp;F520),2)&amp;RIGHT(("0"&amp;G520),2)&amp;RIGHT(("0"&amp;H520),2)</f>
        <v>091519223642</v>
      </c>
      <c r="J520" s="1" t="n">
        <f aca="false">COUNTIF(I:I,I520)</f>
        <v>1</v>
      </c>
      <c r="K520" s="1" t="n">
        <v>0</v>
      </c>
      <c r="M520" s="1" t="s">
        <v>23</v>
      </c>
      <c r="N520" s="1" t="n">
        <v>111</v>
      </c>
      <c r="O520" s="1" t="s">
        <v>2466</v>
      </c>
      <c r="P520" s="1" t="n">
        <v>7018</v>
      </c>
      <c r="Q520" s="1" t="s">
        <v>2467</v>
      </c>
      <c r="R520" s="1" t="s">
        <v>2468</v>
      </c>
      <c r="S520" s="1" t="s">
        <v>23</v>
      </c>
      <c r="T520" s="1" t="s">
        <v>23</v>
      </c>
      <c r="U520" s="1" t="s">
        <v>23</v>
      </c>
      <c r="V520" s="1" t="s">
        <v>2469</v>
      </c>
    </row>
    <row r="521" customFormat="false" ht="13.8" hidden="false" customHeight="false" outlineLevel="0" collapsed="false">
      <c r="A521" s="1" t="n">
        <v>520</v>
      </c>
      <c r="B521" s="2" t="s">
        <v>2470</v>
      </c>
      <c r="C521" s="1" t="n">
        <v>9</v>
      </c>
      <c r="D521" s="1" t="n">
        <v>12</v>
      </c>
      <c r="E521" s="1" t="n">
        <v>17</v>
      </c>
      <c r="F521" s="1" t="n">
        <v>32</v>
      </c>
      <c r="G521" s="1" t="n">
        <v>34</v>
      </c>
      <c r="H521" s="1" t="n">
        <v>35</v>
      </c>
      <c r="I521" s="1" t="str">
        <f aca="false">RIGHT(("0"&amp;C521),2)&amp;RIGHT(("0"&amp;D521),2)&amp;RIGHT(("0"&amp;E521),2)&amp;RIGHT(("0"&amp;F521),2)&amp;RIGHT(("0"&amp;G521),2)&amp;RIGHT(("0"&amp;H521),2)</f>
        <v>091217323435</v>
      </c>
      <c r="J521" s="1" t="n">
        <f aca="false">COUNTIF(I:I,I521)</f>
        <v>1</v>
      </c>
      <c r="K521" s="1" t="n">
        <v>0</v>
      </c>
      <c r="M521" s="1" t="s">
        <v>23</v>
      </c>
      <c r="N521" s="1" t="n">
        <v>166</v>
      </c>
      <c r="O521" s="1" t="s">
        <v>2471</v>
      </c>
      <c r="P521" s="1" t="n">
        <v>10884</v>
      </c>
      <c r="Q521" s="1" t="s">
        <v>2472</v>
      </c>
      <c r="R521" s="1" t="s">
        <v>2473</v>
      </c>
      <c r="S521" s="1" t="s">
        <v>23</v>
      </c>
      <c r="T521" s="1" t="s">
        <v>23</v>
      </c>
      <c r="U521" s="1" t="s">
        <v>23</v>
      </c>
      <c r="V521" s="1" t="s">
        <v>2474</v>
      </c>
    </row>
    <row r="522" customFormat="false" ht="13.8" hidden="false" customHeight="false" outlineLevel="0" collapsed="false">
      <c r="A522" s="1" t="n">
        <v>521</v>
      </c>
      <c r="B522" s="2" t="s">
        <v>2475</v>
      </c>
      <c r="C522" s="1" t="n">
        <v>15</v>
      </c>
      <c r="D522" s="1" t="n">
        <v>25</v>
      </c>
      <c r="E522" s="1" t="n">
        <v>28</v>
      </c>
      <c r="F522" s="1" t="n">
        <v>32</v>
      </c>
      <c r="G522" s="1" t="n">
        <v>38</v>
      </c>
      <c r="H522" s="1" t="n">
        <v>45</v>
      </c>
      <c r="I522" s="1" t="str">
        <f aca="false">RIGHT(("0"&amp;C522),2)&amp;RIGHT(("0"&amp;D522),2)&amp;RIGHT(("0"&amp;E522),2)&amp;RIGHT(("0"&amp;F522),2)&amp;RIGHT(("0"&amp;G522),2)&amp;RIGHT(("0"&amp;H522),2)</f>
        <v>152528323845</v>
      </c>
      <c r="J522" s="1" t="n">
        <f aca="false">COUNTIF(I:I,I522)</f>
        <v>1</v>
      </c>
      <c r="K522" s="1" t="n">
        <v>0</v>
      </c>
      <c r="M522" s="1" t="s">
        <v>23</v>
      </c>
      <c r="N522" s="1" t="n">
        <v>166</v>
      </c>
      <c r="O522" s="1" t="s">
        <v>2476</v>
      </c>
      <c r="P522" s="1" t="n">
        <v>10610</v>
      </c>
      <c r="Q522" s="1" t="s">
        <v>2477</v>
      </c>
      <c r="R522" s="1" t="s">
        <v>2478</v>
      </c>
      <c r="S522" s="1" t="s">
        <v>23</v>
      </c>
      <c r="T522" s="1" t="s">
        <v>23</v>
      </c>
      <c r="U522" s="1" t="s">
        <v>23</v>
      </c>
      <c r="V522" s="1" t="s">
        <v>2479</v>
      </c>
    </row>
    <row r="523" customFormat="false" ht="13.8" hidden="false" customHeight="false" outlineLevel="0" collapsed="false">
      <c r="A523" s="1" t="n">
        <v>522</v>
      </c>
      <c r="B523" s="2" t="s">
        <v>2480</v>
      </c>
      <c r="C523" s="1" t="n">
        <v>6</v>
      </c>
      <c r="D523" s="1" t="n">
        <v>14</v>
      </c>
      <c r="E523" s="1" t="n">
        <v>15</v>
      </c>
      <c r="F523" s="1" t="n">
        <v>25</v>
      </c>
      <c r="G523" s="1" t="n">
        <v>49</v>
      </c>
      <c r="H523" s="1" t="n">
        <v>52</v>
      </c>
      <c r="I523" s="1" t="str">
        <f aca="false">RIGHT(("0"&amp;C523),2)&amp;RIGHT(("0"&amp;D523),2)&amp;RIGHT(("0"&amp;E523),2)&amp;RIGHT(("0"&amp;F523),2)&amp;RIGHT(("0"&amp;G523),2)&amp;RIGHT(("0"&amp;H523),2)</f>
        <v>061415254952</v>
      </c>
      <c r="J523" s="1" t="n">
        <f aca="false">COUNTIF(I:I,I523)</f>
        <v>1</v>
      </c>
      <c r="K523" s="1" t="n">
        <v>0</v>
      </c>
      <c r="M523" s="1" t="s">
        <v>23</v>
      </c>
      <c r="N523" s="1" t="n">
        <v>118</v>
      </c>
      <c r="O523" s="1" t="s">
        <v>2481</v>
      </c>
      <c r="P523" s="1" t="n">
        <v>8280</v>
      </c>
      <c r="Q523" s="1" t="s">
        <v>2482</v>
      </c>
      <c r="R523" s="1" t="s">
        <v>2483</v>
      </c>
      <c r="S523" s="1" t="s">
        <v>23</v>
      </c>
      <c r="T523" s="1" t="s">
        <v>23</v>
      </c>
      <c r="U523" s="1" t="s">
        <v>23</v>
      </c>
      <c r="V523" s="1" t="s">
        <v>2484</v>
      </c>
    </row>
    <row r="524" customFormat="false" ht="13.8" hidden="false" customHeight="false" outlineLevel="0" collapsed="false">
      <c r="A524" s="1" t="n">
        <v>523</v>
      </c>
      <c r="B524" s="2" t="s">
        <v>2485</v>
      </c>
      <c r="C524" s="1" t="n">
        <v>28</v>
      </c>
      <c r="D524" s="1" t="n">
        <v>39</v>
      </c>
      <c r="E524" s="1" t="n">
        <v>40</v>
      </c>
      <c r="F524" s="1" t="n">
        <v>44</v>
      </c>
      <c r="G524" s="1" t="n">
        <v>45</v>
      </c>
      <c r="H524" s="1" t="n">
        <v>58</v>
      </c>
      <c r="I524" s="1" t="str">
        <f aca="false">RIGHT(("0"&amp;C524),2)&amp;RIGHT(("0"&amp;D524),2)&amp;RIGHT(("0"&amp;E524),2)&amp;RIGHT(("0"&amp;F524),2)&amp;RIGHT(("0"&amp;G524),2)&amp;RIGHT(("0"&amp;H524),2)</f>
        <v>283940444558</v>
      </c>
      <c r="J524" s="1" t="n">
        <f aca="false">COUNTIF(I:I,I524)</f>
        <v>1</v>
      </c>
      <c r="K524" s="1" t="n">
        <v>0</v>
      </c>
      <c r="M524" s="1" t="s">
        <v>23</v>
      </c>
      <c r="N524" s="1" t="n">
        <v>123</v>
      </c>
      <c r="O524" s="1" t="s">
        <v>2486</v>
      </c>
      <c r="P524" s="1" t="n">
        <v>9692</v>
      </c>
      <c r="Q524" s="1" t="s">
        <v>2487</v>
      </c>
      <c r="R524" s="1" t="s">
        <v>2488</v>
      </c>
      <c r="S524" s="1" t="s">
        <v>23</v>
      </c>
      <c r="T524" s="1" t="s">
        <v>23</v>
      </c>
      <c r="U524" s="1" t="s">
        <v>23</v>
      </c>
      <c r="V524" s="1" t="s">
        <v>2489</v>
      </c>
    </row>
    <row r="525" customFormat="false" ht="13.8" hidden="false" customHeight="false" outlineLevel="0" collapsed="false">
      <c r="A525" s="1" t="n">
        <v>524</v>
      </c>
      <c r="B525" s="2" t="s">
        <v>2490</v>
      </c>
      <c r="C525" s="1" t="n">
        <v>19</v>
      </c>
      <c r="D525" s="1" t="n">
        <v>29</v>
      </c>
      <c r="E525" s="1" t="n">
        <v>34</v>
      </c>
      <c r="F525" s="1" t="n">
        <v>41</v>
      </c>
      <c r="G525" s="1" t="n">
        <v>47</v>
      </c>
      <c r="H525" s="1" t="n">
        <v>48</v>
      </c>
      <c r="I525" s="1" t="str">
        <f aca="false">RIGHT(("0"&amp;C525),2)&amp;RIGHT(("0"&amp;D525),2)&amp;RIGHT(("0"&amp;E525),2)&amp;RIGHT(("0"&amp;F525),2)&amp;RIGHT(("0"&amp;G525),2)&amp;RIGHT(("0"&amp;H525),2)</f>
        <v>192934414748</v>
      </c>
      <c r="J525" s="1" t="n">
        <f aca="false">COUNTIF(I:I,I525)</f>
        <v>1</v>
      </c>
      <c r="K525" s="1" t="n">
        <v>1</v>
      </c>
      <c r="L525" s="1" t="s">
        <v>1722</v>
      </c>
      <c r="M525" s="1" t="s">
        <v>2491</v>
      </c>
      <c r="N525" s="1" t="n">
        <v>180</v>
      </c>
      <c r="O525" s="1" t="s">
        <v>2492</v>
      </c>
      <c r="P525" s="1" t="n">
        <v>17156</v>
      </c>
      <c r="Q525" s="1" t="s">
        <v>2493</v>
      </c>
      <c r="R525" s="1" t="s">
        <v>23</v>
      </c>
      <c r="S525" s="1" t="s">
        <v>23</v>
      </c>
      <c r="T525" s="1" t="s">
        <v>23</v>
      </c>
      <c r="U525" s="1" t="s">
        <v>23</v>
      </c>
      <c r="V525" s="1" t="s">
        <v>2494</v>
      </c>
    </row>
    <row r="526" customFormat="false" ht="13.8" hidden="false" customHeight="false" outlineLevel="0" collapsed="false">
      <c r="A526" s="1" t="n">
        <v>525</v>
      </c>
      <c r="B526" s="2" t="s">
        <v>2495</v>
      </c>
      <c r="C526" s="1" t="n">
        <v>8</v>
      </c>
      <c r="D526" s="1" t="n">
        <v>10</v>
      </c>
      <c r="E526" s="1" t="n">
        <v>24</v>
      </c>
      <c r="F526" s="1" t="n">
        <v>26</v>
      </c>
      <c r="G526" s="1" t="n">
        <v>32</v>
      </c>
      <c r="H526" s="1" t="n">
        <v>49</v>
      </c>
      <c r="I526" s="1" t="str">
        <f aca="false">RIGHT(("0"&amp;C526),2)&amp;RIGHT(("0"&amp;D526),2)&amp;RIGHT(("0"&amp;E526),2)&amp;RIGHT(("0"&amp;F526),2)&amp;RIGHT(("0"&amp;G526),2)&amp;RIGHT(("0"&amp;H526),2)</f>
        <v>081024263249</v>
      </c>
      <c r="J526" s="1" t="n">
        <f aca="false">COUNTIF(I:I,I526)</f>
        <v>1</v>
      </c>
      <c r="K526" s="1" t="n">
        <v>2</v>
      </c>
      <c r="L526" s="1" t="s">
        <v>2407</v>
      </c>
      <c r="M526" s="1" t="s">
        <v>2496</v>
      </c>
      <c r="N526" s="1" t="n">
        <v>153</v>
      </c>
      <c r="O526" s="1" t="s">
        <v>2497</v>
      </c>
      <c r="P526" s="1" t="n">
        <v>9640</v>
      </c>
      <c r="Q526" s="1" t="s">
        <v>2498</v>
      </c>
      <c r="R526" s="1" t="s">
        <v>23</v>
      </c>
      <c r="S526" s="1" t="s">
        <v>23</v>
      </c>
      <c r="T526" s="1" t="s">
        <v>23</v>
      </c>
      <c r="U526" s="1" t="s">
        <v>23</v>
      </c>
      <c r="V526" s="1" t="s">
        <v>2499</v>
      </c>
    </row>
    <row r="527" customFormat="false" ht="13.8" hidden="false" customHeight="false" outlineLevel="0" collapsed="false">
      <c r="A527" s="1" t="n">
        <v>526</v>
      </c>
      <c r="B527" s="2" t="s">
        <v>2500</v>
      </c>
      <c r="C527" s="1" t="n">
        <v>3</v>
      </c>
      <c r="D527" s="1" t="n">
        <v>21</v>
      </c>
      <c r="E527" s="1" t="n">
        <v>31</v>
      </c>
      <c r="F527" s="1" t="n">
        <v>36</v>
      </c>
      <c r="G527" s="1" t="n">
        <v>55</v>
      </c>
      <c r="H527" s="1" t="n">
        <v>59</v>
      </c>
      <c r="I527" s="1" t="str">
        <f aca="false">RIGHT(("0"&amp;C527),2)&amp;RIGHT(("0"&amp;D527),2)&amp;RIGHT(("0"&amp;E527),2)&amp;RIGHT(("0"&amp;F527),2)&amp;RIGHT(("0"&amp;G527),2)&amp;RIGHT(("0"&amp;H527),2)</f>
        <v>032131365559</v>
      </c>
      <c r="J527" s="1" t="n">
        <f aca="false">COUNTIF(I:I,I527)</f>
        <v>1</v>
      </c>
      <c r="K527" s="1" t="n">
        <v>0</v>
      </c>
      <c r="M527" s="1" t="s">
        <v>23</v>
      </c>
      <c r="N527" s="1" t="n">
        <v>34</v>
      </c>
      <c r="O527" s="1" t="s">
        <v>2501</v>
      </c>
      <c r="P527" s="1" t="n">
        <v>2444</v>
      </c>
      <c r="Q527" s="1" t="s">
        <v>2502</v>
      </c>
      <c r="R527" s="1" t="s">
        <v>2503</v>
      </c>
      <c r="S527" s="1" t="s">
        <v>23</v>
      </c>
      <c r="T527" s="1" t="s">
        <v>23</v>
      </c>
      <c r="U527" s="1" t="s">
        <v>23</v>
      </c>
      <c r="V527" s="1" t="s">
        <v>2400</v>
      </c>
    </row>
    <row r="528" customFormat="false" ht="13.8" hidden="false" customHeight="false" outlineLevel="0" collapsed="false">
      <c r="A528" s="1" t="n">
        <v>527</v>
      </c>
      <c r="B528" s="2" t="s">
        <v>2504</v>
      </c>
      <c r="C528" s="1" t="n">
        <v>6</v>
      </c>
      <c r="D528" s="1" t="n">
        <v>14</v>
      </c>
      <c r="E528" s="1" t="n">
        <v>17</v>
      </c>
      <c r="F528" s="1" t="n">
        <v>26</v>
      </c>
      <c r="G528" s="1" t="n">
        <v>50</v>
      </c>
      <c r="H528" s="1" t="n">
        <v>52</v>
      </c>
      <c r="I528" s="1" t="str">
        <f aca="false">RIGHT(("0"&amp;C528),2)&amp;RIGHT(("0"&amp;D528),2)&amp;RIGHT(("0"&amp;E528),2)&amp;RIGHT(("0"&amp;F528),2)&amp;RIGHT(("0"&amp;G528),2)&amp;RIGHT(("0"&amp;H528),2)</f>
        <v>061417265052</v>
      </c>
      <c r="J528" s="1" t="n">
        <f aca="false">COUNTIF(I:I,I528)</f>
        <v>1</v>
      </c>
      <c r="K528" s="1" t="n">
        <v>0</v>
      </c>
      <c r="M528" s="1" t="s">
        <v>23</v>
      </c>
      <c r="N528" s="1" t="n">
        <v>23</v>
      </c>
      <c r="O528" s="1" t="s">
        <v>2505</v>
      </c>
      <c r="P528" s="1" t="n">
        <v>2091</v>
      </c>
      <c r="Q528" s="1" t="s">
        <v>2506</v>
      </c>
      <c r="R528" s="1" t="s">
        <v>2507</v>
      </c>
      <c r="S528" s="1" t="s">
        <v>23</v>
      </c>
      <c r="T528" s="1" t="s">
        <v>23</v>
      </c>
      <c r="U528" s="1" t="s">
        <v>23</v>
      </c>
      <c r="V528" s="1" t="s">
        <v>2508</v>
      </c>
    </row>
    <row r="529" customFormat="false" ht="13.8" hidden="false" customHeight="false" outlineLevel="0" collapsed="false">
      <c r="A529" s="1" t="n">
        <v>528</v>
      </c>
      <c r="B529" s="2" t="s">
        <v>2509</v>
      </c>
      <c r="C529" s="1" t="n">
        <v>8</v>
      </c>
      <c r="D529" s="1" t="n">
        <v>12</v>
      </c>
      <c r="E529" s="1" t="n">
        <v>28</v>
      </c>
      <c r="F529" s="1" t="n">
        <v>31</v>
      </c>
      <c r="G529" s="1" t="n">
        <v>34</v>
      </c>
      <c r="H529" s="1" t="n">
        <v>37</v>
      </c>
      <c r="I529" s="1" t="str">
        <f aca="false">RIGHT(("0"&amp;C529),2)&amp;RIGHT(("0"&amp;D529),2)&amp;RIGHT(("0"&amp;E529),2)&amp;RIGHT(("0"&amp;F529),2)&amp;RIGHT(("0"&amp;G529),2)&amp;RIGHT(("0"&amp;H529),2)</f>
        <v>081228313437</v>
      </c>
      <c r="J529" s="1" t="n">
        <f aca="false">COUNTIF(I:I,I529)</f>
        <v>1</v>
      </c>
      <c r="K529" s="1" t="n">
        <v>0</v>
      </c>
      <c r="M529" s="1" t="s">
        <v>23</v>
      </c>
      <c r="N529" s="1" t="n">
        <v>67</v>
      </c>
      <c r="O529" s="1" t="s">
        <v>2510</v>
      </c>
      <c r="P529" s="1" t="n">
        <v>4827</v>
      </c>
      <c r="Q529" s="1" t="s">
        <v>2511</v>
      </c>
      <c r="R529" s="1" t="s">
        <v>2512</v>
      </c>
      <c r="S529" s="1" t="s">
        <v>23</v>
      </c>
      <c r="T529" s="1" t="s">
        <v>23</v>
      </c>
      <c r="U529" s="1" t="s">
        <v>23</v>
      </c>
      <c r="V529" s="1" t="s">
        <v>2513</v>
      </c>
    </row>
    <row r="530" customFormat="false" ht="13.8" hidden="false" customHeight="false" outlineLevel="0" collapsed="false">
      <c r="A530" s="1" t="n">
        <v>529</v>
      </c>
      <c r="B530" s="2" t="s">
        <v>2514</v>
      </c>
      <c r="C530" s="1" t="n">
        <v>1</v>
      </c>
      <c r="D530" s="1" t="n">
        <v>13</v>
      </c>
      <c r="E530" s="1" t="n">
        <v>33</v>
      </c>
      <c r="F530" s="1" t="n">
        <v>38</v>
      </c>
      <c r="G530" s="1" t="n">
        <v>45</v>
      </c>
      <c r="H530" s="1" t="n">
        <v>56</v>
      </c>
      <c r="I530" s="1" t="str">
        <f aca="false">RIGHT(("0"&amp;C530),2)&amp;RIGHT(("0"&amp;D530),2)&amp;RIGHT(("0"&amp;E530),2)&amp;RIGHT(("0"&amp;F530),2)&amp;RIGHT(("0"&amp;G530),2)&amp;RIGHT(("0"&amp;H530),2)</f>
        <v>011333384556</v>
      </c>
      <c r="J530" s="1" t="n">
        <f aca="false">COUNTIF(I:I,I530)</f>
        <v>1</v>
      </c>
      <c r="K530" s="1" t="n">
        <v>15</v>
      </c>
      <c r="L530" s="1" t="s">
        <v>2515</v>
      </c>
      <c r="M530" s="1" t="s">
        <v>2516</v>
      </c>
      <c r="N530" s="1" t="n">
        <v>87</v>
      </c>
      <c r="O530" s="1" t="s">
        <v>2517</v>
      </c>
      <c r="P530" s="1" t="n">
        <v>4758</v>
      </c>
      <c r="Q530" s="1" t="s">
        <v>2518</v>
      </c>
      <c r="R530" s="1" t="s">
        <v>23</v>
      </c>
      <c r="S530" s="1" t="s">
        <v>23</v>
      </c>
      <c r="T530" s="1" t="s">
        <v>23</v>
      </c>
      <c r="U530" s="1" t="s">
        <v>23</v>
      </c>
      <c r="V530" s="1" t="s">
        <v>2519</v>
      </c>
    </row>
    <row r="531" customFormat="false" ht="13.8" hidden="false" customHeight="false" outlineLevel="0" collapsed="false">
      <c r="A531" s="1" t="n">
        <v>530</v>
      </c>
      <c r="B531" s="2" t="s">
        <v>2520</v>
      </c>
      <c r="C531" s="1" t="n">
        <v>1</v>
      </c>
      <c r="D531" s="1" t="n">
        <v>6</v>
      </c>
      <c r="E531" s="1" t="n">
        <v>21</v>
      </c>
      <c r="F531" s="1" t="n">
        <v>25</v>
      </c>
      <c r="G531" s="1" t="n">
        <v>32</v>
      </c>
      <c r="H531" s="1" t="n">
        <v>49</v>
      </c>
      <c r="I531" s="1" t="str">
        <f aca="false">RIGHT(("0"&amp;C531),2)&amp;RIGHT(("0"&amp;D531),2)&amp;RIGHT(("0"&amp;E531),2)&amp;RIGHT(("0"&amp;F531),2)&amp;RIGHT(("0"&amp;G531),2)&amp;RIGHT(("0"&amp;H531),2)</f>
        <v>010621253249</v>
      </c>
      <c r="J531" s="1" t="n">
        <f aca="false">COUNTIF(I:I,I531)</f>
        <v>1</v>
      </c>
      <c r="K531" s="1" t="n">
        <v>0</v>
      </c>
      <c r="M531" s="1" t="s">
        <v>23</v>
      </c>
      <c r="N531" s="1" t="n">
        <v>49</v>
      </c>
      <c r="O531" s="1" t="s">
        <v>2521</v>
      </c>
      <c r="P531" s="1" t="n">
        <v>3771</v>
      </c>
      <c r="Q531" s="1" t="s">
        <v>2522</v>
      </c>
      <c r="R531" s="1" t="s">
        <v>2523</v>
      </c>
      <c r="S531" s="1" t="s">
        <v>23</v>
      </c>
      <c r="T531" s="1" t="s">
        <v>23</v>
      </c>
      <c r="U531" s="1" t="s">
        <v>23</v>
      </c>
      <c r="V531" s="1" t="s">
        <v>2368</v>
      </c>
    </row>
    <row r="532" customFormat="false" ht="13.8" hidden="false" customHeight="false" outlineLevel="0" collapsed="false">
      <c r="A532" s="1" t="n">
        <v>531</v>
      </c>
      <c r="B532" s="2" t="s">
        <v>2524</v>
      </c>
      <c r="C532" s="1" t="n">
        <v>1</v>
      </c>
      <c r="D532" s="1" t="n">
        <v>3</v>
      </c>
      <c r="E532" s="1" t="n">
        <v>7</v>
      </c>
      <c r="F532" s="1" t="n">
        <v>18</v>
      </c>
      <c r="G532" s="1" t="n">
        <v>35</v>
      </c>
      <c r="H532" s="1" t="n">
        <v>50</v>
      </c>
      <c r="I532" s="1" t="str">
        <f aca="false">RIGHT(("0"&amp;C532),2)&amp;RIGHT(("0"&amp;D532),2)&amp;RIGHT(("0"&amp;E532),2)&amp;RIGHT(("0"&amp;F532),2)&amp;RIGHT(("0"&amp;G532),2)&amp;RIGHT(("0"&amp;H532),2)</f>
        <v>010307183550</v>
      </c>
      <c r="J532" s="1" t="n">
        <f aca="false">COUNTIF(I:I,I532)</f>
        <v>1</v>
      </c>
      <c r="K532" s="1" t="n">
        <v>0</v>
      </c>
      <c r="M532" s="1" t="s">
        <v>23</v>
      </c>
      <c r="N532" s="1" t="n">
        <v>96</v>
      </c>
      <c r="O532" s="1" t="s">
        <v>2525</v>
      </c>
      <c r="P532" s="1" t="n">
        <v>5188</v>
      </c>
      <c r="Q532" s="1" t="s">
        <v>2526</v>
      </c>
      <c r="R532" s="1" t="s">
        <v>2527</v>
      </c>
      <c r="S532" s="1" t="s">
        <v>23</v>
      </c>
      <c r="T532" s="1" t="s">
        <v>23</v>
      </c>
      <c r="U532" s="1" t="s">
        <v>23</v>
      </c>
      <c r="V532" s="1" t="s">
        <v>2459</v>
      </c>
    </row>
    <row r="533" customFormat="false" ht="13.8" hidden="false" customHeight="false" outlineLevel="0" collapsed="false">
      <c r="A533" s="1" t="n">
        <v>532</v>
      </c>
      <c r="B533" s="2" t="s">
        <v>2528</v>
      </c>
      <c r="C533" s="1" t="n">
        <v>4</v>
      </c>
      <c r="D533" s="1" t="n">
        <v>9</v>
      </c>
      <c r="E533" s="1" t="n">
        <v>12</v>
      </c>
      <c r="F533" s="1" t="n">
        <v>13</v>
      </c>
      <c r="G533" s="1" t="n">
        <v>52</v>
      </c>
      <c r="H533" s="1" t="n">
        <v>53</v>
      </c>
      <c r="I533" s="1" t="str">
        <f aca="false">RIGHT(("0"&amp;C533),2)&amp;RIGHT(("0"&amp;D533),2)&amp;RIGHT(("0"&amp;E533),2)&amp;RIGHT(("0"&amp;F533),2)&amp;RIGHT(("0"&amp;G533),2)&amp;RIGHT(("0"&amp;H533),2)</f>
        <v>040912135253</v>
      </c>
      <c r="J533" s="1" t="n">
        <f aca="false">COUNTIF(I:I,I533)</f>
        <v>1</v>
      </c>
      <c r="K533" s="1" t="n">
        <v>0</v>
      </c>
      <c r="M533" s="1" t="s">
        <v>23</v>
      </c>
      <c r="N533" s="1" t="n">
        <v>69</v>
      </c>
      <c r="O533" s="1" t="s">
        <v>2529</v>
      </c>
      <c r="P533" s="1" t="n">
        <v>5314</v>
      </c>
      <c r="Q533" s="1" t="s">
        <v>2530</v>
      </c>
      <c r="R533" s="1" t="s">
        <v>2531</v>
      </c>
      <c r="S533" s="1" t="s">
        <v>23</v>
      </c>
      <c r="T533" s="1" t="s">
        <v>23</v>
      </c>
      <c r="U533" s="1" t="s">
        <v>23</v>
      </c>
      <c r="V533" s="1" t="s">
        <v>2464</v>
      </c>
    </row>
    <row r="534" customFormat="false" ht="13.8" hidden="false" customHeight="false" outlineLevel="0" collapsed="false">
      <c r="A534" s="1" t="n">
        <v>533</v>
      </c>
      <c r="B534" s="2" t="s">
        <v>2532</v>
      </c>
      <c r="C534" s="1" t="n">
        <v>13</v>
      </c>
      <c r="D534" s="1" t="n">
        <v>18</v>
      </c>
      <c r="E534" s="1" t="n">
        <v>21</v>
      </c>
      <c r="F534" s="1" t="n">
        <v>27</v>
      </c>
      <c r="G534" s="1" t="n">
        <v>53</v>
      </c>
      <c r="H534" s="1" t="n">
        <v>59</v>
      </c>
      <c r="I534" s="1" t="str">
        <f aca="false">RIGHT(("0"&amp;C534),2)&amp;RIGHT(("0"&amp;D534),2)&amp;RIGHT(("0"&amp;E534),2)&amp;RIGHT(("0"&amp;F534),2)&amp;RIGHT(("0"&amp;G534),2)&amp;RIGHT(("0"&amp;H534),2)</f>
        <v>131821275359</v>
      </c>
      <c r="J534" s="1" t="n">
        <f aca="false">COUNTIF(I:I,I534)</f>
        <v>1</v>
      </c>
      <c r="K534" s="1" t="n">
        <v>0</v>
      </c>
      <c r="M534" s="1" t="s">
        <v>23</v>
      </c>
      <c r="N534" s="1" t="n">
        <v>82</v>
      </c>
      <c r="O534" s="1" t="s">
        <v>2533</v>
      </c>
      <c r="P534" s="1" t="n">
        <v>5129</v>
      </c>
      <c r="Q534" s="1" t="s">
        <v>2534</v>
      </c>
      <c r="R534" s="1" t="s">
        <v>2535</v>
      </c>
      <c r="S534" s="1" t="s">
        <v>23</v>
      </c>
      <c r="T534" s="1" t="s">
        <v>23</v>
      </c>
      <c r="U534" s="1" t="s">
        <v>23</v>
      </c>
      <c r="V534" s="1" t="s">
        <v>2536</v>
      </c>
    </row>
    <row r="535" customFormat="false" ht="13.8" hidden="false" customHeight="false" outlineLevel="0" collapsed="false">
      <c r="A535" s="1" t="n">
        <v>534</v>
      </c>
      <c r="B535" s="2" t="s">
        <v>2537</v>
      </c>
      <c r="C535" s="1" t="n">
        <v>3</v>
      </c>
      <c r="D535" s="1" t="n">
        <v>8</v>
      </c>
      <c r="E535" s="1" t="n">
        <v>23</v>
      </c>
      <c r="F535" s="1" t="n">
        <v>31</v>
      </c>
      <c r="G535" s="1" t="n">
        <v>48</v>
      </c>
      <c r="H535" s="1" t="n">
        <v>57</v>
      </c>
      <c r="I535" s="1" t="str">
        <f aca="false">RIGHT(("0"&amp;C535),2)&amp;RIGHT(("0"&amp;D535),2)&amp;RIGHT(("0"&amp;E535),2)&amp;RIGHT(("0"&amp;F535),2)&amp;RIGHT(("0"&amp;G535),2)&amp;RIGHT(("0"&amp;H535),2)</f>
        <v>030823314857</v>
      </c>
      <c r="J535" s="1" t="n">
        <f aca="false">COUNTIF(I:I,I535)</f>
        <v>1</v>
      </c>
      <c r="K535" s="1" t="n">
        <v>1</v>
      </c>
      <c r="L535" s="1" t="s">
        <v>2538</v>
      </c>
      <c r="M535" s="1" t="s">
        <v>2539</v>
      </c>
      <c r="N535" s="1" t="n">
        <v>107</v>
      </c>
      <c r="O535" s="1" t="s">
        <v>2540</v>
      </c>
      <c r="P535" s="1" t="n">
        <v>6559</v>
      </c>
      <c r="Q535" s="1" t="s">
        <v>2541</v>
      </c>
      <c r="R535" s="1" t="s">
        <v>23</v>
      </c>
      <c r="S535" s="1" t="s">
        <v>23</v>
      </c>
      <c r="T535" s="1" t="s">
        <v>23</v>
      </c>
      <c r="U535" s="1" t="s">
        <v>23</v>
      </c>
      <c r="V535" s="1" t="s">
        <v>2542</v>
      </c>
    </row>
    <row r="536" customFormat="false" ht="13.8" hidden="false" customHeight="false" outlineLevel="0" collapsed="false">
      <c r="A536" s="1" t="n">
        <v>535</v>
      </c>
      <c r="B536" s="2" t="s">
        <v>2543</v>
      </c>
      <c r="C536" s="1" t="n">
        <v>6</v>
      </c>
      <c r="D536" s="1" t="n">
        <v>14</v>
      </c>
      <c r="E536" s="1" t="n">
        <v>28</v>
      </c>
      <c r="F536" s="1" t="n">
        <v>47</v>
      </c>
      <c r="G536" s="1" t="n">
        <v>49</v>
      </c>
      <c r="H536" s="1" t="n">
        <v>56</v>
      </c>
      <c r="I536" s="1" t="str">
        <f aca="false">RIGHT(("0"&amp;C536),2)&amp;RIGHT(("0"&amp;D536),2)&amp;RIGHT(("0"&amp;E536),2)&amp;RIGHT(("0"&amp;F536),2)&amp;RIGHT(("0"&amp;G536),2)&amp;RIGHT(("0"&amp;H536),2)</f>
        <v>061428474956</v>
      </c>
      <c r="J536" s="1" t="n">
        <f aca="false">COUNTIF(I:I,I536)</f>
        <v>1</v>
      </c>
      <c r="K536" s="1" t="n">
        <v>1</v>
      </c>
      <c r="L536" s="1" t="s">
        <v>1872</v>
      </c>
      <c r="M536" s="1" t="s">
        <v>2544</v>
      </c>
      <c r="N536" s="1" t="n">
        <v>59</v>
      </c>
      <c r="O536" s="1" t="s">
        <v>2545</v>
      </c>
      <c r="P536" s="1" t="n">
        <v>4136</v>
      </c>
      <c r="Q536" s="1" t="s">
        <v>2546</v>
      </c>
      <c r="R536" s="1" t="s">
        <v>23</v>
      </c>
      <c r="S536" s="1" t="s">
        <v>23</v>
      </c>
      <c r="T536" s="1" t="s">
        <v>23</v>
      </c>
      <c r="U536" s="1" t="s">
        <v>23</v>
      </c>
      <c r="V536" s="1" t="s">
        <v>2547</v>
      </c>
    </row>
    <row r="537" customFormat="false" ht="13.8" hidden="false" customHeight="false" outlineLevel="0" collapsed="false">
      <c r="A537" s="1" t="n">
        <v>536</v>
      </c>
      <c r="B537" s="2" t="s">
        <v>2548</v>
      </c>
      <c r="C537" s="1" t="n">
        <v>14</v>
      </c>
      <c r="D537" s="1" t="n">
        <v>15</v>
      </c>
      <c r="E537" s="1" t="n">
        <v>22</v>
      </c>
      <c r="F537" s="1" t="n">
        <v>23</v>
      </c>
      <c r="G537" s="1" t="n">
        <v>25</v>
      </c>
      <c r="H537" s="1" t="n">
        <v>37</v>
      </c>
      <c r="I537" s="1" t="str">
        <f aca="false">RIGHT(("0"&amp;C537),2)&amp;RIGHT(("0"&amp;D537),2)&amp;RIGHT(("0"&amp;E537),2)&amp;RIGHT(("0"&amp;F537),2)&amp;RIGHT(("0"&amp;G537),2)&amp;RIGHT(("0"&amp;H537),2)</f>
        <v>141522232537</v>
      </c>
      <c r="J537" s="1" t="n">
        <f aca="false">COUNTIF(I:I,I537)</f>
        <v>1</v>
      </c>
      <c r="K537" s="1" t="n">
        <v>0</v>
      </c>
      <c r="M537" s="1" t="s">
        <v>23</v>
      </c>
      <c r="N537" s="1" t="n">
        <v>49</v>
      </c>
      <c r="O537" s="1" t="s">
        <v>2549</v>
      </c>
      <c r="P537" s="1" t="n">
        <v>3217</v>
      </c>
      <c r="Q537" s="1" t="s">
        <v>2550</v>
      </c>
      <c r="R537" s="1" t="s">
        <v>2551</v>
      </c>
      <c r="S537" s="1" t="s">
        <v>23</v>
      </c>
      <c r="T537" s="1" t="s">
        <v>23</v>
      </c>
      <c r="U537" s="1" t="s">
        <v>23</v>
      </c>
      <c r="V537" s="1" t="s">
        <v>2552</v>
      </c>
    </row>
    <row r="538" customFormat="false" ht="13.8" hidden="false" customHeight="false" outlineLevel="0" collapsed="false">
      <c r="A538" s="1" t="n">
        <v>537</v>
      </c>
      <c r="B538" s="2" t="s">
        <v>2553</v>
      </c>
      <c r="C538" s="1" t="n">
        <v>3</v>
      </c>
      <c r="D538" s="1" t="n">
        <v>7</v>
      </c>
      <c r="E538" s="1" t="n">
        <v>19</v>
      </c>
      <c r="F538" s="1" t="n">
        <v>34</v>
      </c>
      <c r="G538" s="1" t="n">
        <v>37</v>
      </c>
      <c r="H538" s="1" t="n">
        <v>39</v>
      </c>
      <c r="I538" s="1" t="str">
        <f aca="false">RIGHT(("0"&amp;C538),2)&amp;RIGHT(("0"&amp;D538),2)&amp;RIGHT(("0"&amp;E538),2)&amp;RIGHT(("0"&amp;F538),2)&amp;RIGHT(("0"&amp;G538),2)&amp;RIGHT(("0"&amp;H538),2)</f>
        <v>030719343739</v>
      </c>
      <c r="J538" s="1" t="n">
        <f aca="false">COUNTIF(I:I,I538)</f>
        <v>1</v>
      </c>
      <c r="K538" s="1" t="n">
        <v>1</v>
      </c>
      <c r="L538" s="1" t="s">
        <v>140</v>
      </c>
      <c r="M538" s="1" t="s">
        <v>2554</v>
      </c>
      <c r="N538" s="1" t="n">
        <v>128</v>
      </c>
      <c r="O538" s="1" t="s">
        <v>2555</v>
      </c>
      <c r="P538" s="1" t="n">
        <v>5345</v>
      </c>
      <c r="Q538" s="1" t="s">
        <v>2556</v>
      </c>
      <c r="R538" s="1" t="s">
        <v>23</v>
      </c>
      <c r="S538" s="1" t="s">
        <v>23</v>
      </c>
      <c r="T538" s="1" t="s">
        <v>23</v>
      </c>
      <c r="U538" s="1" t="s">
        <v>23</v>
      </c>
      <c r="V538" s="1" t="s">
        <v>2547</v>
      </c>
    </row>
    <row r="539" customFormat="false" ht="13.8" hidden="false" customHeight="false" outlineLevel="0" collapsed="false">
      <c r="A539" s="1" t="n">
        <v>538</v>
      </c>
      <c r="B539" s="2" t="s">
        <v>2557</v>
      </c>
      <c r="C539" s="1" t="n">
        <v>3</v>
      </c>
      <c r="D539" s="1" t="n">
        <v>25</v>
      </c>
      <c r="E539" s="1" t="n">
        <v>43</v>
      </c>
      <c r="F539" s="1" t="n">
        <v>45</v>
      </c>
      <c r="G539" s="1" t="n">
        <v>52</v>
      </c>
      <c r="H539" s="1" t="n">
        <v>56</v>
      </c>
      <c r="I539" s="1" t="str">
        <f aca="false">RIGHT(("0"&amp;C539),2)&amp;RIGHT(("0"&amp;D539),2)&amp;RIGHT(("0"&amp;E539),2)&amp;RIGHT(("0"&amp;F539),2)&amp;RIGHT(("0"&amp;G539),2)&amp;RIGHT(("0"&amp;H539),2)</f>
        <v>032543455256</v>
      </c>
      <c r="J539" s="1" t="n">
        <f aca="false">COUNTIF(I:I,I539)</f>
        <v>1</v>
      </c>
      <c r="K539" s="1" t="n">
        <v>0</v>
      </c>
      <c r="M539" s="1" t="s">
        <v>23</v>
      </c>
      <c r="N539" s="1" t="n">
        <v>36</v>
      </c>
      <c r="O539" s="1" t="s">
        <v>2558</v>
      </c>
      <c r="P539" s="1" t="n">
        <v>2657</v>
      </c>
      <c r="Q539" s="1" t="s">
        <v>2559</v>
      </c>
      <c r="R539" s="1" t="s">
        <v>2560</v>
      </c>
      <c r="S539" s="1" t="s">
        <v>23</v>
      </c>
      <c r="T539" s="1" t="s">
        <v>23</v>
      </c>
      <c r="U539" s="1" t="s">
        <v>23</v>
      </c>
      <c r="V539" s="1" t="s">
        <v>2552</v>
      </c>
    </row>
    <row r="540" customFormat="false" ht="13.8" hidden="false" customHeight="false" outlineLevel="0" collapsed="false">
      <c r="A540" s="1" t="n">
        <v>539</v>
      </c>
      <c r="B540" s="2" t="s">
        <v>2561</v>
      </c>
      <c r="C540" s="1" t="n">
        <v>6</v>
      </c>
      <c r="D540" s="1" t="n">
        <v>16</v>
      </c>
      <c r="E540" s="1" t="n">
        <v>19</v>
      </c>
      <c r="F540" s="1" t="n">
        <v>47</v>
      </c>
      <c r="G540" s="1" t="n">
        <v>50</v>
      </c>
      <c r="H540" s="1" t="n">
        <v>55</v>
      </c>
      <c r="I540" s="1" t="str">
        <f aca="false">RIGHT(("0"&amp;C540),2)&amp;RIGHT(("0"&amp;D540),2)&amp;RIGHT(("0"&amp;E540),2)&amp;RIGHT(("0"&amp;F540),2)&amp;RIGHT(("0"&amp;G540),2)&amp;RIGHT(("0"&amp;H540),2)</f>
        <v>061619475055</v>
      </c>
      <c r="J540" s="1" t="n">
        <f aca="false">COUNTIF(I:I,I540)</f>
        <v>1</v>
      </c>
      <c r="K540" s="1" t="n">
        <v>0</v>
      </c>
      <c r="M540" s="1" t="s">
        <v>23</v>
      </c>
      <c r="N540" s="1" t="n">
        <v>21</v>
      </c>
      <c r="O540" s="1" t="s">
        <v>2562</v>
      </c>
      <c r="P540" s="1" t="n">
        <v>1908</v>
      </c>
      <c r="Q540" s="1" t="s">
        <v>2563</v>
      </c>
      <c r="R540" s="1" t="s">
        <v>2564</v>
      </c>
      <c r="S540" s="1" t="s">
        <v>23</v>
      </c>
      <c r="T540" s="1" t="s">
        <v>23</v>
      </c>
      <c r="U540" s="1" t="s">
        <v>23</v>
      </c>
      <c r="V540" s="1" t="s">
        <v>2565</v>
      </c>
    </row>
    <row r="541" customFormat="false" ht="13.8" hidden="false" customHeight="false" outlineLevel="0" collapsed="false">
      <c r="A541" s="1" t="n">
        <v>540</v>
      </c>
      <c r="B541" s="2" t="s">
        <v>2566</v>
      </c>
      <c r="C541" s="1" t="n">
        <v>4</v>
      </c>
      <c r="D541" s="1" t="n">
        <v>22</v>
      </c>
      <c r="E541" s="1" t="n">
        <v>28</v>
      </c>
      <c r="F541" s="1" t="n">
        <v>30</v>
      </c>
      <c r="G541" s="1" t="n">
        <v>44</v>
      </c>
      <c r="H541" s="1" t="n">
        <v>49</v>
      </c>
      <c r="I541" s="1" t="str">
        <f aca="false">RIGHT(("0"&amp;C541),2)&amp;RIGHT(("0"&amp;D541),2)&amp;RIGHT(("0"&amp;E541),2)&amp;RIGHT(("0"&amp;F541),2)&amp;RIGHT(("0"&amp;G541),2)&amp;RIGHT(("0"&amp;H541),2)</f>
        <v>042228304449</v>
      </c>
      <c r="J541" s="1" t="n">
        <f aca="false">COUNTIF(I:I,I541)</f>
        <v>1</v>
      </c>
      <c r="K541" s="1" t="n">
        <v>0</v>
      </c>
      <c r="M541" s="1" t="s">
        <v>23</v>
      </c>
      <c r="N541" s="1" t="n">
        <v>84</v>
      </c>
      <c r="O541" s="1" t="s">
        <v>2567</v>
      </c>
      <c r="P541" s="1" t="n">
        <v>4535</v>
      </c>
      <c r="Q541" s="1" t="s">
        <v>2568</v>
      </c>
      <c r="R541" s="1" t="s">
        <v>2569</v>
      </c>
      <c r="S541" s="1" t="s">
        <v>23</v>
      </c>
      <c r="T541" s="1" t="s">
        <v>23</v>
      </c>
      <c r="U541" s="1" t="s">
        <v>23</v>
      </c>
      <c r="V541" s="1" t="s">
        <v>2570</v>
      </c>
    </row>
    <row r="542" customFormat="false" ht="13.8" hidden="false" customHeight="false" outlineLevel="0" collapsed="false">
      <c r="A542" s="1" t="n">
        <v>541</v>
      </c>
      <c r="B542" s="2" t="s">
        <v>2571</v>
      </c>
      <c r="C542" s="1" t="n">
        <v>13</v>
      </c>
      <c r="D542" s="1" t="n">
        <v>27</v>
      </c>
      <c r="E542" s="1" t="n">
        <v>49</v>
      </c>
      <c r="F542" s="1" t="n">
        <v>52</v>
      </c>
      <c r="G542" s="1" t="n">
        <v>57</v>
      </c>
      <c r="H542" s="1" t="n">
        <v>58</v>
      </c>
      <c r="I542" s="1" t="str">
        <f aca="false">RIGHT(("0"&amp;C542),2)&amp;RIGHT(("0"&amp;D542),2)&amp;RIGHT(("0"&amp;E542),2)&amp;RIGHT(("0"&amp;F542),2)&amp;RIGHT(("0"&amp;G542),2)&amp;RIGHT(("0"&amp;H542),2)</f>
        <v>132749525758</v>
      </c>
      <c r="J542" s="1" t="n">
        <f aca="false">COUNTIF(I:I,I542)</f>
        <v>1</v>
      </c>
      <c r="K542" s="1" t="n">
        <v>1</v>
      </c>
      <c r="L542" s="1" t="s">
        <v>157</v>
      </c>
      <c r="M542" s="1" t="s">
        <v>2572</v>
      </c>
      <c r="N542" s="1" t="n">
        <v>54</v>
      </c>
      <c r="O542" s="1" t="s">
        <v>2573</v>
      </c>
      <c r="P542" s="1" t="n">
        <v>4879</v>
      </c>
      <c r="Q542" s="1" t="s">
        <v>2574</v>
      </c>
      <c r="R542" s="1" t="s">
        <v>23</v>
      </c>
      <c r="S542" s="1" t="s">
        <v>23</v>
      </c>
      <c r="T542" s="1" t="s">
        <v>23</v>
      </c>
      <c r="U542" s="1" t="s">
        <v>23</v>
      </c>
      <c r="V542" s="1" t="s">
        <v>1876</v>
      </c>
    </row>
    <row r="543" customFormat="false" ht="13.8" hidden="false" customHeight="false" outlineLevel="0" collapsed="false">
      <c r="A543" s="1" t="n">
        <v>542</v>
      </c>
      <c r="B543" s="2" t="s">
        <v>2575</v>
      </c>
      <c r="C543" s="1" t="n">
        <v>4</v>
      </c>
      <c r="D543" s="1" t="n">
        <v>6</v>
      </c>
      <c r="E543" s="1" t="n">
        <v>19</v>
      </c>
      <c r="F543" s="1" t="n">
        <v>28</v>
      </c>
      <c r="G543" s="1" t="n">
        <v>35</v>
      </c>
      <c r="H543" s="1" t="n">
        <v>49</v>
      </c>
      <c r="I543" s="1" t="str">
        <f aca="false">RIGHT(("0"&amp;C543),2)&amp;RIGHT(("0"&amp;D543),2)&amp;RIGHT(("0"&amp;E543),2)&amp;RIGHT(("0"&amp;F543),2)&amp;RIGHT(("0"&amp;G543),2)&amp;RIGHT(("0"&amp;H543),2)</f>
        <v>040619283549</v>
      </c>
      <c r="J543" s="1" t="n">
        <f aca="false">COUNTIF(I:I,I543)</f>
        <v>1</v>
      </c>
      <c r="K543" s="1" t="n">
        <v>0</v>
      </c>
      <c r="M543" s="1" t="s">
        <v>23</v>
      </c>
      <c r="N543" s="1" t="n">
        <v>42</v>
      </c>
      <c r="O543" s="1" t="s">
        <v>2576</v>
      </c>
      <c r="P543" s="1" t="n">
        <v>2800</v>
      </c>
      <c r="Q543" s="1" t="s">
        <v>2577</v>
      </c>
      <c r="R543" s="1" t="s">
        <v>2578</v>
      </c>
      <c r="S543" s="1" t="s">
        <v>23</v>
      </c>
      <c r="T543" s="1" t="s">
        <v>23</v>
      </c>
      <c r="U543" s="1" t="s">
        <v>23</v>
      </c>
      <c r="V543" s="1" t="s">
        <v>2579</v>
      </c>
    </row>
    <row r="544" customFormat="false" ht="13.8" hidden="false" customHeight="false" outlineLevel="0" collapsed="false">
      <c r="A544" s="1" t="n">
        <v>543</v>
      </c>
      <c r="B544" s="2" t="s">
        <v>2580</v>
      </c>
      <c r="C544" s="1" t="n">
        <v>35</v>
      </c>
      <c r="D544" s="1" t="n">
        <v>37</v>
      </c>
      <c r="E544" s="1" t="n">
        <v>42</v>
      </c>
      <c r="F544" s="1" t="n">
        <v>46</v>
      </c>
      <c r="G544" s="1" t="n">
        <v>49</v>
      </c>
      <c r="H544" s="1" t="n">
        <v>54</v>
      </c>
      <c r="I544" s="1" t="str">
        <f aca="false">RIGHT(("0"&amp;C544),2)&amp;RIGHT(("0"&amp;D544),2)&amp;RIGHT(("0"&amp;E544),2)&amp;RIGHT(("0"&amp;F544),2)&amp;RIGHT(("0"&amp;G544),2)&amp;RIGHT(("0"&amp;H544),2)</f>
        <v>353742464954</v>
      </c>
      <c r="J544" s="1" t="n">
        <f aca="false">COUNTIF(I:I,I544)</f>
        <v>1</v>
      </c>
      <c r="K544" s="1" t="n">
        <v>1</v>
      </c>
      <c r="L544" s="1" t="s">
        <v>28</v>
      </c>
      <c r="M544" s="1" t="s">
        <v>2581</v>
      </c>
      <c r="N544" s="1" t="n">
        <v>78</v>
      </c>
      <c r="O544" s="1" t="s">
        <v>2582</v>
      </c>
      <c r="P544" s="1" t="n">
        <v>2557</v>
      </c>
      <c r="Q544" s="1" t="s">
        <v>2583</v>
      </c>
      <c r="R544" s="1" t="s">
        <v>23</v>
      </c>
      <c r="S544" s="1" t="s">
        <v>23</v>
      </c>
      <c r="T544" s="1" t="s">
        <v>23</v>
      </c>
      <c r="U544" s="1" t="s">
        <v>23</v>
      </c>
      <c r="V544" s="1" t="s">
        <v>1876</v>
      </c>
    </row>
    <row r="545" customFormat="false" ht="13.8" hidden="false" customHeight="false" outlineLevel="0" collapsed="false">
      <c r="A545" s="1" t="n">
        <v>544</v>
      </c>
      <c r="B545" s="2" t="s">
        <v>2584</v>
      </c>
      <c r="C545" s="1" t="n">
        <v>11</v>
      </c>
      <c r="D545" s="1" t="n">
        <v>17</v>
      </c>
      <c r="E545" s="1" t="n">
        <v>33</v>
      </c>
      <c r="F545" s="1" t="n">
        <v>34</v>
      </c>
      <c r="G545" s="1" t="n">
        <v>47</v>
      </c>
      <c r="H545" s="1" t="n">
        <v>56</v>
      </c>
      <c r="I545" s="1" t="str">
        <f aca="false">RIGHT(("0"&amp;C545),2)&amp;RIGHT(("0"&amp;D545),2)&amp;RIGHT(("0"&amp;E545),2)&amp;RIGHT(("0"&amp;F545),2)&amp;RIGHT(("0"&amp;G545),2)&amp;RIGHT(("0"&amp;H545),2)</f>
        <v>111733344756</v>
      </c>
      <c r="J545" s="1" t="n">
        <f aca="false">COUNTIF(I:I,I545)</f>
        <v>1</v>
      </c>
      <c r="K545" s="1" t="n">
        <v>0</v>
      </c>
      <c r="M545" s="1" t="s">
        <v>23</v>
      </c>
      <c r="N545" s="1" t="n">
        <v>39</v>
      </c>
      <c r="O545" s="1" t="s">
        <v>2585</v>
      </c>
      <c r="P545" s="1" t="n">
        <v>2415</v>
      </c>
      <c r="Q545" s="1" t="s">
        <v>2586</v>
      </c>
      <c r="R545" s="1" t="s">
        <v>2587</v>
      </c>
      <c r="S545" s="1" t="s">
        <v>23</v>
      </c>
      <c r="T545" s="1" t="s">
        <v>23</v>
      </c>
      <c r="U545" s="1" t="s">
        <v>23</v>
      </c>
      <c r="V545" s="1" t="s">
        <v>2588</v>
      </c>
    </row>
    <row r="546" customFormat="false" ht="13.8" hidden="false" customHeight="false" outlineLevel="0" collapsed="false">
      <c r="A546" s="1" t="n">
        <v>545</v>
      </c>
      <c r="B546" s="2" t="s">
        <v>2589</v>
      </c>
      <c r="C546" s="1" t="n">
        <v>17</v>
      </c>
      <c r="D546" s="1" t="n">
        <v>29</v>
      </c>
      <c r="E546" s="1" t="n">
        <v>35</v>
      </c>
      <c r="F546" s="1" t="n">
        <v>40</v>
      </c>
      <c r="G546" s="1" t="n">
        <v>43</v>
      </c>
      <c r="H546" s="1" t="n">
        <v>57</v>
      </c>
      <c r="I546" s="1" t="str">
        <f aca="false">RIGHT(("0"&amp;C546),2)&amp;RIGHT(("0"&amp;D546),2)&amp;RIGHT(("0"&amp;E546),2)&amp;RIGHT(("0"&amp;F546),2)&amp;RIGHT(("0"&amp;G546),2)&amp;RIGHT(("0"&amp;H546),2)</f>
        <v>172935404357</v>
      </c>
      <c r="J546" s="1" t="n">
        <f aca="false">COUNTIF(I:I,I546)</f>
        <v>1</v>
      </c>
      <c r="K546" s="1" t="n">
        <v>1</v>
      </c>
      <c r="L546" s="1" t="s">
        <v>2590</v>
      </c>
      <c r="M546" s="1" t="s">
        <v>2591</v>
      </c>
      <c r="N546" s="1" t="n">
        <v>102</v>
      </c>
      <c r="O546" s="1" t="s">
        <v>2592</v>
      </c>
      <c r="P546" s="1" t="n">
        <v>4315</v>
      </c>
      <c r="Q546" s="1" t="s">
        <v>2593</v>
      </c>
      <c r="R546" s="1" t="s">
        <v>23</v>
      </c>
      <c r="S546" s="1" t="s">
        <v>23</v>
      </c>
      <c r="T546" s="1" t="s">
        <v>23</v>
      </c>
      <c r="U546" s="1" t="s">
        <v>23</v>
      </c>
      <c r="V546" s="1" t="s">
        <v>2315</v>
      </c>
    </row>
    <row r="547" customFormat="false" ht="13.8" hidden="false" customHeight="false" outlineLevel="0" collapsed="false">
      <c r="A547" s="1" t="n">
        <v>546</v>
      </c>
      <c r="B547" s="2" t="s">
        <v>2594</v>
      </c>
      <c r="C547" s="1" t="n">
        <v>4</v>
      </c>
      <c r="D547" s="1" t="n">
        <v>5</v>
      </c>
      <c r="E547" s="1" t="n">
        <v>13</v>
      </c>
      <c r="F547" s="1" t="n">
        <v>17</v>
      </c>
      <c r="G547" s="1" t="n">
        <v>46</v>
      </c>
      <c r="H547" s="1" t="n">
        <v>54</v>
      </c>
      <c r="I547" s="1" t="str">
        <f aca="false">RIGHT(("0"&amp;C547),2)&amp;RIGHT(("0"&amp;D547),2)&amp;RIGHT(("0"&amp;E547),2)&amp;RIGHT(("0"&amp;F547),2)&amp;RIGHT(("0"&amp;G547),2)&amp;RIGHT(("0"&amp;H547),2)</f>
        <v>040513174654</v>
      </c>
      <c r="J547" s="1" t="n">
        <f aca="false">COUNTIF(I:I,I547)</f>
        <v>1</v>
      </c>
      <c r="K547" s="1" t="n">
        <v>0</v>
      </c>
      <c r="M547" s="1" t="s">
        <v>23</v>
      </c>
      <c r="N547" s="1" t="n">
        <v>32</v>
      </c>
      <c r="O547" s="1" t="s">
        <v>2595</v>
      </c>
      <c r="P547" s="1" t="n">
        <v>3003</v>
      </c>
      <c r="Q547" s="1" t="s">
        <v>2596</v>
      </c>
      <c r="R547" s="1" t="s">
        <v>2597</v>
      </c>
      <c r="S547" s="1" t="s">
        <v>23</v>
      </c>
      <c r="T547" s="1" t="s">
        <v>23</v>
      </c>
      <c r="U547" s="1" t="s">
        <v>23</v>
      </c>
      <c r="V547" s="1" t="s">
        <v>2598</v>
      </c>
    </row>
    <row r="548" customFormat="false" ht="13.8" hidden="false" customHeight="false" outlineLevel="0" collapsed="false">
      <c r="A548" s="1" t="n">
        <v>547</v>
      </c>
      <c r="B548" s="2" t="s">
        <v>2599</v>
      </c>
      <c r="C548" s="1" t="n">
        <v>4</v>
      </c>
      <c r="D548" s="1" t="n">
        <v>13</v>
      </c>
      <c r="E548" s="1" t="n">
        <v>28</v>
      </c>
      <c r="F548" s="1" t="n">
        <v>30</v>
      </c>
      <c r="G548" s="1" t="n">
        <v>53</v>
      </c>
      <c r="H548" s="1" t="n">
        <v>59</v>
      </c>
      <c r="I548" s="1" t="str">
        <f aca="false">RIGHT(("0"&amp;C548),2)&amp;RIGHT(("0"&amp;D548),2)&amp;RIGHT(("0"&amp;E548),2)&amp;RIGHT(("0"&amp;F548),2)&amp;RIGHT(("0"&amp;G548),2)&amp;RIGHT(("0"&amp;H548),2)</f>
        <v>041328305359</v>
      </c>
      <c r="J548" s="1" t="n">
        <f aca="false">COUNTIF(I:I,I548)</f>
        <v>1</v>
      </c>
      <c r="K548" s="1" t="n">
        <v>1</v>
      </c>
      <c r="L548" s="1" t="s">
        <v>2600</v>
      </c>
      <c r="M548" s="1" t="s">
        <v>2601</v>
      </c>
      <c r="N548" s="1" t="n">
        <v>42</v>
      </c>
      <c r="O548" s="1" t="s">
        <v>2602</v>
      </c>
      <c r="P548" s="1" t="n">
        <v>2599</v>
      </c>
      <c r="Q548" s="1" t="s">
        <v>2603</v>
      </c>
      <c r="R548" s="1" t="s">
        <v>23</v>
      </c>
      <c r="S548" s="1" t="s">
        <v>23</v>
      </c>
      <c r="T548" s="1" t="s">
        <v>23</v>
      </c>
      <c r="U548" s="1" t="s">
        <v>23</v>
      </c>
      <c r="V548" s="1" t="s">
        <v>2604</v>
      </c>
    </row>
    <row r="549" customFormat="false" ht="13.8" hidden="false" customHeight="false" outlineLevel="0" collapsed="false">
      <c r="A549" s="1" t="n">
        <v>548</v>
      </c>
      <c r="B549" s="2" t="s">
        <v>2605</v>
      </c>
      <c r="C549" s="1" t="n">
        <v>14</v>
      </c>
      <c r="D549" s="1" t="n">
        <v>47</v>
      </c>
      <c r="E549" s="1" t="n">
        <v>49</v>
      </c>
      <c r="F549" s="1" t="n">
        <v>51</v>
      </c>
      <c r="G549" s="1" t="n">
        <v>58</v>
      </c>
      <c r="H549" s="1" t="n">
        <v>59</v>
      </c>
      <c r="I549" s="1" t="str">
        <f aca="false">RIGHT(("0"&amp;C549),2)&amp;RIGHT(("0"&amp;D549),2)&amp;RIGHT(("0"&amp;E549),2)&amp;RIGHT(("0"&amp;F549),2)&amp;RIGHT(("0"&amp;G549),2)&amp;RIGHT(("0"&amp;H549),2)</f>
        <v>144749515859</v>
      </c>
      <c r="J549" s="1" t="n">
        <f aca="false">COUNTIF(I:I,I549)</f>
        <v>1</v>
      </c>
      <c r="K549" s="1" t="n">
        <v>0</v>
      </c>
      <c r="M549" s="1" t="s">
        <v>23</v>
      </c>
      <c r="N549" s="1" t="n">
        <v>9</v>
      </c>
      <c r="O549" s="1" t="s">
        <v>2606</v>
      </c>
      <c r="P549" s="1" t="n">
        <v>965</v>
      </c>
      <c r="Q549" s="1" t="s">
        <v>2607</v>
      </c>
      <c r="R549" s="1" t="s">
        <v>2608</v>
      </c>
      <c r="S549" s="1" t="s">
        <v>23</v>
      </c>
      <c r="T549" s="1" t="s">
        <v>23</v>
      </c>
      <c r="U549" s="1" t="s">
        <v>23</v>
      </c>
      <c r="V549" s="1" t="s">
        <v>2579</v>
      </c>
    </row>
    <row r="550" customFormat="false" ht="13.8" hidden="false" customHeight="false" outlineLevel="0" collapsed="false">
      <c r="A550" s="1" t="n">
        <v>549</v>
      </c>
      <c r="B550" s="2" t="s">
        <v>2609</v>
      </c>
      <c r="C550" s="1" t="n">
        <v>8</v>
      </c>
      <c r="D550" s="1" t="n">
        <v>13</v>
      </c>
      <c r="E550" s="1" t="n">
        <v>22</v>
      </c>
      <c r="F550" s="1" t="n">
        <v>46</v>
      </c>
      <c r="G550" s="1" t="n">
        <v>51</v>
      </c>
      <c r="H550" s="1" t="n">
        <v>58</v>
      </c>
      <c r="I550" s="1" t="str">
        <f aca="false">RIGHT(("0"&amp;C550),2)&amp;RIGHT(("0"&amp;D550),2)&amp;RIGHT(("0"&amp;E550),2)&amp;RIGHT(("0"&amp;F550),2)&amp;RIGHT(("0"&amp;G550),2)&amp;RIGHT(("0"&amp;H550),2)</f>
        <v>081322465158</v>
      </c>
      <c r="J550" s="1" t="n">
        <f aca="false">COUNTIF(I:I,I550)</f>
        <v>1</v>
      </c>
      <c r="K550" s="1" t="n">
        <v>0</v>
      </c>
      <c r="M550" s="1" t="s">
        <v>23</v>
      </c>
      <c r="N550" s="1" t="n">
        <v>34</v>
      </c>
      <c r="O550" s="1" t="s">
        <v>2610</v>
      </c>
      <c r="P550" s="1" t="n">
        <v>2772</v>
      </c>
      <c r="Q550" s="1" t="s">
        <v>2611</v>
      </c>
      <c r="R550" s="1" t="s">
        <v>2612</v>
      </c>
      <c r="S550" s="1" t="s">
        <v>23</v>
      </c>
      <c r="T550" s="1" t="s">
        <v>23</v>
      </c>
      <c r="U550" s="1" t="s">
        <v>23</v>
      </c>
      <c r="V550" s="1" t="s">
        <v>2565</v>
      </c>
    </row>
    <row r="551" customFormat="false" ht="13.8" hidden="false" customHeight="false" outlineLevel="0" collapsed="false">
      <c r="A551" s="1" t="n">
        <v>550</v>
      </c>
      <c r="B551" s="2" t="s">
        <v>2613</v>
      </c>
      <c r="C551" s="1" t="n">
        <v>16</v>
      </c>
      <c r="D551" s="1" t="n">
        <v>17</v>
      </c>
      <c r="E551" s="1" t="n">
        <v>38</v>
      </c>
      <c r="F551" s="1" t="n">
        <v>39</v>
      </c>
      <c r="G551" s="1" t="n">
        <v>45</v>
      </c>
      <c r="H551" s="1" t="n">
        <v>56</v>
      </c>
      <c r="I551" s="1" t="str">
        <f aca="false">RIGHT(("0"&amp;C551),2)&amp;RIGHT(("0"&amp;D551),2)&amp;RIGHT(("0"&amp;E551),2)&amp;RIGHT(("0"&amp;F551),2)&amp;RIGHT(("0"&amp;G551),2)&amp;RIGHT(("0"&amp;H551),2)</f>
        <v>161738394556</v>
      </c>
      <c r="J551" s="1" t="n">
        <f aca="false">COUNTIF(I:I,I551)</f>
        <v>1</v>
      </c>
      <c r="K551" s="1" t="n">
        <v>0</v>
      </c>
      <c r="M551" s="1" t="s">
        <v>23</v>
      </c>
      <c r="N551" s="1" t="n">
        <v>39</v>
      </c>
      <c r="O551" s="1" t="s">
        <v>2614</v>
      </c>
      <c r="P551" s="1" t="n">
        <v>2948</v>
      </c>
      <c r="Q551" s="1" t="s">
        <v>2615</v>
      </c>
      <c r="R551" s="1" t="s">
        <v>2616</v>
      </c>
      <c r="S551" s="1" t="s">
        <v>23</v>
      </c>
      <c r="T551" s="1" t="s">
        <v>23</v>
      </c>
      <c r="U551" s="1" t="s">
        <v>23</v>
      </c>
      <c r="V551" s="1" t="s">
        <v>2617</v>
      </c>
    </row>
    <row r="552" customFormat="false" ht="13.8" hidden="false" customHeight="false" outlineLevel="0" collapsed="false">
      <c r="A552" s="1" t="n">
        <v>551</v>
      </c>
      <c r="B552" s="2" t="s">
        <v>2618</v>
      </c>
      <c r="C552" s="1" t="n">
        <v>12</v>
      </c>
      <c r="D552" s="1" t="n">
        <v>21</v>
      </c>
      <c r="E552" s="1" t="n">
        <v>46</v>
      </c>
      <c r="F552" s="1" t="n">
        <v>48</v>
      </c>
      <c r="G552" s="1" t="n">
        <v>56</v>
      </c>
      <c r="H552" s="1" t="n">
        <v>57</v>
      </c>
      <c r="I552" s="1" t="str">
        <f aca="false">RIGHT(("0"&amp;C552),2)&amp;RIGHT(("0"&amp;D552),2)&amp;RIGHT(("0"&amp;E552),2)&amp;RIGHT(("0"&amp;F552),2)&amp;RIGHT(("0"&amp;G552),2)&amp;RIGHT(("0"&amp;H552),2)</f>
        <v>122146485657</v>
      </c>
      <c r="J552" s="1" t="n">
        <f aca="false">COUNTIF(I:I,I552)</f>
        <v>1</v>
      </c>
      <c r="K552" s="1" t="n">
        <v>0</v>
      </c>
      <c r="M552" s="1" t="s">
        <v>23</v>
      </c>
      <c r="N552" s="1" t="n">
        <v>35</v>
      </c>
      <c r="O552" s="1" t="s">
        <v>2619</v>
      </c>
      <c r="P552" s="1" t="n">
        <v>3027</v>
      </c>
      <c r="Q552" s="1" t="s">
        <v>2620</v>
      </c>
      <c r="R552" s="1" t="s">
        <v>2621</v>
      </c>
      <c r="S552" s="1" t="s">
        <v>23</v>
      </c>
      <c r="T552" s="1" t="s">
        <v>23</v>
      </c>
      <c r="U552" s="1" t="s">
        <v>23</v>
      </c>
      <c r="V552" s="1" t="s">
        <v>2622</v>
      </c>
    </row>
    <row r="553" customFormat="false" ht="13.8" hidden="false" customHeight="false" outlineLevel="0" collapsed="false">
      <c r="A553" s="1" t="n">
        <v>552</v>
      </c>
      <c r="B553" s="2" t="s">
        <v>2623</v>
      </c>
      <c r="C553" s="1" t="n">
        <v>9</v>
      </c>
      <c r="D553" s="1" t="n">
        <v>22</v>
      </c>
      <c r="E553" s="1" t="n">
        <v>47</v>
      </c>
      <c r="F553" s="1" t="n">
        <v>49</v>
      </c>
      <c r="G553" s="1" t="n">
        <v>52</v>
      </c>
      <c r="H553" s="1" t="n">
        <v>54</v>
      </c>
      <c r="I553" s="1" t="str">
        <f aca="false">RIGHT(("0"&amp;C553),2)&amp;RIGHT(("0"&amp;D553),2)&amp;RIGHT(("0"&amp;E553),2)&amp;RIGHT(("0"&amp;F553),2)&amp;RIGHT(("0"&amp;G553),2)&amp;RIGHT(("0"&amp;H553),2)</f>
        <v>092247495254</v>
      </c>
      <c r="J553" s="1" t="n">
        <f aca="false">COUNTIF(I:I,I553)</f>
        <v>1</v>
      </c>
      <c r="K553" s="1" t="n">
        <v>0</v>
      </c>
      <c r="M553" s="1" t="s">
        <v>23</v>
      </c>
      <c r="N553" s="1" t="n">
        <v>69</v>
      </c>
      <c r="O553" s="1" t="s">
        <v>2624</v>
      </c>
      <c r="P553" s="1" t="n">
        <v>4299</v>
      </c>
      <c r="Q553" s="1" t="s">
        <v>2625</v>
      </c>
      <c r="R553" s="1" t="s">
        <v>2626</v>
      </c>
      <c r="S553" s="1" t="s">
        <v>23</v>
      </c>
      <c r="T553" s="1" t="s">
        <v>23</v>
      </c>
      <c r="U553" s="1" t="s">
        <v>23</v>
      </c>
      <c r="V553" s="1" t="s">
        <v>2627</v>
      </c>
    </row>
    <row r="554" customFormat="false" ht="13.8" hidden="false" customHeight="false" outlineLevel="0" collapsed="false">
      <c r="A554" s="1" t="n">
        <v>553</v>
      </c>
      <c r="B554" s="2" t="s">
        <v>2628</v>
      </c>
      <c r="C554" s="1" t="n">
        <v>4</v>
      </c>
      <c r="D554" s="1" t="n">
        <v>43</v>
      </c>
      <c r="E554" s="1" t="n">
        <v>46</v>
      </c>
      <c r="F554" s="1" t="n">
        <v>53</v>
      </c>
      <c r="G554" s="1" t="n">
        <v>54</v>
      </c>
      <c r="H554" s="1" t="n">
        <v>58</v>
      </c>
      <c r="I554" s="1" t="str">
        <f aca="false">RIGHT(("0"&amp;C554),2)&amp;RIGHT(("0"&amp;D554),2)&amp;RIGHT(("0"&amp;E554),2)&amp;RIGHT(("0"&amp;F554),2)&amp;RIGHT(("0"&amp;G554),2)&amp;RIGHT(("0"&amp;H554),2)</f>
        <v>044346535458</v>
      </c>
      <c r="J554" s="1" t="n">
        <f aca="false">COUNTIF(I:I,I554)</f>
        <v>1</v>
      </c>
      <c r="K554" s="1" t="n">
        <v>0</v>
      </c>
      <c r="M554" s="1" t="s">
        <v>23</v>
      </c>
      <c r="N554" s="1" t="n">
        <v>42</v>
      </c>
      <c r="O554" s="1" t="s">
        <v>2629</v>
      </c>
      <c r="P554" s="1" t="n">
        <v>3308</v>
      </c>
      <c r="Q554" s="1" t="s">
        <v>2630</v>
      </c>
      <c r="R554" s="1" t="s">
        <v>2631</v>
      </c>
      <c r="S554" s="1" t="s">
        <v>23</v>
      </c>
      <c r="T554" s="1" t="s">
        <v>23</v>
      </c>
      <c r="U554" s="1" t="s">
        <v>23</v>
      </c>
      <c r="V554" s="1" t="s">
        <v>2632</v>
      </c>
    </row>
    <row r="555" customFormat="false" ht="13.8" hidden="false" customHeight="false" outlineLevel="0" collapsed="false">
      <c r="A555" s="1" t="n">
        <v>554</v>
      </c>
      <c r="B555" s="2" t="s">
        <v>2633</v>
      </c>
      <c r="C555" s="1" t="n">
        <v>15</v>
      </c>
      <c r="D555" s="1" t="n">
        <v>29</v>
      </c>
      <c r="E555" s="1" t="n">
        <v>31</v>
      </c>
      <c r="F555" s="1" t="n">
        <v>42</v>
      </c>
      <c r="G555" s="1" t="n">
        <v>47</v>
      </c>
      <c r="H555" s="1" t="n">
        <v>60</v>
      </c>
      <c r="I555" s="1" t="str">
        <f aca="false">RIGHT(("0"&amp;C555),2)&amp;RIGHT(("0"&amp;D555),2)&amp;RIGHT(("0"&amp;E555),2)&amp;RIGHT(("0"&amp;F555),2)&amp;RIGHT(("0"&amp;G555),2)&amp;RIGHT(("0"&amp;H555),2)</f>
        <v>152931424760</v>
      </c>
      <c r="J555" s="1" t="n">
        <f aca="false">COUNTIF(I:I,I555)</f>
        <v>1</v>
      </c>
      <c r="K555" s="1" t="n">
        <v>0</v>
      </c>
      <c r="M555" s="1" t="s">
        <v>23</v>
      </c>
      <c r="N555" s="1" t="n">
        <v>64</v>
      </c>
      <c r="O555" s="1" t="s">
        <v>2634</v>
      </c>
      <c r="P555" s="1" t="n">
        <v>4812</v>
      </c>
      <c r="Q555" s="1" t="s">
        <v>2635</v>
      </c>
      <c r="R555" s="1" t="s">
        <v>2636</v>
      </c>
      <c r="S555" s="1" t="s">
        <v>23</v>
      </c>
      <c r="T555" s="1" t="s">
        <v>23</v>
      </c>
      <c r="U555" s="1" t="s">
        <v>23</v>
      </c>
      <c r="V555" s="1" t="s">
        <v>2637</v>
      </c>
    </row>
    <row r="556" customFormat="false" ht="13.8" hidden="false" customHeight="false" outlineLevel="0" collapsed="false">
      <c r="A556" s="1" t="n">
        <v>555</v>
      </c>
      <c r="B556" s="2" t="s">
        <v>2638</v>
      </c>
      <c r="C556" s="1" t="n">
        <v>5</v>
      </c>
      <c r="D556" s="1" t="n">
        <v>23</v>
      </c>
      <c r="E556" s="1" t="n">
        <v>31</v>
      </c>
      <c r="F556" s="1" t="n">
        <v>33</v>
      </c>
      <c r="G556" s="1" t="n">
        <v>45</v>
      </c>
      <c r="H556" s="1" t="n">
        <v>49</v>
      </c>
      <c r="I556" s="1" t="str">
        <f aca="false">RIGHT(("0"&amp;C556),2)&amp;RIGHT(("0"&amp;D556),2)&amp;RIGHT(("0"&amp;E556),2)&amp;RIGHT(("0"&amp;F556),2)&amp;RIGHT(("0"&amp;G556),2)&amp;RIGHT(("0"&amp;H556),2)</f>
        <v>052331334549</v>
      </c>
      <c r="J556" s="1" t="n">
        <f aca="false">COUNTIF(I:I,I556)</f>
        <v>1</v>
      </c>
      <c r="K556" s="1" t="n">
        <v>1</v>
      </c>
      <c r="L556" s="1" t="s">
        <v>28</v>
      </c>
      <c r="M556" s="1" t="s">
        <v>2639</v>
      </c>
      <c r="N556" s="1" t="n">
        <v>152</v>
      </c>
      <c r="O556" s="1" t="s">
        <v>2640</v>
      </c>
      <c r="P556" s="1" t="n">
        <v>10733</v>
      </c>
      <c r="Q556" s="1" t="s">
        <v>2641</v>
      </c>
      <c r="R556" s="1" t="s">
        <v>23</v>
      </c>
      <c r="S556" s="1" t="s">
        <v>23</v>
      </c>
      <c r="T556" s="1" t="s">
        <v>23</v>
      </c>
      <c r="U556" s="1" t="s">
        <v>23</v>
      </c>
      <c r="V556" s="1" t="s">
        <v>2642</v>
      </c>
    </row>
    <row r="557" customFormat="false" ht="13.8" hidden="false" customHeight="false" outlineLevel="0" collapsed="false">
      <c r="A557" s="1" t="n">
        <v>556</v>
      </c>
      <c r="B557" s="2" t="s">
        <v>2643</v>
      </c>
      <c r="C557" s="1" t="n">
        <v>8</v>
      </c>
      <c r="D557" s="1" t="n">
        <v>10</v>
      </c>
      <c r="E557" s="1" t="n">
        <v>17</v>
      </c>
      <c r="F557" s="1" t="n">
        <v>30</v>
      </c>
      <c r="G557" s="1" t="n">
        <v>33</v>
      </c>
      <c r="H557" s="1" t="n">
        <v>45</v>
      </c>
      <c r="I557" s="1" t="str">
        <f aca="false">RIGHT(("0"&amp;C557),2)&amp;RIGHT(("0"&amp;D557),2)&amp;RIGHT(("0"&amp;E557),2)&amp;RIGHT(("0"&amp;F557),2)&amp;RIGHT(("0"&amp;G557),2)&amp;RIGHT(("0"&amp;H557),2)</f>
        <v>081017303345</v>
      </c>
      <c r="J557" s="1" t="n">
        <f aca="false">COUNTIF(I:I,I557)</f>
        <v>1</v>
      </c>
      <c r="K557" s="1" t="n">
        <v>0</v>
      </c>
      <c r="M557" s="1" t="s">
        <v>23</v>
      </c>
      <c r="N557" s="1" t="n">
        <v>20</v>
      </c>
      <c r="O557" s="1" t="s">
        <v>2644</v>
      </c>
      <c r="P557" s="1" t="n">
        <v>1699</v>
      </c>
      <c r="Q557" s="1" t="s">
        <v>2645</v>
      </c>
      <c r="R557" s="1" t="s">
        <v>2646</v>
      </c>
      <c r="S557" s="1" t="s">
        <v>23</v>
      </c>
      <c r="T557" s="1" t="s">
        <v>23</v>
      </c>
      <c r="U557" s="1" t="s">
        <v>23</v>
      </c>
      <c r="V557" s="1" t="s">
        <v>2647</v>
      </c>
    </row>
    <row r="558" customFormat="false" ht="13.8" hidden="false" customHeight="false" outlineLevel="0" collapsed="false">
      <c r="A558" s="1" t="n">
        <v>557</v>
      </c>
      <c r="B558" s="2" t="s">
        <v>2648</v>
      </c>
      <c r="C558" s="1" t="n">
        <v>8</v>
      </c>
      <c r="D558" s="1" t="n">
        <v>12</v>
      </c>
      <c r="E558" s="1" t="n">
        <v>18</v>
      </c>
      <c r="F558" s="1" t="n">
        <v>23</v>
      </c>
      <c r="G558" s="1" t="n">
        <v>38</v>
      </c>
      <c r="H558" s="1" t="n">
        <v>49</v>
      </c>
      <c r="I558" s="1" t="str">
        <f aca="false">RIGHT(("0"&amp;C558),2)&amp;RIGHT(("0"&amp;D558),2)&amp;RIGHT(("0"&amp;E558),2)&amp;RIGHT(("0"&amp;F558),2)&amp;RIGHT(("0"&amp;G558),2)&amp;RIGHT(("0"&amp;H558),2)</f>
        <v>081218233849</v>
      </c>
      <c r="J558" s="1" t="n">
        <f aca="false">COUNTIF(I:I,I558)</f>
        <v>1</v>
      </c>
      <c r="K558" s="1" t="n">
        <v>0</v>
      </c>
      <c r="M558" s="1" t="s">
        <v>23</v>
      </c>
      <c r="N558" s="1" t="n">
        <v>59</v>
      </c>
      <c r="O558" s="1" t="s">
        <v>2649</v>
      </c>
      <c r="P558" s="1" t="n">
        <v>3777</v>
      </c>
      <c r="Q558" s="1" t="s">
        <v>2650</v>
      </c>
      <c r="R558" s="1" t="s">
        <v>2651</v>
      </c>
      <c r="S558" s="1" t="s">
        <v>23</v>
      </c>
      <c r="T558" s="1" t="s">
        <v>23</v>
      </c>
      <c r="U558" s="1" t="s">
        <v>23</v>
      </c>
      <c r="V558" s="1" t="s">
        <v>2652</v>
      </c>
    </row>
    <row r="559" customFormat="false" ht="13.8" hidden="false" customHeight="false" outlineLevel="0" collapsed="false">
      <c r="A559" s="1" t="n">
        <v>558</v>
      </c>
      <c r="B559" s="2" t="s">
        <v>2653</v>
      </c>
      <c r="C559" s="1" t="n">
        <v>7</v>
      </c>
      <c r="D559" s="1" t="n">
        <v>14</v>
      </c>
      <c r="E559" s="1" t="n">
        <v>31</v>
      </c>
      <c r="F559" s="1" t="n">
        <v>57</v>
      </c>
      <c r="G559" s="1" t="n">
        <v>58</v>
      </c>
      <c r="H559" s="1" t="n">
        <v>59</v>
      </c>
      <c r="I559" s="1" t="str">
        <f aca="false">RIGHT(("0"&amp;C559),2)&amp;RIGHT(("0"&amp;D559),2)&amp;RIGHT(("0"&amp;E559),2)&amp;RIGHT(("0"&amp;F559),2)&amp;RIGHT(("0"&amp;G559),2)&amp;RIGHT(("0"&amp;H559),2)</f>
        <v>071431575859</v>
      </c>
      <c r="J559" s="1" t="n">
        <f aca="false">COUNTIF(I:I,I559)</f>
        <v>1</v>
      </c>
      <c r="K559" s="1" t="n">
        <v>0</v>
      </c>
      <c r="M559" s="1" t="s">
        <v>23</v>
      </c>
      <c r="N559" s="1" t="n">
        <v>21</v>
      </c>
      <c r="O559" s="1" t="s">
        <v>2654</v>
      </c>
      <c r="P559" s="1" t="n">
        <v>2000</v>
      </c>
      <c r="Q559" s="1" t="s">
        <v>2655</v>
      </c>
      <c r="R559" s="1" t="s">
        <v>2656</v>
      </c>
      <c r="S559" s="1" t="s">
        <v>23</v>
      </c>
      <c r="T559" s="1" t="s">
        <v>23</v>
      </c>
      <c r="U559" s="1" t="s">
        <v>23</v>
      </c>
      <c r="V559" s="1" t="s">
        <v>2657</v>
      </c>
    </row>
    <row r="560" customFormat="false" ht="13.8" hidden="false" customHeight="false" outlineLevel="0" collapsed="false">
      <c r="A560" s="1" t="n">
        <v>559</v>
      </c>
      <c r="B560" s="2" t="s">
        <v>2658</v>
      </c>
      <c r="C560" s="1" t="n">
        <v>6</v>
      </c>
      <c r="D560" s="1" t="n">
        <v>13</v>
      </c>
      <c r="E560" s="1" t="n">
        <v>17</v>
      </c>
      <c r="F560" s="1" t="n">
        <v>25</v>
      </c>
      <c r="G560" s="1" t="n">
        <v>36</v>
      </c>
      <c r="H560" s="1" t="n">
        <v>53</v>
      </c>
      <c r="I560" s="1" t="str">
        <f aca="false">RIGHT(("0"&amp;C560),2)&amp;RIGHT(("0"&amp;D560),2)&amp;RIGHT(("0"&amp;E560),2)&amp;RIGHT(("0"&amp;F560),2)&amp;RIGHT(("0"&amp;G560),2)&amp;RIGHT(("0"&amp;H560),2)</f>
        <v>061317253653</v>
      </c>
      <c r="J560" s="1" t="n">
        <f aca="false">COUNTIF(I:I,I560)</f>
        <v>1</v>
      </c>
      <c r="K560" s="1" t="n">
        <v>1</v>
      </c>
      <c r="L560" s="1" t="s">
        <v>2590</v>
      </c>
      <c r="M560" s="1" t="s">
        <v>2659</v>
      </c>
      <c r="N560" s="1" t="n">
        <v>75</v>
      </c>
      <c r="O560" s="1" t="s">
        <v>2660</v>
      </c>
      <c r="P560" s="1" t="n">
        <v>4460</v>
      </c>
      <c r="Q560" s="1" t="s">
        <v>2661</v>
      </c>
      <c r="R560" s="1" t="s">
        <v>23</v>
      </c>
      <c r="S560" s="1" t="s">
        <v>23</v>
      </c>
      <c r="T560" s="1" t="s">
        <v>23</v>
      </c>
      <c r="U560" s="1" t="s">
        <v>23</v>
      </c>
      <c r="V560" s="1" t="s">
        <v>2662</v>
      </c>
    </row>
    <row r="561" customFormat="false" ht="13.8" hidden="false" customHeight="false" outlineLevel="0" collapsed="false">
      <c r="A561" s="1" t="n">
        <v>560</v>
      </c>
      <c r="B561" s="2" t="s">
        <v>2663</v>
      </c>
      <c r="C561" s="1" t="n">
        <v>2</v>
      </c>
      <c r="D561" s="1" t="n">
        <v>11</v>
      </c>
      <c r="E561" s="1" t="n">
        <v>18</v>
      </c>
      <c r="F561" s="1" t="n">
        <v>30</v>
      </c>
      <c r="G561" s="1" t="n">
        <v>32</v>
      </c>
      <c r="H561" s="1" t="n">
        <v>58</v>
      </c>
      <c r="I561" s="1" t="str">
        <f aca="false">RIGHT(("0"&amp;C561),2)&amp;RIGHT(("0"&amp;D561),2)&amp;RIGHT(("0"&amp;E561),2)&amp;RIGHT(("0"&amp;F561),2)&amp;RIGHT(("0"&amp;G561),2)&amp;RIGHT(("0"&amp;H561),2)</f>
        <v>021118303258</v>
      </c>
      <c r="J561" s="1" t="n">
        <f aca="false">COUNTIF(I:I,I561)</f>
        <v>1</v>
      </c>
      <c r="K561" s="1" t="n">
        <v>0</v>
      </c>
      <c r="M561" s="1" t="s">
        <v>23</v>
      </c>
      <c r="N561" s="1" t="n">
        <v>44</v>
      </c>
      <c r="O561" s="1" t="s">
        <v>2664</v>
      </c>
      <c r="P561" s="1" t="n">
        <v>2585</v>
      </c>
      <c r="Q561" s="1" t="s">
        <v>2665</v>
      </c>
      <c r="R561" s="1" t="s">
        <v>2666</v>
      </c>
      <c r="S561" s="1" t="s">
        <v>23</v>
      </c>
      <c r="T561" s="1" t="s">
        <v>23</v>
      </c>
      <c r="U561" s="1" t="s">
        <v>23</v>
      </c>
      <c r="V561" s="1" t="s">
        <v>2617</v>
      </c>
    </row>
    <row r="562" customFormat="false" ht="13.8" hidden="false" customHeight="false" outlineLevel="0" collapsed="false">
      <c r="A562" s="1" t="n">
        <v>561</v>
      </c>
      <c r="B562" s="2" t="s">
        <v>2667</v>
      </c>
      <c r="C562" s="1" t="n">
        <v>1</v>
      </c>
      <c r="D562" s="1" t="n">
        <v>20</v>
      </c>
      <c r="E562" s="1" t="n">
        <v>36</v>
      </c>
      <c r="F562" s="1" t="n">
        <v>39</v>
      </c>
      <c r="G562" s="1" t="n">
        <v>49</v>
      </c>
      <c r="H562" s="1" t="n">
        <v>55</v>
      </c>
      <c r="I562" s="1" t="str">
        <f aca="false">RIGHT(("0"&amp;C562),2)&amp;RIGHT(("0"&amp;D562),2)&amp;RIGHT(("0"&amp;E562),2)&amp;RIGHT(("0"&amp;F562),2)&amp;RIGHT(("0"&amp;G562),2)&amp;RIGHT(("0"&amp;H562),2)</f>
        <v>012036394955</v>
      </c>
      <c r="J562" s="1" t="n">
        <f aca="false">COUNTIF(I:I,I562)</f>
        <v>1</v>
      </c>
      <c r="K562" s="1" t="n">
        <v>0</v>
      </c>
      <c r="M562" s="1" t="s">
        <v>23</v>
      </c>
      <c r="N562" s="1" t="n">
        <v>32</v>
      </c>
      <c r="O562" s="1" t="s">
        <v>2668</v>
      </c>
      <c r="P562" s="1" t="n">
        <v>2743</v>
      </c>
      <c r="Q562" s="1" t="s">
        <v>2669</v>
      </c>
      <c r="R562" s="1" t="s">
        <v>2670</v>
      </c>
      <c r="S562" s="1" t="s">
        <v>23</v>
      </c>
      <c r="T562" s="1" t="s">
        <v>23</v>
      </c>
      <c r="U562" s="1" t="s">
        <v>23</v>
      </c>
      <c r="V562" s="1" t="s">
        <v>2622</v>
      </c>
    </row>
    <row r="563" customFormat="false" ht="13.8" hidden="false" customHeight="false" outlineLevel="0" collapsed="false">
      <c r="A563" s="1" t="n">
        <v>562</v>
      </c>
      <c r="B563" s="2" t="s">
        <v>2671</v>
      </c>
      <c r="C563" s="1" t="n">
        <v>16</v>
      </c>
      <c r="D563" s="1" t="n">
        <v>23</v>
      </c>
      <c r="E563" s="1" t="n">
        <v>35</v>
      </c>
      <c r="F563" s="1" t="n">
        <v>37</v>
      </c>
      <c r="G563" s="1" t="n">
        <v>55</v>
      </c>
      <c r="H563" s="1" t="n">
        <v>57</v>
      </c>
      <c r="I563" s="1" t="str">
        <f aca="false">RIGHT(("0"&amp;C563),2)&amp;RIGHT(("0"&amp;D563),2)&amp;RIGHT(("0"&amp;E563),2)&amp;RIGHT(("0"&amp;F563),2)&amp;RIGHT(("0"&amp;G563),2)&amp;RIGHT(("0"&amp;H563),2)</f>
        <v>162335375557</v>
      </c>
      <c r="J563" s="1" t="n">
        <f aca="false">COUNTIF(I:I,I563)</f>
        <v>1</v>
      </c>
      <c r="K563" s="1" t="n">
        <v>0</v>
      </c>
      <c r="M563" s="1" t="s">
        <v>23</v>
      </c>
      <c r="N563" s="1" t="n">
        <v>117</v>
      </c>
      <c r="O563" s="1" t="s">
        <v>2672</v>
      </c>
      <c r="P563" s="1" t="n">
        <v>5150</v>
      </c>
      <c r="Q563" s="1" t="s">
        <v>2673</v>
      </c>
      <c r="R563" s="1" t="s">
        <v>2674</v>
      </c>
      <c r="S563" s="1" t="s">
        <v>23</v>
      </c>
      <c r="T563" s="1" t="s">
        <v>23</v>
      </c>
      <c r="U563" s="1" t="s">
        <v>23</v>
      </c>
      <c r="V563" s="1" t="s">
        <v>2464</v>
      </c>
    </row>
    <row r="564" customFormat="false" ht="13.8" hidden="false" customHeight="false" outlineLevel="0" collapsed="false">
      <c r="A564" s="1" t="n">
        <v>563</v>
      </c>
      <c r="B564" s="2" t="s">
        <v>2675</v>
      </c>
      <c r="C564" s="1" t="n">
        <v>5</v>
      </c>
      <c r="D564" s="1" t="n">
        <v>8</v>
      </c>
      <c r="E564" s="1" t="n">
        <v>23</v>
      </c>
      <c r="F564" s="1" t="n">
        <v>34</v>
      </c>
      <c r="G564" s="1" t="n">
        <v>44</v>
      </c>
      <c r="H564" s="1" t="n">
        <v>51</v>
      </c>
      <c r="I564" s="1" t="str">
        <f aca="false">RIGHT(("0"&amp;C564),2)&amp;RIGHT(("0"&amp;D564),2)&amp;RIGHT(("0"&amp;E564),2)&amp;RIGHT(("0"&amp;F564),2)&amp;RIGHT(("0"&amp;G564),2)&amp;RIGHT(("0"&amp;H564),2)</f>
        <v>050823344451</v>
      </c>
      <c r="J564" s="1" t="n">
        <f aca="false">COUNTIF(I:I,I564)</f>
        <v>1</v>
      </c>
      <c r="K564" s="1" t="n">
        <v>0</v>
      </c>
      <c r="M564" s="1" t="s">
        <v>23</v>
      </c>
      <c r="N564" s="1" t="n">
        <v>90</v>
      </c>
      <c r="O564" s="1" t="s">
        <v>2676</v>
      </c>
      <c r="P564" s="1" t="n">
        <v>6007</v>
      </c>
      <c r="Q564" s="1" t="s">
        <v>2677</v>
      </c>
      <c r="R564" s="1" t="s">
        <v>2678</v>
      </c>
      <c r="S564" s="1" t="s">
        <v>23</v>
      </c>
      <c r="T564" s="1" t="s">
        <v>23</v>
      </c>
      <c r="U564" s="1" t="s">
        <v>23</v>
      </c>
      <c r="V564" s="1" t="s">
        <v>2679</v>
      </c>
    </row>
    <row r="565" customFormat="false" ht="13.8" hidden="false" customHeight="false" outlineLevel="0" collapsed="false">
      <c r="A565" s="1" t="n">
        <v>564</v>
      </c>
      <c r="B565" s="2" t="s">
        <v>2680</v>
      </c>
      <c r="C565" s="1" t="n">
        <v>10</v>
      </c>
      <c r="D565" s="1" t="n">
        <v>13</v>
      </c>
      <c r="E565" s="1" t="n">
        <v>20</v>
      </c>
      <c r="F565" s="1" t="n">
        <v>32</v>
      </c>
      <c r="G565" s="1" t="n">
        <v>38</v>
      </c>
      <c r="H565" s="1" t="n">
        <v>49</v>
      </c>
      <c r="I565" s="1" t="str">
        <f aca="false">RIGHT(("0"&amp;C565),2)&amp;RIGHT(("0"&amp;D565),2)&amp;RIGHT(("0"&amp;E565),2)&amp;RIGHT(("0"&amp;F565),2)&amp;RIGHT(("0"&amp;G565),2)&amp;RIGHT(("0"&amp;H565),2)</f>
        <v>101320323849</v>
      </c>
      <c r="J565" s="1" t="n">
        <f aca="false">COUNTIF(I:I,I565)</f>
        <v>1</v>
      </c>
      <c r="K565" s="1" t="n">
        <v>0</v>
      </c>
      <c r="M565" s="1" t="s">
        <v>23</v>
      </c>
      <c r="N565" s="1" t="n">
        <v>46</v>
      </c>
      <c r="O565" s="1" t="s">
        <v>2681</v>
      </c>
      <c r="P565" s="1" t="n">
        <v>4446</v>
      </c>
      <c r="Q565" s="1" t="s">
        <v>2682</v>
      </c>
      <c r="R565" s="1" t="s">
        <v>2683</v>
      </c>
      <c r="S565" s="1" t="s">
        <v>23</v>
      </c>
      <c r="T565" s="1" t="s">
        <v>23</v>
      </c>
      <c r="U565" s="1" t="s">
        <v>23</v>
      </c>
      <c r="V565" s="1" t="s">
        <v>2684</v>
      </c>
    </row>
    <row r="566" customFormat="false" ht="13.8" hidden="false" customHeight="false" outlineLevel="0" collapsed="false">
      <c r="A566" s="1" t="n">
        <v>565</v>
      </c>
      <c r="B566" s="2" t="s">
        <v>2685</v>
      </c>
      <c r="C566" s="1" t="n">
        <v>7</v>
      </c>
      <c r="D566" s="1" t="n">
        <v>31</v>
      </c>
      <c r="E566" s="1" t="n">
        <v>34</v>
      </c>
      <c r="F566" s="1" t="n">
        <v>35</v>
      </c>
      <c r="G566" s="1" t="n">
        <v>37</v>
      </c>
      <c r="H566" s="1" t="n">
        <v>45</v>
      </c>
      <c r="I566" s="1" t="str">
        <f aca="false">RIGHT(("0"&amp;C566),2)&amp;RIGHT(("0"&amp;D566),2)&amp;RIGHT(("0"&amp;E566),2)&amp;RIGHT(("0"&amp;F566),2)&amp;RIGHT(("0"&amp;G566),2)&amp;RIGHT(("0"&amp;H566),2)</f>
        <v>073134353745</v>
      </c>
      <c r="J566" s="1" t="n">
        <f aca="false">COUNTIF(I:I,I566)</f>
        <v>1</v>
      </c>
      <c r="K566" s="1" t="n">
        <v>0</v>
      </c>
      <c r="M566" s="1" t="s">
        <v>23</v>
      </c>
      <c r="N566" s="1" t="n">
        <v>57</v>
      </c>
      <c r="O566" s="1" t="s">
        <v>2686</v>
      </c>
      <c r="P566" s="1" t="n">
        <v>6804</v>
      </c>
      <c r="Q566" s="1" t="s">
        <v>2687</v>
      </c>
      <c r="R566" s="1" t="s">
        <v>2688</v>
      </c>
      <c r="S566" s="1" t="s">
        <v>23</v>
      </c>
      <c r="T566" s="1" t="s">
        <v>23</v>
      </c>
      <c r="U566" s="1" t="s">
        <v>23</v>
      </c>
      <c r="V566" s="1" t="s">
        <v>2689</v>
      </c>
    </row>
    <row r="567" customFormat="false" ht="13.8" hidden="false" customHeight="false" outlineLevel="0" collapsed="false">
      <c r="A567" s="1" t="n">
        <v>566</v>
      </c>
      <c r="B567" s="2" t="s">
        <v>2690</v>
      </c>
      <c r="C567" s="1" t="n">
        <v>6</v>
      </c>
      <c r="D567" s="1" t="n">
        <v>13</v>
      </c>
      <c r="E567" s="1" t="n">
        <v>17</v>
      </c>
      <c r="F567" s="1" t="n">
        <v>18</v>
      </c>
      <c r="G567" s="1" t="n">
        <v>20</v>
      </c>
      <c r="H567" s="1" t="n">
        <v>37</v>
      </c>
      <c r="I567" s="1" t="str">
        <f aca="false">RIGHT(("0"&amp;C567),2)&amp;RIGHT(("0"&amp;D567),2)&amp;RIGHT(("0"&amp;E567),2)&amp;RIGHT(("0"&amp;F567),2)&amp;RIGHT(("0"&amp;G567),2)&amp;RIGHT(("0"&amp;H567),2)</f>
        <v>061317182037</v>
      </c>
      <c r="J567" s="1" t="n">
        <f aca="false">COUNTIF(I:I,I567)</f>
        <v>1</v>
      </c>
      <c r="K567" s="1" t="n">
        <v>0</v>
      </c>
      <c r="M567" s="1" t="s">
        <v>23</v>
      </c>
      <c r="N567" s="1" t="n">
        <v>176</v>
      </c>
      <c r="O567" s="1" t="s">
        <v>2691</v>
      </c>
      <c r="P567" s="1" t="n">
        <v>13032</v>
      </c>
      <c r="Q567" s="1" t="s">
        <v>2692</v>
      </c>
      <c r="R567" s="1" t="s">
        <v>2693</v>
      </c>
      <c r="S567" s="1" t="s">
        <v>23</v>
      </c>
      <c r="T567" s="1" t="s">
        <v>23</v>
      </c>
      <c r="U567" s="1" t="s">
        <v>23</v>
      </c>
      <c r="V567" s="1" t="s">
        <v>2694</v>
      </c>
    </row>
    <row r="568" customFormat="false" ht="13.8" hidden="false" customHeight="false" outlineLevel="0" collapsed="false">
      <c r="A568" s="1" t="n">
        <v>567</v>
      </c>
      <c r="B568" s="2" t="s">
        <v>2695</v>
      </c>
      <c r="C568" s="1" t="n">
        <v>11</v>
      </c>
      <c r="D568" s="1" t="n">
        <v>31</v>
      </c>
      <c r="E568" s="1" t="n">
        <v>38</v>
      </c>
      <c r="F568" s="1" t="n">
        <v>41</v>
      </c>
      <c r="G568" s="1" t="n">
        <v>57</v>
      </c>
      <c r="H568" s="1" t="n">
        <v>58</v>
      </c>
      <c r="I568" s="1" t="str">
        <f aca="false">RIGHT(("0"&amp;C568),2)&amp;RIGHT(("0"&amp;D568),2)&amp;RIGHT(("0"&amp;E568),2)&amp;RIGHT(("0"&amp;F568),2)&amp;RIGHT(("0"&amp;G568),2)&amp;RIGHT(("0"&amp;H568),2)</f>
        <v>113138415758</v>
      </c>
      <c r="J568" s="1" t="n">
        <f aca="false">COUNTIF(I:I,I568)</f>
        <v>1</v>
      </c>
      <c r="K568" s="1" t="n">
        <v>0</v>
      </c>
      <c r="M568" s="1" t="s">
        <v>23</v>
      </c>
      <c r="N568" s="1" t="n">
        <v>69</v>
      </c>
      <c r="O568" s="1" t="s">
        <v>2696</v>
      </c>
      <c r="P568" s="1" t="n">
        <v>5787</v>
      </c>
      <c r="Q568" s="1" t="s">
        <v>2697</v>
      </c>
      <c r="R568" s="1" t="s">
        <v>2698</v>
      </c>
      <c r="S568" s="1" t="s">
        <v>23</v>
      </c>
      <c r="T568" s="1" t="s">
        <v>23</v>
      </c>
      <c r="U568" s="1" t="s">
        <v>23</v>
      </c>
      <c r="V568" s="1" t="s">
        <v>2699</v>
      </c>
    </row>
    <row r="569" customFormat="false" ht="13.8" hidden="false" customHeight="false" outlineLevel="0" collapsed="false">
      <c r="A569" s="1" t="n">
        <v>568</v>
      </c>
      <c r="B569" s="2" t="s">
        <v>2700</v>
      </c>
      <c r="C569" s="1" t="n">
        <v>13</v>
      </c>
      <c r="D569" s="1" t="n">
        <v>17</v>
      </c>
      <c r="E569" s="1" t="n">
        <v>22</v>
      </c>
      <c r="F569" s="1" t="n">
        <v>25</v>
      </c>
      <c r="G569" s="1" t="n">
        <v>29</v>
      </c>
      <c r="H569" s="1" t="n">
        <v>41</v>
      </c>
      <c r="I569" s="1" t="str">
        <f aca="false">RIGHT(("0"&amp;C569),2)&amp;RIGHT(("0"&amp;D569),2)&amp;RIGHT(("0"&amp;E569),2)&amp;RIGHT(("0"&amp;F569),2)&amp;RIGHT(("0"&amp;G569),2)&amp;RIGHT(("0"&amp;H569),2)</f>
        <v>131722252941</v>
      </c>
      <c r="J569" s="1" t="n">
        <f aca="false">COUNTIF(I:I,I569)</f>
        <v>1</v>
      </c>
      <c r="K569" s="1" t="n">
        <v>0</v>
      </c>
      <c r="M569" s="1" t="s">
        <v>23</v>
      </c>
      <c r="N569" s="1" t="n">
        <v>457</v>
      </c>
      <c r="O569" s="1" t="s">
        <v>2701</v>
      </c>
      <c r="P569" s="1" t="n">
        <v>24931</v>
      </c>
      <c r="Q569" s="1" t="s">
        <v>293</v>
      </c>
      <c r="R569" s="1" t="s">
        <v>2702</v>
      </c>
      <c r="S569" s="1" t="s">
        <v>23</v>
      </c>
      <c r="T569" s="1" t="s">
        <v>23</v>
      </c>
      <c r="U569" s="1" t="s">
        <v>23</v>
      </c>
      <c r="V569" s="1" t="s">
        <v>2703</v>
      </c>
    </row>
    <row r="570" customFormat="false" ht="13.8" hidden="false" customHeight="false" outlineLevel="0" collapsed="false">
      <c r="A570" s="1" t="n">
        <v>569</v>
      </c>
      <c r="B570" s="2" t="s">
        <v>2704</v>
      </c>
      <c r="C570" s="1" t="n">
        <v>3</v>
      </c>
      <c r="D570" s="1" t="n">
        <v>9</v>
      </c>
      <c r="E570" s="1" t="n">
        <v>14</v>
      </c>
      <c r="F570" s="1" t="n">
        <v>15</v>
      </c>
      <c r="G570" s="1" t="n">
        <v>32</v>
      </c>
      <c r="H570" s="1" t="n">
        <v>57</v>
      </c>
      <c r="I570" s="1" t="str">
        <f aca="false">RIGHT(("0"&amp;C570),2)&amp;RIGHT(("0"&amp;D570),2)&amp;RIGHT(("0"&amp;E570),2)&amp;RIGHT(("0"&amp;F570),2)&amp;RIGHT(("0"&amp;G570),2)&amp;RIGHT(("0"&amp;H570),2)</f>
        <v>030914153257</v>
      </c>
      <c r="J570" s="1" t="n">
        <f aca="false">COUNTIF(I:I,I570)</f>
        <v>1</v>
      </c>
      <c r="K570" s="1" t="n">
        <v>1</v>
      </c>
      <c r="L570" s="1" t="s">
        <v>66</v>
      </c>
      <c r="M570" s="1" t="s">
        <v>2705</v>
      </c>
      <c r="N570" s="1" t="n">
        <v>434</v>
      </c>
      <c r="O570" s="1" t="s">
        <v>2706</v>
      </c>
      <c r="P570" s="1" t="n">
        <v>29922</v>
      </c>
      <c r="Q570" s="1" t="s">
        <v>2707</v>
      </c>
      <c r="R570" s="1" t="s">
        <v>23</v>
      </c>
      <c r="S570" s="1" t="s">
        <v>23</v>
      </c>
      <c r="T570" s="1" t="s">
        <v>23</v>
      </c>
      <c r="U570" s="1" t="s">
        <v>23</v>
      </c>
      <c r="V570" s="1" t="s">
        <v>2708</v>
      </c>
    </row>
    <row r="571" customFormat="false" ht="13.8" hidden="false" customHeight="false" outlineLevel="0" collapsed="false">
      <c r="A571" s="1" t="n">
        <v>570</v>
      </c>
      <c r="B571" s="2" t="s">
        <v>2709</v>
      </c>
      <c r="C571" s="1" t="n">
        <v>15</v>
      </c>
      <c r="D571" s="1" t="n">
        <v>32</v>
      </c>
      <c r="E571" s="1" t="n">
        <v>33</v>
      </c>
      <c r="F571" s="1" t="n">
        <v>35</v>
      </c>
      <c r="G571" s="1" t="n">
        <v>36</v>
      </c>
      <c r="H571" s="1" t="n">
        <v>51</v>
      </c>
      <c r="I571" s="1" t="str">
        <f aca="false">RIGHT(("0"&amp;C571),2)&amp;RIGHT(("0"&amp;D571),2)&amp;RIGHT(("0"&amp;E571),2)&amp;RIGHT(("0"&amp;F571),2)&amp;RIGHT(("0"&amp;G571),2)&amp;RIGHT(("0"&amp;H571),2)</f>
        <v>153233353651</v>
      </c>
      <c r="J571" s="1" t="n">
        <f aca="false">COUNTIF(I:I,I571)</f>
        <v>1</v>
      </c>
      <c r="K571" s="1" t="n">
        <v>0</v>
      </c>
      <c r="M571" s="1" t="s">
        <v>23</v>
      </c>
      <c r="N571" s="1" t="n">
        <v>84</v>
      </c>
      <c r="O571" s="1" t="s">
        <v>2710</v>
      </c>
      <c r="P571" s="1" t="n">
        <v>7539</v>
      </c>
      <c r="Q571" s="1" t="s">
        <v>2711</v>
      </c>
      <c r="R571" s="1" t="s">
        <v>2712</v>
      </c>
      <c r="S571" s="1" t="s">
        <v>23</v>
      </c>
      <c r="T571" s="1" t="s">
        <v>23</v>
      </c>
      <c r="U571" s="1" t="s">
        <v>23</v>
      </c>
      <c r="V571" s="1" t="s">
        <v>2713</v>
      </c>
    </row>
    <row r="572" customFormat="false" ht="13.8" hidden="false" customHeight="false" outlineLevel="0" collapsed="false">
      <c r="A572" s="1" t="n">
        <v>571</v>
      </c>
      <c r="B572" s="2" t="s">
        <v>2714</v>
      </c>
      <c r="C572" s="1" t="n">
        <v>12</v>
      </c>
      <c r="D572" s="1" t="n">
        <v>13</v>
      </c>
      <c r="E572" s="1" t="n">
        <v>14</v>
      </c>
      <c r="F572" s="1" t="n">
        <v>31</v>
      </c>
      <c r="G572" s="1" t="n">
        <v>50</v>
      </c>
      <c r="H572" s="1" t="n">
        <v>51</v>
      </c>
      <c r="I572" s="1" t="str">
        <f aca="false">RIGHT(("0"&amp;C572),2)&amp;RIGHT(("0"&amp;D572),2)&amp;RIGHT(("0"&amp;E572),2)&amp;RIGHT(("0"&amp;F572),2)&amp;RIGHT(("0"&amp;G572),2)&amp;RIGHT(("0"&amp;H572),2)</f>
        <v>121314315051</v>
      </c>
      <c r="J572" s="1" t="n">
        <f aca="false">COUNTIF(I:I,I572)</f>
        <v>1</v>
      </c>
      <c r="K572" s="1" t="n">
        <v>0</v>
      </c>
      <c r="M572" s="1" t="s">
        <v>23</v>
      </c>
      <c r="N572" s="1" t="n">
        <v>69</v>
      </c>
      <c r="O572" s="1" t="s">
        <v>2715</v>
      </c>
      <c r="P572" s="1" t="n">
        <v>5572</v>
      </c>
      <c r="Q572" s="1" t="s">
        <v>2716</v>
      </c>
      <c r="R572" s="1" t="s">
        <v>2717</v>
      </c>
      <c r="S572" s="1" t="s">
        <v>23</v>
      </c>
      <c r="T572" s="1" t="s">
        <v>23</v>
      </c>
      <c r="U572" s="1" t="s">
        <v>23</v>
      </c>
      <c r="V572" s="1" t="s">
        <v>2718</v>
      </c>
    </row>
    <row r="573" customFormat="false" ht="13.8" hidden="false" customHeight="false" outlineLevel="0" collapsed="false">
      <c r="A573" s="1" t="n">
        <v>572</v>
      </c>
      <c r="B573" s="2" t="s">
        <v>2719</v>
      </c>
      <c r="C573" s="1" t="n">
        <v>3</v>
      </c>
      <c r="D573" s="1" t="n">
        <v>9</v>
      </c>
      <c r="E573" s="1" t="n">
        <v>16</v>
      </c>
      <c r="F573" s="1" t="n">
        <v>20</v>
      </c>
      <c r="G573" s="1" t="n">
        <v>33</v>
      </c>
      <c r="H573" s="1" t="n">
        <v>60</v>
      </c>
      <c r="I573" s="1" t="str">
        <f aca="false">RIGHT(("0"&amp;C573),2)&amp;RIGHT(("0"&amp;D573),2)&amp;RIGHT(("0"&amp;E573),2)&amp;RIGHT(("0"&amp;F573),2)&amp;RIGHT(("0"&amp;G573),2)&amp;RIGHT(("0"&amp;H573),2)</f>
        <v>030916203360</v>
      </c>
      <c r="J573" s="1" t="n">
        <f aca="false">COUNTIF(I:I,I573)</f>
        <v>1</v>
      </c>
      <c r="K573" s="1" t="n">
        <v>0</v>
      </c>
      <c r="M573" s="1" t="s">
        <v>23</v>
      </c>
      <c r="N573" s="1" t="n">
        <v>162</v>
      </c>
      <c r="O573" s="1" t="s">
        <v>2720</v>
      </c>
      <c r="P573" s="1" t="n">
        <v>9940</v>
      </c>
      <c r="Q573" s="1" t="s">
        <v>2721</v>
      </c>
      <c r="R573" s="1" t="s">
        <v>2722</v>
      </c>
      <c r="S573" s="1" t="s">
        <v>23</v>
      </c>
      <c r="T573" s="1" t="s">
        <v>23</v>
      </c>
      <c r="U573" s="1" t="s">
        <v>23</v>
      </c>
      <c r="V573" s="1" t="s">
        <v>2723</v>
      </c>
    </row>
    <row r="574" customFormat="false" ht="13.8" hidden="false" customHeight="false" outlineLevel="0" collapsed="false">
      <c r="A574" s="1" t="n">
        <v>573</v>
      </c>
      <c r="B574" s="2" t="s">
        <v>2724</v>
      </c>
      <c r="C574" s="1" t="n">
        <v>6</v>
      </c>
      <c r="D574" s="1" t="n">
        <v>17</v>
      </c>
      <c r="E574" s="1" t="n">
        <v>22</v>
      </c>
      <c r="F574" s="1" t="n">
        <v>29</v>
      </c>
      <c r="G574" s="1" t="n">
        <v>40</v>
      </c>
      <c r="H574" s="1" t="n">
        <v>59</v>
      </c>
      <c r="I574" s="1" t="str">
        <f aca="false">RIGHT(("0"&amp;C574),2)&amp;RIGHT(("0"&amp;D574),2)&amp;RIGHT(("0"&amp;E574),2)&amp;RIGHT(("0"&amp;F574),2)&amp;RIGHT(("0"&amp;G574),2)&amp;RIGHT(("0"&amp;H574),2)</f>
        <v>061722294059</v>
      </c>
      <c r="J574" s="1" t="n">
        <f aca="false">COUNTIF(I:I,I574)</f>
        <v>1</v>
      </c>
      <c r="K574" s="1" t="n">
        <v>0</v>
      </c>
      <c r="M574" s="1" t="s">
        <v>23</v>
      </c>
      <c r="N574" s="1" t="n">
        <v>82</v>
      </c>
      <c r="O574" s="1" t="s">
        <v>2725</v>
      </c>
      <c r="P574" s="1" t="n">
        <v>8272</v>
      </c>
      <c r="Q574" s="1" t="s">
        <v>2726</v>
      </c>
      <c r="R574" s="1" t="s">
        <v>2727</v>
      </c>
      <c r="S574" s="1" t="s">
        <v>23</v>
      </c>
      <c r="T574" s="1" t="s">
        <v>23</v>
      </c>
      <c r="U574" s="1" t="s">
        <v>23</v>
      </c>
      <c r="V574" s="1" t="s">
        <v>2728</v>
      </c>
    </row>
    <row r="575" customFormat="false" ht="13.8" hidden="false" customHeight="false" outlineLevel="0" collapsed="false">
      <c r="A575" s="1" t="n">
        <v>574</v>
      </c>
      <c r="B575" s="2" t="s">
        <v>2729</v>
      </c>
      <c r="C575" s="1" t="n">
        <v>2</v>
      </c>
      <c r="D575" s="1" t="n">
        <v>10</v>
      </c>
      <c r="E575" s="1" t="n">
        <v>17</v>
      </c>
      <c r="F575" s="1" t="n">
        <v>23</v>
      </c>
      <c r="G575" s="1" t="n">
        <v>32</v>
      </c>
      <c r="H575" s="1" t="n">
        <v>44</v>
      </c>
      <c r="I575" s="1" t="str">
        <f aca="false">RIGHT(("0"&amp;C575),2)&amp;RIGHT(("0"&amp;D575),2)&amp;RIGHT(("0"&amp;E575),2)&amp;RIGHT(("0"&amp;F575),2)&amp;RIGHT(("0"&amp;G575),2)&amp;RIGHT(("0"&amp;H575),2)</f>
        <v>021017233244</v>
      </c>
      <c r="J575" s="1" t="n">
        <f aca="false">COUNTIF(I:I,I575)</f>
        <v>1</v>
      </c>
      <c r="K575" s="1" t="n">
        <v>0</v>
      </c>
      <c r="M575" s="1" t="s">
        <v>23</v>
      </c>
      <c r="N575" s="1" t="n">
        <v>162</v>
      </c>
      <c r="O575" s="1" t="s">
        <v>2730</v>
      </c>
      <c r="P575" s="1" t="n">
        <v>12691</v>
      </c>
      <c r="Q575" s="1" t="s">
        <v>2731</v>
      </c>
      <c r="R575" s="1" t="s">
        <v>2732</v>
      </c>
      <c r="S575" s="1" t="s">
        <v>23</v>
      </c>
      <c r="T575" s="1" t="s">
        <v>23</v>
      </c>
      <c r="U575" s="1" t="s">
        <v>23</v>
      </c>
      <c r="V575" s="1" t="s">
        <v>2733</v>
      </c>
    </row>
    <row r="576" customFormat="false" ht="13.8" hidden="false" customHeight="false" outlineLevel="0" collapsed="false">
      <c r="A576" s="1" t="n">
        <v>575</v>
      </c>
      <c r="B576" s="2" t="s">
        <v>2734</v>
      </c>
      <c r="C576" s="1" t="n">
        <v>5</v>
      </c>
      <c r="D576" s="1" t="n">
        <v>18</v>
      </c>
      <c r="E576" s="1" t="n">
        <v>21</v>
      </c>
      <c r="F576" s="1" t="n">
        <v>29</v>
      </c>
      <c r="G576" s="1" t="n">
        <v>35</v>
      </c>
      <c r="H576" s="1" t="n">
        <v>48</v>
      </c>
      <c r="I576" s="1" t="str">
        <f aca="false">RIGHT(("0"&amp;C576),2)&amp;RIGHT(("0"&amp;D576),2)&amp;RIGHT(("0"&amp;E576),2)&amp;RIGHT(("0"&amp;F576),2)&amp;RIGHT(("0"&amp;G576),2)&amp;RIGHT(("0"&amp;H576),2)</f>
        <v>051821293548</v>
      </c>
      <c r="J576" s="1" t="n">
        <f aca="false">COUNTIF(I:I,I576)</f>
        <v>1</v>
      </c>
      <c r="K576" s="1" t="n">
        <v>2</v>
      </c>
      <c r="L576" s="1" t="s">
        <v>1070</v>
      </c>
      <c r="M576" s="1" t="s">
        <v>2735</v>
      </c>
      <c r="N576" s="1" t="n">
        <v>470</v>
      </c>
      <c r="O576" s="1" t="s">
        <v>2736</v>
      </c>
      <c r="P576" s="1" t="n">
        <v>21660</v>
      </c>
      <c r="Q576" s="1" t="s">
        <v>2737</v>
      </c>
      <c r="R576" s="1" t="s">
        <v>23</v>
      </c>
      <c r="S576" s="1" t="s">
        <v>23</v>
      </c>
      <c r="T576" s="1" t="s">
        <v>23</v>
      </c>
      <c r="U576" s="1" t="s">
        <v>23</v>
      </c>
      <c r="V576" s="1" t="s">
        <v>1876</v>
      </c>
    </row>
    <row r="577" customFormat="false" ht="13.8" hidden="false" customHeight="false" outlineLevel="0" collapsed="false">
      <c r="A577" s="1" t="n">
        <v>576</v>
      </c>
      <c r="B577" s="2" t="s">
        <v>2738</v>
      </c>
      <c r="C577" s="1" t="n">
        <v>7</v>
      </c>
      <c r="D577" s="1" t="n">
        <v>8</v>
      </c>
      <c r="E577" s="1" t="n">
        <v>18</v>
      </c>
      <c r="F577" s="1" t="n">
        <v>39</v>
      </c>
      <c r="G577" s="1" t="n">
        <v>43</v>
      </c>
      <c r="H577" s="1" t="n">
        <v>52</v>
      </c>
      <c r="I577" s="1" t="str">
        <f aca="false">RIGHT(("0"&amp;C577),2)&amp;RIGHT(("0"&amp;D577),2)&amp;RIGHT(("0"&amp;E577),2)&amp;RIGHT(("0"&amp;F577),2)&amp;RIGHT(("0"&amp;G577),2)&amp;RIGHT(("0"&amp;H577),2)</f>
        <v>070818394352</v>
      </c>
      <c r="J577" s="1" t="n">
        <f aca="false">COUNTIF(I:I,I577)</f>
        <v>1</v>
      </c>
      <c r="K577" s="1" t="n">
        <v>0</v>
      </c>
      <c r="M577" s="1" t="s">
        <v>23</v>
      </c>
      <c r="N577" s="1" t="n">
        <v>27</v>
      </c>
      <c r="O577" s="1" t="s">
        <v>2739</v>
      </c>
      <c r="P577" s="1" t="n">
        <v>1978</v>
      </c>
      <c r="Q577" s="1" t="s">
        <v>2740</v>
      </c>
      <c r="R577" s="1" t="s">
        <v>2741</v>
      </c>
      <c r="S577" s="1" t="s">
        <v>23</v>
      </c>
      <c r="T577" s="1" t="s">
        <v>23</v>
      </c>
      <c r="U577" s="1" t="s">
        <v>23</v>
      </c>
      <c r="V577" s="1" t="s">
        <v>2552</v>
      </c>
    </row>
    <row r="578" customFormat="false" ht="13.8" hidden="false" customHeight="false" outlineLevel="0" collapsed="false">
      <c r="A578" s="1" t="n">
        <v>577</v>
      </c>
      <c r="B578" s="2" t="s">
        <v>2742</v>
      </c>
      <c r="C578" s="1" t="n">
        <v>8</v>
      </c>
      <c r="D578" s="1" t="n">
        <v>23</v>
      </c>
      <c r="E578" s="1" t="n">
        <v>24</v>
      </c>
      <c r="F578" s="1" t="n">
        <v>28</v>
      </c>
      <c r="G578" s="1" t="n">
        <v>31</v>
      </c>
      <c r="H578" s="1" t="n">
        <v>47</v>
      </c>
      <c r="I578" s="1" t="str">
        <f aca="false">RIGHT(("0"&amp;C578),2)&amp;RIGHT(("0"&amp;D578),2)&amp;RIGHT(("0"&amp;E578),2)&amp;RIGHT(("0"&amp;F578),2)&amp;RIGHT(("0"&amp;G578),2)&amp;RIGHT(("0"&amp;H578),2)</f>
        <v>082324283147</v>
      </c>
      <c r="J578" s="1" t="n">
        <f aca="false">COUNTIF(I:I,I578)</f>
        <v>1</v>
      </c>
      <c r="K578" s="1" t="n">
        <v>0</v>
      </c>
      <c r="M578" s="1" t="s">
        <v>23</v>
      </c>
      <c r="N578" s="1" t="n">
        <v>57</v>
      </c>
      <c r="O578" s="1" t="s">
        <v>2743</v>
      </c>
      <c r="P578" s="1" t="n">
        <v>4579</v>
      </c>
      <c r="Q578" s="1" t="s">
        <v>2744</v>
      </c>
      <c r="R578" s="1" t="s">
        <v>2745</v>
      </c>
      <c r="S578" s="1" t="s">
        <v>23</v>
      </c>
      <c r="T578" s="1" t="s">
        <v>23</v>
      </c>
      <c r="U578" s="1" t="s">
        <v>23</v>
      </c>
      <c r="V578" s="1" t="s">
        <v>2746</v>
      </c>
    </row>
    <row r="579" customFormat="false" ht="13.8" hidden="false" customHeight="false" outlineLevel="0" collapsed="false">
      <c r="A579" s="1" t="n">
        <v>578</v>
      </c>
      <c r="B579" s="2" t="s">
        <v>2747</v>
      </c>
      <c r="C579" s="1" t="n">
        <v>3</v>
      </c>
      <c r="D579" s="1" t="n">
        <v>18</v>
      </c>
      <c r="E579" s="1" t="n">
        <v>23</v>
      </c>
      <c r="F579" s="1" t="n">
        <v>48</v>
      </c>
      <c r="G579" s="1" t="n">
        <v>56</v>
      </c>
      <c r="H579" s="1" t="n">
        <v>58</v>
      </c>
      <c r="I579" s="1" t="str">
        <f aca="false">RIGHT(("0"&amp;C579),2)&amp;RIGHT(("0"&amp;D579),2)&amp;RIGHT(("0"&amp;E579),2)&amp;RIGHT(("0"&amp;F579),2)&amp;RIGHT(("0"&amp;G579),2)&amp;RIGHT(("0"&amp;H579),2)</f>
        <v>031823485658</v>
      </c>
      <c r="J579" s="1" t="n">
        <f aca="false">COUNTIF(I:I,I579)</f>
        <v>1</v>
      </c>
      <c r="K579" s="1" t="n">
        <v>1</v>
      </c>
      <c r="L579" s="1" t="s">
        <v>157</v>
      </c>
      <c r="M579" s="1" t="s">
        <v>2748</v>
      </c>
      <c r="N579" s="1" t="n">
        <v>62</v>
      </c>
      <c r="O579" s="1" t="s">
        <v>2749</v>
      </c>
      <c r="P579" s="1" t="n">
        <v>3639</v>
      </c>
      <c r="Q579" s="1" t="s">
        <v>2750</v>
      </c>
      <c r="R579" s="1" t="s">
        <v>23</v>
      </c>
      <c r="S579" s="1" t="s">
        <v>23</v>
      </c>
      <c r="T579" s="1" t="s">
        <v>23</v>
      </c>
      <c r="U579" s="1" t="s">
        <v>23</v>
      </c>
      <c r="V579" s="1" t="s">
        <v>2547</v>
      </c>
    </row>
    <row r="580" customFormat="false" ht="13.8" hidden="false" customHeight="false" outlineLevel="0" collapsed="false">
      <c r="A580" s="1" t="n">
        <v>579</v>
      </c>
      <c r="B580" s="2" t="s">
        <v>2751</v>
      </c>
      <c r="C580" s="1" t="n">
        <v>4</v>
      </c>
      <c r="D580" s="1" t="n">
        <v>9</v>
      </c>
      <c r="E580" s="1" t="n">
        <v>15</v>
      </c>
      <c r="F580" s="1" t="n">
        <v>17</v>
      </c>
      <c r="G580" s="1" t="n">
        <v>34</v>
      </c>
      <c r="H580" s="1" t="n">
        <v>39</v>
      </c>
      <c r="I580" s="1" t="str">
        <f aca="false">RIGHT(("0"&amp;C580),2)&amp;RIGHT(("0"&amp;D580),2)&amp;RIGHT(("0"&amp;E580),2)&amp;RIGHT(("0"&amp;F580),2)&amp;RIGHT(("0"&amp;G580),2)&amp;RIGHT(("0"&amp;H580),2)</f>
        <v>040915173439</v>
      </c>
      <c r="J580" s="1" t="n">
        <f aca="false">COUNTIF(I:I,I580)</f>
        <v>1</v>
      </c>
      <c r="K580" s="1" t="n">
        <v>1</v>
      </c>
      <c r="L580" s="1" t="s">
        <v>2600</v>
      </c>
      <c r="M580" s="1" t="s">
        <v>2752</v>
      </c>
      <c r="N580" s="1" t="n">
        <v>90</v>
      </c>
      <c r="O580" s="1" t="s">
        <v>2753</v>
      </c>
      <c r="P580" s="1" t="n">
        <v>5172</v>
      </c>
      <c r="Q580" s="1" t="s">
        <v>2754</v>
      </c>
      <c r="R580" s="1" t="s">
        <v>23</v>
      </c>
      <c r="S580" s="1" t="s">
        <v>23</v>
      </c>
      <c r="T580" s="1" t="s">
        <v>23</v>
      </c>
      <c r="U580" s="1" t="s">
        <v>23</v>
      </c>
      <c r="V580" s="1" t="s">
        <v>2755</v>
      </c>
    </row>
    <row r="581" customFormat="false" ht="13.8" hidden="false" customHeight="false" outlineLevel="0" collapsed="false">
      <c r="A581" s="1" t="n">
        <v>580</v>
      </c>
      <c r="B581" s="2" t="s">
        <v>2756</v>
      </c>
      <c r="C581" s="1" t="n">
        <v>15</v>
      </c>
      <c r="D581" s="1" t="n">
        <v>16</v>
      </c>
      <c r="E581" s="1" t="n">
        <v>18</v>
      </c>
      <c r="F581" s="1" t="n">
        <v>28</v>
      </c>
      <c r="G581" s="1" t="n">
        <v>38</v>
      </c>
      <c r="H581" s="1" t="n">
        <v>47</v>
      </c>
      <c r="I581" s="1" t="str">
        <f aca="false">RIGHT(("0"&amp;C581),2)&amp;RIGHT(("0"&amp;D581),2)&amp;RIGHT(("0"&amp;E581),2)&amp;RIGHT(("0"&amp;F581),2)&amp;RIGHT(("0"&amp;G581),2)&amp;RIGHT(("0"&amp;H581),2)</f>
        <v>151618283847</v>
      </c>
      <c r="J581" s="1" t="n">
        <f aca="false">COUNTIF(I:I,I581)</f>
        <v>1</v>
      </c>
      <c r="K581" s="1" t="n">
        <v>0</v>
      </c>
      <c r="M581" s="1" t="s">
        <v>23</v>
      </c>
      <c r="N581" s="1" t="n">
        <v>56</v>
      </c>
      <c r="O581" s="1" t="s">
        <v>2757</v>
      </c>
      <c r="P581" s="1" t="n">
        <v>4097</v>
      </c>
      <c r="Q581" s="1" t="s">
        <v>2758</v>
      </c>
      <c r="R581" s="1" t="s">
        <v>2759</v>
      </c>
      <c r="S581" s="1" t="s">
        <v>23</v>
      </c>
      <c r="T581" s="1" t="s">
        <v>23</v>
      </c>
      <c r="U581" s="1" t="s">
        <v>23</v>
      </c>
      <c r="V581" s="1" t="s">
        <v>2760</v>
      </c>
    </row>
    <row r="582" customFormat="false" ht="13.8" hidden="false" customHeight="false" outlineLevel="0" collapsed="false">
      <c r="A582" s="1" t="n">
        <v>581</v>
      </c>
      <c r="B582" s="2" t="s">
        <v>2761</v>
      </c>
      <c r="C582" s="1" t="n">
        <v>14</v>
      </c>
      <c r="D582" s="1" t="n">
        <v>17</v>
      </c>
      <c r="E582" s="1" t="n">
        <v>25</v>
      </c>
      <c r="F582" s="1" t="n">
        <v>30</v>
      </c>
      <c r="G582" s="1" t="n">
        <v>39</v>
      </c>
      <c r="H582" s="1" t="n">
        <v>52</v>
      </c>
      <c r="I582" s="1" t="str">
        <f aca="false">RIGHT(("0"&amp;C582),2)&amp;RIGHT(("0"&amp;D582),2)&amp;RIGHT(("0"&amp;E582),2)&amp;RIGHT(("0"&amp;F582),2)&amp;RIGHT(("0"&amp;G582),2)&amp;RIGHT(("0"&amp;H582),2)</f>
        <v>141725303952</v>
      </c>
      <c r="J582" s="1" t="n">
        <f aca="false">COUNTIF(I:I,I582)</f>
        <v>1</v>
      </c>
      <c r="K582" s="1" t="n">
        <v>1</v>
      </c>
      <c r="L582" s="1" t="s">
        <v>91</v>
      </c>
      <c r="M582" s="1" t="s">
        <v>2762</v>
      </c>
      <c r="N582" s="1" t="n">
        <v>56</v>
      </c>
      <c r="O582" s="1" t="s">
        <v>2763</v>
      </c>
      <c r="P582" s="1" t="n">
        <v>4429</v>
      </c>
      <c r="Q582" s="1" t="s">
        <v>2764</v>
      </c>
      <c r="R582" s="1" t="s">
        <v>23</v>
      </c>
      <c r="S582" s="1" t="s">
        <v>23</v>
      </c>
      <c r="T582" s="1" t="s">
        <v>23</v>
      </c>
      <c r="U582" s="1" t="s">
        <v>23</v>
      </c>
      <c r="V582" s="1" t="s">
        <v>2330</v>
      </c>
    </row>
    <row r="583" customFormat="false" ht="13.8" hidden="false" customHeight="false" outlineLevel="0" collapsed="false">
      <c r="A583" s="1" t="n">
        <v>582</v>
      </c>
      <c r="B583" s="2" t="s">
        <v>2765</v>
      </c>
      <c r="C583" s="1" t="n">
        <v>13</v>
      </c>
      <c r="D583" s="1" t="n">
        <v>29</v>
      </c>
      <c r="E583" s="1" t="n">
        <v>40</v>
      </c>
      <c r="F583" s="1" t="n">
        <v>45</v>
      </c>
      <c r="G583" s="1" t="n">
        <v>51</v>
      </c>
      <c r="H583" s="1" t="n">
        <v>59</v>
      </c>
      <c r="I583" s="1" t="str">
        <f aca="false">RIGHT(("0"&amp;C583),2)&amp;RIGHT(("0"&amp;D583),2)&amp;RIGHT(("0"&amp;E583),2)&amp;RIGHT(("0"&amp;F583),2)&amp;RIGHT(("0"&amp;G583),2)&amp;RIGHT(("0"&amp;H583),2)</f>
        <v>132940455159</v>
      </c>
      <c r="J583" s="1" t="n">
        <f aca="false">COUNTIF(I:I,I583)</f>
        <v>1</v>
      </c>
      <c r="K583" s="1" t="n">
        <v>0</v>
      </c>
      <c r="M583" s="1" t="s">
        <v>23</v>
      </c>
      <c r="N583" s="1" t="n">
        <v>29</v>
      </c>
      <c r="O583" s="1" t="s">
        <v>2766</v>
      </c>
      <c r="P583" s="1" t="n">
        <v>1943</v>
      </c>
      <c r="Q583" s="1" t="s">
        <v>2767</v>
      </c>
      <c r="R583" s="1" t="s">
        <v>2768</v>
      </c>
      <c r="S583" s="1" t="s">
        <v>23</v>
      </c>
      <c r="T583" s="1" t="s">
        <v>23</v>
      </c>
      <c r="U583" s="1" t="s">
        <v>23</v>
      </c>
      <c r="V583" s="1" t="s">
        <v>2552</v>
      </c>
    </row>
    <row r="584" customFormat="false" ht="13.8" hidden="false" customHeight="false" outlineLevel="0" collapsed="false">
      <c r="A584" s="1" t="n">
        <v>583</v>
      </c>
      <c r="B584" s="2" t="s">
        <v>2769</v>
      </c>
      <c r="C584" s="1" t="n">
        <v>6</v>
      </c>
      <c r="D584" s="1" t="n">
        <v>7</v>
      </c>
      <c r="E584" s="1" t="n">
        <v>20</v>
      </c>
      <c r="F584" s="1" t="n">
        <v>41</v>
      </c>
      <c r="G584" s="1" t="n">
        <v>43</v>
      </c>
      <c r="H584" s="1" t="n">
        <v>55</v>
      </c>
      <c r="I584" s="1" t="str">
        <f aca="false">RIGHT(("0"&amp;C584),2)&amp;RIGHT(("0"&amp;D584),2)&amp;RIGHT(("0"&amp;E584),2)&amp;RIGHT(("0"&amp;F584),2)&amp;RIGHT(("0"&amp;G584),2)&amp;RIGHT(("0"&amp;H584),2)</f>
        <v>060720414355</v>
      </c>
      <c r="J584" s="1" t="n">
        <f aca="false">COUNTIF(I:I,I584)</f>
        <v>1</v>
      </c>
      <c r="K584" s="1" t="n">
        <v>0</v>
      </c>
      <c r="M584" s="1" t="s">
        <v>23</v>
      </c>
      <c r="N584" s="1" t="n">
        <v>36</v>
      </c>
      <c r="O584" s="1" t="s">
        <v>2770</v>
      </c>
      <c r="P584" s="1" t="n">
        <v>2157</v>
      </c>
      <c r="Q584" s="1" t="s">
        <v>2771</v>
      </c>
      <c r="R584" s="1" t="s">
        <v>2772</v>
      </c>
      <c r="S584" s="1" t="s">
        <v>23</v>
      </c>
      <c r="T584" s="1" t="s">
        <v>23</v>
      </c>
      <c r="U584" s="1" t="s">
        <v>23</v>
      </c>
      <c r="V584" s="1" t="s">
        <v>2773</v>
      </c>
    </row>
    <row r="585" customFormat="false" ht="13.8" hidden="false" customHeight="false" outlineLevel="0" collapsed="false">
      <c r="A585" s="1" t="n">
        <v>584</v>
      </c>
      <c r="B585" s="2" t="s">
        <v>2774</v>
      </c>
      <c r="C585" s="1" t="n">
        <v>7</v>
      </c>
      <c r="D585" s="1" t="n">
        <v>8</v>
      </c>
      <c r="E585" s="1" t="n">
        <v>23</v>
      </c>
      <c r="F585" s="1" t="n">
        <v>30</v>
      </c>
      <c r="G585" s="1" t="n">
        <v>32</v>
      </c>
      <c r="H585" s="1" t="n">
        <v>53</v>
      </c>
      <c r="I585" s="1" t="str">
        <f aca="false">RIGHT(("0"&amp;C585),2)&amp;RIGHT(("0"&amp;D585),2)&amp;RIGHT(("0"&amp;E585),2)&amp;RIGHT(("0"&amp;F585),2)&amp;RIGHT(("0"&amp;G585),2)&amp;RIGHT(("0"&amp;H585),2)</f>
        <v>070823303253</v>
      </c>
      <c r="J585" s="1" t="n">
        <f aca="false">COUNTIF(I:I,I585)</f>
        <v>1</v>
      </c>
      <c r="K585" s="1" t="n">
        <v>0</v>
      </c>
      <c r="M585" s="1" t="s">
        <v>23</v>
      </c>
      <c r="N585" s="1" t="n">
        <v>49</v>
      </c>
      <c r="O585" s="1" t="s">
        <v>2775</v>
      </c>
      <c r="P585" s="1" t="n">
        <v>3278</v>
      </c>
      <c r="Q585" s="1" t="s">
        <v>2776</v>
      </c>
      <c r="R585" s="1" t="s">
        <v>2777</v>
      </c>
      <c r="S585" s="1" t="s">
        <v>23</v>
      </c>
      <c r="T585" s="1" t="s">
        <v>23</v>
      </c>
      <c r="U585" s="1" t="s">
        <v>23</v>
      </c>
      <c r="V585" s="1" t="s">
        <v>2778</v>
      </c>
    </row>
    <row r="586" customFormat="false" ht="13.8" hidden="false" customHeight="false" outlineLevel="0" collapsed="false">
      <c r="A586" s="1" t="n">
        <v>585</v>
      </c>
      <c r="B586" s="2" t="s">
        <v>2779</v>
      </c>
      <c r="C586" s="1" t="n">
        <v>12</v>
      </c>
      <c r="D586" s="1" t="n">
        <v>24</v>
      </c>
      <c r="E586" s="1" t="n">
        <v>33</v>
      </c>
      <c r="F586" s="1" t="n">
        <v>36</v>
      </c>
      <c r="G586" s="1" t="n">
        <v>39</v>
      </c>
      <c r="H586" s="1" t="n">
        <v>57</v>
      </c>
      <c r="I586" s="1" t="str">
        <f aca="false">RIGHT(("0"&amp;C586),2)&amp;RIGHT(("0"&amp;D586),2)&amp;RIGHT(("0"&amp;E586),2)&amp;RIGHT(("0"&amp;F586),2)&amp;RIGHT(("0"&amp;G586),2)&amp;RIGHT(("0"&amp;H586),2)</f>
        <v>122433363957</v>
      </c>
      <c r="J586" s="1" t="n">
        <f aca="false">COUNTIF(I:I,I586)</f>
        <v>1</v>
      </c>
      <c r="K586" s="1" t="n">
        <v>1</v>
      </c>
      <c r="L586" s="1" t="s">
        <v>157</v>
      </c>
      <c r="M586" s="1" t="s">
        <v>2780</v>
      </c>
      <c r="N586" s="1" t="n">
        <v>124</v>
      </c>
      <c r="O586" s="1" t="s">
        <v>2781</v>
      </c>
      <c r="P586" s="1" t="n">
        <v>7122</v>
      </c>
      <c r="Q586" s="1" t="s">
        <v>2782</v>
      </c>
      <c r="R586" s="1" t="s">
        <v>23</v>
      </c>
      <c r="S586" s="1" t="s">
        <v>23</v>
      </c>
      <c r="T586" s="1" t="s">
        <v>23</v>
      </c>
      <c r="U586" s="1" t="s">
        <v>23</v>
      </c>
      <c r="V586" s="1" t="s">
        <v>1876</v>
      </c>
    </row>
    <row r="587" customFormat="false" ht="13.8" hidden="false" customHeight="false" outlineLevel="0" collapsed="false">
      <c r="A587" s="1" t="n">
        <v>586</v>
      </c>
      <c r="B587" s="2" t="s">
        <v>2783</v>
      </c>
      <c r="C587" s="1" t="n">
        <v>11</v>
      </c>
      <c r="D587" s="1" t="n">
        <v>13</v>
      </c>
      <c r="E587" s="1" t="n">
        <v>38</v>
      </c>
      <c r="F587" s="1" t="n">
        <v>39</v>
      </c>
      <c r="G587" s="1" t="n">
        <v>45</v>
      </c>
      <c r="H587" s="1" t="n">
        <v>54</v>
      </c>
      <c r="I587" s="1" t="str">
        <f aca="false">RIGHT(("0"&amp;C587),2)&amp;RIGHT(("0"&amp;D587),2)&amp;RIGHT(("0"&amp;E587),2)&amp;RIGHT(("0"&amp;F587),2)&amp;RIGHT(("0"&amp;G587),2)&amp;RIGHT(("0"&amp;H587),2)</f>
        <v>111338394554</v>
      </c>
      <c r="J587" s="1" t="n">
        <f aca="false">COUNTIF(I:I,I587)</f>
        <v>1</v>
      </c>
      <c r="K587" s="1" t="n">
        <v>0</v>
      </c>
      <c r="M587" s="1" t="s">
        <v>23</v>
      </c>
      <c r="N587" s="1" t="n">
        <v>30</v>
      </c>
      <c r="O587" s="1" t="s">
        <v>2784</v>
      </c>
      <c r="P587" s="1" t="n">
        <v>2162</v>
      </c>
      <c r="Q587" s="1" t="s">
        <v>2785</v>
      </c>
      <c r="R587" s="1" t="s">
        <v>2786</v>
      </c>
      <c r="S587" s="1" t="s">
        <v>23</v>
      </c>
      <c r="T587" s="1" t="s">
        <v>23</v>
      </c>
      <c r="U587" s="1" t="s">
        <v>23</v>
      </c>
      <c r="V587" s="1" t="s">
        <v>2787</v>
      </c>
    </row>
    <row r="588" customFormat="false" ht="13.8" hidden="false" customHeight="false" outlineLevel="0" collapsed="false">
      <c r="A588" s="1" t="n">
        <v>587</v>
      </c>
      <c r="B588" s="2" t="s">
        <v>2788</v>
      </c>
      <c r="C588" s="1" t="n">
        <v>2</v>
      </c>
      <c r="D588" s="1" t="n">
        <v>18</v>
      </c>
      <c r="E588" s="1" t="n">
        <v>29</v>
      </c>
      <c r="F588" s="1" t="n">
        <v>30</v>
      </c>
      <c r="G588" s="1" t="n">
        <v>36</v>
      </c>
      <c r="H588" s="1" t="n">
        <v>60</v>
      </c>
      <c r="I588" s="1" t="str">
        <f aca="false">RIGHT(("0"&amp;C588),2)&amp;RIGHT(("0"&amp;D588),2)&amp;RIGHT(("0"&amp;E588),2)&amp;RIGHT(("0"&amp;F588),2)&amp;RIGHT(("0"&amp;G588),2)&amp;RIGHT(("0"&amp;H588),2)</f>
        <v>021829303660</v>
      </c>
      <c r="J588" s="1" t="n">
        <f aca="false">COUNTIF(I:I,I588)</f>
        <v>1</v>
      </c>
      <c r="K588" s="1" t="n">
        <v>0</v>
      </c>
      <c r="M588" s="1" t="s">
        <v>23</v>
      </c>
      <c r="N588" s="1" t="n">
        <v>36</v>
      </c>
      <c r="O588" s="1" t="s">
        <v>2789</v>
      </c>
      <c r="P588" s="1" t="n">
        <v>2436</v>
      </c>
      <c r="Q588" s="1" t="s">
        <v>2790</v>
      </c>
      <c r="R588" s="1" t="s">
        <v>2791</v>
      </c>
      <c r="S588" s="1" t="s">
        <v>23</v>
      </c>
      <c r="T588" s="1" t="s">
        <v>23</v>
      </c>
      <c r="U588" s="1" t="s">
        <v>23</v>
      </c>
      <c r="V588" s="1" t="s">
        <v>2792</v>
      </c>
    </row>
    <row r="589" customFormat="false" ht="13.8" hidden="false" customHeight="false" outlineLevel="0" collapsed="false">
      <c r="A589" s="1" t="n">
        <v>588</v>
      </c>
      <c r="B589" s="2" t="s">
        <v>2793</v>
      </c>
      <c r="C589" s="1" t="n">
        <v>11</v>
      </c>
      <c r="D589" s="1" t="n">
        <v>13</v>
      </c>
      <c r="E589" s="1" t="n">
        <v>45</v>
      </c>
      <c r="F589" s="1" t="n">
        <v>46</v>
      </c>
      <c r="G589" s="1" t="n">
        <v>53</v>
      </c>
      <c r="H589" s="1" t="n">
        <v>55</v>
      </c>
      <c r="I589" s="1" t="str">
        <f aca="false">RIGHT(("0"&amp;C589),2)&amp;RIGHT(("0"&amp;D589),2)&amp;RIGHT(("0"&amp;E589),2)&amp;RIGHT(("0"&amp;F589),2)&amp;RIGHT(("0"&amp;G589),2)&amp;RIGHT(("0"&amp;H589),2)</f>
        <v>111345465355</v>
      </c>
      <c r="J589" s="1" t="n">
        <f aca="false">COUNTIF(I:I,I589)</f>
        <v>1</v>
      </c>
      <c r="K589" s="1" t="n">
        <v>0</v>
      </c>
      <c r="M589" s="1" t="s">
        <v>23</v>
      </c>
      <c r="N589" s="1" t="n">
        <v>22</v>
      </c>
      <c r="O589" s="1" t="s">
        <v>2794</v>
      </c>
      <c r="P589" s="1" t="n">
        <v>2088</v>
      </c>
      <c r="Q589" s="1" t="s">
        <v>2795</v>
      </c>
      <c r="R589" s="1" t="s">
        <v>2796</v>
      </c>
      <c r="S589" s="1" t="s">
        <v>23</v>
      </c>
      <c r="T589" s="1" t="s">
        <v>23</v>
      </c>
      <c r="U589" s="1" t="s">
        <v>23</v>
      </c>
      <c r="V589" s="1" t="s">
        <v>2797</v>
      </c>
    </row>
    <row r="590" customFormat="false" ht="13.8" hidden="false" customHeight="false" outlineLevel="0" collapsed="false">
      <c r="A590" s="1" t="n">
        <v>589</v>
      </c>
      <c r="B590" s="2" t="s">
        <v>2798</v>
      </c>
      <c r="C590" s="1" t="n">
        <v>6</v>
      </c>
      <c r="D590" s="1" t="n">
        <v>7</v>
      </c>
      <c r="E590" s="1" t="n">
        <v>8</v>
      </c>
      <c r="F590" s="1" t="n">
        <v>13</v>
      </c>
      <c r="G590" s="1" t="n">
        <v>33</v>
      </c>
      <c r="H590" s="1" t="n">
        <v>59</v>
      </c>
      <c r="I590" s="1" t="str">
        <f aca="false">RIGHT(("0"&amp;C590),2)&amp;RIGHT(("0"&amp;D590),2)&amp;RIGHT(("0"&amp;E590),2)&amp;RIGHT(("0"&amp;F590),2)&amp;RIGHT(("0"&amp;G590),2)&amp;RIGHT(("0"&amp;H590),2)</f>
        <v>060708133359</v>
      </c>
      <c r="J590" s="1" t="n">
        <f aca="false">COUNTIF(I:I,I590)</f>
        <v>1</v>
      </c>
      <c r="K590" s="1" t="n">
        <v>0</v>
      </c>
      <c r="M590" s="1" t="s">
        <v>23</v>
      </c>
      <c r="N590" s="1" t="n">
        <v>152</v>
      </c>
      <c r="O590" s="1" t="s">
        <v>2799</v>
      </c>
      <c r="P590" s="1" t="n">
        <v>9005</v>
      </c>
      <c r="Q590" s="1" t="s">
        <v>2800</v>
      </c>
      <c r="R590" s="1" t="s">
        <v>2801</v>
      </c>
      <c r="S590" s="1" t="s">
        <v>23</v>
      </c>
      <c r="T590" s="1" t="s">
        <v>23</v>
      </c>
      <c r="U590" s="1" t="s">
        <v>23</v>
      </c>
      <c r="V590" s="1" t="s">
        <v>2760</v>
      </c>
    </row>
    <row r="591" customFormat="false" ht="13.8" hidden="false" customHeight="false" outlineLevel="0" collapsed="false">
      <c r="A591" s="1" t="n">
        <v>590</v>
      </c>
      <c r="B591" s="2" t="s">
        <v>2802</v>
      </c>
      <c r="C591" s="1" t="n">
        <v>4</v>
      </c>
      <c r="D591" s="1" t="n">
        <v>5</v>
      </c>
      <c r="E591" s="1" t="n">
        <v>18</v>
      </c>
      <c r="F591" s="1" t="n">
        <v>25</v>
      </c>
      <c r="G591" s="1" t="n">
        <v>28</v>
      </c>
      <c r="H591" s="1" t="n">
        <v>51</v>
      </c>
      <c r="I591" s="1" t="str">
        <f aca="false">RIGHT(("0"&amp;C591),2)&amp;RIGHT(("0"&amp;D591),2)&amp;RIGHT(("0"&amp;E591),2)&amp;RIGHT(("0"&amp;F591),2)&amp;RIGHT(("0"&amp;G591),2)&amp;RIGHT(("0"&amp;H591),2)</f>
        <v>040518252851</v>
      </c>
      <c r="J591" s="1" t="n">
        <f aca="false">COUNTIF(I:I,I591)</f>
        <v>1</v>
      </c>
      <c r="K591" s="1" t="n">
        <v>0</v>
      </c>
      <c r="M591" s="1" t="s">
        <v>23</v>
      </c>
      <c r="N591" s="1" t="n">
        <v>70</v>
      </c>
      <c r="O591" s="1" t="s">
        <v>2803</v>
      </c>
      <c r="P591" s="1" t="n">
        <v>5155</v>
      </c>
      <c r="Q591" s="1" t="s">
        <v>2804</v>
      </c>
      <c r="R591" s="1" t="s">
        <v>2805</v>
      </c>
      <c r="S591" s="1" t="s">
        <v>23</v>
      </c>
      <c r="T591" s="1" t="s">
        <v>23</v>
      </c>
      <c r="U591" s="1" t="s">
        <v>23</v>
      </c>
      <c r="V591" s="1" t="s">
        <v>2679</v>
      </c>
    </row>
    <row r="592" customFormat="false" ht="13.8" hidden="false" customHeight="false" outlineLevel="0" collapsed="false">
      <c r="A592" s="1" t="n">
        <v>591</v>
      </c>
      <c r="B592" s="2" t="s">
        <v>2806</v>
      </c>
      <c r="C592" s="1" t="n">
        <v>1</v>
      </c>
      <c r="D592" s="1" t="n">
        <v>3</v>
      </c>
      <c r="E592" s="1" t="n">
        <v>18</v>
      </c>
      <c r="F592" s="1" t="n">
        <v>34</v>
      </c>
      <c r="G592" s="1" t="n">
        <v>50</v>
      </c>
      <c r="H592" s="1" t="n">
        <v>58</v>
      </c>
      <c r="I592" s="1" t="str">
        <f aca="false">RIGHT(("0"&amp;C592),2)&amp;RIGHT(("0"&amp;D592),2)&amp;RIGHT(("0"&amp;E592),2)&amp;RIGHT(("0"&amp;F592),2)&amp;RIGHT(("0"&amp;G592),2)&amp;RIGHT(("0"&amp;H592),2)</f>
        <v>010318345058</v>
      </c>
      <c r="J592" s="1" t="n">
        <f aca="false">COUNTIF(I:I,I592)</f>
        <v>1</v>
      </c>
      <c r="K592" s="1" t="n">
        <v>0</v>
      </c>
      <c r="M592" s="1" t="s">
        <v>23</v>
      </c>
      <c r="N592" s="1" t="n">
        <v>64</v>
      </c>
      <c r="O592" s="1" t="s">
        <v>2807</v>
      </c>
      <c r="P592" s="1" t="n">
        <v>4448</v>
      </c>
      <c r="Q592" s="1" t="s">
        <v>2808</v>
      </c>
      <c r="R592" s="1" t="s">
        <v>2809</v>
      </c>
      <c r="S592" s="1" t="s">
        <v>23</v>
      </c>
      <c r="T592" s="1" t="s">
        <v>23</v>
      </c>
      <c r="U592" s="1" t="s">
        <v>23</v>
      </c>
      <c r="V592" s="1" t="s">
        <v>2810</v>
      </c>
    </row>
    <row r="593" customFormat="false" ht="13.8" hidden="false" customHeight="false" outlineLevel="0" collapsed="false">
      <c r="A593" s="1" t="n">
        <v>592</v>
      </c>
      <c r="B593" s="2" t="s">
        <v>2811</v>
      </c>
      <c r="C593" s="1" t="n">
        <v>13</v>
      </c>
      <c r="D593" s="1" t="n">
        <v>14</v>
      </c>
      <c r="E593" s="1" t="n">
        <v>42</v>
      </c>
      <c r="F593" s="1" t="n">
        <v>47</v>
      </c>
      <c r="G593" s="1" t="n">
        <v>55</v>
      </c>
      <c r="H593" s="1" t="n">
        <v>59</v>
      </c>
      <c r="I593" s="1" t="str">
        <f aca="false">RIGHT(("0"&amp;C593),2)&amp;RIGHT(("0"&amp;D593),2)&amp;RIGHT(("0"&amp;E593),2)&amp;RIGHT(("0"&amp;F593),2)&amp;RIGHT(("0"&amp;G593),2)&amp;RIGHT(("0"&amp;H593),2)</f>
        <v>131442475559</v>
      </c>
      <c r="J593" s="1" t="n">
        <f aca="false">COUNTIF(I:I,I593)</f>
        <v>1</v>
      </c>
      <c r="K593" s="1" t="n">
        <v>0</v>
      </c>
      <c r="M593" s="1" t="s">
        <v>23</v>
      </c>
      <c r="N593" s="1" t="n">
        <v>60</v>
      </c>
      <c r="O593" s="1" t="s">
        <v>2812</v>
      </c>
      <c r="P593" s="1" t="n">
        <v>5062</v>
      </c>
      <c r="Q593" s="1" t="s">
        <v>2813</v>
      </c>
      <c r="R593" s="1" t="s">
        <v>2814</v>
      </c>
      <c r="S593" s="1" t="s">
        <v>23</v>
      </c>
      <c r="T593" s="1" t="s">
        <v>23</v>
      </c>
      <c r="U593" s="1" t="s">
        <v>23</v>
      </c>
      <c r="V593" s="1" t="s">
        <v>2815</v>
      </c>
    </row>
    <row r="594" customFormat="false" ht="13.8" hidden="false" customHeight="false" outlineLevel="0" collapsed="false">
      <c r="A594" s="1" t="n">
        <v>593</v>
      </c>
      <c r="B594" s="2" t="s">
        <v>2816</v>
      </c>
      <c r="C594" s="1" t="n">
        <v>1</v>
      </c>
      <c r="D594" s="1" t="n">
        <v>25</v>
      </c>
      <c r="E594" s="1" t="n">
        <v>27</v>
      </c>
      <c r="F594" s="1" t="n">
        <v>29</v>
      </c>
      <c r="G594" s="1" t="n">
        <v>49</v>
      </c>
      <c r="H594" s="1" t="n">
        <v>59</v>
      </c>
      <c r="I594" s="1" t="str">
        <f aca="false">RIGHT(("0"&amp;C594),2)&amp;RIGHT(("0"&amp;D594),2)&amp;RIGHT(("0"&amp;E594),2)&amp;RIGHT(("0"&amp;F594),2)&amp;RIGHT(("0"&amp;G594),2)&amp;RIGHT(("0"&amp;H594),2)</f>
        <v>012527294959</v>
      </c>
      <c r="J594" s="1" t="n">
        <f aca="false">COUNTIF(I:I,I594)</f>
        <v>1</v>
      </c>
      <c r="K594" s="1" t="n">
        <v>0</v>
      </c>
      <c r="M594" s="1" t="s">
        <v>23</v>
      </c>
      <c r="N594" s="1" t="n">
        <v>68</v>
      </c>
      <c r="O594" s="1" t="s">
        <v>2817</v>
      </c>
      <c r="P594" s="1" t="n">
        <v>5291</v>
      </c>
      <c r="Q594" s="1" t="s">
        <v>2818</v>
      </c>
      <c r="R594" s="1" t="s">
        <v>2819</v>
      </c>
      <c r="S594" s="1" t="s">
        <v>23</v>
      </c>
      <c r="T594" s="1" t="s">
        <v>23</v>
      </c>
      <c r="U594" s="1" t="s">
        <v>23</v>
      </c>
      <c r="V594" s="1" t="s">
        <v>2820</v>
      </c>
    </row>
    <row r="595" customFormat="false" ht="13.8" hidden="false" customHeight="false" outlineLevel="0" collapsed="false">
      <c r="A595" s="1" t="n">
        <v>594</v>
      </c>
      <c r="B595" s="2" t="s">
        <v>2821</v>
      </c>
      <c r="C595" s="1" t="n">
        <v>10</v>
      </c>
      <c r="D595" s="1" t="n">
        <v>13</v>
      </c>
      <c r="E595" s="1" t="n">
        <v>29</v>
      </c>
      <c r="F595" s="1" t="n">
        <v>47</v>
      </c>
      <c r="G595" s="1" t="n">
        <v>53</v>
      </c>
      <c r="H595" s="1" t="n">
        <v>55</v>
      </c>
      <c r="I595" s="1" t="str">
        <f aca="false">RIGHT(("0"&amp;C595),2)&amp;RIGHT(("0"&amp;D595),2)&amp;RIGHT(("0"&amp;E595),2)&amp;RIGHT(("0"&amp;F595),2)&amp;RIGHT(("0"&amp;G595),2)&amp;RIGHT(("0"&amp;H595),2)</f>
        <v>101329475355</v>
      </c>
      <c r="J595" s="1" t="n">
        <f aca="false">COUNTIF(I:I,I595)</f>
        <v>1</v>
      </c>
      <c r="K595" s="1" t="n">
        <v>0</v>
      </c>
      <c r="M595" s="1" t="s">
        <v>23</v>
      </c>
      <c r="N595" s="1" t="n">
        <v>121</v>
      </c>
      <c r="O595" s="1" t="s">
        <v>2822</v>
      </c>
      <c r="P595" s="1" t="n">
        <v>6444</v>
      </c>
      <c r="Q595" s="1" t="s">
        <v>2823</v>
      </c>
      <c r="R595" s="1" t="s">
        <v>2824</v>
      </c>
      <c r="S595" s="1" t="s">
        <v>23</v>
      </c>
      <c r="T595" s="1" t="s">
        <v>23</v>
      </c>
      <c r="U595" s="1" t="s">
        <v>23</v>
      </c>
      <c r="V595" s="1" t="s">
        <v>2825</v>
      </c>
    </row>
    <row r="596" customFormat="false" ht="13.8" hidden="false" customHeight="false" outlineLevel="0" collapsed="false">
      <c r="A596" s="1" t="n">
        <v>595</v>
      </c>
      <c r="B596" s="2" t="s">
        <v>2826</v>
      </c>
      <c r="C596" s="1" t="n">
        <v>1</v>
      </c>
      <c r="D596" s="1" t="n">
        <v>2</v>
      </c>
      <c r="E596" s="1" t="n">
        <v>25</v>
      </c>
      <c r="F596" s="1" t="n">
        <v>43</v>
      </c>
      <c r="G596" s="1" t="n">
        <v>50</v>
      </c>
      <c r="H596" s="1" t="n">
        <v>54</v>
      </c>
      <c r="I596" s="1" t="str">
        <f aca="false">RIGHT(("0"&amp;C596),2)&amp;RIGHT(("0"&amp;D596),2)&amp;RIGHT(("0"&amp;E596),2)&amp;RIGHT(("0"&amp;F596),2)&amp;RIGHT(("0"&amp;G596),2)&amp;RIGHT(("0"&amp;H596),2)</f>
        <v>010225435054</v>
      </c>
      <c r="J596" s="1" t="n">
        <f aca="false">COUNTIF(I:I,I596)</f>
        <v>1</v>
      </c>
      <c r="K596" s="1" t="n">
        <v>0</v>
      </c>
      <c r="M596" s="1" t="s">
        <v>23</v>
      </c>
      <c r="N596" s="1" t="n">
        <v>89</v>
      </c>
      <c r="O596" s="1" t="s">
        <v>2827</v>
      </c>
      <c r="P596" s="1" t="n">
        <v>7230</v>
      </c>
      <c r="Q596" s="1" t="s">
        <v>2828</v>
      </c>
      <c r="R596" s="1" t="s">
        <v>2829</v>
      </c>
      <c r="S596" s="1" t="s">
        <v>23</v>
      </c>
      <c r="T596" s="1" t="s">
        <v>23</v>
      </c>
      <c r="U596" s="1" t="s">
        <v>23</v>
      </c>
      <c r="V596" s="1" t="s">
        <v>2830</v>
      </c>
    </row>
    <row r="597" customFormat="false" ht="13.8" hidden="false" customHeight="false" outlineLevel="0" collapsed="false">
      <c r="A597" s="1" t="n">
        <v>596</v>
      </c>
      <c r="B597" s="2" t="s">
        <v>2831</v>
      </c>
      <c r="C597" s="1" t="n">
        <v>11</v>
      </c>
      <c r="D597" s="1" t="n">
        <v>14</v>
      </c>
      <c r="E597" s="1" t="n">
        <v>28</v>
      </c>
      <c r="F597" s="1" t="n">
        <v>43</v>
      </c>
      <c r="G597" s="1" t="n">
        <v>54</v>
      </c>
      <c r="H597" s="1" t="n">
        <v>60</v>
      </c>
      <c r="I597" s="1" t="str">
        <f aca="false">RIGHT(("0"&amp;C597),2)&amp;RIGHT(("0"&amp;D597),2)&amp;RIGHT(("0"&amp;E597),2)&amp;RIGHT(("0"&amp;F597),2)&amp;RIGHT(("0"&amp;G597),2)&amp;RIGHT(("0"&amp;H597),2)</f>
        <v>111428435460</v>
      </c>
      <c r="J597" s="1" t="n">
        <f aca="false">COUNTIF(I:I,I597)</f>
        <v>1</v>
      </c>
      <c r="K597" s="1" t="n">
        <v>0</v>
      </c>
      <c r="M597" s="1" t="s">
        <v>23</v>
      </c>
      <c r="N597" s="1" t="n">
        <v>116</v>
      </c>
      <c r="O597" s="1" t="s">
        <v>2832</v>
      </c>
      <c r="P597" s="1" t="n">
        <v>6578</v>
      </c>
      <c r="Q597" s="1" t="s">
        <v>2833</v>
      </c>
      <c r="R597" s="1" t="s">
        <v>2834</v>
      </c>
      <c r="S597" s="1" t="s">
        <v>23</v>
      </c>
      <c r="T597" s="1" t="s">
        <v>23</v>
      </c>
      <c r="U597" s="1" t="s">
        <v>23</v>
      </c>
      <c r="V597" s="1" t="s">
        <v>2835</v>
      </c>
    </row>
    <row r="598" customFormat="false" ht="13.8" hidden="false" customHeight="false" outlineLevel="0" collapsed="false">
      <c r="A598" s="1" t="n">
        <v>597</v>
      </c>
      <c r="B598" s="2" t="s">
        <v>2836</v>
      </c>
      <c r="C598" s="1" t="n">
        <v>22</v>
      </c>
      <c r="D598" s="1" t="n">
        <v>27</v>
      </c>
      <c r="E598" s="1" t="n">
        <v>29</v>
      </c>
      <c r="F598" s="1" t="n">
        <v>40</v>
      </c>
      <c r="G598" s="1" t="n">
        <v>42</v>
      </c>
      <c r="H598" s="1" t="n">
        <v>56</v>
      </c>
      <c r="I598" s="1" t="str">
        <f aca="false">RIGHT(("0"&amp;C598),2)&amp;RIGHT(("0"&amp;D598),2)&amp;RIGHT(("0"&amp;E598),2)&amp;RIGHT(("0"&amp;F598),2)&amp;RIGHT(("0"&amp;G598),2)&amp;RIGHT(("0"&amp;H598),2)</f>
        <v>222729404256</v>
      </c>
      <c r="J598" s="1" t="n">
        <f aca="false">COUNTIF(I:I,I598)</f>
        <v>1</v>
      </c>
      <c r="K598" s="1" t="n">
        <v>0</v>
      </c>
      <c r="M598" s="1" t="s">
        <v>23</v>
      </c>
      <c r="N598" s="1" t="n">
        <v>140</v>
      </c>
      <c r="O598" s="1" t="s">
        <v>2837</v>
      </c>
      <c r="P598" s="1" t="n">
        <v>10021</v>
      </c>
      <c r="Q598" s="1" t="s">
        <v>2838</v>
      </c>
      <c r="R598" s="1" t="s">
        <v>2839</v>
      </c>
      <c r="S598" s="1" t="s">
        <v>23</v>
      </c>
      <c r="T598" s="1" t="s">
        <v>23</v>
      </c>
      <c r="U598" s="1" t="s">
        <v>23</v>
      </c>
      <c r="V598" s="1" t="s">
        <v>2840</v>
      </c>
    </row>
    <row r="599" customFormat="false" ht="13.8" hidden="false" customHeight="false" outlineLevel="0" collapsed="false">
      <c r="A599" s="1" t="n">
        <v>598</v>
      </c>
      <c r="B599" s="2" t="s">
        <v>2841</v>
      </c>
      <c r="C599" s="1" t="n">
        <v>5</v>
      </c>
      <c r="D599" s="1" t="n">
        <v>16</v>
      </c>
      <c r="E599" s="1" t="n">
        <v>34</v>
      </c>
      <c r="F599" s="1" t="n">
        <v>38</v>
      </c>
      <c r="G599" s="1" t="n">
        <v>50</v>
      </c>
      <c r="H599" s="1" t="n">
        <v>53</v>
      </c>
      <c r="I599" s="1" t="str">
        <f aca="false">RIGHT(("0"&amp;C599),2)&amp;RIGHT(("0"&amp;D599),2)&amp;RIGHT(("0"&amp;E599),2)&amp;RIGHT(("0"&amp;F599),2)&amp;RIGHT(("0"&amp;G599),2)&amp;RIGHT(("0"&amp;H599),2)</f>
        <v>051634385053</v>
      </c>
      <c r="J599" s="1" t="n">
        <f aca="false">COUNTIF(I:I,I599)</f>
        <v>1</v>
      </c>
      <c r="K599" s="1" t="n">
        <v>2</v>
      </c>
      <c r="L599" s="1" t="s">
        <v>2842</v>
      </c>
      <c r="M599" s="1" t="s">
        <v>2843</v>
      </c>
      <c r="N599" s="1" t="n">
        <v>234</v>
      </c>
      <c r="O599" s="1" t="s">
        <v>2844</v>
      </c>
      <c r="P599" s="1" t="n">
        <v>19229</v>
      </c>
      <c r="Q599" s="1" t="s">
        <v>2845</v>
      </c>
      <c r="R599" s="1" t="s">
        <v>23</v>
      </c>
      <c r="S599" s="1" t="s">
        <v>23</v>
      </c>
      <c r="T599" s="1" t="s">
        <v>23</v>
      </c>
      <c r="U599" s="1" t="s">
        <v>23</v>
      </c>
      <c r="V599" s="1" t="s">
        <v>2547</v>
      </c>
    </row>
    <row r="600" customFormat="false" ht="13.8" hidden="false" customHeight="false" outlineLevel="0" collapsed="false">
      <c r="A600" s="1" t="n">
        <v>599</v>
      </c>
      <c r="B600" s="2" t="s">
        <v>2846</v>
      </c>
      <c r="C600" s="1" t="n">
        <v>4</v>
      </c>
      <c r="D600" s="1" t="n">
        <v>6</v>
      </c>
      <c r="E600" s="1" t="n">
        <v>9</v>
      </c>
      <c r="F600" s="1" t="n">
        <v>23</v>
      </c>
      <c r="G600" s="1" t="n">
        <v>45</v>
      </c>
      <c r="H600" s="1" t="n">
        <v>51</v>
      </c>
      <c r="I600" s="1" t="str">
        <f aca="false">RIGHT(("0"&amp;C600),2)&amp;RIGHT(("0"&amp;D600),2)&amp;RIGHT(("0"&amp;E600),2)&amp;RIGHT(("0"&amp;F600),2)&amp;RIGHT(("0"&amp;G600),2)&amp;RIGHT(("0"&amp;H600),2)</f>
        <v>040609234551</v>
      </c>
      <c r="J600" s="1" t="n">
        <f aca="false">COUNTIF(I:I,I600)</f>
        <v>1</v>
      </c>
      <c r="K600" s="1" t="n">
        <v>0</v>
      </c>
      <c r="M600" s="1" t="s">
        <v>23</v>
      </c>
      <c r="N600" s="1" t="n">
        <v>65</v>
      </c>
      <c r="O600" s="1" t="s">
        <v>2847</v>
      </c>
      <c r="P600" s="1" t="n">
        <v>4755</v>
      </c>
      <c r="Q600" s="1" t="s">
        <v>2848</v>
      </c>
      <c r="R600" s="1" t="s">
        <v>2849</v>
      </c>
      <c r="S600" s="1" t="s">
        <v>23</v>
      </c>
      <c r="T600" s="1" t="s">
        <v>23</v>
      </c>
      <c r="U600" s="1" t="s">
        <v>23</v>
      </c>
      <c r="V600" s="1" t="s">
        <v>2850</v>
      </c>
    </row>
    <row r="601" customFormat="false" ht="13.8" hidden="false" customHeight="false" outlineLevel="0" collapsed="false">
      <c r="A601" s="1" t="n">
        <v>600</v>
      </c>
      <c r="B601" s="2" t="s">
        <v>2851</v>
      </c>
      <c r="C601" s="1" t="n">
        <v>16</v>
      </c>
      <c r="D601" s="1" t="n">
        <v>18</v>
      </c>
      <c r="E601" s="1" t="n">
        <v>31</v>
      </c>
      <c r="F601" s="1" t="n">
        <v>34</v>
      </c>
      <c r="G601" s="1" t="n">
        <v>39</v>
      </c>
      <c r="H601" s="1" t="n">
        <v>54</v>
      </c>
      <c r="I601" s="1" t="str">
        <f aca="false">RIGHT(("0"&amp;C601),2)&amp;RIGHT(("0"&amp;D601),2)&amp;RIGHT(("0"&amp;E601),2)&amp;RIGHT(("0"&amp;F601),2)&amp;RIGHT(("0"&amp;G601),2)&amp;RIGHT(("0"&amp;H601),2)</f>
        <v>161831343954</v>
      </c>
      <c r="J601" s="1" t="n">
        <f aca="false">COUNTIF(I:I,I601)</f>
        <v>1</v>
      </c>
      <c r="K601" s="1" t="n">
        <v>0</v>
      </c>
      <c r="M601" s="1" t="s">
        <v>23</v>
      </c>
      <c r="N601" s="1" t="n">
        <v>73</v>
      </c>
      <c r="O601" s="1" t="s">
        <v>2852</v>
      </c>
      <c r="P601" s="1" t="n">
        <v>4640</v>
      </c>
      <c r="Q601" s="1" t="s">
        <v>2853</v>
      </c>
      <c r="R601" s="1" t="s">
        <v>2854</v>
      </c>
      <c r="S601" s="1" t="s">
        <v>23</v>
      </c>
      <c r="T601" s="1" t="s">
        <v>23</v>
      </c>
      <c r="U601" s="1" t="s">
        <v>23</v>
      </c>
      <c r="V601" s="1" t="s">
        <v>1617</v>
      </c>
    </row>
    <row r="602" customFormat="false" ht="13.8" hidden="false" customHeight="false" outlineLevel="0" collapsed="false">
      <c r="A602" s="1" t="n">
        <v>601</v>
      </c>
      <c r="B602" s="2" t="s">
        <v>2855</v>
      </c>
      <c r="C602" s="1" t="n">
        <v>10</v>
      </c>
      <c r="D602" s="1" t="n">
        <v>19</v>
      </c>
      <c r="E602" s="1" t="n">
        <v>22</v>
      </c>
      <c r="F602" s="1" t="n">
        <v>29</v>
      </c>
      <c r="G602" s="1" t="n">
        <v>30</v>
      </c>
      <c r="H602" s="1" t="n">
        <v>37</v>
      </c>
      <c r="I602" s="1" t="str">
        <f aca="false">RIGHT(("0"&amp;C602),2)&amp;RIGHT(("0"&amp;D602),2)&amp;RIGHT(("0"&amp;E602),2)&amp;RIGHT(("0"&amp;F602),2)&amp;RIGHT(("0"&amp;G602),2)&amp;RIGHT(("0"&amp;H602),2)</f>
        <v>101922293037</v>
      </c>
      <c r="J602" s="1" t="n">
        <f aca="false">COUNTIF(I:I,I602)</f>
        <v>1</v>
      </c>
      <c r="K602" s="1" t="n">
        <v>0</v>
      </c>
      <c r="M602" s="1" t="s">
        <v>23</v>
      </c>
      <c r="N602" s="1" t="n">
        <v>75</v>
      </c>
      <c r="O602" s="1" t="s">
        <v>2856</v>
      </c>
      <c r="P602" s="1" t="n">
        <v>6002</v>
      </c>
      <c r="Q602" s="1" t="s">
        <v>714</v>
      </c>
      <c r="R602" s="1" t="s">
        <v>2857</v>
      </c>
      <c r="S602" s="1" t="s">
        <v>23</v>
      </c>
      <c r="T602" s="1" t="s">
        <v>23</v>
      </c>
      <c r="U602" s="1" t="s">
        <v>23</v>
      </c>
      <c r="V602" s="1" t="s">
        <v>2858</v>
      </c>
    </row>
    <row r="603" customFormat="false" ht="13.8" hidden="false" customHeight="false" outlineLevel="0" collapsed="false">
      <c r="A603" s="1" t="n">
        <v>602</v>
      </c>
      <c r="B603" s="2" t="s">
        <v>2859</v>
      </c>
      <c r="C603" s="1" t="n">
        <v>7</v>
      </c>
      <c r="D603" s="1" t="n">
        <v>13</v>
      </c>
      <c r="E603" s="1" t="n">
        <v>38</v>
      </c>
      <c r="F603" s="1" t="n">
        <v>46</v>
      </c>
      <c r="G603" s="1" t="n">
        <v>55</v>
      </c>
      <c r="H603" s="1" t="n">
        <v>60</v>
      </c>
      <c r="I603" s="1" t="str">
        <f aca="false">RIGHT(("0"&amp;C603),2)&amp;RIGHT(("0"&amp;D603),2)&amp;RIGHT(("0"&amp;E603),2)&amp;RIGHT(("0"&amp;F603),2)&amp;RIGHT(("0"&amp;G603),2)&amp;RIGHT(("0"&amp;H603),2)</f>
        <v>071338465560</v>
      </c>
      <c r="J603" s="1" t="n">
        <f aca="false">COUNTIF(I:I,I603)</f>
        <v>1</v>
      </c>
      <c r="K603" s="1" t="n">
        <v>0</v>
      </c>
      <c r="M603" s="1" t="s">
        <v>23</v>
      </c>
      <c r="N603" s="1" t="n">
        <v>95</v>
      </c>
      <c r="O603" s="1" t="s">
        <v>2860</v>
      </c>
      <c r="P603" s="1" t="n">
        <v>6773</v>
      </c>
      <c r="Q603" s="1" t="s">
        <v>2861</v>
      </c>
      <c r="R603" s="1" t="s">
        <v>2862</v>
      </c>
      <c r="S603" s="1" t="s">
        <v>23</v>
      </c>
      <c r="T603" s="1" t="s">
        <v>23</v>
      </c>
      <c r="U603" s="1" t="s">
        <v>23</v>
      </c>
      <c r="V603" s="1" t="s">
        <v>2863</v>
      </c>
    </row>
    <row r="604" customFormat="false" ht="13.8" hidden="false" customHeight="false" outlineLevel="0" collapsed="false">
      <c r="A604" s="1" t="n">
        <v>603</v>
      </c>
      <c r="B604" s="2" t="s">
        <v>2864</v>
      </c>
      <c r="C604" s="1" t="n">
        <v>4</v>
      </c>
      <c r="D604" s="1" t="n">
        <v>8</v>
      </c>
      <c r="E604" s="1" t="n">
        <v>11</v>
      </c>
      <c r="F604" s="1" t="n">
        <v>12</v>
      </c>
      <c r="G604" s="1" t="n">
        <v>29</v>
      </c>
      <c r="H604" s="1" t="n">
        <v>44</v>
      </c>
      <c r="I604" s="1" t="str">
        <f aca="false">RIGHT(("0"&amp;C604),2)&amp;RIGHT(("0"&amp;D604),2)&amp;RIGHT(("0"&amp;E604),2)&amp;RIGHT(("0"&amp;F604),2)&amp;RIGHT(("0"&amp;G604),2)&amp;RIGHT(("0"&amp;H604),2)</f>
        <v>040811122944</v>
      </c>
      <c r="J604" s="1" t="n">
        <f aca="false">COUNTIF(I:I,I604)</f>
        <v>1</v>
      </c>
      <c r="K604" s="1" t="n">
        <v>1</v>
      </c>
      <c r="L604" s="1" t="s">
        <v>91</v>
      </c>
      <c r="M604" s="1" t="s">
        <v>2865</v>
      </c>
      <c r="N604" s="1" t="n">
        <v>233</v>
      </c>
      <c r="O604" s="1" t="s">
        <v>2866</v>
      </c>
      <c r="P604" s="1" t="n">
        <v>12565</v>
      </c>
      <c r="Q604" s="1" t="s">
        <v>2867</v>
      </c>
      <c r="R604" s="1" t="s">
        <v>23</v>
      </c>
      <c r="S604" s="1" t="s">
        <v>23</v>
      </c>
      <c r="T604" s="1" t="s">
        <v>23</v>
      </c>
      <c r="U604" s="1" t="s">
        <v>23</v>
      </c>
      <c r="V604" s="1" t="s">
        <v>2868</v>
      </c>
    </row>
    <row r="605" customFormat="false" ht="13.8" hidden="false" customHeight="false" outlineLevel="0" collapsed="false">
      <c r="A605" s="1" t="n">
        <v>604</v>
      </c>
      <c r="B605" s="2" t="s">
        <v>2869</v>
      </c>
      <c r="C605" s="1" t="n">
        <v>15</v>
      </c>
      <c r="D605" s="1" t="n">
        <v>25</v>
      </c>
      <c r="E605" s="1" t="n">
        <v>41</v>
      </c>
      <c r="F605" s="1" t="n">
        <v>46</v>
      </c>
      <c r="G605" s="1" t="n">
        <v>49</v>
      </c>
      <c r="H605" s="1" t="n">
        <v>51</v>
      </c>
      <c r="I605" s="1" t="str">
        <f aca="false">RIGHT(("0"&amp;C605),2)&amp;RIGHT(("0"&amp;D605),2)&amp;RIGHT(("0"&amp;E605),2)&amp;RIGHT(("0"&amp;F605),2)&amp;RIGHT(("0"&amp;G605),2)&amp;RIGHT(("0"&amp;H605),2)</f>
        <v>152541464951</v>
      </c>
      <c r="J605" s="1" t="n">
        <f aca="false">COUNTIF(I:I,I605)</f>
        <v>1</v>
      </c>
      <c r="K605" s="1" t="n">
        <v>0</v>
      </c>
      <c r="M605" s="1" t="s">
        <v>23</v>
      </c>
      <c r="N605" s="1" t="n">
        <v>15</v>
      </c>
      <c r="O605" s="1" t="s">
        <v>2870</v>
      </c>
      <c r="P605" s="1" t="n">
        <v>1422</v>
      </c>
      <c r="Q605" s="1" t="s">
        <v>2871</v>
      </c>
      <c r="R605" s="1" t="s">
        <v>2872</v>
      </c>
      <c r="S605" s="1" t="s">
        <v>23</v>
      </c>
      <c r="T605" s="1" t="s">
        <v>23</v>
      </c>
      <c r="U605" s="1" t="s">
        <v>23</v>
      </c>
      <c r="V605" s="1" t="s">
        <v>2873</v>
      </c>
    </row>
    <row r="606" customFormat="false" ht="13.8" hidden="false" customHeight="false" outlineLevel="0" collapsed="false">
      <c r="A606" s="1" t="n">
        <v>605</v>
      </c>
      <c r="B606" s="2" t="s">
        <v>2874</v>
      </c>
      <c r="C606" s="1" t="n">
        <v>4</v>
      </c>
      <c r="D606" s="1" t="n">
        <v>24</v>
      </c>
      <c r="E606" s="1" t="n">
        <v>44</v>
      </c>
      <c r="F606" s="1" t="n">
        <v>49</v>
      </c>
      <c r="G606" s="1" t="n">
        <v>52</v>
      </c>
      <c r="H606" s="1" t="n">
        <v>53</v>
      </c>
      <c r="I606" s="1" t="str">
        <f aca="false">RIGHT(("0"&amp;C606),2)&amp;RIGHT(("0"&amp;D606),2)&amp;RIGHT(("0"&amp;E606),2)&amp;RIGHT(("0"&amp;F606),2)&amp;RIGHT(("0"&amp;G606),2)&amp;RIGHT(("0"&amp;H606),2)</f>
        <v>042444495253</v>
      </c>
      <c r="J606" s="1" t="n">
        <f aca="false">COUNTIF(I:I,I606)</f>
        <v>1</v>
      </c>
      <c r="K606" s="1" t="n">
        <v>0</v>
      </c>
      <c r="M606" s="1" t="s">
        <v>23</v>
      </c>
      <c r="N606" s="1" t="n">
        <v>45</v>
      </c>
      <c r="O606" s="1" t="s">
        <v>2875</v>
      </c>
      <c r="P606" s="1" t="n">
        <v>3980</v>
      </c>
      <c r="Q606" s="1" t="s">
        <v>2876</v>
      </c>
      <c r="R606" s="1" t="s">
        <v>2877</v>
      </c>
      <c r="S606" s="1" t="s">
        <v>23</v>
      </c>
      <c r="T606" s="1" t="s">
        <v>23</v>
      </c>
      <c r="U606" s="1" t="s">
        <v>23</v>
      </c>
      <c r="V606" s="1" t="s">
        <v>2878</v>
      </c>
    </row>
    <row r="607" customFormat="false" ht="13.8" hidden="false" customHeight="false" outlineLevel="0" collapsed="false">
      <c r="A607" s="1" t="n">
        <v>606</v>
      </c>
      <c r="B607" s="2" t="s">
        <v>2879</v>
      </c>
      <c r="C607" s="1" t="n">
        <v>6</v>
      </c>
      <c r="D607" s="1" t="n">
        <v>23</v>
      </c>
      <c r="E607" s="1" t="n">
        <v>32</v>
      </c>
      <c r="F607" s="1" t="n">
        <v>35</v>
      </c>
      <c r="G607" s="1" t="n">
        <v>41</v>
      </c>
      <c r="H607" s="1" t="n">
        <v>55</v>
      </c>
      <c r="I607" s="1" t="str">
        <f aca="false">RIGHT(("0"&amp;C607),2)&amp;RIGHT(("0"&amp;D607),2)&amp;RIGHT(("0"&amp;E607),2)&amp;RIGHT(("0"&amp;F607),2)&amp;RIGHT(("0"&amp;G607),2)&amp;RIGHT(("0"&amp;H607),2)</f>
        <v>062332354155</v>
      </c>
      <c r="J607" s="1" t="n">
        <f aca="false">COUNTIF(I:I,I607)</f>
        <v>1</v>
      </c>
      <c r="K607" s="1" t="n">
        <v>1</v>
      </c>
      <c r="L607" s="1" t="s">
        <v>91</v>
      </c>
      <c r="M607" s="1" t="s">
        <v>2880</v>
      </c>
      <c r="N607" s="1" t="n">
        <v>43</v>
      </c>
      <c r="O607" s="1" t="s">
        <v>2881</v>
      </c>
      <c r="P607" s="1" t="n">
        <v>3770</v>
      </c>
      <c r="Q607" s="1" t="s">
        <v>2882</v>
      </c>
      <c r="R607" s="1" t="s">
        <v>23</v>
      </c>
      <c r="S607" s="1" t="s">
        <v>23</v>
      </c>
      <c r="T607" s="1" t="s">
        <v>23</v>
      </c>
      <c r="U607" s="1" t="s">
        <v>23</v>
      </c>
      <c r="V607" s="1" t="s">
        <v>2883</v>
      </c>
    </row>
    <row r="608" customFormat="false" ht="13.8" hidden="false" customHeight="false" outlineLevel="0" collapsed="false">
      <c r="A608" s="1" t="n">
        <v>607</v>
      </c>
      <c r="B608" s="2" t="s">
        <v>2884</v>
      </c>
      <c r="C608" s="1" t="n">
        <v>6</v>
      </c>
      <c r="D608" s="1" t="n">
        <v>11</v>
      </c>
      <c r="E608" s="1" t="n">
        <v>19</v>
      </c>
      <c r="F608" s="1" t="n">
        <v>27</v>
      </c>
      <c r="G608" s="1" t="n">
        <v>41</v>
      </c>
      <c r="H608" s="1" t="n">
        <v>59</v>
      </c>
      <c r="I608" s="1" t="str">
        <f aca="false">RIGHT(("0"&amp;C608),2)&amp;RIGHT(("0"&amp;D608),2)&amp;RIGHT(("0"&amp;E608),2)&amp;RIGHT(("0"&amp;F608),2)&amp;RIGHT(("0"&amp;G608),2)&amp;RIGHT(("0"&amp;H608),2)</f>
        <v>061119274159</v>
      </c>
      <c r="J608" s="1" t="n">
        <f aca="false">COUNTIF(I:I,I608)</f>
        <v>1</v>
      </c>
      <c r="K608" s="1" t="n">
        <v>0</v>
      </c>
      <c r="M608" s="1" t="s">
        <v>23</v>
      </c>
      <c r="N608" s="1" t="n">
        <v>48</v>
      </c>
      <c r="O608" s="1" t="s">
        <v>2885</v>
      </c>
      <c r="P608" s="1" t="n">
        <v>3059</v>
      </c>
      <c r="Q608" s="1" t="s">
        <v>2886</v>
      </c>
      <c r="R608" s="1" t="s">
        <v>2887</v>
      </c>
      <c r="S608" s="1" t="s">
        <v>23</v>
      </c>
      <c r="T608" s="1" t="s">
        <v>23</v>
      </c>
      <c r="U608" s="1" t="s">
        <v>23</v>
      </c>
      <c r="V608" s="1" t="s">
        <v>2888</v>
      </c>
    </row>
    <row r="609" customFormat="false" ht="13.8" hidden="false" customHeight="false" outlineLevel="0" collapsed="false">
      <c r="A609" s="1" t="n">
        <v>608</v>
      </c>
      <c r="B609" s="2" t="s">
        <v>2889</v>
      </c>
      <c r="C609" s="1" t="n">
        <v>6</v>
      </c>
      <c r="D609" s="1" t="n">
        <v>13</v>
      </c>
      <c r="E609" s="1" t="n">
        <v>19</v>
      </c>
      <c r="F609" s="1" t="n">
        <v>24</v>
      </c>
      <c r="G609" s="1" t="n">
        <v>30</v>
      </c>
      <c r="H609" s="1" t="n">
        <v>37</v>
      </c>
      <c r="I609" s="1" t="str">
        <f aca="false">RIGHT(("0"&amp;C609),2)&amp;RIGHT(("0"&amp;D609),2)&amp;RIGHT(("0"&amp;E609),2)&amp;RIGHT(("0"&amp;F609),2)&amp;RIGHT(("0"&amp;G609),2)&amp;RIGHT(("0"&amp;H609),2)</f>
        <v>061319243037</v>
      </c>
      <c r="J609" s="1" t="n">
        <f aca="false">COUNTIF(I:I,I609)</f>
        <v>1</v>
      </c>
      <c r="K609" s="1" t="n">
        <v>0</v>
      </c>
      <c r="M609" s="1" t="s">
        <v>23</v>
      </c>
      <c r="N609" s="1" t="n">
        <v>101</v>
      </c>
      <c r="O609" s="1" t="s">
        <v>2890</v>
      </c>
      <c r="P609" s="1" t="n">
        <v>5181</v>
      </c>
      <c r="Q609" s="1" t="s">
        <v>2891</v>
      </c>
      <c r="R609" s="1" t="s">
        <v>2892</v>
      </c>
      <c r="S609" s="1" t="s">
        <v>23</v>
      </c>
      <c r="T609" s="1" t="s">
        <v>23</v>
      </c>
      <c r="U609" s="1" t="s">
        <v>23</v>
      </c>
      <c r="V609" s="1" t="s">
        <v>2893</v>
      </c>
    </row>
    <row r="610" customFormat="false" ht="13.8" hidden="false" customHeight="false" outlineLevel="0" collapsed="false">
      <c r="A610" s="1" t="n">
        <v>609</v>
      </c>
      <c r="B610" s="2" t="s">
        <v>2894</v>
      </c>
      <c r="C610" s="1" t="n">
        <v>2</v>
      </c>
      <c r="D610" s="1" t="n">
        <v>6</v>
      </c>
      <c r="E610" s="1" t="n">
        <v>15</v>
      </c>
      <c r="F610" s="1" t="n">
        <v>58</v>
      </c>
      <c r="G610" s="1" t="n">
        <v>59</v>
      </c>
      <c r="H610" s="1" t="n">
        <v>60</v>
      </c>
      <c r="I610" s="1" t="str">
        <f aca="false">RIGHT(("0"&amp;C610),2)&amp;RIGHT(("0"&amp;D610),2)&amp;RIGHT(("0"&amp;E610),2)&amp;RIGHT(("0"&amp;F610),2)&amp;RIGHT(("0"&amp;G610),2)&amp;RIGHT(("0"&amp;H610),2)</f>
        <v>020615585960</v>
      </c>
      <c r="J610" s="1" t="n">
        <f aca="false">COUNTIF(I:I,I610)</f>
        <v>1</v>
      </c>
      <c r="K610" s="1" t="n">
        <v>0</v>
      </c>
      <c r="M610" s="1" t="s">
        <v>23</v>
      </c>
      <c r="N610" s="1" t="n">
        <v>60</v>
      </c>
      <c r="O610" s="1" t="s">
        <v>2895</v>
      </c>
      <c r="P610" s="1" t="n">
        <v>3994</v>
      </c>
      <c r="Q610" s="1" t="s">
        <v>2896</v>
      </c>
      <c r="R610" s="1" t="s">
        <v>2897</v>
      </c>
      <c r="S610" s="1" t="s">
        <v>23</v>
      </c>
      <c r="T610" s="1" t="s">
        <v>23</v>
      </c>
      <c r="U610" s="1" t="s">
        <v>23</v>
      </c>
      <c r="V610" s="1" t="s">
        <v>2898</v>
      </c>
    </row>
    <row r="611" customFormat="false" ht="13.8" hidden="false" customHeight="false" outlineLevel="0" collapsed="false">
      <c r="A611" s="1" t="n">
        <v>610</v>
      </c>
      <c r="B611" s="2" t="s">
        <v>2899</v>
      </c>
      <c r="C611" s="1" t="n">
        <v>25</v>
      </c>
      <c r="D611" s="1" t="n">
        <v>30</v>
      </c>
      <c r="E611" s="1" t="n">
        <v>43</v>
      </c>
      <c r="F611" s="1" t="n">
        <v>45</v>
      </c>
      <c r="G611" s="1" t="n">
        <v>47</v>
      </c>
      <c r="H611" s="1" t="n">
        <v>49</v>
      </c>
      <c r="I611" s="1" t="str">
        <f aca="false">RIGHT(("0"&amp;C611),2)&amp;RIGHT(("0"&amp;D611),2)&amp;RIGHT(("0"&amp;E611),2)&amp;RIGHT(("0"&amp;F611),2)&amp;RIGHT(("0"&amp;G611),2)&amp;RIGHT(("0"&amp;H611),2)</f>
        <v>253043454749</v>
      </c>
      <c r="J611" s="1" t="n">
        <f aca="false">COUNTIF(I:I,I611)</f>
        <v>1</v>
      </c>
      <c r="K611" s="1" t="n">
        <v>0</v>
      </c>
      <c r="M611" s="1" t="s">
        <v>23</v>
      </c>
      <c r="N611" s="1" t="n">
        <v>62</v>
      </c>
      <c r="O611" s="1" t="s">
        <v>2900</v>
      </c>
      <c r="P611" s="1" t="n">
        <v>4044</v>
      </c>
      <c r="Q611" s="1" t="s">
        <v>2901</v>
      </c>
      <c r="R611" s="1" t="s">
        <v>2902</v>
      </c>
      <c r="S611" s="1" t="s">
        <v>23</v>
      </c>
      <c r="T611" s="1" t="s">
        <v>23</v>
      </c>
      <c r="U611" s="1" t="s">
        <v>23</v>
      </c>
      <c r="V611" s="1" t="s">
        <v>2760</v>
      </c>
    </row>
    <row r="612" customFormat="false" ht="13.8" hidden="false" customHeight="false" outlineLevel="0" collapsed="false">
      <c r="A612" s="1" t="n">
        <v>611</v>
      </c>
      <c r="B612" s="2" t="s">
        <v>2903</v>
      </c>
      <c r="C612" s="1" t="n">
        <v>16</v>
      </c>
      <c r="D612" s="1" t="n">
        <v>21</v>
      </c>
      <c r="E612" s="1" t="n">
        <v>22</v>
      </c>
      <c r="F612" s="1" t="n">
        <v>33</v>
      </c>
      <c r="G612" s="1" t="n">
        <v>48</v>
      </c>
      <c r="H612" s="1" t="n">
        <v>49</v>
      </c>
      <c r="I612" s="1" t="str">
        <f aca="false">RIGHT(("0"&amp;C612),2)&amp;RIGHT(("0"&amp;D612),2)&amp;RIGHT(("0"&amp;E612),2)&amp;RIGHT(("0"&amp;F612),2)&amp;RIGHT(("0"&amp;G612),2)&amp;RIGHT(("0"&amp;H612),2)</f>
        <v>162122334849</v>
      </c>
      <c r="J612" s="1" t="n">
        <f aca="false">COUNTIF(I:I,I612)</f>
        <v>1</v>
      </c>
      <c r="K612" s="1" t="n">
        <v>0</v>
      </c>
      <c r="M612" s="1" t="s">
        <v>23</v>
      </c>
      <c r="N612" s="1" t="n">
        <v>69</v>
      </c>
      <c r="O612" s="1" t="s">
        <v>2904</v>
      </c>
      <c r="P612" s="1" t="n">
        <v>4531</v>
      </c>
      <c r="Q612" s="1" t="s">
        <v>2905</v>
      </c>
      <c r="R612" s="1" t="s">
        <v>2906</v>
      </c>
      <c r="S612" s="1" t="s">
        <v>23</v>
      </c>
      <c r="T612" s="1" t="s">
        <v>23</v>
      </c>
      <c r="U612" s="1" t="s">
        <v>23</v>
      </c>
      <c r="V612" s="1" t="s">
        <v>2907</v>
      </c>
    </row>
    <row r="613" customFormat="false" ht="13.8" hidden="false" customHeight="false" outlineLevel="0" collapsed="false">
      <c r="A613" s="1" t="n">
        <v>612</v>
      </c>
      <c r="B613" s="2" t="s">
        <v>2908</v>
      </c>
      <c r="C613" s="1" t="n">
        <v>15</v>
      </c>
      <c r="D613" s="1" t="n">
        <v>18</v>
      </c>
      <c r="E613" s="1" t="n">
        <v>33</v>
      </c>
      <c r="F613" s="1" t="n">
        <v>50</v>
      </c>
      <c r="G613" s="1" t="n">
        <v>53</v>
      </c>
      <c r="H613" s="1" t="n">
        <v>55</v>
      </c>
      <c r="I613" s="1" t="str">
        <f aca="false">RIGHT(("0"&amp;C613),2)&amp;RIGHT(("0"&amp;D613),2)&amp;RIGHT(("0"&amp;E613),2)&amp;RIGHT(("0"&amp;F613),2)&amp;RIGHT(("0"&amp;G613),2)&amp;RIGHT(("0"&amp;H613),2)</f>
        <v>151833505355</v>
      </c>
      <c r="J613" s="1" t="n">
        <f aca="false">COUNTIF(I:I,I613)</f>
        <v>1</v>
      </c>
      <c r="K613" s="1" t="n">
        <v>0</v>
      </c>
      <c r="M613" s="1" t="s">
        <v>23</v>
      </c>
      <c r="N613" s="1" t="n">
        <v>41</v>
      </c>
      <c r="O613" s="1" t="s">
        <v>2909</v>
      </c>
      <c r="P613" s="1" t="n">
        <v>3389</v>
      </c>
      <c r="Q613" s="1" t="s">
        <v>2910</v>
      </c>
      <c r="R613" s="1" t="s">
        <v>2911</v>
      </c>
      <c r="S613" s="1" t="s">
        <v>23</v>
      </c>
      <c r="T613" s="1" t="s">
        <v>23</v>
      </c>
      <c r="U613" s="1" t="s">
        <v>23</v>
      </c>
      <c r="V613" s="1" t="s">
        <v>2912</v>
      </c>
    </row>
    <row r="614" customFormat="false" ht="13.8" hidden="false" customHeight="false" outlineLevel="0" collapsed="false">
      <c r="A614" s="1" t="n">
        <v>613</v>
      </c>
      <c r="B614" s="2" t="s">
        <v>2913</v>
      </c>
      <c r="C614" s="1" t="n">
        <v>6</v>
      </c>
      <c r="D614" s="1" t="n">
        <v>13</v>
      </c>
      <c r="E614" s="1" t="n">
        <v>19</v>
      </c>
      <c r="F614" s="1" t="n">
        <v>44</v>
      </c>
      <c r="G614" s="1" t="n">
        <v>54</v>
      </c>
      <c r="H614" s="1" t="n">
        <v>55</v>
      </c>
      <c r="I614" s="1" t="str">
        <f aca="false">RIGHT(("0"&amp;C614),2)&amp;RIGHT(("0"&amp;D614),2)&amp;RIGHT(("0"&amp;E614),2)&amp;RIGHT(("0"&amp;F614),2)&amp;RIGHT(("0"&amp;G614),2)&amp;RIGHT(("0"&amp;H614),2)</f>
        <v>061319445455</v>
      </c>
      <c r="J614" s="1" t="n">
        <f aca="false">COUNTIF(I:I,I614)</f>
        <v>1</v>
      </c>
      <c r="K614" s="1" t="n">
        <v>0</v>
      </c>
      <c r="M614" s="1" t="s">
        <v>23</v>
      </c>
      <c r="N614" s="1" t="n">
        <v>108</v>
      </c>
      <c r="O614" s="1" t="s">
        <v>2914</v>
      </c>
      <c r="P614" s="1" t="n">
        <v>7101</v>
      </c>
      <c r="Q614" s="1" t="s">
        <v>2915</v>
      </c>
      <c r="R614" s="1" t="s">
        <v>2916</v>
      </c>
      <c r="S614" s="1" t="s">
        <v>23</v>
      </c>
      <c r="T614" s="1" t="s">
        <v>23</v>
      </c>
      <c r="U614" s="1" t="s">
        <v>23</v>
      </c>
      <c r="V614" s="1" t="s">
        <v>2917</v>
      </c>
    </row>
    <row r="615" customFormat="false" ht="13.8" hidden="false" customHeight="false" outlineLevel="0" collapsed="false">
      <c r="A615" s="1" t="n">
        <v>614</v>
      </c>
      <c r="B615" s="2" t="s">
        <v>2918</v>
      </c>
      <c r="C615" s="1" t="n">
        <v>12</v>
      </c>
      <c r="D615" s="1" t="n">
        <v>16</v>
      </c>
      <c r="E615" s="1" t="n">
        <v>31</v>
      </c>
      <c r="F615" s="1" t="n">
        <v>48</v>
      </c>
      <c r="G615" s="1" t="n">
        <v>57</v>
      </c>
      <c r="H615" s="1" t="n">
        <v>60</v>
      </c>
      <c r="I615" s="1" t="str">
        <f aca="false">RIGHT(("0"&amp;C615),2)&amp;RIGHT(("0"&amp;D615),2)&amp;RIGHT(("0"&amp;E615),2)&amp;RIGHT(("0"&amp;F615),2)&amp;RIGHT(("0"&amp;G615),2)&amp;RIGHT(("0"&amp;H615),2)</f>
        <v>121631485760</v>
      </c>
      <c r="J615" s="1" t="n">
        <f aca="false">COUNTIF(I:I,I615)</f>
        <v>1</v>
      </c>
      <c r="K615" s="1" t="n">
        <v>0</v>
      </c>
      <c r="M615" s="1" t="s">
        <v>23</v>
      </c>
      <c r="N615" s="1" t="n">
        <v>53</v>
      </c>
      <c r="O615" s="1" t="s">
        <v>2919</v>
      </c>
      <c r="P615" s="1" t="n">
        <v>4127</v>
      </c>
      <c r="Q615" s="1" t="s">
        <v>2920</v>
      </c>
      <c r="R615" s="1" t="s">
        <v>2921</v>
      </c>
      <c r="S615" s="1" t="s">
        <v>23</v>
      </c>
      <c r="T615" s="1" t="s">
        <v>23</v>
      </c>
      <c r="U615" s="1" t="s">
        <v>23</v>
      </c>
      <c r="V615" s="1" t="s">
        <v>2922</v>
      </c>
    </row>
    <row r="616" customFormat="false" ht="13.8" hidden="false" customHeight="false" outlineLevel="0" collapsed="false">
      <c r="A616" s="1" t="n">
        <v>615</v>
      </c>
      <c r="B616" s="2" t="s">
        <v>2923</v>
      </c>
      <c r="C616" s="1" t="n">
        <v>5</v>
      </c>
      <c r="D616" s="1" t="n">
        <v>8</v>
      </c>
      <c r="E616" s="1" t="n">
        <v>10</v>
      </c>
      <c r="F616" s="1" t="n">
        <v>27</v>
      </c>
      <c r="G616" s="1" t="n">
        <v>31</v>
      </c>
      <c r="H616" s="1" t="n">
        <v>51</v>
      </c>
      <c r="I616" s="1" t="str">
        <f aca="false">RIGHT(("0"&amp;C616),2)&amp;RIGHT(("0"&amp;D616),2)&amp;RIGHT(("0"&amp;E616),2)&amp;RIGHT(("0"&amp;F616),2)&amp;RIGHT(("0"&amp;G616),2)&amp;RIGHT(("0"&amp;H616),2)</f>
        <v>050810273151</v>
      </c>
      <c r="J616" s="1" t="n">
        <f aca="false">COUNTIF(I:I,I616)</f>
        <v>1</v>
      </c>
      <c r="K616" s="1" t="n">
        <v>0</v>
      </c>
      <c r="M616" s="1" t="s">
        <v>23</v>
      </c>
      <c r="N616" s="1" t="n">
        <v>157</v>
      </c>
      <c r="O616" s="1" t="s">
        <v>2924</v>
      </c>
      <c r="P616" s="1" t="n">
        <v>9780</v>
      </c>
      <c r="Q616" s="1" t="s">
        <v>2925</v>
      </c>
      <c r="R616" s="1" t="s">
        <v>2926</v>
      </c>
      <c r="S616" s="1" t="s">
        <v>23</v>
      </c>
      <c r="T616" s="1" t="s">
        <v>23</v>
      </c>
      <c r="U616" s="1" t="s">
        <v>23</v>
      </c>
      <c r="V616" s="1" t="s">
        <v>2927</v>
      </c>
    </row>
    <row r="617" customFormat="false" ht="13.8" hidden="false" customHeight="false" outlineLevel="0" collapsed="false">
      <c r="A617" s="1" t="n">
        <v>616</v>
      </c>
      <c r="B617" s="2" t="s">
        <v>2928</v>
      </c>
      <c r="C617" s="1" t="n">
        <v>2</v>
      </c>
      <c r="D617" s="1" t="n">
        <v>12</v>
      </c>
      <c r="E617" s="1" t="n">
        <v>16</v>
      </c>
      <c r="F617" s="1" t="n">
        <v>24</v>
      </c>
      <c r="G617" s="1" t="n">
        <v>26</v>
      </c>
      <c r="H617" s="1" t="n">
        <v>54</v>
      </c>
      <c r="I617" s="1" t="str">
        <f aca="false">RIGHT(("0"&amp;C617),2)&amp;RIGHT(("0"&amp;D617),2)&amp;RIGHT(("0"&amp;E617),2)&amp;RIGHT(("0"&amp;F617),2)&amp;RIGHT(("0"&amp;G617),2)&amp;RIGHT(("0"&amp;H617),2)</f>
        <v>021216242654</v>
      </c>
      <c r="J617" s="1" t="n">
        <f aca="false">COUNTIF(I:I,I617)</f>
        <v>1</v>
      </c>
      <c r="K617" s="1" t="n">
        <v>0</v>
      </c>
      <c r="M617" s="1" t="s">
        <v>23</v>
      </c>
      <c r="N617" s="1" t="n">
        <v>90</v>
      </c>
      <c r="O617" s="1" t="s">
        <v>2929</v>
      </c>
      <c r="P617" s="1" t="n">
        <v>9236</v>
      </c>
      <c r="Q617" s="1" t="s">
        <v>2930</v>
      </c>
      <c r="R617" s="1" t="s">
        <v>2931</v>
      </c>
      <c r="S617" s="1" t="s">
        <v>23</v>
      </c>
      <c r="T617" s="1" t="s">
        <v>23</v>
      </c>
      <c r="U617" s="1" t="s">
        <v>23</v>
      </c>
      <c r="V617" s="1" t="s">
        <v>2830</v>
      </c>
    </row>
    <row r="618" customFormat="false" ht="13.8" hidden="false" customHeight="false" outlineLevel="0" collapsed="false">
      <c r="A618" s="1" t="n">
        <v>617</v>
      </c>
      <c r="B618" s="2" t="s">
        <v>2932</v>
      </c>
      <c r="C618" s="1" t="n">
        <v>3</v>
      </c>
      <c r="D618" s="1" t="n">
        <v>5</v>
      </c>
      <c r="E618" s="1" t="n">
        <v>25</v>
      </c>
      <c r="F618" s="1" t="n">
        <v>33</v>
      </c>
      <c r="G618" s="1" t="n">
        <v>36</v>
      </c>
      <c r="H618" s="1" t="n">
        <v>49</v>
      </c>
      <c r="I618" s="1" t="str">
        <f aca="false">RIGHT(("0"&amp;C618),2)&amp;RIGHT(("0"&amp;D618),2)&amp;RIGHT(("0"&amp;E618),2)&amp;RIGHT(("0"&amp;F618),2)&amp;RIGHT(("0"&amp;G618),2)&amp;RIGHT(("0"&amp;H618),2)</f>
        <v>030525333649</v>
      </c>
      <c r="J618" s="1" t="n">
        <f aca="false">COUNTIF(I:I,I618)</f>
        <v>1</v>
      </c>
      <c r="K618" s="1" t="n">
        <v>2</v>
      </c>
      <c r="L618" s="1" t="s">
        <v>2933</v>
      </c>
      <c r="M618" s="1" t="s">
        <v>2934</v>
      </c>
      <c r="N618" s="1" t="n">
        <v>289</v>
      </c>
      <c r="O618" s="1" t="s">
        <v>2935</v>
      </c>
      <c r="P618" s="1" t="n">
        <v>17341</v>
      </c>
      <c r="Q618" s="1" t="s">
        <v>2936</v>
      </c>
      <c r="R618" s="1" t="s">
        <v>23</v>
      </c>
      <c r="S618" s="1" t="s">
        <v>23</v>
      </c>
      <c r="T618" s="1" t="s">
        <v>23</v>
      </c>
      <c r="U618" s="1" t="s">
        <v>23</v>
      </c>
      <c r="V618" s="1" t="s">
        <v>2937</v>
      </c>
    </row>
    <row r="619" customFormat="false" ht="13.8" hidden="false" customHeight="false" outlineLevel="0" collapsed="false">
      <c r="A619" s="1" t="n">
        <v>618</v>
      </c>
      <c r="B619" s="2" t="s">
        <v>2938</v>
      </c>
      <c r="C619" s="1" t="n">
        <v>3</v>
      </c>
      <c r="D619" s="1" t="n">
        <v>8</v>
      </c>
      <c r="E619" s="1" t="n">
        <v>10</v>
      </c>
      <c r="F619" s="1" t="n">
        <v>13</v>
      </c>
      <c r="G619" s="1" t="n">
        <v>24</v>
      </c>
      <c r="H619" s="1" t="n">
        <v>60</v>
      </c>
      <c r="I619" s="1" t="str">
        <f aca="false">RIGHT(("0"&amp;C619),2)&amp;RIGHT(("0"&amp;D619),2)&amp;RIGHT(("0"&amp;E619),2)&amp;RIGHT(("0"&amp;F619),2)&amp;RIGHT(("0"&amp;G619),2)&amp;RIGHT(("0"&amp;H619),2)</f>
        <v>030810132460</v>
      </c>
      <c r="J619" s="1" t="n">
        <f aca="false">COUNTIF(I:I,I619)</f>
        <v>1</v>
      </c>
      <c r="K619" s="1" t="n">
        <v>0</v>
      </c>
      <c r="M619" s="1" t="s">
        <v>23</v>
      </c>
      <c r="N619" s="1" t="n">
        <v>86</v>
      </c>
      <c r="O619" s="1" t="s">
        <v>2939</v>
      </c>
      <c r="P619" s="1" t="n">
        <v>4992</v>
      </c>
      <c r="Q619" s="1" t="s">
        <v>2940</v>
      </c>
      <c r="R619" s="1" t="s">
        <v>2941</v>
      </c>
      <c r="S619" s="1" t="s">
        <v>23</v>
      </c>
      <c r="T619" s="1" t="s">
        <v>23</v>
      </c>
      <c r="U619" s="1" t="s">
        <v>23</v>
      </c>
      <c r="V619" s="1" t="s">
        <v>2942</v>
      </c>
    </row>
    <row r="620" customFormat="false" ht="13.8" hidden="false" customHeight="false" outlineLevel="0" collapsed="false">
      <c r="A620" s="1" t="n">
        <v>619</v>
      </c>
      <c r="B620" s="2" t="s">
        <v>2943</v>
      </c>
      <c r="C620" s="1" t="n">
        <v>8</v>
      </c>
      <c r="D620" s="1" t="n">
        <v>12</v>
      </c>
      <c r="E620" s="1" t="n">
        <v>14</v>
      </c>
      <c r="F620" s="1" t="n">
        <v>16</v>
      </c>
      <c r="G620" s="1" t="n">
        <v>19</v>
      </c>
      <c r="H620" s="1" t="n">
        <v>46</v>
      </c>
      <c r="I620" s="1" t="str">
        <f aca="false">RIGHT(("0"&amp;C620),2)&amp;RIGHT(("0"&amp;D620),2)&amp;RIGHT(("0"&amp;E620),2)&amp;RIGHT(("0"&amp;F620),2)&amp;RIGHT(("0"&amp;G620),2)&amp;RIGHT(("0"&amp;H620),2)</f>
        <v>081214161946</v>
      </c>
      <c r="J620" s="1" t="n">
        <f aca="false">COUNTIF(I:I,I620)</f>
        <v>1</v>
      </c>
      <c r="K620" s="1" t="n">
        <v>0</v>
      </c>
      <c r="M620" s="1" t="s">
        <v>23</v>
      </c>
      <c r="N620" s="1" t="n">
        <v>101</v>
      </c>
      <c r="O620" s="1" t="s">
        <v>2944</v>
      </c>
      <c r="P620" s="1" t="n">
        <v>5924</v>
      </c>
      <c r="Q620" s="1" t="s">
        <v>2945</v>
      </c>
      <c r="R620" s="1" t="s">
        <v>2946</v>
      </c>
      <c r="S620" s="1" t="s">
        <v>23</v>
      </c>
      <c r="T620" s="1" t="s">
        <v>23</v>
      </c>
      <c r="U620" s="1" t="s">
        <v>23</v>
      </c>
      <c r="V620" s="1" t="s">
        <v>2947</v>
      </c>
    </row>
    <row r="621" customFormat="false" ht="13.8" hidden="false" customHeight="false" outlineLevel="0" collapsed="false">
      <c r="A621" s="1" t="n">
        <v>620</v>
      </c>
      <c r="B621" s="2" t="s">
        <v>2948</v>
      </c>
      <c r="C621" s="1" t="n">
        <v>1</v>
      </c>
      <c r="D621" s="1" t="n">
        <v>3</v>
      </c>
      <c r="E621" s="1" t="n">
        <v>13</v>
      </c>
      <c r="F621" s="1" t="n">
        <v>22</v>
      </c>
      <c r="G621" s="1" t="n">
        <v>29</v>
      </c>
      <c r="H621" s="1" t="n">
        <v>32</v>
      </c>
      <c r="I621" s="1" t="str">
        <f aca="false">RIGHT(("0"&amp;C621),2)&amp;RIGHT(("0"&amp;D621),2)&amp;RIGHT(("0"&amp;E621),2)&amp;RIGHT(("0"&amp;F621),2)&amp;RIGHT(("0"&amp;G621),2)&amp;RIGHT(("0"&amp;H621),2)</f>
        <v>010313222932</v>
      </c>
      <c r="J621" s="1" t="n">
        <f aca="false">COUNTIF(I:I,I621)</f>
        <v>1</v>
      </c>
      <c r="K621" s="1" t="n">
        <v>0</v>
      </c>
      <c r="M621" s="1" t="s">
        <v>23</v>
      </c>
      <c r="N621" s="1" t="n">
        <v>87</v>
      </c>
      <c r="O621" s="1" t="s">
        <v>2949</v>
      </c>
      <c r="P621" s="1" t="n">
        <v>5886</v>
      </c>
      <c r="Q621" s="1" t="s">
        <v>2950</v>
      </c>
      <c r="R621" s="1" t="s">
        <v>2951</v>
      </c>
      <c r="S621" s="1" t="s">
        <v>23</v>
      </c>
      <c r="T621" s="1" t="s">
        <v>23</v>
      </c>
      <c r="U621" s="1" t="s">
        <v>23</v>
      </c>
      <c r="V621" s="1" t="s">
        <v>2952</v>
      </c>
    </row>
    <row r="622" customFormat="false" ht="13.8" hidden="false" customHeight="false" outlineLevel="0" collapsed="false">
      <c r="A622" s="1" t="n">
        <v>621</v>
      </c>
      <c r="B622" s="2" t="s">
        <v>2953</v>
      </c>
      <c r="C622" s="1" t="n">
        <v>26</v>
      </c>
      <c r="D622" s="1" t="n">
        <v>29</v>
      </c>
      <c r="E622" s="1" t="n">
        <v>31</v>
      </c>
      <c r="F622" s="1" t="n">
        <v>49</v>
      </c>
      <c r="G622" s="1" t="n">
        <v>50</v>
      </c>
      <c r="H622" s="1" t="n">
        <v>57</v>
      </c>
      <c r="I622" s="1" t="str">
        <f aca="false">RIGHT(("0"&amp;C622),2)&amp;RIGHT(("0"&amp;D622),2)&amp;RIGHT(("0"&amp;E622),2)&amp;RIGHT(("0"&amp;F622),2)&amp;RIGHT(("0"&amp;G622),2)&amp;RIGHT(("0"&amp;H622),2)</f>
        <v>262931495057</v>
      </c>
      <c r="J622" s="1" t="n">
        <f aca="false">COUNTIF(I:I,I622)</f>
        <v>1</v>
      </c>
      <c r="K622" s="1" t="n">
        <v>0</v>
      </c>
      <c r="M622" s="1" t="s">
        <v>23</v>
      </c>
      <c r="N622" s="1" t="n">
        <v>40</v>
      </c>
      <c r="O622" s="1" t="s">
        <v>2954</v>
      </c>
      <c r="P622" s="1" t="n">
        <v>3837</v>
      </c>
      <c r="Q622" s="1" t="s">
        <v>2955</v>
      </c>
      <c r="R622" s="1" t="s">
        <v>2956</v>
      </c>
      <c r="S622" s="1" t="s">
        <v>23</v>
      </c>
      <c r="T622" s="1" t="s">
        <v>23</v>
      </c>
      <c r="U622" s="1" t="s">
        <v>23</v>
      </c>
      <c r="V622" s="1" t="s">
        <v>2957</v>
      </c>
    </row>
    <row r="623" customFormat="false" ht="13.8" hidden="false" customHeight="false" outlineLevel="0" collapsed="false">
      <c r="A623" s="1" t="n">
        <v>622</v>
      </c>
      <c r="B623" s="2" t="s">
        <v>2958</v>
      </c>
      <c r="C623" s="1" t="n">
        <v>19</v>
      </c>
      <c r="D623" s="1" t="n">
        <v>27</v>
      </c>
      <c r="E623" s="1" t="n">
        <v>29</v>
      </c>
      <c r="F623" s="1" t="n">
        <v>38</v>
      </c>
      <c r="G623" s="1" t="n">
        <v>50</v>
      </c>
      <c r="H623" s="1" t="n">
        <v>59</v>
      </c>
      <c r="I623" s="1" t="str">
        <f aca="false">RIGHT(("0"&amp;C623),2)&amp;RIGHT(("0"&amp;D623),2)&amp;RIGHT(("0"&amp;E623),2)&amp;RIGHT(("0"&amp;F623),2)&amp;RIGHT(("0"&amp;G623),2)&amp;RIGHT(("0"&amp;H623),2)</f>
        <v>192729385059</v>
      </c>
      <c r="J623" s="1" t="n">
        <f aca="false">COUNTIF(I:I,I623)</f>
        <v>1</v>
      </c>
      <c r="K623" s="1" t="n">
        <v>0</v>
      </c>
      <c r="M623" s="1" t="s">
        <v>23</v>
      </c>
      <c r="N623" s="1" t="n">
        <v>49</v>
      </c>
      <c r="O623" s="1" t="s">
        <v>2959</v>
      </c>
      <c r="P623" s="1" t="n">
        <v>3560</v>
      </c>
      <c r="Q623" s="1" t="s">
        <v>2960</v>
      </c>
      <c r="R623" s="1" t="s">
        <v>2961</v>
      </c>
      <c r="S623" s="1" t="s">
        <v>23</v>
      </c>
      <c r="T623" s="1" t="s">
        <v>23</v>
      </c>
      <c r="U623" s="1" t="s">
        <v>23</v>
      </c>
      <c r="V623" s="1" t="s">
        <v>2962</v>
      </c>
    </row>
    <row r="624" customFormat="false" ht="13.8" hidden="false" customHeight="false" outlineLevel="0" collapsed="false">
      <c r="A624" s="1" t="n">
        <v>623</v>
      </c>
      <c r="B624" s="2" t="s">
        <v>2963</v>
      </c>
      <c r="C624" s="1" t="n">
        <v>9</v>
      </c>
      <c r="D624" s="1" t="n">
        <v>23</v>
      </c>
      <c r="E624" s="1" t="n">
        <v>30</v>
      </c>
      <c r="F624" s="1" t="n">
        <v>42</v>
      </c>
      <c r="G624" s="1" t="n">
        <v>49</v>
      </c>
      <c r="H624" s="1" t="n">
        <v>55</v>
      </c>
      <c r="I624" s="1" t="str">
        <f aca="false">RIGHT(("0"&amp;C624),2)&amp;RIGHT(("0"&amp;D624),2)&amp;RIGHT(("0"&amp;E624),2)&amp;RIGHT(("0"&amp;F624),2)&amp;RIGHT(("0"&amp;G624),2)&amp;RIGHT(("0"&amp;H624),2)</f>
        <v>092330424955</v>
      </c>
      <c r="J624" s="1" t="n">
        <f aca="false">COUNTIF(I:I,I624)</f>
        <v>1</v>
      </c>
      <c r="K624" s="1" t="n">
        <v>0</v>
      </c>
      <c r="M624" s="1" t="s">
        <v>23</v>
      </c>
      <c r="N624" s="1" t="n">
        <v>124</v>
      </c>
      <c r="O624" s="1" t="s">
        <v>2964</v>
      </c>
      <c r="P624" s="1" t="n">
        <v>6915</v>
      </c>
      <c r="Q624" s="1" t="s">
        <v>2965</v>
      </c>
      <c r="R624" s="1" t="s">
        <v>2966</v>
      </c>
      <c r="S624" s="1" t="s">
        <v>23</v>
      </c>
      <c r="T624" s="1" t="s">
        <v>23</v>
      </c>
      <c r="U624" s="1" t="s">
        <v>23</v>
      </c>
      <c r="V624" s="1" t="s">
        <v>2967</v>
      </c>
    </row>
    <row r="625" customFormat="false" ht="13.8" hidden="false" customHeight="false" outlineLevel="0" collapsed="false">
      <c r="A625" s="1" t="n">
        <v>624</v>
      </c>
      <c r="B625" s="2" t="s">
        <v>2968</v>
      </c>
      <c r="C625" s="1" t="n">
        <v>8</v>
      </c>
      <c r="D625" s="1" t="n">
        <v>23</v>
      </c>
      <c r="E625" s="1" t="n">
        <v>34</v>
      </c>
      <c r="F625" s="1" t="n">
        <v>39</v>
      </c>
      <c r="G625" s="1" t="n">
        <v>43</v>
      </c>
      <c r="H625" s="1" t="n">
        <v>52</v>
      </c>
      <c r="I625" s="1" t="str">
        <f aca="false">RIGHT(("0"&amp;C625),2)&amp;RIGHT(("0"&amp;D625),2)&amp;RIGHT(("0"&amp;E625),2)&amp;RIGHT(("0"&amp;F625),2)&amp;RIGHT(("0"&amp;G625),2)&amp;RIGHT(("0"&amp;H625),2)</f>
        <v>082334394352</v>
      </c>
      <c r="J625" s="1" t="n">
        <f aca="false">COUNTIF(I:I,I625)</f>
        <v>1</v>
      </c>
      <c r="K625" s="1" t="n">
        <v>1</v>
      </c>
      <c r="L625" s="1" t="s">
        <v>157</v>
      </c>
      <c r="M625" s="1" t="s">
        <v>2969</v>
      </c>
      <c r="N625" s="1" t="n">
        <v>108</v>
      </c>
      <c r="O625" s="1" t="s">
        <v>2970</v>
      </c>
      <c r="P625" s="1" t="n">
        <v>7284</v>
      </c>
      <c r="Q625" s="1" t="s">
        <v>69</v>
      </c>
      <c r="R625" s="1" t="s">
        <v>23</v>
      </c>
      <c r="S625" s="1" t="s">
        <v>23</v>
      </c>
      <c r="T625" s="1" t="s">
        <v>23</v>
      </c>
      <c r="U625" s="1" t="s">
        <v>23</v>
      </c>
      <c r="V625" s="1" t="s">
        <v>2971</v>
      </c>
    </row>
    <row r="626" customFormat="false" ht="13.8" hidden="false" customHeight="false" outlineLevel="0" collapsed="false">
      <c r="A626" s="1" t="n">
        <v>625</v>
      </c>
      <c r="B626" s="2" t="s">
        <v>2972</v>
      </c>
      <c r="C626" s="1" t="n">
        <v>12</v>
      </c>
      <c r="D626" s="1" t="n">
        <v>24</v>
      </c>
      <c r="E626" s="1" t="n">
        <v>32</v>
      </c>
      <c r="F626" s="1" t="n">
        <v>40</v>
      </c>
      <c r="G626" s="1" t="n">
        <v>42</v>
      </c>
      <c r="H626" s="1" t="n">
        <v>59</v>
      </c>
      <c r="I626" s="1" t="str">
        <f aca="false">RIGHT(("0"&amp;C626),2)&amp;RIGHT(("0"&amp;D626),2)&amp;RIGHT(("0"&amp;E626),2)&amp;RIGHT(("0"&amp;F626),2)&amp;RIGHT(("0"&amp;G626),2)&amp;RIGHT(("0"&amp;H626),2)</f>
        <v>122432404259</v>
      </c>
      <c r="J626" s="1" t="n">
        <f aca="false">COUNTIF(I:I,I626)</f>
        <v>1</v>
      </c>
      <c r="K626" s="1" t="n">
        <v>0</v>
      </c>
      <c r="M626" s="1" t="s">
        <v>23</v>
      </c>
      <c r="N626" s="1" t="n">
        <v>49</v>
      </c>
      <c r="O626" s="1" t="s">
        <v>2973</v>
      </c>
      <c r="P626" s="1" t="n">
        <v>4056</v>
      </c>
      <c r="Q626" s="1" t="s">
        <v>2974</v>
      </c>
      <c r="R626" s="1" t="s">
        <v>2975</v>
      </c>
      <c r="S626" s="1" t="s">
        <v>23</v>
      </c>
      <c r="T626" s="1" t="s">
        <v>23</v>
      </c>
      <c r="U626" s="1" t="s">
        <v>23</v>
      </c>
      <c r="V626" s="1" t="s">
        <v>2976</v>
      </c>
    </row>
    <row r="627" customFormat="false" ht="13.8" hidden="false" customHeight="false" outlineLevel="0" collapsed="false">
      <c r="A627" s="1" t="n">
        <v>626</v>
      </c>
      <c r="B627" s="2" t="s">
        <v>2977</v>
      </c>
      <c r="C627" s="1" t="n">
        <v>7</v>
      </c>
      <c r="D627" s="1" t="n">
        <v>8</v>
      </c>
      <c r="E627" s="1" t="n">
        <v>18</v>
      </c>
      <c r="F627" s="1" t="n">
        <v>22</v>
      </c>
      <c r="G627" s="1" t="n">
        <v>39</v>
      </c>
      <c r="H627" s="1" t="n">
        <v>49</v>
      </c>
      <c r="I627" s="1" t="str">
        <f aca="false">RIGHT(("0"&amp;C627),2)&amp;RIGHT(("0"&amp;D627),2)&amp;RIGHT(("0"&amp;E627),2)&amp;RIGHT(("0"&amp;F627),2)&amp;RIGHT(("0"&amp;G627),2)&amp;RIGHT(("0"&amp;H627),2)</f>
        <v>070818223949</v>
      </c>
      <c r="J627" s="1" t="n">
        <f aca="false">COUNTIF(I:I,I627)</f>
        <v>1</v>
      </c>
      <c r="K627" s="1" t="n">
        <v>0</v>
      </c>
      <c r="M627" s="1" t="s">
        <v>23</v>
      </c>
      <c r="N627" s="1" t="n">
        <v>52</v>
      </c>
      <c r="O627" s="1" t="s">
        <v>2978</v>
      </c>
      <c r="P627" s="1" t="n">
        <v>5096</v>
      </c>
      <c r="Q627" s="1" t="s">
        <v>2979</v>
      </c>
      <c r="R627" s="1" t="s">
        <v>2980</v>
      </c>
      <c r="S627" s="1" t="s">
        <v>23</v>
      </c>
      <c r="T627" s="1" t="s">
        <v>23</v>
      </c>
      <c r="U627" s="1" t="s">
        <v>23</v>
      </c>
      <c r="V627" s="1" t="s">
        <v>2981</v>
      </c>
    </row>
    <row r="628" customFormat="false" ht="13.8" hidden="false" customHeight="false" outlineLevel="0" collapsed="false">
      <c r="A628" s="1" t="n">
        <v>627</v>
      </c>
      <c r="B628" s="2" t="s">
        <v>2982</v>
      </c>
      <c r="C628" s="1" t="n">
        <v>1</v>
      </c>
      <c r="D628" s="1" t="n">
        <v>13</v>
      </c>
      <c r="E628" s="1" t="n">
        <v>19</v>
      </c>
      <c r="F628" s="1" t="n">
        <v>45</v>
      </c>
      <c r="G628" s="1" t="n">
        <v>56</v>
      </c>
      <c r="H628" s="1" t="n">
        <v>58</v>
      </c>
      <c r="I628" s="1" t="str">
        <f aca="false">RIGHT(("0"&amp;C628),2)&amp;RIGHT(("0"&amp;D628),2)&amp;RIGHT(("0"&amp;E628),2)&amp;RIGHT(("0"&amp;F628),2)&amp;RIGHT(("0"&amp;G628),2)&amp;RIGHT(("0"&amp;H628),2)</f>
        <v>011319455658</v>
      </c>
      <c r="J628" s="1" t="n">
        <f aca="false">COUNTIF(I:I,I628)</f>
        <v>1</v>
      </c>
      <c r="K628" s="1" t="n">
        <v>0</v>
      </c>
      <c r="M628" s="1" t="s">
        <v>23</v>
      </c>
      <c r="N628" s="1" t="n">
        <v>112</v>
      </c>
      <c r="O628" s="1" t="s">
        <v>2983</v>
      </c>
      <c r="P628" s="1" t="n">
        <v>8049</v>
      </c>
      <c r="Q628" s="1" t="s">
        <v>2984</v>
      </c>
      <c r="R628" s="1" t="s">
        <v>2985</v>
      </c>
      <c r="S628" s="1" t="s">
        <v>23</v>
      </c>
      <c r="T628" s="1" t="s">
        <v>23</v>
      </c>
      <c r="U628" s="1" t="s">
        <v>23</v>
      </c>
      <c r="V628" s="1" t="s">
        <v>2986</v>
      </c>
    </row>
    <row r="629" customFormat="false" ht="13.8" hidden="false" customHeight="false" outlineLevel="0" collapsed="false">
      <c r="A629" s="1" t="n">
        <v>628</v>
      </c>
      <c r="B629" s="2" t="s">
        <v>2987</v>
      </c>
      <c r="C629" s="1" t="n">
        <v>8</v>
      </c>
      <c r="D629" s="1" t="n">
        <v>16</v>
      </c>
      <c r="E629" s="1" t="n">
        <v>22</v>
      </c>
      <c r="F629" s="1" t="n">
        <v>30</v>
      </c>
      <c r="G629" s="1" t="n">
        <v>56</v>
      </c>
      <c r="H629" s="1" t="n">
        <v>58</v>
      </c>
      <c r="I629" s="1" t="str">
        <f aca="false">RIGHT(("0"&amp;C629),2)&amp;RIGHT(("0"&amp;D629),2)&amp;RIGHT(("0"&amp;E629),2)&amp;RIGHT(("0"&amp;F629),2)&amp;RIGHT(("0"&amp;G629),2)&amp;RIGHT(("0"&amp;H629),2)</f>
        <v>081622305658</v>
      </c>
      <c r="J629" s="1" t="n">
        <f aca="false">COUNTIF(I:I,I629)</f>
        <v>1</v>
      </c>
      <c r="K629" s="1" t="n">
        <v>1</v>
      </c>
      <c r="L629" s="1" t="s">
        <v>91</v>
      </c>
      <c r="M629" s="1" t="s">
        <v>2988</v>
      </c>
      <c r="N629" s="1" t="n">
        <v>76</v>
      </c>
      <c r="O629" s="1" t="s">
        <v>2989</v>
      </c>
      <c r="P629" s="1" t="n">
        <v>5510</v>
      </c>
      <c r="Q629" s="1" t="s">
        <v>2990</v>
      </c>
      <c r="R629" s="1" t="s">
        <v>23</v>
      </c>
      <c r="S629" s="1" t="s">
        <v>23</v>
      </c>
      <c r="T629" s="1" t="s">
        <v>23</v>
      </c>
      <c r="U629" s="1" t="s">
        <v>23</v>
      </c>
      <c r="V629" s="1" t="s">
        <v>2991</v>
      </c>
    </row>
    <row r="630" customFormat="false" ht="13.8" hidden="false" customHeight="false" outlineLevel="0" collapsed="false">
      <c r="A630" s="1" t="n">
        <v>629</v>
      </c>
      <c r="B630" s="2" t="s">
        <v>2992</v>
      </c>
      <c r="C630" s="1" t="n">
        <v>15</v>
      </c>
      <c r="D630" s="1" t="n">
        <v>16</v>
      </c>
      <c r="E630" s="1" t="n">
        <v>39</v>
      </c>
      <c r="F630" s="1" t="n">
        <v>40</v>
      </c>
      <c r="G630" s="1" t="n">
        <v>47</v>
      </c>
      <c r="H630" s="1" t="n">
        <v>51</v>
      </c>
      <c r="I630" s="1" t="str">
        <f aca="false">RIGHT(("0"&amp;C630),2)&amp;RIGHT(("0"&amp;D630),2)&amp;RIGHT(("0"&amp;E630),2)&amp;RIGHT(("0"&amp;F630),2)&amp;RIGHT(("0"&amp;G630),2)&amp;RIGHT(("0"&amp;H630),2)</f>
        <v>151639404751</v>
      </c>
      <c r="J630" s="1" t="n">
        <f aca="false">COUNTIF(I:I,I630)</f>
        <v>1</v>
      </c>
      <c r="K630" s="1" t="n">
        <v>1</v>
      </c>
      <c r="L630" s="1" t="s">
        <v>2311</v>
      </c>
      <c r="M630" s="1" t="s">
        <v>2993</v>
      </c>
      <c r="N630" s="1" t="n">
        <v>15</v>
      </c>
      <c r="O630" s="1" t="s">
        <v>2994</v>
      </c>
      <c r="P630" s="1" t="n">
        <v>1865</v>
      </c>
      <c r="Q630" s="1" t="s">
        <v>2995</v>
      </c>
      <c r="R630" s="1" t="s">
        <v>23</v>
      </c>
      <c r="S630" s="1" t="s">
        <v>23</v>
      </c>
      <c r="T630" s="1" t="s">
        <v>23</v>
      </c>
      <c r="U630" s="1" t="s">
        <v>23</v>
      </c>
      <c r="V630" s="1" t="s">
        <v>2996</v>
      </c>
    </row>
    <row r="631" customFormat="false" ht="13.8" hidden="false" customHeight="false" outlineLevel="0" collapsed="false">
      <c r="A631" s="1" t="n">
        <v>630</v>
      </c>
      <c r="B631" s="2" t="s">
        <v>2997</v>
      </c>
      <c r="C631" s="1" t="n">
        <v>12</v>
      </c>
      <c r="D631" s="1" t="n">
        <v>16</v>
      </c>
      <c r="E631" s="1" t="n">
        <v>20</v>
      </c>
      <c r="F631" s="1" t="n">
        <v>45</v>
      </c>
      <c r="G631" s="1" t="n">
        <v>53</v>
      </c>
      <c r="H631" s="1" t="n">
        <v>60</v>
      </c>
      <c r="I631" s="1" t="str">
        <f aca="false">RIGHT(("0"&amp;C631),2)&amp;RIGHT(("0"&amp;D631),2)&amp;RIGHT(("0"&amp;E631),2)&amp;RIGHT(("0"&amp;F631),2)&amp;RIGHT(("0"&amp;G631),2)&amp;RIGHT(("0"&amp;H631),2)</f>
        <v>121620455360</v>
      </c>
      <c r="J631" s="1" t="n">
        <f aca="false">COUNTIF(I:I,I631)</f>
        <v>1</v>
      </c>
      <c r="K631" s="1" t="n">
        <v>0</v>
      </c>
      <c r="M631" s="1" t="s">
        <v>23</v>
      </c>
      <c r="N631" s="1" t="n">
        <v>33</v>
      </c>
      <c r="O631" s="1" t="s">
        <v>2998</v>
      </c>
      <c r="P631" s="1" t="n">
        <v>2972</v>
      </c>
      <c r="Q631" s="1" t="s">
        <v>2999</v>
      </c>
      <c r="R631" s="1" t="s">
        <v>3000</v>
      </c>
      <c r="S631" s="1" t="s">
        <v>23</v>
      </c>
      <c r="T631" s="1" t="s">
        <v>23</v>
      </c>
      <c r="U631" s="1" t="s">
        <v>23</v>
      </c>
      <c r="V631" s="1" t="s">
        <v>2898</v>
      </c>
    </row>
    <row r="632" customFormat="false" ht="13.8" hidden="false" customHeight="false" outlineLevel="0" collapsed="false">
      <c r="A632" s="1" t="n">
        <v>631</v>
      </c>
      <c r="B632" s="2" t="s">
        <v>3001</v>
      </c>
      <c r="C632" s="1" t="n">
        <v>1</v>
      </c>
      <c r="D632" s="1" t="n">
        <v>20</v>
      </c>
      <c r="E632" s="1" t="n">
        <v>28</v>
      </c>
      <c r="F632" s="1" t="n">
        <v>32</v>
      </c>
      <c r="G632" s="1" t="n">
        <v>44</v>
      </c>
      <c r="H632" s="1" t="n">
        <v>47</v>
      </c>
      <c r="I632" s="1" t="str">
        <f aca="false">RIGHT(("0"&amp;C632),2)&amp;RIGHT(("0"&amp;D632),2)&amp;RIGHT(("0"&amp;E632),2)&amp;RIGHT(("0"&amp;F632),2)&amp;RIGHT(("0"&amp;G632),2)&amp;RIGHT(("0"&amp;H632),2)</f>
        <v>012028324447</v>
      </c>
      <c r="J632" s="1" t="n">
        <f aca="false">COUNTIF(I:I,I632)</f>
        <v>1</v>
      </c>
      <c r="K632" s="1" t="n">
        <v>1</v>
      </c>
      <c r="L632" s="1" t="s">
        <v>28</v>
      </c>
      <c r="M632" s="1" t="s">
        <v>3002</v>
      </c>
      <c r="N632" s="1" t="n">
        <v>46</v>
      </c>
      <c r="O632" s="1" t="s">
        <v>3003</v>
      </c>
      <c r="P632" s="1" t="n">
        <v>3548</v>
      </c>
      <c r="Q632" s="1" t="s">
        <v>3004</v>
      </c>
      <c r="R632" s="1" t="s">
        <v>23</v>
      </c>
      <c r="S632" s="1" t="s">
        <v>23</v>
      </c>
      <c r="T632" s="1" t="s">
        <v>23</v>
      </c>
      <c r="U632" s="1" t="s">
        <v>23</v>
      </c>
      <c r="V632" s="1" t="s">
        <v>2868</v>
      </c>
    </row>
    <row r="633" customFormat="false" ht="13.8" hidden="false" customHeight="false" outlineLevel="0" collapsed="false">
      <c r="A633" s="1" t="n">
        <v>632</v>
      </c>
      <c r="B633" s="2" t="s">
        <v>3005</v>
      </c>
      <c r="C633" s="1" t="n">
        <v>2</v>
      </c>
      <c r="D633" s="1" t="n">
        <v>19</v>
      </c>
      <c r="E633" s="1" t="n">
        <v>28</v>
      </c>
      <c r="F633" s="1" t="n">
        <v>48</v>
      </c>
      <c r="G633" s="1" t="n">
        <v>51</v>
      </c>
      <c r="H633" s="1" t="n">
        <v>54</v>
      </c>
      <c r="I633" s="1" t="str">
        <f aca="false">RIGHT(("0"&amp;C633),2)&amp;RIGHT(("0"&amp;D633),2)&amp;RIGHT(("0"&amp;E633),2)&amp;RIGHT(("0"&amp;F633),2)&amp;RIGHT(("0"&amp;G633),2)&amp;RIGHT(("0"&amp;H633),2)</f>
        <v>021928485154</v>
      </c>
      <c r="J633" s="1" t="n">
        <f aca="false">COUNTIF(I:I,I633)</f>
        <v>1</v>
      </c>
      <c r="K633" s="1" t="n">
        <v>0</v>
      </c>
      <c r="M633" s="1" t="s">
        <v>23</v>
      </c>
      <c r="N633" s="1" t="n">
        <v>26</v>
      </c>
      <c r="O633" s="1" t="s">
        <v>3006</v>
      </c>
      <c r="P633" s="1" t="n">
        <v>1962</v>
      </c>
      <c r="Q633" s="1" t="s">
        <v>3007</v>
      </c>
      <c r="R633" s="1" t="s">
        <v>3008</v>
      </c>
      <c r="S633" s="1" t="s">
        <v>23</v>
      </c>
      <c r="T633" s="1" t="s">
        <v>23</v>
      </c>
      <c r="U633" s="1" t="s">
        <v>23</v>
      </c>
      <c r="V633" s="1" t="s">
        <v>3009</v>
      </c>
    </row>
    <row r="634" customFormat="false" ht="13.8" hidden="false" customHeight="false" outlineLevel="0" collapsed="false">
      <c r="A634" s="1" t="n">
        <v>633</v>
      </c>
      <c r="B634" s="2" t="s">
        <v>3010</v>
      </c>
      <c r="C634" s="1" t="n">
        <v>5</v>
      </c>
      <c r="D634" s="1" t="n">
        <v>11</v>
      </c>
      <c r="E634" s="1" t="n">
        <v>22</v>
      </c>
      <c r="F634" s="1" t="n">
        <v>27</v>
      </c>
      <c r="G634" s="1" t="n">
        <v>46</v>
      </c>
      <c r="H634" s="1" t="n">
        <v>50</v>
      </c>
      <c r="I634" s="1" t="str">
        <f aca="false">RIGHT(("0"&amp;C634),2)&amp;RIGHT(("0"&amp;D634),2)&amp;RIGHT(("0"&amp;E634),2)&amp;RIGHT(("0"&amp;F634),2)&amp;RIGHT(("0"&amp;G634),2)&amp;RIGHT(("0"&amp;H634),2)</f>
        <v>051122274650</v>
      </c>
      <c r="J634" s="1" t="n">
        <f aca="false">COUNTIF(I:I,I634)</f>
        <v>1</v>
      </c>
      <c r="K634" s="1" t="n">
        <v>0</v>
      </c>
      <c r="M634" s="1" t="s">
        <v>23</v>
      </c>
      <c r="N634" s="1" t="n">
        <v>58</v>
      </c>
      <c r="O634" s="1" t="s">
        <v>3011</v>
      </c>
      <c r="P634" s="1" t="n">
        <v>3524</v>
      </c>
      <c r="Q634" s="1" t="s">
        <v>3012</v>
      </c>
      <c r="R634" s="1" t="s">
        <v>3013</v>
      </c>
      <c r="S634" s="1" t="s">
        <v>23</v>
      </c>
      <c r="T634" s="1" t="s">
        <v>23</v>
      </c>
      <c r="U634" s="1" t="s">
        <v>23</v>
      </c>
      <c r="V634" s="1" t="s">
        <v>3014</v>
      </c>
    </row>
    <row r="635" customFormat="false" ht="13.8" hidden="false" customHeight="false" outlineLevel="0" collapsed="false">
      <c r="A635" s="1" t="n">
        <v>634</v>
      </c>
      <c r="B635" s="2" t="s">
        <v>3015</v>
      </c>
      <c r="C635" s="1" t="n">
        <v>10</v>
      </c>
      <c r="D635" s="1" t="n">
        <v>13</v>
      </c>
      <c r="E635" s="1" t="n">
        <v>24</v>
      </c>
      <c r="F635" s="1" t="n">
        <v>41</v>
      </c>
      <c r="G635" s="1" t="n">
        <v>42</v>
      </c>
      <c r="H635" s="1" t="n">
        <v>56</v>
      </c>
      <c r="I635" s="1" t="str">
        <f aca="false">RIGHT(("0"&amp;C635),2)&amp;RIGHT(("0"&amp;D635),2)&amp;RIGHT(("0"&amp;E635),2)&amp;RIGHT(("0"&amp;F635),2)&amp;RIGHT(("0"&amp;G635),2)&amp;RIGHT(("0"&amp;H635),2)</f>
        <v>101324414256</v>
      </c>
      <c r="J635" s="1" t="n">
        <f aca="false">COUNTIF(I:I,I635)</f>
        <v>1</v>
      </c>
      <c r="K635" s="1" t="n">
        <v>0</v>
      </c>
      <c r="M635" s="1" t="s">
        <v>23</v>
      </c>
      <c r="N635" s="1" t="n">
        <v>54</v>
      </c>
      <c r="O635" s="1" t="s">
        <v>3016</v>
      </c>
      <c r="P635" s="1" t="n">
        <v>3752</v>
      </c>
      <c r="Q635" s="1" t="s">
        <v>3017</v>
      </c>
      <c r="R635" s="1" t="s">
        <v>3018</v>
      </c>
      <c r="S635" s="1" t="s">
        <v>23</v>
      </c>
      <c r="T635" s="1" t="s">
        <v>23</v>
      </c>
      <c r="U635" s="1" t="s">
        <v>23</v>
      </c>
      <c r="V635" s="1" t="s">
        <v>3019</v>
      </c>
    </row>
    <row r="636" customFormat="false" ht="13.8" hidden="false" customHeight="false" outlineLevel="0" collapsed="false">
      <c r="A636" s="1" t="n">
        <v>635</v>
      </c>
      <c r="B636" s="2" t="s">
        <v>3020</v>
      </c>
      <c r="C636" s="1" t="n">
        <v>8</v>
      </c>
      <c r="D636" s="1" t="n">
        <v>20</v>
      </c>
      <c r="E636" s="1" t="n">
        <v>26</v>
      </c>
      <c r="F636" s="1" t="n">
        <v>37</v>
      </c>
      <c r="G636" s="1" t="n">
        <v>42</v>
      </c>
      <c r="H636" s="1" t="n">
        <v>49</v>
      </c>
      <c r="I636" s="1" t="str">
        <f aca="false">RIGHT(("0"&amp;C636),2)&amp;RIGHT(("0"&amp;D636),2)&amp;RIGHT(("0"&amp;E636),2)&amp;RIGHT(("0"&amp;F636),2)&amp;RIGHT(("0"&amp;G636),2)&amp;RIGHT(("0"&amp;H636),2)</f>
        <v>082026374249</v>
      </c>
      <c r="J636" s="1" t="n">
        <f aca="false">COUNTIF(I:I,I636)</f>
        <v>1</v>
      </c>
      <c r="K636" s="1" t="n">
        <v>0</v>
      </c>
      <c r="M636" s="1" t="s">
        <v>23</v>
      </c>
      <c r="N636" s="1" t="n">
        <v>58</v>
      </c>
      <c r="O636" s="1" t="s">
        <v>3021</v>
      </c>
      <c r="P636" s="1" t="n">
        <v>3646</v>
      </c>
      <c r="Q636" s="1" t="s">
        <v>3022</v>
      </c>
      <c r="R636" s="1" t="s">
        <v>3023</v>
      </c>
      <c r="S636" s="1" t="s">
        <v>23</v>
      </c>
      <c r="T636" s="1" t="s">
        <v>23</v>
      </c>
      <c r="U636" s="1" t="s">
        <v>23</v>
      </c>
      <c r="V636" s="1" t="s">
        <v>3024</v>
      </c>
    </row>
    <row r="637" customFormat="false" ht="13.8" hidden="false" customHeight="false" outlineLevel="0" collapsed="false">
      <c r="A637" s="1" t="n">
        <v>636</v>
      </c>
      <c r="B637" s="2" t="s">
        <v>3025</v>
      </c>
      <c r="C637" s="1" t="n">
        <v>26</v>
      </c>
      <c r="D637" s="1" t="n">
        <v>28</v>
      </c>
      <c r="E637" s="1" t="n">
        <v>30</v>
      </c>
      <c r="F637" s="1" t="n">
        <v>32</v>
      </c>
      <c r="G637" s="1" t="n">
        <v>34</v>
      </c>
      <c r="H637" s="1" t="n">
        <v>50</v>
      </c>
      <c r="I637" s="1" t="str">
        <f aca="false">RIGHT(("0"&amp;C637),2)&amp;RIGHT(("0"&amp;D637),2)&amp;RIGHT(("0"&amp;E637),2)&amp;RIGHT(("0"&amp;F637),2)&amp;RIGHT(("0"&amp;G637),2)&amp;RIGHT(("0"&amp;H637),2)</f>
        <v>262830323450</v>
      </c>
      <c r="J637" s="1" t="n">
        <f aca="false">COUNTIF(I:I,I637)</f>
        <v>1</v>
      </c>
      <c r="K637" s="1" t="n">
        <v>0</v>
      </c>
      <c r="M637" s="1" t="s">
        <v>23</v>
      </c>
      <c r="N637" s="1" t="n">
        <v>74</v>
      </c>
      <c r="O637" s="1" t="s">
        <v>3026</v>
      </c>
      <c r="P637" s="1" t="n">
        <v>3170</v>
      </c>
      <c r="Q637" s="1" t="s">
        <v>3027</v>
      </c>
      <c r="R637" s="1" t="s">
        <v>3028</v>
      </c>
      <c r="S637" s="1" t="s">
        <v>23</v>
      </c>
      <c r="T637" s="1" t="s">
        <v>23</v>
      </c>
      <c r="U637" s="1" t="s">
        <v>23</v>
      </c>
      <c r="V637" s="1" t="s">
        <v>3029</v>
      </c>
    </row>
    <row r="638" customFormat="false" ht="13.8" hidden="false" customHeight="false" outlineLevel="0" collapsed="false">
      <c r="A638" s="1" t="n">
        <v>637</v>
      </c>
      <c r="B638" s="2" t="s">
        <v>3030</v>
      </c>
      <c r="C638" s="1" t="n">
        <v>11</v>
      </c>
      <c r="D638" s="1" t="n">
        <v>18</v>
      </c>
      <c r="E638" s="1" t="n">
        <v>43</v>
      </c>
      <c r="F638" s="1" t="n">
        <v>48</v>
      </c>
      <c r="G638" s="1" t="n">
        <v>52</v>
      </c>
      <c r="H638" s="1" t="n">
        <v>58</v>
      </c>
      <c r="I638" s="1" t="str">
        <f aca="false">RIGHT(("0"&amp;C638),2)&amp;RIGHT(("0"&amp;D638),2)&amp;RIGHT(("0"&amp;E638),2)&amp;RIGHT(("0"&amp;F638),2)&amp;RIGHT(("0"&amp;G638),2)&amp;RIGHT(("0"&amp;H638),2)</f>
        <v>111843485258</v>
      </c>
      <c r="J638" s="1" t="n">
        <f aca="false">COUNTIF(I:I,I638)</f>
        <v>1</v>
      </c>
      <c r="K638" s="1" t="n">
        <v>0</v>
      </c>
      <c r="M638" s="1" t="s">
        <v>23</v>
      </c>
      <c r="N638" s="1" t="n">
        <v>29</v>
      </c>
      <c r="O638" s="1" t="s">
        <v>3031</v>
      </c>
      <c r="P638" s="1" t="n">
        <v>3560</v>
      </c>
      <c r="Q638" s="1" t="s">
        <v>3032</v>
      </c>
      <c r="R638" s="1" t="s">
        <v>3033</v>
      </c>
      <c r="S638" s="1" t="s">
        <v>23</v>
      </c>
      <c r="T638" s="1" t="s">
        <v>23</v>
      </c>
      <c r="U638" s="1" t="s">
        <v>23</v>
      </c>
      <c r="V638" s="1" t="s">
        <v>3034</v>
      </c>
    </row>
    <row r="639" customFormat="false" ht="13.8" hidden="false" customHeight="false" outlineLevel="0" collapsed="false">
      <c r="A639" s="1" t="n">
        <v>638</v>
      </c>
      <c r="B639" s="2" t="s">
        <v>3035</v>
      </c>
      <c r="C639" s="1" t="n">
        <v>10</v>
      </c>
      <c r="D639" s="1" t="n">
        <v>11</v>
      </c>
      <c r="E639" s="1" t="n">
        <v>36</v>
      </c>
      <c r="F639" s="1" t="n">
        <v>41</v>
      </c>
      <c r="G639" s="1" t="n">
        <v>42</v>
      </c>
      <c r="H639" s="1" t="n">
        <v>50</v>
      </c>
      <c r="I639" s="1" t="str">
        <f aca="false">RIGHT(("0"&amp;C639),2)&amp;RIGHT(("0"&amp;D639),2)&amp;RIGHT(("0"&amp;E639),2)&amp;RIGHT(("0"&amp;F639),2)&amp;RIGHT(("0"&amp;G639),2)&amp;RIGHT(("0"&amp;H639),2)</f>
        <v>101136414250</v>
      </c>
      <c r="J639" s="1" t="n">
        <f aca="false">COUNTIF(I:I,I639)</f>
        <v>1</v>
      </c>
      <c r="K639" s="1" t="n">
        <v>0</v>
      </c>
      <c r="M639" s="1" t="s">
        <v>23</v>
      </c>
      <c r="N639" s="1" t="n">
        <v>65</v>
      </c>
      <c r="O639" s="1" t="s">
        <v>3036</v>
      </c>
      <c r="P639" s="1" t="n">
        <v>4518</v>
      </c>
      <c r="Q639" s="1" t="s">
        <v>3037</v>
      </c>
      <c r="R639" s="1" t="s">
        <v>3038</v>
      </c>
      <c r="S639" s="1" t="s">
        <v>23</v>
      </c>
      <c r="T639" s="1" t="s">
        <v>23</v>
      </c>
      <c r="U639" s="1" t="s">
        <v>23</v>
      </c>
      <c r="V639" s="1" t="s">
        <v>3039</v>
      </c>
    </row>
    <row r="640" customFormat="false" ht="13.8" hidden="false" customHeight="false" outlineLevel="0" collapsed="false">
      <c r="A640" s="1" t="n">
        <v>639</v>
      </c>
      <c r="B640" s="2" t="s">
        <v>3040</v>
      </c>
      <c r="C640" s="1" t="n">
        <v>13</v>
      </c>
      <c r="D640" s="1" t="n">
        <v>35</v>
      </c>
      <c r="E640" s="1" t="n">
        <v>39</v>
      </c>
      <c r="F640" s="1" t="n">
        <v>45</v>
      </c>
      <c r="G640" s="1" t="n">
        <v>51</v>
      </c>
      <c r="H640" s="1" t="n">
        <v>60</v>
      </c>
      <c r="I640" s="1" t="str">
        <f aca="false">RIGHT(("0"&amp;C640),2)&amp;RIGHT(("0"&amp;D640),2)&amp;RIGHT(("0"&amp;E640),2)&amp;RIGHT(("0"&amp;F640),2)&amp;RIGHT(("0"&amp;G640),2)&amp;RIGHT(("0"&amp;H640),2)</f>
        <v>133539455160</v>
      </c>
      <c r="J640" s="1" t="n">
        <f aca="false">COUNTIF(I:I,I640)</f>
        <v>1</v>
      </c>
      <c r="K640" s="1" t="n">
        <v>0</v>
      </c>
      <c r="M640" s="1" t="s">
        <v>23</v>
      </c>
      <c r="N640" s="1" t="n">
        <v>72</v>
      </c>
      <c r="O640" s="1" t="s">
        <v>3041</v>
      </c>
      <c r="P640" s="1" t="n">
        <v>5473</v>
      </c>
      <c r="Q640" s="1" t="s">
        <v>3042</v>
      </c>
      <c r="R640" s="1" t="s">
        <v>3043</v>
      </c>
      <c r="S640" s="1" t="s">
        <v>23</v>
      </c>
      <c r="T640" s="1" t="s">
        <v>23</v>
      </c>
      <c r="U640" s="1" t="s">
        <v>23</v>
      </c>
      <c r="V640" s="1" t="s">
        <v>3044</v>
      </c>
    </row>
    <row r="641" customFormat="false" ht="13.8" hidden="false" customHeight="false" outlineLevel="0" collapsed="false">
      <c r="A641" s="1" t="n">
        <v>640</v>
      </c>
      <c r="B641" s="2" t="s">
        <v>3045</v>
      </c>
      <c r="C641" s="1" t="n">
        <v>12</v>
      </c>
      <c r="D641" s="1" t="n">
        <v>19</v>
      </c>
      <c r="E641" s="1" t="n">
        <v>42</v>
      </c>
      <c r="F641" s="1" t="n">
        <v>46</v>
      </c>
      <c r="G641" s="1" t="n">
        <v>59</v>
      </c>
      <c r="H641" s="1" t="n">
        <v>60</v>
      </c>
      <c r="I641" s="1" t="str">
        <f aca="false">RIGHT(("0"&amp;C641),2)&amp;RIGHT(("0"&amp;D641),2)&amp;RIGHT(("0"&amp;E641),2)&amp;RIGHT(("0"&amp;F641),2)&amp;RIGHT(("0"&amp;G641),2)&amp;RIGHT(("0"&amp;H641),2)</f>
        <v>121942465960</v>
      </c>
      <c r="J641" s="1" t="n">
        <f aca="false">COUNTIF(I:I,I641)</f>
        <v>1</v>
      </c>
      <c r="K641" s="1" t="n">
        <v>0</v>
      </c>
      <c r="M641" s="1" t="s">
        <v>23</v>
      </c>
      <c r="N641" s="1" t="n">
        <v>129</v>
      </c>
      <c r="O641" s="1" t="s">
        <v>3046</v>
      </c>
      <c r="P641" s="1" t="n">
        <v>8094</v>
      </c>
      <c r="Q641" s="1" t="s">
        <v>3047</v>
      </c>
      <c r="R641" s="1" t="s">
        <v>3048</v>
      </c>
      <c r="S641" s="1" t="s">
        <v>23</v>
      </c>
      <c r="T641" s="1" t="s">
        <v>23</v>
      </c>
      <c r="U641" s="1" t="s">
        <v>23</v>
      </c>
      <c r="V641" s="1" t="s">
        <v>2927</v>
      </c>
    </row>
    <row r="642" customFormat="false" ht="13.8" hidden="false" customHeight="false" outlineLevel="0" collapsed="false">
      <c r="A642" s="1" t="n">
        <v>641</v>
      </c>
      <c r="B642" s="2" t="s">
        <v>3049</v>
      </c>
      <c r="C642" s="1" t="n">
        <v>1</v>
      </c>
      <c r="D642" s="1" t="n">
        <v>9</v>
      </c>
      <c r="E642" s="1" t="n">
        <v>13</v>
      </c>
      <c r="F642" s="1" t="n">
        <v>17</v>
      </c>
      <c r="G642" s="1" t="n">
        <v>33</v>
      </c>
      <c r="H642" s="1" t="n">
        <v>34</v>
      </c>
      <c r="I642" s="1" t="str">
        <f aca="false">RIGHT(("0"&amp;C642),2)&amp;RIGHT(("0"&amp;D642),2)&amp;RIGHT(("0"&amp;E642),2)&amp;RIGHT(("0"&amp;F642),2)&amp;RIGHT(("0"&amp;G642),2)&amp;RIGHT(("0"&amp;H642),2)</f>
        <v>010913173334</v>
      </c>
      <c r="J642" s="1" t="n">
        <f aca="false">COUNTIF(I:I,I642)</f>
        <v>1</v>
      </c>
      <c r="K642" s="1" t="n">
        <v>1</v>
      </c>
      <c r="L642" s="1" t="s">
        <v>157</v>
      </c>
      <c r="M642" s="1" t="s">
        <v>3050</v>
      </c>
      <c r="N642" s="1" t="n">
        <v>366</v>
      </c>
      <c r="O642" s="1" t="s">
        <v>3051</v>
      </c>
      <c r="P642" s="1" t="n">
        <v>20840</v>
      </c>
      <c r="Q642" s="1" t="s">
        <v>3052</v>
      </c>
      <c r="R642" s="1" t="s">
        <v>23</v>
      </c>
      <c r="S642" s="1" t="s">
        <v>23</v>
      </c>
      <c r="T642" s="1" t="s">
        <v>23</v>
      </c>
      <c r="U642" s="1" t="s">
        <v>23</v>
      </c>
      <c r="V642" s="1" t="s">
        <v>3053</v>
      </c>
    </row>
    <row r="643" customFormat="false" ht="13.8" hidden="false" customHeight="false" outlineLevel="0" collapsed="false">
      <c r="A643" s="1" t="n">
        <v>642</v>
      </c>
      <c r="B643" s="2" t="s">
        <v>3054</v>
      </c>
      <c r="C643" s="1" t="n">
        <v>17</v>
      </c>
      <c r="D643" s="1" t="n">
        <v>36</v>
      </c>
      <c r="E643" s="1" t="n">
        <v>40</v>
      </c>
      <c r="F643" s="1" t="n">
        <v>44</v>
      </c>
      <c r="G643" s="1" t="n">
        <v>51</v>
      </c>
      <c r="H643" s="1" t="n">
        <v>56</v>
      </c>
      <c r="I643" s="1" t="str">
        <f aca="false">RIGHT(("0"&amp;C643),2)&amp;RIGHT(("0"&amp;D643),2)&amp;RIGHT(("0"&amp;E643),2)&amp;RIGHT(("0"&amp;F643),2)&amp;RIGHT(("0"&amp;G643),2)&amp;RIGHT(("0"&amp;H643),2)</f>
        <v>173640445156</v>
      </c>
      <c r="J643" s="1" t="n">
        <f aca="false">COUNTIF(I:I,I643)</f>
        <v>1</v>
      </c>
      <c r="K643" s="1" t="n">
        <v>0</v>
      </c>
      <c r="M643" s="1" t="s">
        <v>23</v>
      </c>
      <c r="N643" s="1" t="n">
        <v>28</v>
      </c>
      <c r="O643" s="1" t="s">
        <v>3055</v>
      </c>
      <c r="P643" s="1" t="n">
        <v>1988</v>
      </c>
      <c r="Q643" s="1" t="s">
        <v>3056</v>
      </c>
      <c r="R643" s="1" t="s">
        <v>3057</v>
      </c>
      <c r="S643" s="1" t="s">
        <v>23</v>
      </c>
      <c r="T643" s="1" t="s">
        <v>23</v>
      </c>
      <c r="U643" s="1" t="s">
        <v>23</v>
      </c>
      <c r="V643" s="1" t="s">
        <v>3058</v>
      </c>
    </row>
    <row r="644" customFormat="false" ht="13.8" hidden="false" customHeight="false" outlineLevel="0" collapsed="false">
      <c r="A644" s="1" t="n">
        <v>643</v>
      </c>
      <c r="B644" s="2" t="s">
        <v>3059</v>
      </c>
      <c r="C644" s="1" t="n">
        <v>14</v>
      </c>
      <c r="D644" s="1" t="n">
        <v>24</v>
      </c>
      <c r="E644" s="1" t="n">
        <v>37</v>
      </c>
      <c r="F644" s="1" t="n">
        <v>40</v>
      </c>
      <c r="G644" s="1" t="n">
        <v>42</v>
      </c>
      <c r="H644" s="1" t="n">
        <v>45</v>
      </c>
      <c r="I644" s="1" t="str">
        <f aca="false">RIGHT(("0"&amp;C644),2)&amp;RIGHT(("0"&amp;D644),2)&amp;RIGHT(("0"&amp;E644),2)&amp;RIGHT(("0"&amp;F644),2)&amp;RIGHT(("0"&amp;G644),2)&amp;RIGHT(("0"&amp;H644),2)</f>
        <v>142437404245</v>
      </c>
      <c r="J644" s="1" t="n">
        <f aca="false">COUNTIF(I:I,I644)</f>
        <v>1</v>
      </c>
      <c r="K644" s="1" t="n">
        <v>0</v>
      </c>
      <c r="M644" s="1" t="s">
        <v>23</v>
      </c>
      <c r="N644" s="1" t="n">
        <v>41</v>
      </c>
      <c r="O644" s="1" t="s">
        <v>3060</v>
      </c>
      <c r="P644" s="1" t="n">
        <v>2694</v>
      </c>
      <c r="Q644" s="1" t="s">
        <v>3061</v>
      </c>
      <c r="R644" s="1" t="s">
        <v>3062</v>
      </c>
      <c r="S644" s="1" t="s">
        <v>23</v>
      </c>
      <c r="T644" s="1" t="s">
        <v>23</v>
      </c>
      <c r="U644" s="1" t="s">
        <v>23</v>
      </c>
      <c r="V644" s="1" t="s">
        <v>3063</v>
      </c>
    </row>
    <row r="645" customFormat="false" ht="13.8" hidden="false" customHeight="false" outlineLevel="0" collapsed="false">
      <c r="A645" s="1" t="n">
        <v>644</v>
      </c>
      <c r="B645" s="2" t="s">
        <v>3064</v>
      </c>
      <c r="C645" s="1" t="n">
        <v>14</v>
      </c>
      <c r="D645" s="1" t="n">
        <v>27</v>
      </c>
      <c r="E645" s="1" t="n">
        <v>29</v>
      </c>
      <c r="F645" s="1" t="n">
        <v>31</v>
      </c>
      <c r="G645" s="1" t="n">
        <v>34</v>
      </c>
      <c r="H645" s="1" t="n">
        <v>57</v>
      </c>
      <c r="I645" s="1" t="str">
        <f aca="false">RIGHT(("0"&amp;C645),2)&amp;RIGHT(("0"&amp;D645),2)&amp;RIGHT(("0"&amp;E645),2)&amp;RIGHT(("0"&amp;F645),2)&amp;RIGHT(("0"&amp;G645),2)&amp;RIGHT(("0"&amp;H645),2)</f>
        <v>142729313457</v>
      </c>
      <c r="J645" s="1" t="n">
        <f aca="false">COUNTIF(I:I,I645)</f>
        <v>1</v>
      </c>
      <c r="K645" s="1" t="n">
        <v>0</v>
      </c>
      <c r="M645" s="1" t="s">
        <v>23</v>
      </c>
      <c r="N645" s="1" t="n">
        <v>81</v>
      </c>
      <c r="O645" s="1" t="s">
        <v>3065</v>
      </c>
      <c r="P645" s="1" t="n">
        <v>4433</v>
      </c>
      <c r="Q645" s="1" t="s">
        <v>3066</v>
      </c>
      <c r="R645" s="1" t="s">
        <v>3067</v>
      </c>
      <c r="S645" s="1" t="s">
        <v>23</v>
      </c>
      <c r="T645" s="1" t="s">
        <v>23</v>
      </c>
      <c r="U645" s="1" t="s">
        <v>23</v>
      </c>
      <c r="V645" s="1" t="s">
        <v>3068</v>
      </c>
    </row>
    <row r="646" customFormat="false" ht="13.8" hidden="false" customHeight="false" outlineLevel="0" collapsed="false">
      <c r="A646" s="1" t="n">
        <v>645</v>
      </c>
      <c r="B646" s="2" t="s">
        <v>3069</v>
      </c>
      <c r="C646" s="1" t="n">
        <v>3</v>
      </c>
      <c r="D646" s="1" t="n">
        <v>24</v>
      </c>
      <c r="E646" s="1" t="n">
        <v>48</v>
      </c>
      <c r="F646" s="1" t="n">
        <v>52</v>
      </c>
      <c r="G646" s="1" t="n">
        <v>53</v>
      </c>
      <c r="H646" s="1" t="n">
        <v>54</v>
      </c>
      <c r="I646" s="1" t="str">
        <f aca="false">RIGHT(("0"&amp;C646),2)&amp;RIGHT(("0"&amp;D646),2)&amp;RIGHT(("0"&amp;E646),2)&amp;RIGHT(("0"&amp;F646),2)&amp;RIGHT(("0"&amp;G646),2)&amp;RIGHT(("0"&amp;H646),2)</f>
        <v>032448525354</v>
      </c>
      <c r="J646" s="1" t="n">
        <f aca="false">COUNTIF(I:I,I646)</f>
        <v>1</v>
      </c>
      <c r="K646" s="1" t="n">
        <v>0</v>
      </c>
      <c r="M646" s="1" t="s">
        <v>23</v>
      </c>
      <c r="N646" s="1" t="n">
        <v>39</v>
      </c>
      <c r="O646" s="1" t="s">
        <v>3070</v>
      </c>
      <c r="P646" s="1" t="n">
        <v>4345</v>
      </c>
      <c r="Q646" s="1" t="s">
        <v>3071</v>
      </c>
      <c r="R646" s="1" t="s">
        <v>3072</v>
      </c>
      <c r="S646" s="1" t="s">
        <v>23</v>
      </c>
      <c r="T646" s="1" t="s">
        <v>23</v>
      </c>
      <c r="U646" s="1" t="s">
        <v>23</v>
      </c>
      <c r="V646" s="1" t="s">
        <v>2536</v>
      </c>
    </row>
    <row r="647" customFormat="false" ht="13.8" hidden="false" customHeight="false" outlineLevel="0" collapsed="false">
      <c r="A647" s="1" t="n">
        <v>646</v>
      </c>
      <c r="B647" s="2" t="s">
        <v>3073</v>
      </c>
      <c r="C647" s="1" t="n">
        <v>10</v>
      </c>
      <c r="D647" s="1" t="n">
        <v>13</v>
      </c>
      <c r="E647" s="1" t="n">
        <v>32</v>
      </c>
      <c r="F647" s="1" t="n">
        <v>47</v>
      </c>
      <c r="G647" s="1" t="n">
        <v>49</v>
      </c>
      <c r="H647" s="1" t="n">
        <v>60</v>
      </c>
      <c r="I647" s="1" t="str">
        <f aca="false">RIGHT(("0"&amp;C647),2)&amp;RIGHT(("0"&amp;D647),2)&amp;RIGHT(("0"&amp;E647),2)&amp;RIGHT(("0"&amp;F647),2)&amp;RIGHT(("0"&amp;G647),2)&amp;RIGHT(("0"&amp;H647),2)</f>
        <v>101332474960</v>
      </c>
      <c r="J647" s="1" t="n">
        <f aca="false">COUNTIF(I:I,I647)</f>
        <v>1</v>
      </c>
      <c r="K647" s="1" t="n">
        <v>0</v>
      </c>
      <c r="M647" s="1" t="s">
        <v>23</v>
      </c>
      <c r="N647" s="1" t="n">
        <v>79</v>
      </c>
      <c r="O647" s="1" t="s">
        <v>3074</v>
      </c>
      <c r="P647" s="1" t="n">
        <v>6173</v>
      </c>
      <c r="Q647" s="1" t="s">
        <v>3075</v>
      </c>
      <c r="R647" s="1" t="s">
        <v>3076</v>
      </c>
      <c r="S647" s="1" t="s">
        <v>23</v>
      </c>
      <c r="T647" s="1" t="s">
        <v>23</v>
      </c>
      <c r="U647" s="1" t="s">
        <v>23</v>
      </c>
      <c r="V647" s="1" t="s">
        <v>3077</v>
      </c>
    </row>
    <row r="648" customFormat="false" ht="13.8" hidden="false" customHeight="false" outlineLevel="0" collapsed="false">
      <c r="A648" s="1" t="n">
        <v>647</v>
      </c>
      <c r="B648" s="2" t="s">
        <v>3078</v>
      </c>
      <c r="C648" s="1" t="n">
        <v>11</v>
      </c>
      <c r="D648" s="1" t="n">
        <v>12</v>
      </c>
      <c r="E648" s="1" t="n">
        <v>14</v>
      </c>
      <c r="F648" s="1" t="n">
        <v>19</v>
      </c>
      <c r="G648" s="1" t="n">
        <v>54</v>
      </c>
      <c r="H648" s="1" t="n">
        <v>56</v>
      </c>
      <c r="I648" s="1" t="str">
        <f aca="false">RIGHT(("0"&amp;C648),2)&amp;RIGHT(("0"&amp;D648),2)&amp;RIGHT(("0"&amp;E648),2)&amp;RIGHT(("0"&amp;F648),2)&amp;RIGHT(("0"&amp;G648),2)&amp;RIGHT(("0"&amp;H648),2)</f>
        <v>111214195456</v>
      </c>
      <c r="J648" s="1" t="n">
        <f aca="false">COUNTIF(I:I,I648)</f>
        <v>1</v>
      </c>
      <c r="K648" s="1" t="n">
        <v>1</v>
      </c>
      <c r="L648" s="1" t="s">
        <v>91</v>
      </c>
      <c r="M648" s="1" t="s">
        <v>3079</v>
      </c>
      <c r="N648" s="1" t="n">
        <v>50</v>
      </c>
      <c r="O648" s="1" t="s">
        <v>3080</v>
      </c>
      <c r="P648" s="1" t="n">
        <v>5432</v>
      </c>
      <c r="Q648" s="1" t="s">
        <v>3081</v>
      </c>
      <c r="R648" s="1" t="s">
        <v>23</v>
      </c>
      <c r="S648" s="1" t="s">
        <v>23</v>
      </c>
      <c r="T648" s="1" t="s">
        <v>23</v>
      </c>
      <c r="U648" s="1" t="s">
        <v>23</v>
      </c>
      <c r="V648" s="1" t="s">
        <v>3082</v>
      </c>
    </row>
    <row r="649" customFormat="false" ht="13.8" hidden="false" customHeight="false" outlineLevel="0" collapsed="false">
      <c r="A649" s="1" t="n">
        <v>648</v>
      </c>
      <c r="B649" s="2" t="s">
        <v>3083</v>
      </c>
      <c r="C649" s="1" t="n">
        <v>5</v>
      </c>
      <c r="D649" s="1" t="n">
        <v>23</v>
      </c>
      <c r="E649" s="1" t="n">
        <v>29</v>
      </c>
      <c r="F649" s="1" t="n">
        <v>42</v>
      </c>
      <c r="G649" s="1" t="n">
        <v>45</v>
      </c>
      <c r="H649" s="1" t="n">
        <v>48</v>
      </c>
      <c r="I649" s="1" t="str">
        <f aca="false">RIGHT(("0"&amp;C649),2)&amp;RIGHT(("0"&amp;D649),2)&amp;RIGHT(("0"&amp;E649),2)&amp;RIGHT(("0"&amp;F649),2)&amp;RIGHT(("0"&amp;G649),2)&amp;RIGHT(("0"&amp;H649),2)</f>
        <v>052329424548</v>
      </c>
      <c r="J649" s="1" t="n">
        <f aca="false">COUNTIF(I:I,I649)</f>
        <v>1</v>
      </c>
      <c r="K649" s="1" t="n">
        <v>3</v>
      </c>
      <c r="L649" s="1" t="s">
        <v>3084</v>
      </c>
      <c r="M649" s="1" t="s">
        <v>3085</v>
      </c>
      <c r="N649" s="1" t="n">
        <v>139</v>
      </c>
      <c r="O649" s="1" t="s">
        <v>3086</v>
      </c>
      <c r="P649" s="1" t="n">
        <v>4869</v>
      </c>
      <c r="Q649" s="1" t="s">
        <v>1547</v>
      </c>
      <c r="R649" s="1" t="s">
        <v>23</v>
      </c>
      <c r="S649" s="1" t="s">
        <v>23</v>
      </c>
      <c r="T649" s="1" t="s">
        <v>23</v>
      </c>
      <c r="U649" s="1" t="s">
        <v>23</v>
      </c>
      <c r="V649" s="1" t="s">
        <v>3087</v>
      </c>
    </row>
    <row r="650" customFormat="false" ht="13.8" hidden="false" customHeight="false" outlineLevel="0" collapsed="false">
      <c r="A650" s="1" t="n">
        <v>649</v>
      </c>
      <c r="B650" s="2" t="s">
        <v>3088</v>
      </c>
      <c r="C650" s="1" t="n">
        <v>9</v>
      </c>
      <c r="D650" s="1" t="n">
        <v>24</v>
      </c>
      <c r="E650" s="1" t="n">
        <v>33</v>
      </c>
      <c r="F650" s="1" t="n">
        <v>41</v>
      </c>
      <c r="G650" s="1" t="n">
        <v>48</v>
      </c>
      <c r="H650" s="1" t="n">
        <v>54</v>
      </c>
      <c r="I650" s="1" t="str">
        <f aca="false">RIGHT(("0"&amp;C650),2)&amp;RIGHT(("0"&amp;D650),2)&amp;RIGHT(("0"&amp;E650),2)&amp;RIGHT(("0"&amp;F650),2)&amp;RIGHT(("0"&amp;G650),2)&amp;RIGHT(("0"&amp;H650),2)</f>
        <v>092433414854</v>
      </c>
      <c r="J650" s="1" t="n">
        <f aca="false">COUNTIF(I:I,I650)</f>
        <v>1</v>
      </c>
      <c r="K650" s="1" t="n">
        <v>0</v>
      </c>
      <c r="M650" s="1" t="s">
        <v>23</v>
      </c>
      <c r="N650" s="1" t="n">
        <v>31</v>
      </c>
      <c r="O650" s="1" t="s">
        <v>3089</v>
      </c>
      <c r="P650" s="1" t="n">
        <v>2156</v>
      </c>
      <c r="Q650" s="1" t="s">
        <v>3090</v>
      </c>
      <c r="R650" s="1" t="s">
        <v>3091</v>
      </c>
      <c r="S650" s="1" t="s">
        <v>23</v>
      </c>
      <c r="T650" s="1" t="s">
        <v>23</v>
      </c>
      <c r="U650" s="1" t="s">
        <v>23</v>
      </c>
      <c r="V650" s="1" t="s">
        <v>3092</v>
      </c>
    </row>
    <row r="651" customFormat="false" ht="13.8" hidden="false" customHeight="false" outlineLevel="0" collapsed="false">
      <c r="A651" s="1" t="n">
        <v>650</v>
      </c>
      <c r="B651" s="2" t="s">
        <v>3093</v>
      </c>
      <c r="C651" s="1" t="n">
        <v>10</v>
      </c>
      <c r="D651" s="1" t="n">
        <v>24</v>
      </c>
      <c r="E651" s="1" t="n">
        <v>25</v>
      </c>
      <c r="F651" s="1" t="n">
        <v>29</v>
      </c>
      <c r="G651" s="1" t="n">
        <v>53</v>
      </c>
      <c r="H651" s="1" t="n">
        <v>59</v>
      </c>
      <c r="I651" s="1" t="str">
        <f aca="false">RIGHT(("0"&amp;C651),2)&amp;RIGHT(("0"&amp;D651),2)&amp;RIGHT(("0"&amp;E651),2)&amp;RIGHT(("0"&amp;F651),2)&amp;RIGHT(("0"&amp;G651),2)&amp;RIGHT(("0"&amp;H651),2)</f>
        <v>102425295359</v>
      </c>
      <c r="J651" s="1" t="n">
        <f aca="false">COUNTIF(I:I,I651)</f>
        <v>1</v>
      </c>
      <c r="K651" s="1" t="n">
        <v>0</v>
      </c>
      <c r="M651" s="1" t="s">
        <v>23</v>
      </c>
      <c r="N651" s="1" t="n">
        <v>29</v>
      </c>
      <c r="O651" s="1" t="s">
        <v>3094</v>
      </c>
      <c r="P651" s="1" t="n">
        <v>2765</v>
      </c>
      <c r="Q651" s="1" t="s">
        <v>3095</v>
      </c>
      <c r="R651" s="1" t="s">
        <v>3096</v>
      </c>
      <c r="S651" s="1" t="s">
        <v>23</v>
      </c>
      <c r="T651" s="1" t="s">
        <v>23</v>
      </c>
      <c r="U651" s="1" t="s">
        <v>23</v>
      </c>
      <c r="V651" s="1" t="s">
        <v>3097</v>
      </c>
    </row>
    <row r="652" customFormat="false" ht="13.8" hidden="false" customHeight="false" outlineLevel="0" collapsed="false">
      <c r="A652" s="1" t="n">
        <v>651</v>
      </c>
      <c r="B652" s="2" t="s">
        <v>3098</v>
      </c>
      <c r="C652" s="1" t="n">
        <v>26</v>
      </c>
      <c r="D652" s="1" t="n">
        <v>28</v>
      </c>
      <c r="E652" s="1" t="n">
        <v>39</v>
      </c>
      <c r="F652" s="1" t="n">
        <v>45</v>
      </c>
      <c r="G652" s="1" t="n">
        <v>48</v>
      </c>
      <c r="H652" s="1" t="n">
        <v>60</v>
      </c>
      <c r="I652" s="1" t="str">
        <f aca="false">RIGHT(("0"&amp;C652),2)&amp;RIGHT(("0"&amp;D652),2)&amp;RIGHT(("0"&amp;E652),2)&amp;RIGHT(("0"&amp;F652),2)&amp;RIGHT(("0"&amp;G652),2)&amp;RIGHT(("0"&amp;H652),2)</f>
        <v>262839454860</v>
      </c>
      <c r="J652" s="1" t="n">
        <f aca="false">COUNTIF(I:I,I652)</f>
        <v>1</v>
      </c>
      <c r="K652" s="1" t="n">
        <v>0</v>
      </c>
      <c r="M652" s="1" t="s">
        <v>23</v>
      </c>
      <c r="N652" s="1" t="n">
        <v>36</v>
      </c>
      <c r="O652" s="1" t="s">
        <v>3099</v>
      </c>
      <c r="P652" s="1" t="n">
        <v>4356</v>
      </c>
      <c r="Q652" s="1" t="s">
        <v>3100</v>
      </c>
      <c r="R652" s="1" t="s">
        <v>3101</v>
      </c>
      <c r="S652" s="1" t="s">
        <v>23</v>
      </c>
      <c r="T652" s="1" t="s">
        <v>23</v>
      </c>
      <c r="U652" s="1" t="s">
        <v>23</v>
      </c>
      <c r="V652" s="1" t="s">
        <v>3102</v>
      </c>
    </row>
    <row r="653" customFormat="false" ht="13.8" hidden="false" customHeight="false" outlineLevel="0" collapsed="false">
      <c r="A653" s="1" t="n">
        <v>652</v>
      </c>
      <c r="B653" s="2" t="s">
        <v>3103</v>
      </c>
      <c r="C653" s="1" t="n">
        <v>10</v>
      </c>
      <c r="D653" s="1" t="n">
        <v>18</v>
      </c>
      <c r="E653" s="1" t="n">
        <v>20</v>
      </c>
      <c r="F653" s="1" t="n">
        <v>24</v>
      </c>
      <c r="G653" s="1" t="n">
        <v>56</v>
      </c>
      <c r="H653" s="1" t="n">
        <v>57</v>
      </c>
      <c r="I653" s="1" t="str">
        <f aca="false">RIGHT(("0"&amp;C653),2)&amp;RIGHT(("0"&amp;D653),2)&amp;RIGHT(("0"&amp;E653),2)&amp;RIGHT(("0"&amp;F653),2)&amp;RIGHT(("0"&amp;G653),2)&amp;RIGHT(("0"&amp;H653),2)</f>
        <v>101820245657</v>
      </c>
      <c r="J653" s="1" t="n">
        <f aca="false">COUNTIF(I:I,I653)</f>
        <v>1</v>
      </c>
      <c r="K653" s="1" t="n">
        <v>0</v>
      </c>
      <c r="M653" s="1" t="s">
        <v>23</v>
      </c>
      <c r="N653" s="1" t="n">
        <v>41</v>
      </c>
      <c r="O653" s="1" t="s">
        <v>3104</v>
      </c>
      <c r="P653" s="1" t="n">
        <v>3874</v>
      </c>
      <c r="Q653" s="1" t="s">
        <v>3105</v>
      </c>
      <c r="R653" s="1" t="s">
        <v>3106</v>
      </c>
      <c r="S653" s="1" t="s">
        <v>23</v>
      </c>
      <c r="T653" s="1" t="s">
        <v>23</v>
      </c>
      <c r="U653" s="1" t="s">
        <v>23</v>
      </c>
      <c r="V653" s="1" t="s">
        <v>3107</v>
      </c>
    </row>
    <row r="654" customFormat="false" ht="13.8" hidden="false" customHeight="false" outlineLevel="0" collapsed="false">
      <c r="A654" s="1" t="n">
        <v>653</v>
      </c>
      <c r="B654" s="2" t="s">
        <v>3108</v>
      </c>
      <c r="C654" s="1" t="n">
        <v>5</v>
      </c>
      <c r="D654" s="1" t="n">
        <v>9</v>
      </c>
      <c r="E654" s="1" t="n">
        <v>19</v>
      </c>
      <c r="F654" s="1" t="n">
        <v>24</v>
      </c>
      <c r="G654" s="1" t="n">
        <v>31</v>
      </c>
      <c r="H654" s="1" t="n">
        <v>34</v>
      </c>
      <c r="I654" s="1" t="str">
        <f aca="false">RIGHT(("0"&amp;C654),2)&amp;RIGHT(("0"&amp;D654),2)&amp;RIGHT(("0"&amp;E654),2)&amp;RIGHT(("0"&amp;F654),2)&amp;RIGHT(("0"&amp;G654),2)&amp;RIGHT(("0"&amp;H654),2)</f>
        <v>050919243134</v>
      </c>
      <c r="J654" s="1" t="n">
        <f aca="false">COUNTIF(I:I,I654)</f>
        <v>1</v>
      </c>
      <c r="K654" s="1" t="n">
        <v>0</v>
      </c>
      <c r="M654" s="1" t="s">
        <v>23</v>
      </c>
      <c r="N654" s="1" t="n">
        <v>74</v>
      </c>
      <c r="O654" s="1" t="s">
        <v>3109</v>
      </c>
      <c r="P654" s="1" t="n">
        <v>6274</v>
      </c>
      <c r="Q654" s="1" t="s">
        <v>3110</v>
      </c>
      <c r="R654" s="1" t="s">
        <v>3111</v>
      </c>
      <c r="S654" s="1" t="s">
        <v>23</v>
      </c>
      <c r="T654" s="1" t="s">
        <v>23</v>
      </c>
      <c r="U654" s="1" t="s">
        <v>23</v>
      </c>
      <c r="V654" s="1" t="s">
        <v>2912</v>
      </c>
    </row>
    <row r="655" customFormat="false" ht="13.8" hidden="false" customHeight="false" outlineLevel="0" collapsed="false">
      <c r="A655" s="1" t="n">
        <v>654</v>
      </c>
      <c r="B655" s="2" t="s">
        <v>3112</v>
      </c>
      <c r="C655" s="1" t="n">
        <v>6</v>
      </c>
      <c r="D655" s="1" t="n">
        <v>10</v>
      </c>
      <c r="E655" s="1" t="n">
        <v>11</v>
      </c>
      <c r="F655" s="1" t="n">
        <v>40</v>
      </c>
      <c r="G655" s="1" t="n">
        <v>41</v>
      </c>
      <c r="H655" s="1" t="n">
        <v>56</v>
      </c>
      <c r="I655" s="1" t="str">
        <f aca="false">RIGHT(("0"&amp;C655),2)&amp;RIGHT(("0"&amp;D655),2)&amp;RIGHT(("0"&amp;E655),2)&amp;RIGHT(("0"&amp;F655),2)&amp;RIGHT(("0"&amp;G655),2)&amp;RIGHT(("0"&amp;H655),2)</f>
        <v>061011404156</v>
      </c>
      <c r="J655" s="1" t="n">
        <f aca="false">COUNTIF(I:I,I655)</f>
        <v>1</v>
      </c>
      <c r="K655" s="1" t="n">
        <v>1</v>
      </c>
      <c r="L655" s="1" t="s">
        <v>157</v>
      </c>
      <c r="M655" s="1" t="s">
        <v>3113</v>
      </c>
      <c r="N655" s="1" t="n">
        <v>66</v>
      </c>
      <c r="O655" s="1" t="s">
        <v>3114</v>
      </c>
      <c r="P655" s="1" t="n">
        <v>4745</v>
      </c>
      <c r="Q655" s="1" t="s">
        <v>3115</v>
      </c>
      <c r="R655" s="1" t="s">
        <v>23</v>
      </c>
      <c r="S655" s="1" t="s">
        <v>23</v>
      </c>
      <c r="T655" s="1" t="s">
        <v>23</v>
      </c>
      <c r="U655" s="1" t="s">
        <v>23</v>
      </c>
      <c r="V655" s="1" t="s">
        <v>3116</v>
      </c>
    </row>
    <row r="656" customFormat="false" ht="13.8" hidden="false" customHeight="false" outlineLevel="0" collapsed="false">
      <c r="A656" s="1" t="n">
        <v>655</v>
      </c>
      <c r="B656" s="2" t="s">
        <v>3117</v>
      </c>
      <c r="C656" s="1" t="n">
        <v>1</v>
      </c>
      <c r="D656" s="1" t="n">
        <v>26</v>
      </c>
      <c r="E656" s="1" t="n">
        <v>37</v>
      </c>
      <c r="F656" s="1" t="n">
        <v>39</v>
      </c>
      <c r="G656" s="1" t="n">
        <v>43</v>
      </c>
      <c r="H656" s="1" t="n">
        <v>48</v>
      </c>
      <c r="I656" s="1" t="str">
        <f aca="false">RIGHT(("0"&amp;C656),2)&amp;RIGHT(("0"&amp;D656),2)&amp;RIGHT(("0"&amp;E656),2)&amp;RIGHT(("0"&amp;F656),2)&amp;RIGHT(("0"&amp;G656),2)&amp;RIGHT(("0"&amp;H656),2)</f>
        <v>012637394348</v>
      </c>
      <c r="J656" s="1" t="n">
        <f aca="false">COUNTIF(I:I,I656)</f>
        <v>1</v>
      </c>
      <c r="K656" s="1" t="n">
        <v>0</v>
      </c>
      <c r="M656" s="1" t="s">
        <v>23</v>
      </c>
      <c r="N656" s="1" t="n">
        <v>23</v>
      </c>
      <c r="O656" s="1" t="s">
        <v>3118</v>
      </c>
      <c r="P656" s="1" t="n">
        <v>2722</v>
      </c>
      <c r="Q656" s="1" t="s">
        <v>3119</v>
      </c>
      <c r="R656" s="1" t="s">
        <v>3120</v>
      </c>
      <c r="S656" s="1" t="s">
        <v>23</v>
      </c>
      <c r="T656" s="1" t="s">
        <v>23</v>
      </c>
      <c r="U656" s="1" t="s">
        <v>23</v>
      </c>
      <c r="V656" s="1" t="s">
        <v>3121</v>
      </c>
    </row>
    <row r="657" customFormat="false" ht="13.8" hidden="false" customHeight="false" outlineLevel="0" collapsed="false">
      <c r="A657" s="1" t="n">
        <v>656</v>
      </c>
      <c r="B657" s="2" t="s">
        <v>3122</v>
      </c>
      <c r="C657" s="1" t="n">
        <v>35</v>
      </c>
      <c r="D657" s="1" t="n">
        <v>36</v>
      </c>
      <c r="E657" s="1" t="n">
        <v>37</v>
      </c>
      <c r="F657" s="1" t="n">
        <v>46</v>
      </c>
      <c r="G657" s="1" t="n">
        <v>51</v>
      </c>
      <c r="H657" s="1" t="n">
        <v>59</v>
      </c>
      <c r="I657" s="1" t="str">
        <f aca="false">RIGHT(("0"&amp;C657),2)&amp;RIGHT(("0"&amp;D657),2)&amp;RIGHT(("0"&amp;E657),2)&amp;RIGHT(("0"&amp;F657),2)&amp;RIGHT(("0"&amp;G657),2)&amp;RIGHT(("0"&amp;H657),2)</f>
        <v>353637465159</v>
      </c>
      <c r="J657" s="1" t="n">
        <f aca="false">COUNTIF(I:I,I657)</f>
        <v>1</v>
      </c>
      <c r="K657" s="1" t="n">
        <v>0</v>
      </c>
      <c r="M657" s="1" t="s">
        <v>23</v>
      </c>
      <c r="N657" s="1" t="n">
        <v>24</v>
      </c>
      <c r="O657" s="1" t="s">
        <v>3123</v>
      </c>
      <c r="P657" s="1" t="n">
        <v>2623</v>
      </c>
      <c r="Q657" s="1" t="s">
        <v>3124</v>
      </c>
      <c r="R657" s="1" t="s">
        <v>3125</v>
      </c>
      <c r="S657" s="1" t="s">
        <v>23</v>
      </c>
      <c r="T657" s="1" t="s">
        <v>23</v>
      </c>
      <c r="U657" s="1" t="s">
        <v>23</v>
      </c>
      <c r="V657" s="1" t="s">
        <v>3126</v>
      </c>
    </row>
    <row r="658" customFormat="false" ht="13.8" hidden="false" customHeight="false" outlineLevel="0" collapsed="false">
      <c r="A658" s="1" t="n">
        <v>657</v>
      </c>
      <c r="B658" s="2" t="s">
        <v>3127</v>
      </c>
      <c r="C658" s="1" t="n">
        <v>16</v>
      </c>
      <c r="D658" s="1" t="n">
        <v>20</v>
      </c>
      <c r="E658" s="1" t="n">
        <v>33</v>
      </c>
      <c r="F658" s="1" t="n">
        <v>58</v>
      </c>
      <c r="G658" s="1" t="n">
        <v>59</v>
      </c>
      <c r="H658" s="1" t="n">
        <v>60</v>
      </c>
      <c r="I658" s="1" t="str">
        <f aca="false">RIGHT(("0"&amp;C658),2)&amp;RIGHT(("0"&amp;D658),2)&amp;RIGHT(("0"&amp;E658),2)&amp;RIGHT(("0"&amp;F658),2)&amp;RIGHT(("0"&amp;G658),2)&amp;RIGHT(("0"&amp;H658),2)</f>
        <v>162033585960</v>
      </c>
      <c r="J658" s="1" t="n">
        <f aca="false">COUNTIF(I:I,I658)</f>
        <v>1</v>
      </c>
      <c r="K658" s="1" t="n">
        <v>1</v>
      </c>
      <c r="L658" s="1" t="s">
        <v>28</v>
      </c>
      <c r="M658" s="1" t="s">
        <v>3128</v>
      </c>
      <c r="N658" s="1" t="n">
        <v>56</v>
      </c>
      <c r="O658" s="1" t="s">
        <v>3129</v>
      </c>
      <c r="P658" s="1" t="n">
        <v>3995</v>
      </c>
      <c r="Q658" s="1" t="s">
        <v>3130</v>
      </c>
      <c r="R658" s="1" t="s">
        <v>23</v>
      </c>
      <c r="S658" s="1" t="s">
        <v>23</v>
      </c>
      <c r="T658" s="1" t="s">
        <v>23</v>
      </c>
      <c r="U658" s="1" t="s">
        <v>23</v>
      </c>
      <c r="V658" s="1" t="s">
        <v>3131</v>
      </c>
    </row>
    <row r="659" customFormat="false" ht="13.8" hidden="false" customHeight="false" outlineLevel="0" collapsed="false">
      <c r="A659" s="1" t="n">
        <v>658</v>
      </c>
      <c r="B659" s="2" t="s">
        <v>3132</v>
      </c>
      <c r="C659" s="1" t="n">
        <v>3</v>
      </c>
      <c r="D659" s="1" t="n">
        <v>6</v>
      </c>
      <c r="E659" s="1" t="n">
        <v>11</v>
      </c>
      <c r="F659" s="1" t="n">
        <v>20</v>
      </c>
      <c r="G659" s="1" t="n">
        <v>36</v>
      </c>
      <c r="H659" s="1" t="n">
        <v>41</v>
      </c>
      <c r="I659" s="1" t="str">
        <f aca="false">RIGHT(("0"&amp;C659),2)&amp;RIGHT(("0"&amp;D659),2)&amp;RIGHT(("0"&amp;E659),2)&amp;RIGHT(("0"&amp;F659),2)&amp;RIGHT(("0"&amp;G659),2)&amp;RIGHT(("0"&amp;H659),2)</f>
        <v>030611203641</v>
      </c>
      <c r="J659" s="1" t="n">
        <f aca="false">COUNTIF(I:I,I659)</f>
        <v>1</v>
      </c>
      <c r="K659" s="1" t="n">
        <v>0</v>
      </c>
      <c r="M659" s="1" t="s">
        <v>23</v>
      </c>
      <c r="N659" s="1" t="n">
        <v>31</v>
      </c>
      <c r="O659" s="1" t="s">
        <v>3133</v>
      </c>
      <c r="P659" s="1" t="n">
        <v>2883</v>
      </c>
      <c r="Q659" s="1" t="s">
        <v>3134</v>
      </c>
      <c r="R659" s="1" t="s">
        <v>3135</v>
      </c>
      <c r="S659" s="1" t="s">
        <v>23</v>
      </c>
      <c r="T659" s="1" t="s">
        <v>23</v>
      </c>
      <c r="U659" s="1" t="s">
        <v>23</v>
      </c>
      <c r="V659" s="1" t="s">
        <v>3136</v>
      </c>
    </row>
    <row r="660" customFormat="false" ht="13.8" hidden="false" customHeight="false" outlineLevel="0" collapsed="false">
      <c r="A660" s="1" t="n">
        <v>659</v>
      </c>
      <c r="B660" s="2" t="s">
        <v>3137</v>
      </c>
      <c r="C660" s="1" t="n">
        <v>14</v>
      </c>
      <c r="D660" s="1" t="n">
        <v>29</v>
      </c>
      <c r="E660" s="1" t="n">
        <v>34</v>
      </c>
      <c r="F660" s="1" t="n">
        <v>40</v>
      </c>
      <c r="G660" s="1" t="n">
        <v>51</v>
      </c>
      <c r="H660" s="1" t="n">
        <v>52</v>
      </c>
      <c r="I660" s="1" t="str">
        <f aca="false">RIGHT(("0"&amp;C660),2)&amp;RIGHT(("0"&amp;D660),2)&amp;RIGHT(("0"&amp;E660),2)&amp;RIGHT(("0"&amp;F660),2)&amp;RIGHT(("0"&amp;G660),2)&amp;RIGHT(("0"&amp;H660),2)</f>
        <v>142934405152</v>
      </c>
      <c r="J660" s="1" t="n">
        <f aca="false">COUNTIF(I:I,I660)</f>
        <v>1</v>
      </c>
      <c r="K660" s="1" t="n">
        <v>0</v>
      </c>
      <c r="M660" s="1" t="s">
        <v>23</v>
      </c>
      <c r="N660" s="1" t="n">
        <v>22</v>
      </c>
      <c r="O660" s="1" t="s">
        <v>3138</v>
      </c>
      <c r="P660" s="1" t="n">
        <v>1390</v>
      </c>
      <c r="Q660" s="1" t="s">
        <v>3139</v>
      </c>
      <c r="R660" s="1" t="s">
        <v>3140</v>
      </c>
      <c r="S660" s="1" t="s">
        <v>23</v>
      </c>
      <c r="T660" s="1" t="s">
        <v>23</v>
      </c>
      <c r="U660" s="1" t="s">
        <v>23</v>
      </c>
      <c r="V660" s="1" t="s">
        <v>3141</v>
      </c>
    </row>
    <row r="661" customFormat="false" ht="13.8" hidden="false" customHeight="false" outlineLevel="0" collapsed="false">
      <c r="A661" s="1" t="n">
        <v>660</v>
      </c>
      <c r="B661" s="2" t="s">
        <v>3142</v>
      </c>
      <c r="C661" s="1" t="n">
        <v>5</v>
      </c>
      <c r="D661" s="1" t="n">
        <v>11</v>
      </c>
      <c r="E661" s="1" t="n">
        <v>38</v>
      </c>
      <c r="F661" s="1" t="n">
        <v>46</v>
      </c>
      <c r="G661" s="1" t="n">
        <v>53</v>
      </c>
      <c r="H661" s="1" t="n">
        <v>54</v>
      </c>
      <c r="I661" s="1" t="str">
        <f aca="false">RIGHT(("0"&amp;C661),2)&amp;RIGHT(("0"&amp;D661),2)&amp;RIGHT(("0"&amp;E661),2)&amp;RIGHT(("0"&amp;F661),2)&amp;RIGHT(("0"&amp;G661),2)&amp;RIGHT(("0"&amp;H661),2)</f>
        <v>051138465354</v>
      </c>
      <c r="J661" s="1" t="n">
        <f aca="false">COUNTIF(I:I,I661)</f>
        <v>1</v>
      </c>
      <c r="K661" s="1" t="n">
        <v>0</v>
      </c>
      <c r="M661" s="1" t="s">
        <v>23</v>
      </c>
      <c r="N661" s="1" t="n">
        <v>58</v>
      </c>
      <c r="O661" s="1" t="s">
        <v>3143</v>
      </c>
      <c r="P661" s="1" t="n">
        <v>4204</v>
      </c>
      <c r="Q661" s="1" t="s">
        <v>3144</v>
      </c>
      <c r="R661" s="1" t="s">
        <v>3145</v>
      </c>
      <c r="S661" s="1" t="s">
        <v>23</v>
      </c>
      <c r="T661" s="1" t="s">
        <v>23</v>
      </c>
      <c r="U661" s="1" t="s">
        <v>23</v>
      </c>
      <c r="V661" s="1" t="s">
        <v>3146</v>
      </c>
    </row>
    <row r="662" customFormat="false" ht="13.8" hidden="false" customHeight="false" outlineLevel="0" collapsed="false">
      <c r="A662" s="1" t="n">
        <v>661</v>
      </c>
      <c r="B662" s="2" t="s">
        <v>3147</v>
      </c>
      <c r="C662" s="1" t="n">
        <v>4</v>
      </c>
      <c r="D662" s="1" t="n">
        <v>27</v>
      </c>
      <c r="E662" s="1" t="n">
        <v>36</v>
      </c>
      <c r="F662" s="1" t="n">
        <v>40</v>
      </c>
      <c r="G662" s="1" t="n">
        <v>42</v>
      </c>
      <c r="H662" s="1" t="n">
        <v>55</v>
      </c>
      <c r="I662" s="1" t="str">
        <f aca="false">RIGHT(("0"&amp;C662),2)&amp;RIGHT(("0"&amp;D662),2)&amp;RIGHT(("0"&amp;E662),2)&amp;RIGHT(("0"&amp;F662),2)&amp;RIGHT(("0"&amp;G662),2)&amp;RIGHT(("0"&amp;H662),2)</f>
        <v>042736404255</v>
      </c>
      <c r="J662" s="1" t="n">
        <f aca="false">COUNTIF(I:I,I662)</f>
        <v>1</v>
      </c>
      <c r="K662" s="1" t="n">
        <v>0</v>
      </c>
      <c r="M662" s="1" t="s">
        <v>23</v>
      </c>
      <c r="N662" s="1" t="n">
        <v>64</v>
      </c>
      <c r="O662" s="1" t="s">
        <v>3148</v>
      </c>
      <c r="P662" s="1" t="n">
        <v>4211</v>
      </c>
      <c r="Q662" s="1" t="s">
        <v>3149</v>
      </c>
      <c r="R662" s="1" t="s">
        <v>3150</v>
      </c>
      <c r="S662" s="1" t="s">
        <v>23</v>
      </c>
      <c r="T662" s="1" t="s">
        <v>23</v>
      </c>
      <c r="U662" s="1" t="s">
        <v>23</v>
      </c>
      <c r="V662" s="1" t="s">
        <v>3151</v>
      </c>
    </row>
    <row r="663" customFormat="false" ht="13.8" hidden="false" customHeight="false" outlineLevel="0" collapsed="false">
      <c r="A663" s="1" t="n">
        <v>662</v>
      </c>
      <c r="B663" s="2" t="s">
        <v>3152</v>
      </c>
      <c r="C663" s="1" t="n">
        <v>4</v>
      </c>
      <c r="D663" s="1" t="n">
        <v>18</v>
      </c>
      <c r="E663" s="1" t="n">
        <v>23</v>
      </c>
      <c r="F663" s="1" t="n">
        <v>25</v>
      </c>
      <c r="G663" s="1" t="n">
        <v>56</v>
      </c>
      <c r="H663" s="1" t="n">
        <v>60</v>
      </c>
      <c r="I663" s="1" t="str">
        <f aca="false">RIGHT(("0"&amp;C663),2)&amp;RIGHT(("0"&amp;D663),2)&amp;RIGHT(("0"&amp;E663),2)&amp;RIGHT(("0"&amp;F663),2)&amp;RIGHT(("0"&amp;G663),2)&amp;RIGHT(("0"&amp;H663),2)</f>
        <v>041823255660</v>
      </c>
      <c r="J663" s="1" t="n">
        <f aca="false">COUNTIF(I:I,I663)</f>
        <v>1</v>
      </c>
      <c r="K663" s="1" t="n">
        <v>0</v>
      </c>
      <c r="M663" s="1" t="s">
        <v>23</v>
      </c>
      <c r="N663" s="1" t="n">
        <v>79</v>
      </c>
      <c r="O663" s="1" t="s">
        <v>3153</v>
      </c>
      <c r="P663" s="1" t="n">
        <v>5525</v>
      </c>
      <c r="Q663" s="1" t="s">
        <v>3154</v>
      </c>
      <c r="R663" s="1" t="s">
        <v>3155</v>
      </c>
      <c r="S663" s="1" t="s">
        <v>23</v>
      </c>
      <c r="T663" s="1" t="s">
        <v>23</v>
      </c>
      <c r="U663" s="1" t="s">
        <v>23</v>
      </c>
      <c r="V663" s="1" t="s">
        <v>3156</v>
      </c>
    </row>
    <row r="664" customFormat="false" ht="13.8" hidden="false" customHeight="false" outlineLevel="0" collapsed="false">
      <c r="A664" s="1" t="n">
        <v>663</v>
      </c>
      <c r="B664" s="2" t="s">
        <v>3157</v>
      </c>
      <c r="C664" s="1" t="n">
        <v>1</v>
      </c>
      <c r="D664" s="1" t="n">
        <v>27</v>
      </c>
      <c r="E664" s="1" t="n">
        <v>30</v>
      </c>
      <c r="F664" s="1" t="n">
        <v>49</v>
      </c>
      <c r="G664" s="1" t="n">
        <v>51</v>
      </c>
      <c r="H664" s="1" t="n">
        <v>55</v>
      </c>
      <c r="I664" s="1" t="str">
        <f aca="false">RIGHT(("0"&amp;C664),2)&amp;RIGHT(("0"&amp;D664),2)&amp;RIGHT(("0"&amp;E664),2)&amp;RIGHT(("0"&amp;F664),2)&amp;RIGHT(("0"&amp;G664),2)&amp;RIGHT(("0"&amp;H664),2)</f>
        <v>012730495155</v>
      </c>
      <c r="J664" s="1" t="n">
        <f aca="false">COUNTIF(I:I,I664)</f>
        <v>1</v>
      </c>
      <c r="K664" s="1" t="n">
        <v>0</v>
      </c>
      <c r="M664" s="1" t="s">
        <v>23</v>
      </c>
      <c r="N664" s="1" t="n">
        <v>64</v>
      </c>
      <c r="O664" s="1" t="s">
        <v>3158</v>
      </c>
      <c r="P664" s="1" t="n">
        <v>4020</v>
      </c>
      <c r="Q664" s="1" t="s">
        <v>3159</v>
      </c>
      <c r="R664" s="1" t="s">
        <v>3160</v>
      </c>
      <c r="S664" s="1" t="s">
        <v>23</v>
      </c>
      <c r="T664" s="1" t="s">
        <v>23</v>
      </c>
      <c r="U664" s="1" t="s">
        <v>23</v>
      </c>
      <c r="V664" s="1" t="s">
        <v>3161</v>
      </c>
    </row>
    <row r="665" customFormat="false" ht="13.8" hidden="false" customHeight="false" outlineLevel="0" collapsed="false">
      <c r="A665" s="1" t="n">
        <v>664</v>
      </c>
      <c r="B665" s="2" t="s">
        <v>3162</v>
      </c>
      <c r="C665" s="1" t="n">
        <v>1</v>
      </c>
      <c r="D665" s="1" t="n">
        <v>12</v>
      </c>
      <c r="E665" s="1" t="n">
        <v>36</v>
      </c>
      <c r="F665" s="1" t="n">
        <v>38</v>
      </c>
      <c r="G665" s="1" t="n">
        <v>55</v>
      </c>
      <c r="H665" s="1" t="n">
        <v>59</v>
      </c>
      <c r="I665" s="1" t="str">
        <f aca="false">RIGHT(("0"&amp;C665),2)&amp;RIGHT(("0"&amp;D665),2)&amp;RIGHT(("0"&amp;E665),2)&amp;RIGHT(("0"&amp;F665),2)&amp;RIGHT(("0"&amp;G665),2)&amp;RIGHT(("0"&amp;H665),2)</f>
        <v>011236385559</v>
      </c>
      <c r="J665" s="1" t="n">
        <f aca="false">COUNTIF(I:I,I665)</f>
        <v>1</v>
      </c>
      <c r="K665" s="1" t="n">
        <v>0</v>
      </c>
      <c r="M665" s="1" t="s">
        <v>23</v>
      </c>
      <c r="N665" s="1" t="n">
        <v>74</v>
      </c>
      <c r="O665" s="1" t="s">
        <v>3163</v>
      </c>
      <c r="P665" s="1" t="n">
        <v>4971</v>
      </c>
      <c r="Q665" s="1" t="s">
        <v>3164</v>
      </c>
      <c r="R665" s="1" t="s">
        <v>3165</v>
      </c>
      <c r="S665" s="1" t="s">
        <v>23</v>
      </c>
      <c r="T665" s="1" t="s">
        <v>23</v>
      </c>
      <c r="U665" s="1" t="s">
        <v>23</v>
      </c>
      <c r="V665" s="1" t="s">
        <v>3166</v>
      </c>
    </row>
    <row r="666" customFormat="false" ht="13.8" hidden="false" customHeight="false" outlineLevel="0" collapsed="false">
      <c r="A666" s="1" t="n">
        <v>665</v>
      </c>
      <c r="B666" s="2" t="s">
        <v>3167</v>
      </c>
      <c r="C666" s="1" t="n">
        <v>7</v>
      </c>
      <c r="D666" s="1" t="n">
        <v>8</v>
      </c>
      <c r="E666" s="1" t="n">
        <v>18</v>
      </c>
      <c r="F666" s="1" t="n">
        <v>25</v>
      </c>
      <c r="G666" s="1" t="n">
        <v>47</v>
      </c>
      <c r="H666" s="1" t="n">
        <v>48</v>
      </c>
      <c r="I666" s="1" t="str">
        <f aca="false">RIGHT(("0"&amp;C666),2)&amp;RIGHT(("0"&amp;D666),2)&amp;RIGHT(("0"&amp;E666),2)&amp;RIGHT(("0"&amp;F666),2)&amp;RIGHT(("0"&amp;G666),2)&amp;RIGHT(("0"&amp;H666),2)</f>
        <v>070818254748</v>
      </c>
      <c r="J666" s="1" t="n">
        <f aca="false">COUNTIF(I:I,I666)</f>
        <v>1</v>
      </c>
      <c r="K666" s="1" t="n">
        <v>0</v>
      </c>
      <c r="M666" s="1" t="s">
        <v>23</v>
      </c>
      <c r="N666" s="1" t="n">
        <v>185</v>
      </c>
      <c r="O666" s="1" t="s">
        <v>3168</v>
      </c>
      <c r="P666" s="1" t="n">
        <v>10055</v>
      </c>
      <c r="Q666" s="1" t="s">
        <v>3169</v>
      </c>
      <c r="R666" s="1" t="s">
        <v>3170</v>
      </c>
      <c r="S666" s="1" t="s">
        <v>23</v>
      </c>
      <c r="T666" s="1" t="s">
        <v>23</v>
      </c>
      <c r="U666" s="1" t="s">
        <v>23</v>
      </c>
      <c r="V666" s="1" t="s">
        <v>3171</v>
      </c>
    </row>
    <row r="667" customFormat="false" ht="13.8" hidden="false" customHeight="false" outlineLevel="0" collapsed="false">
      <c r="A667" s="1" t="n">
        <v>666</v>
      </c>
      <c r="B667" s="2" t="s">
        <v>3172</v>
      </c>
      <c r="C667" s="1" t="n">
        <v>7</v>
      </c>
      <c r="D667" s="1" t="n">
        <v>16</v>
      </c>
      <c r="E667" s="1" t="n">
        <v>26</v>
      </c>
      <c r="F667" s="1" t="n">
        <v>29</v>
      </c>
      <c r="G667" s="1" t="n">
        <v>45</v>
      </c>
      <c r="H667" s="1" t="n">
        <v>55</v>
      </c>
      <c r="I667" s="1" t="str">
        <f aca="false">RIGHT(("0"&amp;C667),2)&amp;RIGHT(("0"&amp;D667),2)&amp;RIGHT(("0"&amp;E667),2)&amp;RIGHT(("0"&amp;F667),2)&amp;RIGHT(("0"&amp;G667),2)&amp;RIGHT(("0"&amp;H667),2)</f>
        <v>071626294555</v>
      </c>
      <c r="J667" s="1" t="n">
        <f aca="false">COUNTIF(I:I,I667)</f>
        <v>1</v>
      </c>
      <c r="K667" s="1" t="n">
        <v>0</v>
      </c>
      <c r="M667" s="1" t="s">
        <v>23</v>
      </c>
      <c r="N667" s="1" t="n">
        <v>77</v>
      </c>
      <c r="O667" s="1" t="s">
        <v>3173</v>
      </c>
      <c r="P667" s="1" t="n">
        <v>8122</v>
      </c>
      <c r="Q667" s="1" t="s">
        <v>3174</v>
      </c>
      <c r="R667" s="1" t="s">
        <v>3175</v>
      </c>
      <c r="S667" s="1" t="s">
        <v>23</v>
      </c>
      <c r="T667" s="1" t="s">
        <v>23</v>
      </c>
      <c r="U667" s="1" t="s">
        <v>23</v>
      </c>
      <c r="V667" s="1" t="s">
        <v>3176</v>
      </c>
    </row>
    <row r="668" customFormat="false" ht="13.8" hidden="false" customHeight="false" outlineLevel="0" collapsed="false">
      <c r="A668" s="1" t="n">
        <v>667</v>
      </c>
      <c r="B668" s="2" t="s">
        <v>3177</v>
      </c>
      <c r="C668" s="1" t="n">
        <v>1</v>
      </c>
      <c r="D668" s="1" t="n">
        <v>4</v>
      </c>
      <c r="E668" s="1" t="n">
        <v>5</v>
      </c>
      <c r="F668" s="1" t="n">
        <v>16</v>
      </c>
      <c r="G668" s="1" t="n">
        <v>23</v>
      </c>
      <c r="H668" s="1" t="n">
        <v>49</v>
      </c>
      <c r="I668" s="1" t="str">
        <f aca="false">RIGHT(("0"&amp;C668),2)&amp;RIGHT(("0"&amp;D668),2)&amp;RIGHT(("0"&amp;E668),2)&amp;RIGHT(("0"&amp;F668),2)&amp;RIGHT(("0"&amp;G668),2)&amp;RIGHT(("0"&amp;H668),2)</f>
        <v>010405162349</v>
      </c>
      <c r="J668" s="1" t="n">
        <f aca="false">COUNTIF(I:I,I668)</f>
        <v>1</v>
      </c>
      <c r="K668" s="1" t="n">
        <v>1</v>
      </c>
      <c r="L668" s="1" t="s">
        <v>91</v>
      </c>
      <c r="M668" s="1" t="s">
        <v>3178</v>
      </c>
      <c r="N668" s="1" t="n">
        <v>203</v>
      </c>
      <c r="O668" s="1" t="s">
        <v>3179</v>
      </c>
      <c r="P668" s="1" t="n">
        <v>15283</v>
      </c>
      <c r="Q668" s="1" t="s">
        <v>3180</v>
      </c>
      <c r="R668" s="1" t="s">
        <v>23</v>
      </c>
      <c r="S668" s="1" t="s">
        <v>23</v>
      </c>
      <c r="T668" s="1" t="s">
        <v>23</v>
      </c>
      <c r="U668" s="1" t="s">
        <v>23</v>
      </c>
      <c r="V668" s="1" t="s">
        <v>3181</v>
      </c>
    </row>
    <row r="669" customFormat="false" ht="13.8" hidden="false" customHeight="false" outlineLevel="0" collapsed="false">
      <c r="A669" s="1" t="n">
        <v>668</v>
      </c>
      <c r="B669" s="2" t="s">
        <v>3182</v>
      </c>
      <c r="C669" s="1" t="n">
        <v>1</v>
      </c>
      <c r="D669" s="1" t="n">
        <v>2</v>
      </c>
      <c r="E669" s="1" t="n">
        <v>14</v>
      </c>
      <c r="F669" s="1" t="n">
        <v>33</v>
      </c>
      <c r="G669" s="1" t="n">
        <v>49</v>
      </c>
      <c r="H669" s="1" t="n">
        <v>56</v>
      </c>
      <c r="I669" s="1" t="str">
        <f aca="false">RIGHT(("0"&amp;C669),2)&amp;RIGHT(("0"&amp;D669),2)&amp;RIGHT(("0"&amp;E669),2)&amp;RIGHT(("0"&amp;F669),2)&amp;RIGHT(("0"&amp;G669),2)&amp;RIGHT(("0"&amp;H669),2)</f>
        <v>010214334956</v>
      </c>
      <c r="J669" s="1" t="n">
        <f aca="false">COUNTIF(I:I,I669)</f>
        <v>1</v>
      </c>
      <c r="K669" s="1" t="n">
        <v>0</v>
      </c>
      <c r="M669" s="1" t="s">
        <v>23</v>
      </c>
      <c r="N669" s="1" t="n">
        <v>53</v>
      </c>
      <c r="O669" s="1" t="s">
        <v>3183</v>
      </c>
      <c r="P669" s="1" t="n">
        <v>2814</v>
      </c>
      <c r="Q669" s="1" t="s">
        <v>3184</v>
      </c>
      <c r="R669" s="1" t="s">
        <v>3185</v>
      </c>
      <c r="S669" s="1" t="s">
        <v>23</v>
      </c>
      <c r="T669" s="1" t="s">
        <v>23</v>
      </c>
      <c r="U669" s="1" t="s">
        <v>23</v>
      </c>
      <c r="V669" s="1" t="s">
        <v>3186</v>
      </c>
    </row>
    <row r="670" customFormat="false" ht="13.8" hidden="false" customHeight="false" outlineLevel="0" collapsed="false">
      <c r="A670" s="1" t="n">
        <v>669</v>
      </c>
      <c r="B670" s="2" t="s">
        <v>3187</v>
      </c>
      <c r="C670" s="1" t="n">
        <v>7</v>
      </c>
      <c r="D670" s="1" t="n">
        <v>24</v>
      </c>
      <c r="E670" s="1" t="n">
        <v>27</v>
      </c>
      <c r="F670" s="1" t="n">
        <v>40</v>
      </c>
      <c r="G670" s="1" t="n">
        <v>41</v>
      </c>
      <c r="H670" s="1" t="n">
        <v>49</v>
      </c>
      <c r="I670" s="1" t="str">
        <f aca="false">RIGHT(("0"&amp;C670),2)&amp;RIGHT(("0"&amp;D670),2)&amp;RIGHT(("0"&amp;E670),2)&amp;RIGHT(("0"&amp;F670),2)&amp;RIGHT(("0"&amp;G670),2)&amp;RIGHT(("0"&amp;H670),2)</f>
        <v>072427404149</v>
      </c>
      <c r="J670" s="1" t="n">
        <f aca="false">COUNTIF(I:I,I670)</f>
        <v>1</v>
      </c>
      <c r="K670" s="1" t="n">
        <v>1</v>
      </c>
      <c r="L670" s="1" t="s">
        <v>91</v>
      </c>
      <c r="M670" s="1" t="s">
        <v>3188</v>
      </c>
      <c r="N670" s="1" t="n">
        <v>32</v>
      </c>
      <c r="O670" s="1" t="s">
        <v>3189</v>
      </c>
      <c r="P670" s="1" t="n">
        <v>2427</v>
      </c>
      <c r="Q670" s="1" t="s">
        <v>3190</v>
      </c>
      <c r="R670" s="1" t="s">
        <v>23</v>
      </c>
      <c r="S670" s="1" t="s">
        <v>23</v>
      </c>
      <c r="T670" s="1" t="s">
        <v>23</v>
      </c>
      <c r="U670" s="1" t="s">
        <v>23</v>
      </c>
      <c r="V670" s="1" t="s">
        <v>3191</v>
      </c>
    </row>
    <row r="671" customFormat="false" ht="13.8" hidden="false" customHeight="false" outlineLevel="0" collapsed="false">
      <c r="A671" s="1" t="n">
        <v>670</v>
      </c>
      <c r="B671" s="2" t="s">
        <v>3192</v>
      </c>
      <c r="C671" s="1" t="n">
        <v>22</v>
      </c>
      <c r="D671" s="1" t="n">
        <v>37</v>
      </c>
      <c r="E671" s="1" t="n">
        <v>42</v>
      </c>
      <c r="F671" s="1" t="n">
        <v>48</v>
      </c>
      <c r="G671" s="1" t="n">
        <v>58</v>
      </c>
      <c r="H671" s="1" t="n">
        <v>59</v>
      </c>
      <c r="I671" s="1" t="str">
        <f aca="false">RIGHT(("0"&amp;C671),2)&amp;RIGHT(("0"&amp;D671),2)&amp;RIGHT(("0"&amp;E671),2)&amp;RIGHT(("0"&amp;F671),2)&amp;RIGHT(("0"&amp;G671),2)&amp;RIGHT(("0"&amp;H671),2)</f>
        <v>223742485859</v>
      </c>
      <c r="J671" s="1" t="n">
        <f aca="false">COUNTIF(I:I,I671)</f>
        <v>1</v>
      </c>
      <c r="K671" s="1" t="n">
        <v>0</v>
      </c>
      <c r="M671" s="1" t="s">
        <v>23</v>
      </c>
      <c r="N671" s="1" t="n">
        <v>24</v>
      </c>
      <c r="O671" s="1" t="s">
        <v>3193</v>
      </c>
      <c r="P671" s="1" t="n">
        <v>2895</v>
      </c>
      <c r="Q671" s="1" t="s">
        <v>3194</v>
      </c>
      <c r="R671" s="1" t="s">
        <v>3195</v>
      </c>
      <c r="S671" s="1" t="s">
        <v>23</v>
      </c>
      <c r="T671" s="1" t="s">
        <v>23</v>
      </c>
      <c r="U671" s="1" t="s">
        <v>23</v>
      </c>
      <c r="V671" s="1" t="s">
        <v>3196</v>
      </c>
    </row>
    <row r="672" customFormat="false" ht="13.8" hidden="false" customHeight="false" outlineLevel="0" collapsed="false">
      <c r="A672" s="1" t="n">
        <v>671</v>
      </c>
      <c r="B672" s="2" t="s">
        <v>3197</v>
      </c>
      <c r="C672" s="1" t="n">
        <v>9</v>
      </c>
      <c r="D672" s="1" t="n">
        <v>16</v>
      </c>
      <c r="E672" s="1" t="n">
        <v>27</v>
      </c>
      <c r="F672" s="1" t="n">
        <v>38</v>
      </c>
      <c r="G672" s="1" t="n">
        <v>39</v>
      </c>
      <c r="H672" s="1" t="n">
        <v>51</v>
      </c>
      <c r="I672" s="1" t="str">
        <f aca="false">RIGHT(("0"&amp;C672),2)&amp;RIGHT(("0"&amp;D672),2)&amp;RIGHT(("0"&amp;E672),2)&amp;RIGHT(("0"&amp;F672),2)&amp;RIGHT(("0"&amp;G672),2)&amp;RIGHT(("0"&amp;H672),2)</f>
        <v>091627383951</v>
      </c>
      <c r="J672" s="1" t="n">
        <f aca="false">COUNTIF(I:I,I672)</f>
        <v>1</v>
      </c>
      <c r="K672" s="1" t="n">
        <v>0</v>
      </c>
      <c r="M672" s="1" t="s">
        <v>23</v>
      </c>
      <c r="N672" s="1" t="n">
        <v>67</v>
      </c>
      <c r="O672" s="1" t="s">
        <v>3198</v>
      </c>
      <c r="P672" s="1" t="n">
        <v>4259</v>
      </c>
      <c r="Q672" s="1" t="s">
        <v>3199</v>
      </c>
      <c r="R672" s="1" t="s">
        <v>3200</v>
      </c>
      <c r="S672" s="1" t="s">
        <v>23</v>
      </c>
      <c r="T672" s="1" t="s">
        <v>23</v>
      </c>
      <c r="U672" s="1" t="s">
        <v>23</v>
      </c>
      <c r="V672" s="1" t="s">
        <v>3201</v>
      </c>
    </row>
    <row r="673" customFormat="false" ht="13.8" hidden="false" customHeight="false" outlineLevel="0" collapsed="false">
      <c r="A673" s="1" t="n">
        <v>672</v>
      </c>
      <c r="B673" s="2" t="s">
        <v>3202</v>
      </c>
      <c r="C673" s="1" t="n">
        <v>24</v>
      </c>
      <c r="D673" s="1" t="n">
        <v>28</v>
      </c>
      <c r="E673" s="1" t="n">
        <v>34</v>
      </c>
      <c r="F673" s="1" t="n">
        <v>38</v>
      </c>
      <c r="G673" s="1" t="n">
        <v>43</v>
      </c>
      <c r="H673" s="1" t="n">
        <v>53</v>
      </c>
      <c r="I673" s="1" t="str">
        <f aca="false">RIGHT(("0"&amp;C673),2)&amp;RIGHT(("0"&amp;D673),2)&amp;RIGHT(("0"&amp;E673),2)&amp;RIGHT(("0"&amp;F673),2)&amp;RIGHT(("0"&amp;G673),2)&amp;RIGHT(("0"&amp;H673),2)</f>
        <v>242834384353</v>
      </c>
      <c r="J673" s="1" t="n">
        <f aca="false">COUNTIF(I:I,I673)</f>
        <v>1</v>
      </c>
      <c r="K673" s="1" t="n">
        <v>0</v>
      </c>
      <c r="M673" s="1" t="s">
        <v>23</v>
      </c>
      <c r="N673" s="1" t="n">
        <v>54</v>
      </c>
      <c r="O673" s="1" t="s">
        <v>3203</v>
      </c>
      <c r="P673" s="1" t="n">
        <v>4411</v>
      </c>
      <c r="Q673" s="1" t="s">
        <v>3204</v>
      </c>
      <c r="R673" s="1" t="s">
        <v>3205</v>
      </c>
      <c r="S673" s="1" t="s">
        <v>23</v>
      </c>
      <c r="T673" s="1" t="s">
        <v>23</v>
      </c>
      <c r="U673" s="1" t="s">
        <v>23</v>
      </c>
      <c r="V673" s="1" t="s">
        <v>3206</v>
      </c>
    </row>
    <row r="674" customFormat="false" ht="13.8" hidden="false" customHeight="false" outlineLevel="0" collapsed="false">
      <c r="A674" s="1" t="n">
        <v>673</v>
      </c>
      <c r="B674" s="2" t="s">
        <v>3207</v>
      </c>
      <c r="C674" s="1" t="n">
        <v>6</v>
      </c>
      <c r="D674" s="1" t="n">
        <v>11</v>
      </c>
      <c r="E674" s="1" t="n">
        <v>20</v>
      </c>
      <c r="F674" s="1" t="n">
        <v>34</v>
      </c>
      <c r="G674" s="1" t="n">
        <v>37</v>
      </c>
      <c r="H674" s="1" t="n">
        <v>40</v>
      </c>
      <c r="I674" s="1" t="str">
        <f aca="false">RIGHT(("0"&amp;C674),2)&amp;RIGHT(("0"&amp;D674),2)&amp;RIGHT(("0"&amp;E674),2)&amp;RIGHT(("0"&amp;F674),2)&amp;RIGHT(("0"&amp;G674),2)&amp;RIGHT(("0"&amp;H674),2)</f>
        <v>061120343740</v>
      </c>
      <c r="J674" s="1" t="n">
        <f aca="false">COUNTIF(I:I,I674)</f>
        <v>1</v>
      </c>
      <c r="K674" s="1" t="n">
        <v>0</v>
      </c>
      <c r="M674" s="1" t="s">
        <v>23</v>
      </c>
      <c r="N674" s="1" t="n">
        <v>72</v>
      </c>
      <c r="O674" s="1" t="s">
        <v>3208</v>
      </c>
      <c r="P674" s="1" t="n">
        <v>4792</v>
      </c>
      <c r="Q674" s="1" t="s">
        <v>3209</v>
      </c>
      <c r="R674" s="1" t="s">
        <v>3210</v>
      </c>
      <c r="S674" s="1" t="s">
        <v>23</v>
      </c>
      <c r="T674" s="1" t="s">
        <v>23</v>
      </c>
      <c r="U674" s="1" t="s">
        <v>23</v>
      </c>
      <c r="V674" s="1" t="s">
        <v>3211</v>
      </c>
    </row>
    <row r="675" customFormat="false" ht="13.8" hidden="false" customHeight="false" outlineLevel="0" collapsed="false">
      <c r="A675" s="1" t="n">
        <v>674</v>
      </c>
      <c r="B675" s="2" t="s">
        <v>3212</v>
      </c>
      <c r="C675" s="1" t="n">
        <v>18</v>
      </c>
      <c r="D675" s="1" t="n">
        <v>22</v>
      </c>
      <c r="E675" s="1" t="n">
        <v>29</v>
      </c>
      <c r="F675" s="1" t="n">
        <v>32</v>
      </c>
      <c r="G675" s="1" t="n">
        <v>38</v>
      </c>
      <c r="H675" s="1" t="n">
        <v>42</v>
      </c>
      <c r="I675" s="1" t="str">
        <f aca="false">RIGHT(("0"&amp;C675),2)&amp;RIGHT(("0"&amp;D675),2)&amp;RIGHT(("0"&amp;E675),2)&amp;RIGHT(("0"&amp;F675),2)&amp;RIGHT(("0"&amp;G675),2)&amp;RIGHT(("0"&amp;H675),2)</f>
        <v>182229323842</v>
      </c>
      <c r="J675" s="1" t="n">
        <f aca="false">COUNTIF(I:I,I675)</f>
        <v>1</v>
      </c>
      <c r="K675" s="1" t="n">
        <v>0</v>
      </c>
      <c r="M675" s="1" t="s">
        <v>23</v>
      </c>
      <c r="N675" s="1" t="n">
        <v>96</v>
      </c>
      <c r="O675" s="1" t="s">
        <v>3213</v>
      </c>
      <c r="P675" s="1" t="n">
        <v>5586</v>
      </c>
      <c r="Q675" s="1" t="s">
        <v>3214</v>
      </c>
      <c r="R675" s="1" t="s">
        <v>3215</v>
      </c>
      <c r="S675" s="1" t="s">
        <v>23</v>
      </c>
      <c r="T675" s="1" t="s">
        <v>23</v>
      </c>
      <c r="U675" s="1" t="s">
        <v>23</v>
      </c>
      <c r="V675" s="1" t="s">
        <v>3216</v>
      </c>
    </row>
    <row r="676" customFormat="false" ht="13.8" hidden="false" customHeight="false" outlineLevel="0" collapsed="false">
      <c r="A676" s="1" t="n">
        <v>675</v>
      </c>
      <c r="B676" s="2" t="s">
        <v>3217</v>
      </c>
      <c r="C676" s="1" t="n">
        <v>24</v>
      </c>
      <c r="D676" s="1" t="n">
        <v>25</v>
      </c>
      <c r="E676" s="1" t="n">
        <v>30</v>
      </c>
      <c r="F676" s="1" t="n">
        <v>42</v>
      </c>
      <c r="G676" s="1" t="n">
        <v>43</v>
      </c>
      <c r="H676" s="1" t="n">
        <v>50</v>
      </c>
      <c r="I676" s="1" t="str">
        <f aca="false">RIGHT(("0"&amp;C676),2)&amp;RIGHT(("0"&amp;D676),2)&amp;RIGHT(("0"&amp;E676),2)&amp;RIGHT(("0"&amp;F676),2)&amp;RIGHT(("0"&amp;G676),2)&amp;RIGHT(("0"&amp;H676),2)</f>
        <v>242530424350</v>
      </c>
      <c r="J676" s="1" t="n">
        <f aca="false">COUNTIF(I:I,I676)</f>
        <v>1</v>
      </c>
      <c r="K676" s="1" t="n">
        <v>0</v>
      </c>
      <c r="M676" s="1" t="s">
        <v>23</v>
      </c>
      <c r="N676" s="1" t="n">
        <v>67</v>
      </c>
      <c r="O676" s="1" t="s">
        <v>3218</v>
      </c>
      <c r="P676" s="1" t="n">
        <v>5204</v>
      </c>
      <c r="Q676" s="1" t="s">
        <v>3219</v>
      </c>
      <c r="R676" s="1" t="s">
        <v>3220</v>
      </c>
      <c r="S676" s="1" t="s">
        <v>23</v>
      </c>
      <c r="T676" s="1" t="s">
        <v>23</v>
      </c>
      <c r="U676" s="1" t="s">
        <v>23</v>
      </c>
      <c r="V676" s="1" t="s">
        <v>3221</v>
      </c>
    </row>
    <row r="677" customFormat="false" ht="13.8" hidden="false" customHeight="false" outlineLevel="0" collapsed="false">
      <c r="A677" s="1" t="n">
        <v>676</v>
      </c>
      <c r="B677" s="2" t="s">
        <v>3222</v>
      </c>
      <c r="C677" s="1" t="n">
        <v>9</v>
      </c>
      <c r="D677" s="1" t="n">
        <v>15</v>
      </c>
      <c r="E677" s="1" t="n">
        <v>32</v>
      </c>
      <c r="F677" s="1" t="n">
        <v>41</v>
      </c>
      <c r="G677" s="1" t="n">
        <v>42</v>
      </c>
      <c r="H677" s="1" t="n">
        <v>49</v>
      </c>
      <c r="I677" s="1" t="str">
        <f aca="false">RIGHT(("0"&amp;C677),2)&amp;RIGHT(("0"&amp;D677),2)&amp;RIGHT(("0"&amp;E677),2)&amp;RIGHT(("0"&amp;F677),2)&amp;RIGHT(("0"&amp;G677),2)&amp;RIGHT(("0"&amp;H677),2)</f>
        <v>091532414249</v>
      </c>
      <c r="J677" s="1" t="n">
        <f aca="false">COUNTIF(I:I,I677)</f>
        <v>1</v>
      </c>
      <c r="K677" s="1" t="n">
        <v>0</v>
      </c>
      <c r="M677" s="1" t="s">
        <v>23</v>
      </c>
      <c r="N677" s="1" t="n">
        <v>94</v>
      </c>
      <c r="O677" s="1" t="s">
        <v>3223</v>
      </c>
      <c r="P677" s="1" t="n">
        <v>7583</v>
      </c>
      <c r="Q677" s="1" t="s">
        <v>3224</v>
      </c>
      <c r="R677" s="1" t="s">
        <v>3225</v>
      </c>
      <c r="S677" s="1" t="s">
        <v>23</v>
      </c>
      <c r="T677" s="1" t="s">
        <v>23</v>
      </c>
      <c r="U677" s="1" t="s">
        <v>23</v>
      </c>
      <c r="V677" s="1" t="s">
        <v>3226</v>
      </c>
    </row>
    <row r="678" customFormat="false" ht="13.8" hidden="false" customHeight="false" outlineLevel="0" collapsed="false">
      <c r="A678" s="1" t="n">
        <v>677</v>
      </c>
      <c r="B678" s="2" t="s">
        <v>3227</v>
      </c>
      <c r="C678" s="1" t="n">
        <v>8</v>
      </c>
      <c r="D678" s="1" t="n">
        <v>10</v>
      </c>
      <c r="E678" s="1" t="n">
        <v>25</v>
      </c>
      <c r="F678" s="1" t="n">
        <v>32</v>
      </c>
      <c r="G678" s="1" t="n">
        <v>48</v>
      </c>
      <c r="H678" s="1" t="n">
        <v>55</v>
      </c>
      <c r="I678" s="1" t="str">
        <f aca="false">RIGHT(("0"&amp;C678),2)&amp;RIGHT(("0"&amp;D678),2)&amp;RIGHT(("0"&amp;E678),2)&amp;RIGHT(("0"&amp;F678),2)&amp;RIGHT(("0"&amp;G678),2)&amp;RIGHT(("0"&amp;H678),2)</f>
        <v>081025324855</v>
      </c>
      <c r="J678" s="1" t="n">
        <f aca="false">COUNTIF(I:I,I678)</f>
        <v>1</v>
      </c>
      <c r="K678" s="1" t="n">
        <v>0</v>
      </c>
      <c r="M678" s="1" t="s">
        <v>23</v>
      </c>
      <c r="N678" s="1" t="n">
        <v>284</v>
      </c>
      <c r="O678" s="1" t="s">
        <v>3228</v>
      </c>
      <c r="P678" s="1" t="n">
        <v>12803</v>
      </c>
      <c r="Q678" s="1" t="s">
        <v>3229</v>
      </c>
      <c r="R678" s="1" t="s">
        <v>3230</v>
      </c>
      <c r="S678" s="1" t="s">
        <v>23</v>
      </c>
      <c r="T678" s="1" t="s">
        <v>23</v>
      </c>
      <c r="U678" s="1" t="s">
        <v>23</v>
      </c>
      <c r="V678" s="1" t="s">
        <v>3231</v>
      </c>
    </row>
    <row r="679" customFormat="false" ht="13.8" hidden="false" customHeight="false" outlineLevel="0" collapsed="false">
      <c r="A679" s="1" t="n">
        <v>678</v>
      </c>
      <c r="B679" s="2" t="s">
        <v>3232</v>
      </c>
      <c r="C679" s="1" t="n">
        <v>14</v>
      </c>
      <c r="D679" s="1" t="n">
        <v>31</v>
      </c>
      <c r="E679" s="1" t="n">
        <v>40</v>
      </c>
      <c r="F679" s="1" t="n">
        <v>42</v>
      </c>
      <c r="G679" s="1" t="n">
        <v>44</v>
      </c>
      <c r="H679" s="1" t="n">
        <v>46</v>
      </c>
      <c r="I679" s="1" t="str">
        <f aca="false">RIGHT(("0"&amp;C679),2)&amp;RIGHT(("0"&amp;D679),2)&amp;RIGHT(("0"&amp;E679),2)&amp;RIGHT(("0"&amp;F679),2)&amp;RIGHT(("0"&amp;G679),2)&amp;RIGHT(("0"&amp;H679),2)</f>
        <v>143140424446</v>
      </c>
      <c r="J679" s="1" t="n">
        <f aca="false">COUNTIF(I:I,I679)</f>
        <v>1</v>
      </c>
      <c r="K679" s="1" t="n">
        <v>0</v>
      </c>
      <c r="M679" s="1" t="s">
        <v>23</v>
      </c>
      <c r="N679" s="1" t="n">
        <v>115</v>
      </c>
      <c r="O679" s="1" t="s">
        <v>3233</v>
      </c>
      <c r="P679" s="1" t="n">
        <v>9797</v>
      </c>
      <c r="Q679" s="1" t="s">
        <v>3234</v>
      </c>
      <c r="R679" s="1" t="s">
        <v>3235</v>
      </c>
      <c r="S679" s="1" t="s">
        <v>23</v>
      </c>
      <c r="T679" s="1" t="s">
        <v>23</v>
      </c>
      <c r="U679" s="1" t="s">
        <v>23</v>
      </c>
      <c r="V679" s="1" t="s">
        <v>3236</v>
      </c>
    </row>
    <row r="680" customFormat="false" ht="13.8" hidden="false" customHeight="false" outlineLevel="0" collapsed="false">
      <c r="A680" s="1" t="n">
        <v>679</v>
      </c>
      <c r="B680" s="2" t="s">
        <v>3237</v>
      </c>
      <c r="C680" s="1" t="n">
        <v>3</v>
      </c>
      <c r="D680" s="1" t="n">
        <v>21</v>
      </c>
      <c r="E680" s="1" t="n">
        <v>25</v>
      </c>
      <c r="F680" s="1" t="n">
        <v>37</v>
      </c>
      <c r="G680" s="1" t="n">
        <v>54</v>
      </c>
      <c r="H680" s="1" t="n">
        <v>58</v>
      </c>
      <c r="I680" s="1" t="str">
        <f aca="false">RIGHT(("0"&amp;C680),2)&amp;RIGHT(("0"&amp;D680),2)&amp;RIGHT(("0"&amp;E680),2)&amp;RIGHT(("0"&amp;F680),2)&amp;RIGHT(("0"&amp;G680),2)&amp;RIGHT(("0"&amp;H680),2)</f>
        <v>032125375458</v>
      </c>
      <c r="J680" s="1" t="n">
        <f aca="false">COUNTIF(I:I,I680)</f>
        <v>1</v>
      </c>
      <c r="K680" s="1" t="n">
        <v>1</v>
      </c>
      <c r="L680" s="1" t="s">
        <v>66</v>
      </c>
      <c r="M680" s="1" t="s">
        <v>3238</v>
      </c>
      <c r="N680" s="1" t="n">
        <v>448</v>
      </c>
      <c r="O680" s="1" t="s">
        <v>3239</v>
      </c>
      <c r="P680" s="1" t="n">
        <v>22087</v>
      </c>
      <c r="Q680" s="1" t="s">
        <v>3240</v>
      </c>
      <c r="R680" s="1" t="s">
        <v>23</v>
      </c>
      <c r="S680" s="1" t="s">
        <v>23</v>
      </c>
      <c r="T680" s="1" t="s">
        <v>23</v>
      </c>
      <c r="U680" s="1" t="s">
        <v>23</v>
      </c>
      <c r="V680" s="1" t="s">
        <v>3241</v>
      </c>
    </row>
    <row r="681" customFormat="false" ht="13.8" hidden="false" customHeight="false" outlineLevel="0" collapsed="false">
      <c r="A681" s="1" t="n">
        <v>680</v>
      </c>
      <c r="B681" s="2" t="s">
        <v>3242</v>
      </c>
      <c r="C681" s="1" t="n">
        <v>2</v>
      </c>
      <c r="D681" s="1" t="n">
        <v>3</v>
      </c>
      <c r="E681" s="1" t="n">
        <v>5</v>
      </c>
      <c r="F681" s="1" t="n">
        <v>22</v>
      </c>
      <c r="G681" s="1" t="n">
        <v>26</v>
      </c>
      <c r="H681" s="1" t="n">
        <v>44</v>
      </c>
      <c r="I681" s="1" t="str">
        <f aca="false">RIGHT(("0"&amp;C681),2)&amp;RIGHT(("0"&amp;D681),2)&amp;RIGHT(("0"&amp;E681),2)&amp;RIGHT(("0"&amp;F681),2)&amp;RIGHT(("0"&amp;G681),2)&amp;RIGHT(("0"&amp;H681),2)</f>
        <v>020305222644</v>
      </c>
      <c r="J681" s="1" t="n">
        <f aca="false">COUNTIF(I:I,I681)</f>
        <v>1</v>
      </c>
      <c r="K681" s="1" t="n">
        <v>0</v>
      </c>
      <c r="M681" s="1" t="s">
        <v>23</v>
      </c>
      <c r="N681" s="1" t="n">
        <v>188</v>
      </c>
      <c r="O681" s="1" t="s">
        <v>3243</v>
      </c>
      <c r="P681" s="1" t="n">
        <v>11222</v>
      </c>
      <c r="Q681" s="1" t="s">
        <v>3244</v>
      </c>
      <c r="R681" s="1" t="s">
        <v>3245</v>
      </c>
      <c r="S681" s="1" t="s">
        <v>23</v>
      </c>
      <c r="T681" s="1" t="s">
        <v>23</v>
      </c>
      <c r="U681" s="1" t="s">
        <v>23</v>
      </c>
      <c r="V681" s="1" t="s">
        <v>3246</v>
      </c>
    </row>
    <row r="682" customFormat="false" ht="13.8" hidden="false" customHeight="false" outlineLevel="0" collapsed="false">
      <c r="A682" s="1" t="n">
        <v>681</v>
      </c>
      <c r="B682" s="2" t="s">
        <v>3247</v>
      </c>
      <c r="C682" s="1" t="n">
        <v>21</v>
      </c>
      <c r="D682" s="1" t="n">
        <v>25</v>
      </c>
      <c r="E682" s="1" t="n">
        <v>38</v>
      </c>
      <c r="F682" s="1" t="n">
        <v>53</v>
      </c>
      <c r="G682" s="1" t="n">
        <v>58</v>
      </c>
      <c r="H682" s="1" t="n">
        <v>59</v>
      </c>
      <c r="I682" s="1" t="str">
        <f aca="false">RIGHT(("0"&amp;C682),2)&amp;RIGHT(("0"&amp;D682),2)&amp;RIGHT(("0"&amp;E682),2)&amp;RIGHT(("0"&amp;F682),2)&amp;RIGHT(("0"&amp;G682),2)&amp;RIGHT(("0"&amp;H682),2)</f>
        <v>212538535859</v>
      </c>
      <c r="J682" s="1" t="n">
        <f aca="false">COUNTIF(I:I,I682)</f>
        <v>1</v>
      </c>
      <c r="K682" s="1" t="n">
        <v>0</v>
      </c>
      <c r="M682" s="1" t="s">
        <v>23</v>
      </c>
      <c r="N682" s="1" t="n">
        <v>62</v>
      </c>
      <c r="O682" s="1" t="s">
        <v>3248</v>
      </c>
      <c r="P682" s="1" t="n">
        <v>5210</v>
      </c>
      <c r="Q682" s="1" t="s">
        <v>3249</v>
      </c>
      <c r="R682" s="1" t="s">
        <v>3250</v>
      </c>
      <c r="S682" s="1" t="s">
        <v>23</v>
      </c>
      <c r="T682" s="1" t="s">
        <v>23</v>
      </c>
      <c r="U682" s="1" t="s">
        <v>23</v>
      </c>
      <c r="V682" s="1" t="s">
        <v>3251</v>
      </c>
    </row>
    <row r="683" customFormat="false" ht="13.8" hidden="false" customHeight="false" outlineLevel="0" collapsed="false">
      <c r="A683" s="1" t="n">
        <v>682</v>
      </c>
      <c r="B683" s="2" t="s">
        <v>3252</v>
      </c>
      <c r="C683" s="1" t="n">
        <v>4</v>
      </c>
      <c r="D683" s="1" t="n">
        <v>27</v>
      </c>
      <c r="E683" s="1" t="n">
        <v>36</v>
      </c>
      <c r="F683" s="1" t="n">
        <v>37</v>
      </c>
      <c r="G683" s="1" t="n">
        <v>47</v>
      </c>
      <c r="H683" s="1" t="n">
        <v>60</v>
      </c>
      <c r="I683" s="1" t="str">
        <f aca="false">RIGHT(("0"&amp;C683),2)&amp;RIGHT(("0"&amp;D683),2)&amp;RIGHT(("0"&amp;E683),2)&amp;RIGHT(("0"&amp;F683),2)&amp;RIGHT(("0"&amp;G683),2)&amp;RIGHT(("0"&amp;H683),2)</f>
        <v>042736374760</v>
      </c>
      <c r="J683" s="1" t="n">
        <f aca="false">COUNTIF(I:I,I683)</f>
        <v>1</v>
      </c>
      <c r="K683" s="1" t="n">
        <v>0</v>
      </c>
      <c r="M683" s="1" t="s">
        <v>23</v>
      </c>
      <c r="N683" s="1" t="n">
        <v>62</v>
      </c>
      <c r="O683" s="1" t="s">
        <v>3253</v>
      </c>
      <c r="P683" s="1" t="n">
        <v>5647</v>
      </c>
      <c r="Q683" s="1" t="s">
        <v>3254</v>
      </c>
      <c r="R683" s="1" t="s">
        <v>3255</v>
      </c>
      <c r="S683" s="1" t="s">
        <v>23</v>
      </c>
      <c r="T683" s="1" t="s">
        <v>23</v>
      </c>
      <c r="U683" s="1" t="s">
        <v>23</v>
      </c>
      <c r="V683" s="1" t="s">
        <v>3256</v>
      </c>
    </row>
    <row r="684" customFormat="false" ht="13.8" hidden="false" customHeight="false" outlineLevel="0" collapsed="false">
      <c r="A684" s="1" t="n">
        <v>683</v>
      </c>
      <c r="B684" s="2" t="s">
        <v>3257</v>
      </c>
      <c r="C684" s="1" t="n">
        <v>2</v>
      </c>
      <c r="D684" s="1" t="n">
        <v>11</v>
      </c>
      <c r="E684" s="1" t="n">
        <v>12</v>
      </c>
      <c r="F684" s="1" t="n">
        <v>35</v>
      </c>
      <c r="G684" s="1" t="n">
        <v>40</v>
      </c>
      <c r="H684" s="1" t="n">
        <v>43</v>
      </c>
      <c r="I684" s="1" t="str">
        <f aca="false">RIGHT(("0"&amp;C684),2)&amp;RIGHT(("0"&amp;D684),2)&amp;RIGHT(("0"&amp;E684),2)&amp;RIGHT(("0"&amp;F684),2)&amp;RIGHT(("0"&amp;G684),2)&amp;RIGHT(("0"&amp;H684),2)</f>
        <v>021112354043</v>
      </c>
      <c r="J684" s="1" t="n">
        <f aca="false">COUNTIF(I:I,I684)</f>
        <v>1</v>
      </c>
      <c r="K684" s="1" t="n">
        <v>0</v>
      </c>
      <c r="M684" s="1" t="s">
        <v>23</v>
      </c>
      <c r="N684" s="1" t="n">
        <v>79</v>
      </c>
      <c r="O684" s="1" t="s">
        <v>3258</v>
      </c>
      <c r="P684" s="1" t="n">
        <v>5680</v>
      </c>
      <c r="Q684" s="1" t="s">
        <v>3259</v>
      </c>
      <c r="R684" s="1" t="s">
        <v>3260</v>
      </c>
      <c r="S684" s="1" t="s">
        <v>23</v>
      </c>
      <c r="T684" s="1" t="s">
        <v>23</v>
      </c>
      <c r="U684" s="1" t="s">
        <v>23</v>
      </c>
      <c r="V684" s="1" t="s">
        <v>3261</v>
      </c>
    </row>
    <row r="685" customFormat="false" ht="13.8" hidden="false" customHeight="false" outlineLevel="0" collapsed="false">
      <c r="A685" s="1" t="n">
        <v>684</v>
      </c>
      <c r="B685" s="2" t="s">
        <v>3262</v>
      </c>
      <c r="C685" s="1" t="n">
        <v>17</v>
      </c>
      <c r="D685" s="1" t="n">
        <v>19</v>
      </c>
      <c r="E685" s="1" t="n">
        <v>33</v>
      </c>
      <c r="F685" s="1" t="n">
        <v>37</v>
      </c>
      <c r="G685" s="1" t="n">
        <v>40</v>
      </c>
      <c r="H685" s="1" t="n">
        <v>50</v>
      </c>
      <c r="I685" s="1" t="str">
        <f aca="false">RIGHT(("0"&amp;C685),2)&amp;RIGHT(("0"&amp;D685),2)&amp;RIGHT(("0"&amp;E685),2)&amp;RIGHT(("0"&amp;F685),2)&amp;RIGHT(("0"&amp;G685),2)&amp;RIGHT(("0"&amp;H685),2)</f>
        <v>171933374050</v>
      </c>
      <c r="J685" s="1" t="n">
        <f aca="false">COUNTIF(I:I,I685)</f>
        <v>1</v>
      </c>
      <c r="K685" s="1" t="n">
        <v>0</v>
      </c>
      <c r="M685" s="1" t="s">
        <v>23</v>
      </c>
      <c r="N685" s="1" t="n">
        <v>81</v>
      </c>
      <c r="O685" s="1" t="s">
        <v>3263</v>
      </c>
      <c r="P685" s="1" t="n">
        <v>7103</v>
      </c>
      <c r="Q685" s="1" t="s">
        <v>3264</v>
      </c>
      <c r="R685" s="1" t="s">
        <v>3265</v>
      </c>
      <c r="S685" s="1" t="s">
        <v>23</v>
      </c>
      <c r="T685" s="1" t="s">
        <v>23</v>
      </c>
      <c r="U685" s="1" t="s">
        <v>23</v>
      </c>
      <c r="V685" s="1" t="s">
        <v>3266</v>
      </c>
    </row>
    <row r="686" customFormat="false" ht="13.8" hidden="false" customHeight="false" outlineLevel="0" collapsed="false">
      <c r="A686" s="1" t="n">
        <v>685</v>
      </c>
      <c r="B686" s="2" t="s">
        <v>3267</v>
      </c>
      <c r="C686" s="1" t="n">
        <v>5</v>
      </c>
      <c r="D686" s="1" t="n">
        <v>12</v>
      </c>
      <c r="E686" s="1" t="n">
        <v>27</v>
      </c>
      <c r="F686" s="1" t="n">
        <v>33</v>
      </c>
      <c r="G686" s="1" t="n">
        <v>43</v>
      </c>
      <c r="H686" s="1" t="n">
        <v>56</v>
      </c>
      <c r="I686" s="1" t="str">
        <f aca="false">RIGHT(("0"&amp;C686),2)&amp;RIGHT(("0"&amp;D686),2)&amp;RIGHT(("0"&amp;E686),2)&amp;RIGHT(("0"&amp;F686),2)&amp;RIGHT(("0"&amp;G686),2)&amp;RIGHT(("0"&amp;H686),2)</f>
        <v>051227334356</v>
      </c>
      <c r="J686" s="1" t="n">
        <f aca="false">COUNTIF(I:I,I686)</f>
        <v>1</v>
      </c>
      <c r="K686" s="1" t="n">
        <v>1</v>
      </c>
      <c r="L686" s="1" t="s">
        <v>91</v>
      </c>
      <c r="M686" s="1" t="s">
        <v>3268</v>
      </c>
      <c r="N686" s="1" t="n">
        <v>347</v>
      </c>
      <c r="O686" s="1" t="s">
        <v>3269</v>
      </c>
      <c r="P686" s="1" t="n">
        <v>15404</v>
      </c>
      <c r="Q686" s="1" t="s">
        <v>3270</v>
      </c>
      <c r="R686" s="1" t="s">
        <v>23</v>
      </c>
      <c r="S686" s="1" t="s">
        <v>23</v>
      </c>
      <c r="T686" s="1" t="s">
        <v>23</v>
      </c>
      <c r="U686" s="1" t="s">
        <v>23</v>
      </c>
      <c r="V686" s="1" t="s">
        <v>3271</v>
      </c>
    </row>
    <row r="687" customFormat="false" ht="13.8" hidden="false" customHeight="false" outlineLevel="0" collapsed="false">
      <c r="A687" s="1" t="n">
        <v>686</v>
      </c>
      <c r="B687" s="2" t="s">
        <v>3272</v>
      </c>
      <c r="C687" s="1" t="n">
        <v>4</v>
      </c>
      <c r="D687" s="1" t="n">
        <v>5</v>
      </c>
      <c r="E687" s="1" t="n">
        <v>15</v>
      </c>
      <c r="F687" s="1" t="n">
        <v>26</v>
      </c>
      <c r="G687" s="1" t="n">
        <v>33</v>
      </c>
      <c r="H687" s="1" t="n">
        <v>54</v>
      </c>
      <c r="I687" s="1" t="str">
        <f aca="false">RIGHT(("0"&amp;C687),2)&amp;RIGHT(("0"&amp;D687),2)&amp;RIGHT(("0"&amp;E687),2)&amp;RIGHT(("0"&amp;F687),2)&amp;RIGHT(("0"&amp;G687),2)&amp;RIGHT(("0"&amp;H687),2)</f>
        <v>040515263354</v>
      </c>
      <c r="J687" s="1" t="n">
        <f aca="false">COUNTIF(I:I,I687)</f>
        <v>1</v>
      </c>
      <c r="K687" s="1" t="n">
        <v>0</v>
      </c>
      <c r="M687" s="1" t="s">
        <v>23</v>
      </c>
      <c r="N687" s="1" t="n">
        <v>47</v>
      </c>
      <c r="O687" s="1" t="s">
        <v>3273</v>
      </c>
      <c r="P687" s="1" t="n">
        <v>3901</v>
      </c>
      <c r="Q687" s="1" t="s">
        <v>3274</v>
      </c>
      <c r="R687" s="1" t="s">
        <v>3275</v>
      </c>
      <c r="S687" s="1" t="s">
        <v>23</v>
      </c>
      <c r="T687" s="1" t="s">
        <v>23</v>
      </c>
      <c r="U687" s="1" t="s">
        <v>23</v>
      </c>
      <c r="V687" s="1" t="s">
        <v>3276</v>
      </c>
    </row>
    <row r="688" customFormat="false" ht="13.8" hidden="false" customHeight="false" outlineLevel="0" collapsed="false">
      <c r="A688" s="1" t="n">
        <v>687</v>
      </c>
      <c r="B688" s="2" t="s">
        <v>3277</v>
      </c>
      <c r="C688" s="1" t="n">
        <v>1</v>
      </c>
      <c r="D688" s="1" t="n">
        <v>7</v>
      </c>
      <c r="E688" s="1" t="n">
        <v>14</v>
      </c>
      <c r="F688" s="1" t="n">
        <v>41</v>
      </c>
      <c r="G688" s="1" t="n">
        <v>48</v>
      </c>
      <c r="H688" s="1" t="n">
        <v>59</v>
      </c>
      <c r="I688" s="1" t="str">
        <f aca="false">RIGHT(("0"&amp;C688),2)&amp;RIGHT(("0"&amp;D688),2)&amp;RIGHT(("0"&amp;E688),2)&amp;RIGHT(("0"&amp;F688),2)&amp;RIGHT(("0"&amp;G688),2)&amp;RIGHT(("0"&amp;H688),2)</f>
        <v>010714414859</v>
      </c>
      <c r="J688" s="1" t="n">
        <f aca="false">COUNTIF(I:I,I688)</f>
        <v>1</v>
      </c>
      <c r="K688" s="1" t="n">
        <v>0</v>
      </c>
      <c r="M688" s="1" t="s">
        <v>23</v>
      </c>
      <c r="N688" s="1" t="n">
        <v>28</v>
      </c>
      <c r="O688" s="1" t="s">
        <v>3278</v>
      </c>
      <c r="P688" s="1" t="n">
        <v>2887</v>
      </c>
      <c r="Q688" s="1" t="s">
        <v>3279</v>
      </c>
      <c r="R688" s="1" t="s">
        <v>3280</v>
      </c>
      <c r="S688" s="1" t="s">
        <v>23</v>
      </c>
      <c r="T688" s="1" t="s">
        <v>23</v>
      </c>
      <c r="U688" s="1" t="s">
        <v>23</v>
      </c>
      <c r="V688" s="1" t="s">
        <v>3281</v>
      </c>
    </row>
    <row r="689" customFormat="false" ht="13.8" hidden="false" customHeight="false" outlineLevel="0" collapsed="false">
      <c r="A689" s="1" t="n">
        <v>688</v>
      </c>
      <c r="B689" s="2" t="s">
        <v>3282</v>
      </c>
      <c r="C689" s="1" t="n">
        <v>11</v>
      </c>
      <c r="D689" s="1" t="n">
        <v>21</v>
      </c>
      <c r="E689" s="1" t="n">
        <v>30</v>
      </c>
      <c r="F689" s="1" t="n">
        <v>35</v>
      </c>
      <c r="G689" s="1" t="n">
        <v>47</v>
      </c>
      <c r="H689" s="1" t="n">
        <v>52</v>
      </c>
      <c r="I689" s="1" t="str">
        <f aca="false">RIGHT(("0"&amp;C689),2)&amp;RIGHT(("0"&amp;D689),2)&amp;RIGHT(("0"&amp;E689),2)&amp;RIGHT(("0"&amp;F689),2)&amp;RIGHT(("0"&amp;G689),2)&amp;RIGHT(("0"&amp;H689),2)</f>
        <v>112130354752</v>
      </c>
      <c r="J689" s="1" t="n">
        <f aca="false">COUNTIF(I:I,I689)</f>
        <v>1</v>
      </c>
      <c r="K689" s="1" t="n">
        <v>0</v>
      </c>
      <c r="M689" s="1" t="s">
        <v>23</v>
      </c>
      <c r="N689" s="1" t="n">
        <v>38</v>
      </c>
      <c r="O689" s="1" t="s">
        <v>3283</v>
      </c>
      <c r="P689" s="1" t="n">
        <v>2757</v>
      </c>
      <c r="Q689" s="1" t="s">
        <v>3284</v>
      </c>
      <c r="R689" s="1" t="s">
        <v>3285</v>
      </c>
      <c r="S689" s="1" t="s">
        <v>23</v>
      </c>
      <c r="T689" s="1" t="s">
        <v>23</v>
      </c>
      <c r="U689" s="1" t="s">
        <v>23</v>
      </c>
      <c r="V689" s="1" t="s">
        <v>3286</v>
      </c>
    </row>
    <row r="690" customFormat="false" ht="13.8" hidden="false" customHeight="false" outlineLevel="0" collapsed="false">
      <c r="A690" s="1" t="n">
        <v>689</v>
      </c>
      <c r="B690" s="2" t="s">
        <v>3287</v>
      </c>
      <c r="C690" s="1" t="n">
        <v>6</v>
      </c>
      <c r="D690" s="1" t="n">
        <v>7</v>
      </c>
      <c r="E690" s="1" t="n">
        <v>31</v>
      </c>
      <c r="F690" s="1" t="n">
        <v>49</v>
      </c>
      <c r="G690" s="1" t="n">
        <v>51</v>
      </c>
      <c r="H690" s="1" t="n">
        <v>60</v>
      </c>
      <c r="I690" s="1" t="str">
        <f aca="false">RIGHT(("0"&amp;C690),2)&amp;RIGHT(("0"&amp;D690),2)&amp;RIGHT(("0"&amp;E690),2)&amp;RIGHT(("0"&amp;F690),2)&amp;RIGHT(("0"&amp;G690),2)&amp;RIGHT(("0"&amp;H690),2)</f>
        <v>060731495160</v>
      </c>
      <c r="J690" s="1" t="n">
        <f aca="false">COUNTIF(I:I,I690)</f>
        <v>1</v>
      </c>
      <c r="K690" s="1" t="n">
        <v>0</v>
      </c>
      <c r="M690" s="1" t="s">
        <v>23</v>
      </c>
      <c r="N690" s="1" t="n">
        <v>29</v>
      </c>
      <c r="O690" s="1" t="s">
        <v>3288</v>
      </c>
      <c r="P690" s="1" t="n">
        <v>2998</v>
      </c>
      <c r="Q690" s="1" t="s">
        <v>3289</v>
      </c>
      <c r="R690" s="1" t="s">
        <v>3290</v>
      </c>
      <c r="S690" s="1" t="s">
        <v>23</v>
      </c>
      <c r="T690" s="1" t="s">
        <v>23</v>
      </c>
      <c r="U690" s="1" t="s">
        <v>23</v>
      </c>
      <c r="V690" s="1" t="s">
        <v>3291</v>
      </c>
    </row>
    <row r="691" customFormat="false" ht="13.8" hidden="false" customHeight="false" outlineLevel="0" collapsed="false">
      <c r="A691" s="1" t="n">
        <v>690</v>
      </c>
      <c r="B691" s="2" t="s">
        <v>3292</v>
      </c>
      <c r="C691" s="1" t="n">
        <v>8</v>
      </c>
      <c r="D691" s="1" t="n">
        <v>12</v>
      </c>
      <c r="E691" s="1" t="n">
        <v>15</v>
      </c>
      <c r="F691" s="1" t="n">
        <v>41</v>
      </c>
      <c r="G691" s="1" t="n">
        <v>47</v>
      </c>
      <c r="H691" s="1" t="n">
        <v>53</v>
      </c>
      <c r="I691" s="1" t="str">
        <f aca="false">RIGHT(("0"&amp;C691),2)&amp;RIGHT(("0"&amp;D691),2)&amp;RIGHT(("0"&amp;E691),2)&amp;RIGHT(("0"&amp;F691),2)&amp;RIGHT(("0"&amp;G691),2)&amp;RIGHT(("0"&amp;H691),2)</f>
        <v>081215414753</v>
      </c>
      <c r="J691" s="1" t="n">
        <f aca="false">COUNTIF(I:I,I691)</f>
        <v>1</v>
      </c>
      <c r="K691" s="1" t="n">
        <v>0</v>
      </c>
      <c r="M691" s="1" t="s">
        <v>23</v>
      </c>
      <c r="N691" s="1" t="n">
        <v>90</v>
      </c>
      <c r="O691" s="1" t="s">
        <v>3293</v>
      </c>
      <c r="P691" s="1" t="n">
        <v>5446</v>
      </c>
      <c r="Q691" s="1" t="s">
        <v>3294</v>
      </c>
      <c r="R691" s="1" t="s">
        <v>3295</v>
      </c>
      <c r="S691" s="1" t="s">
        <v>23</v>
      </c>
      <c r="T691" s="1" t="s">
        <v>23</v>
      </c>
      <c r="U691" s="1" t="s">
        <v>23</v>
      </c>
      <c r="V691" s="1" t="s">
        <v>3296</v>
      </c>
    </row>
    <row r="692" customFormat="false" ht="13.8" hidden="false" customHeight="false" outlineLevel="0" collapsed="false">
      <c r="A692" s="1" t="n">
        <v>691</v>
      </c>
      <c r="B692" s="2" t="s">
        <v>3297</v>
      </c>
      <c r="C692" s="1" t="n">
        <v>8</v>
      </c>
      <c r="D692" s="1" t="n">
        <v>16</v>
      </c>
      <c r="E692" s="1" t="n">
        <v>37</v>
      </c>
      <c r="F692" s="1" t="n">
        <v>50</v>
      </c>
      <c r="G692" s="1" t="n">
        <v>55</v>
      </c>
      <c r="H692" s="1" t="n">
        <v>58</v>
      </c>
      <c r="I692" s="1" t="str">
        <f aca="false">RIGHT(("0"&amp;C692),2)&amp;RIGHT(("0"&amp;D692),2)&amp;RIGHT(("0"&amp;E692),2)&amp;RIGHT(("0"&amp;F692),2)&amp;RIGHT(("0"&amp;G692),2)&amp;RIGHT(("0"&amp;H692),2)</f>
        <v>081637505558</v>
      </c>
      <c r="J692" s="1" t="n">
        <f aca="false">COUNTIF(I:I,I692)</f>
        <v>1</v>
      </c>
      <c r="K692" s="1" t="n">
        <v>0</v>
      </c>
      <c r="M692" s="1" t="s">
        <v>23</v>
      </c>
      <c r="N692" s="1" t="n">
        <v>54</v>
      </c>
      <c r="O692" s="1" t="s">
        <v>3298</v>
      </c>
      <c r="P692" s="1" t="n">
        <v>3896</v>
      </c>
      <c r="Q692" s="1" t="s">
        <v>3299</v>
      </c>
      <c r="R692" s="1" t="s">
        <v>3300</v>
      </c>
      <c r="S692" s="1" t="s">
        <v>23</v>
      </c>
      <c r="T692" s="1" t="s">
        <v>23</v>
      </c>
      <c r="U692" s="1" t="s">
        <v>23</v>
      </c>
      <c r="V692" s="1" t="s">
        <v>3301</v>
      </c>
    </row>
    <row r="693" customFormat="false" ht="13.8" hidden="false" customHeight="false" outlineLevel="0" collapsed="false">
      <c r="A693" s="1" t="n">
        <v>692</v>
      </c>
      <c r="B693" s="2" t="s">
        <v>3302</v>
      </c>
      <c r="C693" s="1" t="n">
        <v>11</v>
      </c>
      <c r="D693" s="1" t="n">
        <v>18</v>
      </c>
      <c r="E693" s="1" t="n">
        <v>33</v>
      </c>
      <c r="F693" s="1" t="n">
        <v>57</v>
      </c>
      <c r="G693" s="1" t="n">
        <v>58</v>
      </c>
      <c r="H693" s="1" t="n">
        <v>60</v>
      </c>
      <c r="I693" s="1" t="str">
        <f aca="false">RIGHT(("0"&amp;C693),2)&amp;RIGHT(("0"&amp;D693),2)&amp;RIGHT(("0"&amp;E693),2)&amp;RIGHT(("0"&amp;F693),2)&amp;RIGHT(("0"&amp;G693),2)&amp;RIGHT(("0"&amp;H693),2)</f>
        <v>111833575860</v>
      </c>
      <c r="J693" s="1" t="n">
        <f aca="false">COUNTIF(I:I,I693)</f>
        <v>1</v>
      </c>
      <c r="K693" s="1" t="n">
        <v>0</v>
      </c>
      <c r="M693" s="1" t="s">
        <v>23</v>
      </c>
      <c r="N693" s="1" t="n">
        <v>71</v>
      </c>
      <c r="O693" s="1" t="s">
        <v>3303</v>
      </c>
      <c r="P693" s="1" t="n">
        <v>4995</v>
      </c>
      <c r="Q693" s="1" t="s">
        <v>3304</v>
      </c>
      <c r="R693" s="1" t="s">
        <v>3305</v>
      </c>
      <c r="S693" s="1" t="s">
        <v>23</v>
      </c>
      <c r="T693" s="1" t="s">
        <v>23</v>
      </c>
      <c r="U693" s="1" t="s">
        <v>23</v>
      </c>
      <c r="V693" s="1" t="s">
        <v>3306</v>
      </c>
    </row>
    <row r="694" customFormat="false" ht="13.8" hidden="false" customHeight="false" outlineLevel="0" collapsed="false">
      <c r="A694" s="1" t="n">
        <v>693</v>
      </c>
      <c r="B694" s="2" t="s">
        <v>3307</v>
      </c>
      <c r="C694" s="1" t="n">
        <v>13</v>
      </c>
      <c r="D694" s="1" t="n">
        <v>14</v>
      </c>
      <c r="E694" s="1" t="n">
        <v>17</v>
      </c>
      <c r="F694" s="1" t="n">
        <v>31</v>
      </c>
      <c r="G694" s="1" t="n">
        <v>41</v>
      </c>
      <c r="H694" s="1" t="n">
        <v>50</v>
      </c>
      <c r="I694" s="1" t="str">
        <f aca="false">RIGHT(("0"&amp;C694),2)&amp;RIGHT(("0"&amp;D694),2)&amp;RIGHT(("0"&amp;E694),2)&amp;RIGHT(("0"&amp;F694),2)&amp;RIGHT(("0"&amp;G694),2)&amp;RIGHT(("0"&amp;H694),2)</f>
        <v>131417314150</v>
      </c>
      <c r="J694" s="1" t="n">
        <f aca="false">COUNTIF(I:I,I694)</f>
        <v>1</v>
      </c>
      <c r="K694" s="1" t="n">
        <v>0</v>
      </c>
      <c r="M694" s="1" t="s">
        <v>23</v>
      </c>
      <c r="N694" s="1" t="n">
        <v>152</v>
      </c>
      <c r="O694" s="1" t="s">
        <v>3308</v>
      </c>
      <c r="P694" s="1" t="n">
        <v>7170</v>
      </c>
      <c r="Q694" s="1" t="s">
        <v>2233</v>
      </c>
      <c r="R694" s="1" t="s">
        <v>3309</v>
      </c>
      <c r="S694" s="1" t="s">
        <v>23</v>
      </c>
      <c r="T694" s="1" t="s">
        <v>23</v>
      </c>
      <c r="U694" s="1" t="s">
        <v>23</v>
      </c>
      <c r="V694" s="1" t="s">
        <v>3310</v>
      </c>
    </row>
    <row r="695" customFormat="false" ht="13.8" hidden="false" customHeight="false" outlineLevel="0" collapsed="false">
      <c r="A695" s="1" t="n">
        <v>694</v>
      </c>
      <c r="B695" s="2" t="s">
        <v>3311</v>
      </c>
      <c r="C695" s="1" t="n">
        <v>15</v>
      </c>
      <c r="D695" s="1" t="n">
        <v>19</v>
      </c>
      <c r="E695" s="1" t="n">
        <v>29</v>
      </c>
      <c r="F695" s="1" t="n">
        <v>37</v>
      </c>
      <c r="G695" s="1" t="n">
        <v>41</v>
      </c>
      <c r="H695" s="1" t="n">
        <v>53</v>
      </c>
      <c r="I695" s="1" t="str">
        <f aca="false">RIGHT(("0"&amp;C695),2)&amp;RIGHT(("0"&amp;D695),2)&amp;RIGHT(("0"&amp;E695),2)&amp;RIGHT(("0"&amp;F695),2)&amp;RIGHT(("0"&amp;G695),2)&amp;RIGHT(("0"&amp;H695),2)</f>
        <v>151929374153</v>
      </c>
      <c r="J695" s="1" t="n">
        <f aca="false">COUNTIF(I:I,I695)</f>
        <v>1</v>
      </c>
      <c r="K695" s="1" t="n">
        <v>0</v>
      </c>
      <c r="M695" s="1" t="s">
        <v>23</v>
      </c>
      <c r="N695" s="1" t="n">
        <v>114</v>
      </c>
      <c r="O695" s="1" t="s">
        <v>3312</v>
      </c>
      <c r="P695" s="1" t="n">
        <v>7087</v>
      </c>
      <c r="Q695" s="1" t="s">
        <v>3313</v>
      </c>
      <c r="R695" s="1" t="s">
        <v>3314</v>
      </c>
      <c r="S695" s="1" t="s">
        <v>23</v>
      </c>
      <c r="T695" s="1" t="s">
        <v>23</v>
      </c>
      <c r="U695" s="1" t="s">
        <v>23</v>
      </c>
      <c r="V695" s="1" t="s">
        <v>3315</v>
      </c>
    </row>
    <row r="696" customFormat="false" ht="13.8" hidden="false" customHeight="false" outlineLevel="0" collapsed="false">
      <c r="A696" s="1" t="n">
        <v>695</v>
      </c>
      <c r="B696" s="2" t="s">
        <v>3316</v>
      </c>
      <c r="C696" s="1" t="n">
        <v>6</v>
      </c>
      <c r="D696" s="1" t="n">
        <v>11</v>
      </c>
      <c r="E696" s="1" t="n">
        <v>13</v>
      </c>
      <c r="F696" s="1" t="n">
        <v>21</v>
      </c>
      <c r="G696" s="1" t="n">
        <v>40</v>
      </c>
      <c r="H696" s="1" t="n">
        <v>52</v>
      </c>
      <c r="I696" s="1" t="str">
        <f aca="false">RIGHT(("0"&amp;C696),2)&amp;RIGHT(("0"&amp;D696),2)&amp;RIGHT(("0"&amp;E696),2)&amp;RIGHT(("0"&amp;F696),2)&amp;RIGHT(("0"&amp;G696),2)&amp;RIGHT(("0"&amp;H696),2)</f>
        <v>061113214052</v>
      </c>
      <c r="J696" s="1" t="n">
        <f aca="false">COUNTIF(I:I,I696)</f>
        <v>1</v>
      </c>
      <c r="K696" s="1" t="n">
        <v>0</v>
      </c>
      <c r="M696" s="1" t="s">
        <v>23</v>
      </c>
      <c r="N696" s="1" t="n">
        <v>76</v>
      </c>
      <c r="O696" s="1" t="s">
        <v>3317</v>
      </c>
      <c r="P696" s="1" t="n">
        <v>6333</v>
      </c>
      <c r="Q696" s="1" t="s">
        <v>3318</v>
      </c>
      <c r="R696" s="1" t="s">
        <v>3319</v>
      </c>
      <c r="S696" s="1" t="s">
        <v>23</v>
      </c>
      <c r="T696" s="1" t="s">
        <v>23</v>
      </c>
      <c r="U696" s="1" t="s">
        <v>23</v>
      </c>
      <c r="V696" s="1" t="s">
        <v>3320</v>
      </c>
    </row>
    <row r="697" customFormat="false" ht="13.8" hidden="false" customHeight="false" outlineLevel="0" collapsed="false">
      <c r="A697" s="1" t="n">
        <v>696</v>
      </c>
      <c r="B697" s="2" t="s">
        <v>3321</v>
      </c>
      <c r="C697" s="1" t="n">
        <v>9</v>
      </c>
      <c r="D697" s="1" t="n">
        <v>16</v>
      </c>
      <c r="E697" s="1" t="n">
        <v>34</v>
      </c>
      <c r="F697" s="1" t="n">
        <v>37</v>
      </c>
      <c r="G697" s="1" t="n">
        <v>53</v>
      </c>
      <c r="H697" s="1" t="n">
        <v>57</v>
      </c>
      <c r="I697" s="1" t="str">
        <f aca="false">RIGHT(("0"&amp;C697),2)&amp;RIGHT(("0"&amp;D697),2)&amp;RIGHT(("0"&amp;E697),2)&amp;RIGHT(("0"&amp;F697),2)&amp;RIGHT(("0"&amp;G697),2)&amp;RIGHT(("0"&amp;H697),2)</f>
        <v>091634375357</v>
      </c>
      <c r="J697" s="1" t="n">
        <f aca="false">COUNTIF(I:I,I697)</f>
        <v>1</v>
      </c>
      <c r="K697" s="1" t="n">
        <v>2</v>
      </c>
      <c r="L697" s="1" t="s">
        <v>3322</v>
      </c>
      <c r="M697" s="1" t="s">
        <v>3323</v>
      </c>
      <c r="N697" s="1" t="n">
        <v>195</v>
      </c>
      <c r="O697" s="1" t="s">
        <v>3324</v>
      </c>
      <c r="P697" s="1" t="n">
        <v>10814</v>
      </c>
      <c r="Q697" s="1" t="s">
        <v>3325</v>
      </c>
      <c r="R697" s="1" t="s">
        <v>23</v>
      </c>
      <c r="S697" s="1" t="s">
        <v>23</v>
      </c>
      <c r="T697" s="1" t="s">
        <v>23</v>
      </c>
      <c r="U697" s="1" t="s">
        <v>23</v>
      </c>
      <c r="V697" s="1" t="s">
        <v>3326</v>
      </c>
    </row>
    <row r="698" customFormat="false" ht="13.8" hidden="false" customHeight="false" outlineLevel="0" collapsed="false">
      <c r="A698" s="1" t="n">
        <v>697</v>
      </c>
      <c r="B698" s="2" t="s">
        <v>3327</v>
      </c>
      <c r="C698" s="1" t="n">
        <v>28</v>
      </c>
      <c r="D698" s="1" t="n">
        <v>31</v>
      </c>
      <c r="E698" s="1" t="n">
        <v>32</v>
      </c>
      <c r="F698" s="1" t="n">
        <v>35</v>
      </c>
      <c r="G698" s="1" t="n">
        <v>51</v>
      </c>
      <c r="H698" s="1" t="n">
        <v>53</v>
      </c>
      <c r="I698" s="1" t="str">
        <f aca="false">RIGHT(("0"&amp;C698),2)&amp;RIGHT(("0"&amp;D698),2)&amp;RIGHT(("0"&amp;E698),2)&amp;RIGHT(("0"&amp;F698),2)&amp;RIGHT(("0"&amp;G698),2)&amp;RIGHT(("0"&amp;H698),2)</f>
        <v>283132355153</v>
      </c>
      <c r="J698" s="1" t="n">
        <f aca="false">COUNTIF(I:I,I698)</f>
        <v>1</v>
      </c>
      <c r="K698" s="1" t="n">
        <v>0</v>
      </c>
      <c r="M698" s="1" t="s">
        <v>23</v>
      </c>
      <c r="N698" s="1" t="n">
        <v>27</v>
      </c>
      <c r="O698" s="1" t="s">
        <v>3328</v>
      </c>
      <c r="P698" s="1" t="n">
        <v>2895</v>
      </c>
      <c r="Q698" s="1" t="s">
        <v>3329</v>
      </c>
      <c r="R698" s="1" t="s">
        <v>3330</v>
      </c>
      <c r="S698" s="1" t="s">
        <v>23</v>
      </c>
      <c r="T698" s="1" t="s">
        <v>23</v>
      </c>
      <c r="U698" s="1" t="s">
        <v>23</v>
      </c>
      <c r="V698" s="1" t="s">
        <v>3331</v>
      </c>
    </row>
    <row r="699" customFormat="false" ht="13.8" hidden="false" customHeight="false" outlineLevel="0" collapsed="false">
      <c r="A699" s="1" t="n">
        <v>698</v>
      </c>
      <c r="B699" s="2" t="s">
        <v>3332</v>
      </c>
      <c r="C699" s="1" t="n">
        <v>8</v>
      </c>
      <c r="D699" s="1" t="n">
        <v>12</v>
      </c>
      <c r="E699" s="1" t="n">
        <v>22</v>
      </c>
      <c r="F699" s="1" t="n">
        <v>27</v>
      </c>
      <c r="G699" s="1" t="n">
        <v>43</v>
      </c>
      <c r="H699" s="1" t="n">
        <v>55</v>
      </c>
      <c r="I699" s="1" t="str">
        <f aca="false">RIGHT(("0"&amp;C699),2)&amp;RIGHT(("0"&amp;D699),2)&amp;RIGHT(("0"&amp;E699),2)&amp;RIGHT(("0"&amp;F699),2)&amp;RIGHT(("0"&amp;G699),2)&amp;RIGHT(("0"&amp;H699),2)</f>
        <v>081222274355</v>
      </c>
      <c r="J699" s="1" t="n">
        <f aca="false">COUNTIF(I:I,I699)</f>
        <v>1</v>
      </c>
      <c r="K699" s="1" t="n">
        <v>0</v>
      </c>
      <c r="M699" s="1" t="s">
        <v>23</v>
      </c>
      <c r="N699" s="1" t="n">
        <v>43</v>
      </c>
      <c r="O699" s="1" t="s">
        <v>3333</v>
      </c>
      <c r="P699" s="1" t="n">
        <v>3981</v>
      </c>
      <c r="Q699" s="1" t="s">
        <v>3334</v>
      </c>
      <c r="R699" s="1" t="s">
        <v>3335</v>
      </c>
      <c r="S699" s="1" t="s">
        <v>23</v>
      </c>
      <c r="T699" s="1" t="s">
        <v>23</v>
      </c>
      <c r="U699" s="1" t="s">
        <v>23</v>
      </c>
      <c r="V699" s="1" t="s">
        <v>3336</v>
      </c>
    </row>
    <row r="700" customFormat="false" ht="13.8" hidden="false" customHeight="false" outlineLevel="0" collapsed="false">
      <c r="A700" s="1" t="n">
        <v>699</v>
      </c>
      <c r="B700" s="2" t="s">
        <v>3337</v>
      </c>
      <c r="C700" s="1" t="n">
        <v>17</v>
      </c>
      <c r="D700" s="1" t="n">
        <v>23</v>
      </c>
      <c r="E700" s="1" t="n">
        <v>48</v>
      </c>
      <c r="F700" s="1" t="n">
        <v>50</v>
      </c>
      <c r="G700" s="1" t="n">
        <v>53</v>
      </c>
      <c r="H700" s="1" t="n">
        <v>54</v>
      </c>
      <c r="I700" s="1" t="str">
        <f aca="false">RIGHT(("0"&amp;C700),2)&amp;RIGHT(("0"&amp;D700),2)&amp;RIGHT(("0"&amp;E700),2)&amp;RIGHT(("0"&amp;F700),2)&amp;RIGHT(("0"&amp;G700),2)&amp;RIGHT(("0"&amp;H700),2)</f>
        <v>172348505354</v>
      </c>
      <c r="J700" s="1" t="n">
        <f aca="false">COUNTIF(I:I,I700)</f>
        <v>1</v>
      </c>
      <c r="K700" s="1" t="n">
        <v>0</v>
      </c>
      <c r="M700" s="1" t="s">
        <v>23</v>
      </c>
      <c r="N700" s="1" t="n">
        <v>54</v>
      </c>
      <c r="O700" s="1" t="s">
        <v>3338</v>
      </c>
      <c r="P700" s="1" t="n">
        <v>3752</v>
      </c>
      <c r="Q700" s="1" t="s">
        <v>3339</v>
      </c>
      <c r="R700" s="1" t="s">
        <v>3340</v>
      </c>
      <c r="S700" s="1" t="s">
        <v>23</v>
      </c>
      <c r="T700" s="1" t="s">
        <v>23</v>
      </c>
      <c r="U700" s="1" t="s">
        <v>23</v>
      </c>
      <c r="V700" s="1" t="s">
        <v>3341</v>
      </c>
    </row>
    <row r="701" customFormat="false" ht="13.8" hidden="false" customHeight="false" outlineLevel="0" collapsed="false">
      <c r="A701" s="1" t="n">
        <v>700</v>
      </c>
      <c r="B701" s="2" t="s">
        <v>3342</v>
      </c>
      <c r="C701" s="1" t="n">
        <v>2</v>
      </c>
      <c r="D701" s="1" t="n">
        <v>3</v>
      </c>
      <c r="E701" s="1" t="n">
        <v>14</v>
      </c>
      <c r="F701" s="1" t="n">
        <v>24</v>
      </c>
      <c r="G701" s="1" t="n">
        <v>31</v>
      </c>
      <c r="H701" s="1" t="n">
        <v>40</v>
      </c>
      <c r="I701" s="1" t="str">
        <f aca="false">RIGHT(("0"&amp;C701),2)&amp;RIGHT(("0"&amp;D701),2)&amp;RIGHT(("0"&amp;E701),2)&amp;RIGHT(("0"&amp;F701),2)&amp;RIGHT(("0"&amp;G701),2)&amp;RIGHT(("0"&amp;H701),2)</f>
        <v>020314243140</v>
      </c>
      <c r="J701" s="1" t="n">
        <f aca="false">COUNTIF(I:I,I701)</f>
        <v>1</v>
      </c>
      <c r="K701" s="1" t="n">
        <v>0</v>
      </c>
      <c r="M701" s="1" t="s">
        <v>23</v>
      </c>
      <c r="N701" s="1" t="n">
        <v>53</v>
      </c>
      <c r="O701" s="1" t="s">
        <v>3343</v>
      </c>
      <c r="P701" s="1" t="n">
        <v>3584</v>
      </c>
      <c r="Q701" s="1" t="s">
        <v>3344</v>
      </c>
      <c r="R701" s="1" t="s">
        <v>3345</v>
      </c>
      <c r="S701" s="1" t="s">
        <v>23</v>
      </c>
      <c r="T701" s="1" t="s">
        <v>23</v>
      </c>
      <c r="U701" s="1" t="s">
        <v>23</v>
      </c>
      <c r="V701" s="1" t="s">
        <v>3346</v>
      </c>
    </row>
    <row r="702" customFormat="false" ht="13.8" hidden="false" customHeight="false" outlineLevel="0" collapsed="false">
      <c r="A702" s="1" t="n">
        <v>701</v>
      </c>
      <c r="B702" s="2" t="s">
        <v>3347</v>
      </c>
      <c r="C702" s="1" t="n">
        <v>1</v>
      </c>
      <c r="D702" s="1" t="n">
        <v>13</v>
      </c>
      <c r="E702" s="1" t="n">
        <v>23</v>
      </c>
      <c r="F702" s="1" t="n">
        <v>31</v>
      </c>
      <c r="G702" s="1" t="n">
        <v>48</v>
      </c>
      <c r="H702" s="1" t="n">
        <v>60</v>
      </c>
      <c r="I702" s="1" t="str">
        <f aca="false">RIGHT(("0"&amp;C702),2)&amp;RIGHT(("0"&amp;D702),2)&amp;RIGHT(("0"&amp;E702),2)&amp;RIGHT(("0"&amp;F702),2)&amp;RIGHT(("0"&amp;G702),2)&amp;RIGHT(("0"&amp;H702),2)</f>
        <v>011323314860</v>
      </c>
      <c r="J702" s="1" t="n">
        <f aca="false">COUNTIF(I:I,I702)</f>
        <v>1</v>
      </c>
      <c r="K702" s="1" t="n">
        <v>0</v>
      </c>
      <c r="M702" s="1" t="s">
        <v>23</v>
      </c>
      <c r="N702" s="1" t="n">
        <v>103</v>
      </c>
      <c r="O702" s="1" t="s">
        <v>3348</v>
      </c>
      <c r="P702" s="1" t="n">
        <v>5623</v>
      </c>
      <c r="Q702" s="1" t="s">
        <v>3349</v>
      </c>
      <c r="R702" s="1" t="s">
        <v>3350</v>
      </c>
      <c r="S702" s="1" t="s">
        <v>23</v>
      </c>
      <c r="T702" s="1" t="s">
        <v>23</v>
      </c>
      <c r="U702" s="1" t="s">
        <v>23</v>
      </c>
      <c r="V702" s="1" t="s">
        <v>3351</v>
      </c>
    </row>
    <row r="703" customFormat="false" ht="13.8" hidden="false" customHeight="false" outlineLevel="0" collapsed="false">
      <c r="A703" s="1" t="n">
        <v>702</v>
      </c>
      <c r="B703" s="2" t="s">
        <v>3352</v>
      </c>
      <c r="C703" s="1" t="n">
        <v>1</v>
      </c>
      <c r="D703" s="1" t="n">
        <v>18</v>
      </c>
      <c r="E703" s="1" t="n">
        <v>45</v>
      </c>
      <c r="F703" s="1" t="n">
        <v>56</v>
      </c>
      <c r="G703" s="1" t="n">
        <v>57</v>
      </c>
      <c r="H703" s="1" t="n">
        <v>58</v>
      </c>
      <c r="I703" s="1" t="str">
        <f aca="false">RIGHT(("0"&amp;C703),2)&amp;RIGHT(("0"&amp;D703),2)&amp;RIGHT(("0"&amp;E703),2)&amp;RIGHT(("0"&amp;F703),2)&amp;RIGHT(("0"&amp;G703),2)&amp;RIGHT(("0"&amp;H703),2)</f>
        <v>011845565758</v>
      </c>
      <c r="J703" s="1" t="n">
        <f aca="false">COUNTIF(I:I,I703)</f>
        <v>1</v>
      </c>
      <c r="K703" s="1" t="n">
        <v>0</v>
      </c>
      <c r="M703" s="1" t="s">
        <v>23</v>
      </c>
      <c r="N703" s="1" t="n">
        <v>47</v>
      </c>
      <c r="O703" s="1" t="s">
        <v>3353</v>
      </c>
      <c r="P703" s="1" t="n">
        <v>3663</v>
      </c>
      <c r="Q703" s="1" t="s">
        <v>3354</v>
      </c>
      <c r="R703" s="1" t="s">
        <v>3355</v>
      </c>
      <c r="S703" s="1" t="s">
        <v>23</v>
      </c>
      <c r="T703" s="1" t="s">
        <v>23</v>
      </c>
      <c r="U703" s="1" t="s">
        <v>23</v>
      </c>
      <c r="V703" s="1" t="s">
        <v>3356</v>
      </c>
    </row>
    <row r="704" customFormat="false" ht="13.8" hidden="false" customHeight="false" outlineLevel="0" collapsed="false">
      <c r="A704" s="1" t="n">
        <v>703</v>
      </c>
      <c r="B704" s="2" t="s">
        <v>3357</v>
      </c>
      <c r="C704" s="1" t="n">
        <v>2</v>
      </c>
      <c r="D704" s="1" t="n">
        <v>11</v>
      </c>
      <c r="E704" s="1" t="n">
        <v>24</v>
      </c>
      <c r="F704" s="1" t="n">
        <v>27</v>
      </c>
      <c r="G704" s="1" t="n">
        <v>30</v>
      </c>
      <c r="H704" s="1" t="n">
        <v>45</v>
      </c>
      <c r="I704" s="1" t="str">
        <f aca="false">RIGHT(("0"&amp;C704),2)&amp;RIGHT(("0"&amp;D704),2)&amp;RIGHT(("0"&amp;E704),2)&amp;RIGHT(("0"&amp;F704),2)&amp;RIGHT(("0"&amp;G704),2)&amp;RIGHT(("0"&amp;H704),2)</f>
        <v>021124273045</v>
      </c>
      <c r="J704" s="1" t="n">
        <f aca="false">COUNTIF(I:I,I704)</f>
        <v>1</v>
      </c>
      <c r="K704" s="1" t="n">
        <v>0</v>
      </c>
      <c r="M704" s="1" t="s">
        <v>23</v>
      </c>
      <c r="N704" s="1" t="n">
        <v>123</v>
      </c>
      <c r="O704" s="1" t="s">
        <v>3358</v>
      </c>
      <c r="P704" s="1" t="n">
        <v>7343</v>
      </c>
      <c r="Q704" s="1" t="s">
        <v>3359</v>
      </c>
      <c r="R704" s="1" t="s">
        <v>3360</v>
      </c>
      <c r="S704" s="1" t="s">
        <v>23</v>
      </c>
      <c r="T704" s="1" t="s">
        <v>23</v>
      </c>
      <c r="U704" s="1" t="s">
        <v>23</v>
      </c>
      <c r="V704" s="1" t="s">
        <v>3361</v>
      </c>
    </row>
    <row r="705" customFormat="false" ht="13.8" hidden="false" customHeight="false" outlineLevel="0" collapsed="false">
      <c r="A705" s="1" t="n">
        <v>704</v>
      </c>
      <c r="B705" s="2" t="s">
        <v>3362</v>
      </c>
      <c r="C705" s="1" t="n">
        <v>2</v>
      </c>
      <c r="D705" s="1" t="n">
        <v>4</v>
      </c>
      <c r="E705" s="1" t="n">
        <v>18</v>
      </c>
      <c r="F705" s="1" t="n">
        <v>27</v>
      </c>
      <c r="G705" s="1" t="n">
        <v>34</v>
      </c>
      <c r="H705" s="1" t="n">
        <v>50</v>
      </c>
      <c r="I705" s="1" t="str">
        <f aca="false">RIGHT(("0"&amp;C705),2)&amp;RIGHT(("0"&amp;D705),2)&amp;RIGHT(("0"&amp;E705),2)&amp;RIGHT(("0"&amp;F705),2)&amp;RIGHT(("0"&amp;G705),2)&amp;RIGHT(("0"&amp;H705),2)</f>
        <v>020418273450</v>
      </c>
      <c r="J705" s="1" t="n">
        <f aca="false">COUNTIF(I:I,I705)</f>
        <v>1</v>
      </c>
      <c r="K705" s="1" t="n">
        <v>0</v>
      </c>
      <c r="M705" s="1" t="s">
        <v>23</v>
      </c>
      <c r="N705" s="1" t="n">
        <v>56</v>
      </c>
      <c r="O705" s="1" t="s">
        <v>3363</v>
      </c>
      <c r="P705" s="1" t="n">
        <v>5784</v>
      </c>
      <c r="Q705" s="1" t="s">
        <v>3364</v>
      </c>
      <c r="R705" s="1" t="s">
        <v>3365</v>
      </c>
      <c r="S705" s="1" t="s">
        <v>23</v>
      </c>
      <c r="T705" s="1" t="s">
        <v>23</v>
      </c>
      <c r="U705" s="1" t="s">
        <v>23</v>
      </c>
      <c r="V705" s="1" t="s">
        <v>3366</v>
      </c>
    </row>
    <row r="706" customFormat="false" ht="13.8" hidden="false" customHeight="false" outlineLevel="0" collapsed="false">
      <c r="A706" s="1" t="n">
        <v>705</v>
      </c>
      <c r="B706" s="2" t="s">
        <v>3367</v>
      </c>
      <c r="C706" s="1" t="n">
        <v>3</v>
      </c>
      <c r="D706" s="1" t="n">
        <v>11</v>
      </c>
      <c r="E706" s="1" t="n">
        <v>13</v>
      </c>
      <c r="F706" s="1" t="n">
        <v>15</v>
      </c>
      <c r="G706" s="1" t="n">
        <v>26</v>
      </c>
      <c r="H706" s="1" t="n">
        <v>43</v>
      </c>
      <c r="I706" s="1" t="str">
        <f aca="false">RIGHT(("0"&amp;C706),2)&amp;RIGHT(("0"&amp;D706),2)&amp;RIGHT(("0"&amp;E706),2)&amp;RIGHT(("0"&amp;F706),2)&amp;RIGHT(("0"&amp;G706),2)&amp;RIGHT(("0"&amp;H706),2)</f>
        <v>031113152643</v>
      </c>
      <c r="J706" s="1" t="n">
        <f aca="false">COUNTIF(I:I,I706)</f>
        <v>1</v>
      </c>
      <c r="K706" s="1" t="n">
        <v>0</v>
      </c>
      <c r="M706" s="1" t="s">
        <v>23</v>
      </c>
      <c r="N706" s="1" t="n">
        <v>144</v>
      </c>
      <c r="O706" s="1" t="s">
        <v>3368</v>
      </c>
      <c r="P706" s="1" t="n">
        <v>11514</v>
      </c>
      <c r="Q706" s="1" t="s">
        <v>3369</v>
      </c>
      <c r="R706" s="1" t="s">
        <v>3370</v>
      </c>
      <c r="S706" s="1" t="s">
        <v>23</v>
      </c>
      <c r="T706" s="1" t="s">
        <v>23</v>
      </c>
      <c r="U706" s="1" t="s">
        <v>23</v>
      </c>
      <c r="V706" s="1" t="s">
        <v>3371</v>
      </c>
    </row>
    <row r="707" customFormat="false" ht="13.8" hidden="false" customHeight="false" outlineLevel="0" collapsed="false">
      <c r="A707" s="1" t="n">
        <v>706</v>
      </c>
      <c r="B707" s="2" t="s">
        <v>3372</v>
      </c>
      <c r="C707" s="1" t="n">
        <v>2</v>
      </c>
      <c r="D707" s="1" t="n">
        <v>7</v>
      </c>
      <c r="E707" s="1" t="n">
        <v>10</v>
      </c>
      <c r="F707" s="1" t="n">
        <v>17</v>
      </c>
      <c r="G707" s="1" t="n">
        <v>22</v>
      </c>
      <c r="H707" s="1" t="n">
        <v>60</v>
      </c>
      <c r="I707" s="1" t="str">
        <f aca="false">RIGHT(("0"&amp;C707),2)&amp;RIGHT(("0"&amp;D707),2)&amp;RIGHT(("0"&amp;E707),2)&amp;RIGHT(("0"&amp;F707),2)&amp;RIGHT(("0"&amp;G707),2)&amp;RIGHT(("0"&amp;H707),2)</f>
        <v>020710172260</v>
      </c>
      <c r="J707" s="1" t="n">
        <f aca="false">COUNTIF(I:I,I707)</f>
        <v>1</v>
      </c>
      <c r="K707" s="1" t="n">
        <v>0</v>
      </c>
      <c r="M707" s="1" t="s">
        <v>23</v>
      </c>
      <c r="N707" s="1" t="n">
        <v>282</v>
      </c>
      <c r="O707" s="1" t="s">
        <v>3373</v>
      </c>
      <c r="P707" s="1" t="n">
        <v>15980</v>
      </c>
      <c r="Q707" s="1" t="s">
        <v>3374</v>
      </c>
      <c r="R707" s="1" t="s">
        <v>3375</v>
      </c>
      <c r="S707" s="1" t="s">
        <v>23</v>
      </c>
      <c r="T707" s="1" t="s">
        <v>23</v>
      </c>
      <c r="U707" s="1" t="s">
        <v>23</v>
      </c>
      <c r="V707" s="1" t="s">
        <v>3376</v>
      </c>
    </row>
    <row r="708" customFormat="false" ht="13.8" hidden="false" customHeight="false" outlineLevel="0" collapsed="false">
      <c r="A708" s="1" t="n">
        <v>707</v>
      </c>
      <c r="B708" s="2" t="s">
        <v>3377</v>
      </c>
      <c r="C708" s="1" t="n">
        <v>1</v>
      </c>
      <c r="D708" s="1" t="n">
        <v>8</v>
      </c>
      <c r="E708" s="1" t="n">
        <v>10</v>
      </c>
      <c r="F708" s="1" t="n">
        <v>36</v>
      </c>
      <c r="G708" s="1" t="n">
        <v>43</v>
      </c>
      <c r="H708" s="1" t="n">
        <v>51</v>
      </c>
      <c r="I708" s="1" t="str">
        <f aca="false">RIGHT(("0"&amp;C708),2)&amp;RIGHT(("0"&amp;D708),2)&amp;RIGHT(("0"&amp;E708),2)&amp;RIGHT(("0"&amp;F708),2)&amp;RIGHT(("0"&amp;G708),2)&amp;RIGHT(("0"&amp;H708),2)</f>
        <v>010810364351</v>
      </c>
      <c r="J708" s="1" t="n">
        <f aca="false">COUNTIF(I:I,I708)</f>
        <v>1</v>
      </c>
      <c r="K708" s="1" t="n">
        <v>2</v>
      </c>
      <c r="L708" s="1" t="s">
        <v>3378</v>
      </c>
      <c r="M708" s="1" t="s">
        <v>3379</v>
      </c>
      <c r="N708" s="1" t="n">
        <v>140</v>
      </c>
      <c r="O708" s="1" t="s">
        <v>3380</v>
      </c>
      <c r="P708" s="1" t="n">
        <v>12461</v>
      </c>
      <c r="Q708" s="1" t="s">
        <v>3381</v>
      </c>
      <c r="R708" s="1" t="s">
        <v>23</v>
      </c>
      <c r="S708" s="1" t="s">
        <v>23</v>
      </c>
      <c r="T708" s="1" t="s">
        <v>23</v>
      </c>
      <c r="U708" s="1" t="s">
        <v>23</v>
      </c>
      <c r="V708" s="1" t="s">
        <v>3382</v>
      </c>
    </row>
    <row r="709" customFormat="false" ht="13.8" hidden="false" customHeight="false" outlineLevel="0" collapsed="false">
      <c r="A709" s="1" t="n">
        <v>708</v>
      </c>
      <c r="B709" s="2" t="s">
        <v>3383</v>
      </c>
      <c r="C709" s="1" t="n">
        <v>7</v>
      </c>
      <c r="D709" s="1" t="n">
        <v>9</v>
      </c>
      <c r="E709" s="1" t="n">
        <v>13</v>
      </c>
      <c r="F709" s="1" t="n">
        <v>39</v>
      </c>
      <c r="G709" s="1" t="n">
        <v>45</v>
      </c>
      <c r="H709" s="1" t="n">
        <v>47</v>
      </c>
      <c r="I709" s="1" t="str">
        <f aca="false">RIGHT(("0"&amp;C709),2)&amp;RIGHT(("0"&amp;D709),2)&amp;RIGHT(("0"&amp;E709),2)&amp;RIGHT(("0"&amp;F709),2)&amp;RIGHT(("0"&amp;G709),2)&amp;RIGHT(("0"&amp;H709),2)</f>
        <v>070913394547</v>
      </c>
      <c r="J709" s="1" t="n">
        <f aca="false">COUNTIF(I:I,I709)</f>
        <v>1</v>
      </c>
      <c r="K709" s="1" t="n">
        <v>0</v>
      </c>
      <c r="M709" s="1" t="s">
        <v>23</v>
      </c>
      <c r="N709" s="1" t="n">
        <v>102</v>
      </c>
      <c r="O709" s="1" t="s">
        <v>3384</v>
      </c>
      <c r="P709" s="1" t="n">
        <v>5998</v>
      </c>
      <c r="Q709" s="1" t="s">
        <v>3385</v>
      </c>
      <c r="R709" s="1" t="s">
        <v>3386</v>
      </c>
      <c r="S709" s="1" t="s">
        <v>23</v>
      </c>
      <c r="T709" s="1" t="s">
        <v>23</v>
      </c>
      <c r="U709" s="1" t="s">
        <v>23</v>
      </c>
      <c r="V709" s="1" t="s">
        <v>3387</v>
      </c>
    </row>
    <row r="710" customFormat="false" ht="13.8" hidden="false" customHeight="false" outlineLevel="0" collapsed="false">
      <c r="A710" s="1" t="n">
        <v>709</v>
      </c>
      <c r="B710" s="2" t="s">
        <v>3388</v>
      </c>
      <c r="C710" s="1" t="n">
        <v>4</v>
      </c>
      <c r="D710" s="1" t="n">
        <v>6</v>
      </c>
      <c r="E710" s="1" t="n">
        <v>9</v>
      </c>
      <c r="F710" s="1" t="n">
        <v>22</v>
      </c>
      <c r="G710" s="1" t="n">
        <v>29</v>
      </c>
      <c r="H710" s="1" t="n">
        <v>44</v>
      </c>
      <c r="I710" s="1" t="str">
        <f aca="false">RIGHT(("0"&amp;C710),2)&amp;RIGHT(("0"&amp;D710),2)&amp;RIGHT(("0"&amp;E710),2)&amp;RIGHT(("0"&amp;F710),2)&amp;RIGHT(("0"&amp;G710),2)&amp;RIGHT(("0"&amp;H710),2)</f>
        <v>040609222944</v>
      </c>
      <c r="J710" s="1" t="n">
        <f aca="false">COUNTIF(I:I,I710)</f>
        <v>1</v>
      </c>
      <c r="K710" s="1" t="n">
        <v>0</v>
      </c>
      <c r="M710" s="1" t="s">
        <v>23</v>
      </c>
      <c r="N710" s="1" t="n">
        <v>106</v>
      </c>
      <c r="O710" s="1" t="s">
        <v>3389</v>
      </c>
      <c r="P710" s="1" t="n">
        <v>5202</v>
      </c>
      <c r="Q710" s="1" t="s">
        <v>874</v>
      </c>
      <c r="R710" s="1" t="s">
        <v>3390</v>
      </c>
      <c r="S710" s="1" t="s">
        <v>23</v>
      </c>
      <c r="T710" s="1" t="s">
        <v>23</v>
      </c>
      <c r="U710" s="1" t="s">
        <v>23</v>
      </c>
      <c r="V710" s="1" t="s">
        <v>3391</v>
      </c>
    </row>
    <row r="711" customFormat="false" ht="13.8" hidden="false" customHeight="false" outlineLevel="0" collapsed="false">
      <c r="A711" s="1" t="n">
        <v>710</v>
      </c>
      <c r="B711" s="2" t="s">
        <v>3392</v>
      </c>
      <c r="C711" s="1" t="n">
        <v>5</v>
      </c>
      <c r="D711" s="1" t="n">
        <v>25</v>
      </c>
      <c r="E711" s="1" t="n">
        <v>34</v>
      </c>
      <c r="F711" s="1" t="n">
        <v>39</v>
      </c>
      <c r="G711" s="1" t="n">
        <v>46</v>
      </c>
      <c r="H711" s="1" t="n">
        <v>49</v>
      </c>
      <c r="I711" s="1" t="str">
        <f aca="false">RIGHT(("0"&amp;C711),2)&amp;RIGHT(("0"&amp;D711),2)&amp;RIGHT(("0"&amp;E711),2)&amp;RIGHT(("0"&amp;F711),2)&amp;RIGHT(("0"&amp;G711),2)&amp;RIGHT(("0"&amp;H711),2)</f>
        <v>052534394649</v>
      </c>
      <c r="J711" s="1" t="n">
        <f aca="false">COUNTIF(I:I,I711)</f>
        <v>1</v>
      </c>
      <c r="K711" s="1" t="n">
        <v>0</v>
      </c>
      <c r="M711" s="1" t="s">
        <v>23</v>
      </c>
      <c r="N711" s="1" t="n">
        <v>48</v>
      </c>
      <c r="O711" s="1" t="s">
        <v>3393</v>
      </c>
      <c r="P711" s="1" t="n">
        <v>4608</v>
      </c>
      <c r="Q711" s="1" t="s">
        <v>3394</v>
      </c>
      <c r="R711" s="1" t="s">
        <v>3395</v>
      </c>
      <c r="S711" s="1" t="s">
        <v>23</v>
      </c>
      <c r="T711" s="1" t="s">
        <v>23</v>
      </c>
      <c r="U711" s="1" t="s">
        <v>23</v>
      </c>
      <c r="V711" s="1" t="s">
        <v>3396</v>
      </c>
    </row>
    <row r="712" customFormat="false" ht="13.8" hidden="false" customHeight="false" outlineLevel="0" collapsed="false">
      <c r="A712" s="1" t="n">
        <v>711</v>
      </c>
      <c r="B712" s="2" t="s">
        <v>3397</v>
      </c>
      <c r="C712" s="1" t="n">
        <v>5</v>
      </c>
      <c r="D712" s="1" t="n">
        <v>10</v>
      </c>
      <c r="E712" s="1" t="n">
        <v>33</v>
      </c>
      <c r="F712" s="1" t="n">
        <v>40</v>
      </c>
      <c r="G712" s="1" t="n">
        <v>41</v>
      </c>
      <c r="H712" s="1" t="n">
        <v>59</v>
      </c>
      <c r="I712" s="1" t="str">
        <f aca="false">RIGHT(("0"&amp;C712),2)&amp;RIGHT(("0"&amp;D712),2)&amp;RIGHT(("0"&amp;E712),2)&amp;RIGHT(("0"&amp;F712),2)&amp;RIGHT(("0"&amp;G712),2)&amp;RIGHT(("0"&amp;H712),2)</f>
        <v>051033404159</v>
      </c>
      <c r="J712" s="1" t="n">
        <f aca="false">COUNTIF(I:I,I712)</f>
        <v>1</v>
      </c>
      <c r="K712" s="1" t="n">
        <v>0</v>
      </c>
      <c r="M712" s="1" t="s">
        <v>23</v>
      </c>
      <c r="N712" s="1" t="n">
        <v>79</v>
      </c>
      <c r="O712" s="1" t="s">
        <v>3398</v>
      </c>
      <c r="P712" s="1" t="n">
        <v>5840</v>
      </c>
      <c r="Q712" s="1" t="s">
        <v>3399</v>
      </c>
      <c r="R712" s="1" t="s">
        <v>3400</v>
      </c>
      <c r="S712" s="1" t="s">
        <v>23</v>
      </c>
      <c r="T712" s="1" t="s">
        <v>23</v>
      </c>
      <c r="U712" s="1" t="s">
        <v>23</v>
      </c>
      <c r="V712" s="1" t="s">
        <v>3401</v>
      </c>
    </row>
    <row r="713" customFormat="false" ht="13.8" hidden="false" customHeight="false" outlineLevel="0" collapsed="false">
      <c r="A713" s="1" t="n">
        <v>712</v>
      </c>
      <c r="B713" s="2" t="s">
        <v>3402</v>
      </c>
      <c r="C713" s="1" t="n">
        <v>7</v>
      </c>
      <c r="D713" s="1" t="n">
        <v>8</v>
      </c>
      <c r="E713" s="1" t="n">
        <v>35</v>
      </c>
      <c r="F713" s="1" t="n">
        <v>43</v>
      </c>
      <c r="G713" s="1" t="n">
        <v>53</v>
      </c>
      <c r="H713" s="1" t="n">
        <v>58</v>
      </c>
      <c r="I713" s="1" t="str">
        <f aca="false">RIGHT(("0"&amp;C713),2)&amp;RIGHT(("0"&amp;D713),2)&amp;RIGHT(("0"&amp;E713),2)&amp;RIGHT(("0"&amp;F713),2)&amp;RIGHT(("0"&amp;G713),2)&amp;RIGHT(("0"&amp;H713),2)</f>
        <v>070835435358</v>
      </c>
      <c r="J713" s="1" t="n">
        <f aca="false">COUNTIF(I:I,I713)</f>
        <v>1</v>
      </c>
      <c r="K713" s="1" t="n">
        <v>0</v>
      </c>
      <c r="M713" s="1" t="s">
        <v>23</v>
      </c>
      <c r="N713" s="1" t="n">
        <v>97</v>
      </c>
      <c r="O713" s="1" t="s">
        <v>3403</v>
      </c>
      <c r="P713" s="1" t="n">
        <v>5637</v>
      </c>
      <c r="Q713" s="1" t="s">
        <v>3404</v>
      </c>
      <c r="R713" s="1" t="s">
        <v>3405</v>
      </c>
      <c r="S713" s="1" t="s">
        <v>23</v>
      </c>
      <c r="T713" s="1" t="s">
        <v>23</v>
      </c>
      <c r="U713" s="1" t="s">
        <v>23</v>
      </c>
      <c r="V713" s="1" t="s">
        <v>3406</v>
      </c>
    </row>
    <row r="714" customFormat="false" ht="13.8" hidden="false" customHeight="false" outlineLevel="0" collapsed="false">
      <c r="A714" s="1" t="n">
        <v>713</v>
      </c>
      <c r="B714" s="2" t="s">
        <v>3407</v>
      </c>
      <c r="C714" s="1" t="n">
        <v>1</v>
      </c>
      <c r="D714" s="1" t="n">
        <v>12</v>
      </c>
      <c r="E714" s="1" t="n">
        <v>16</v>
      </c>
      <c r="F714" s="1" t="n">
        <v>26</v>
      </c>
      <c r="G714" s="1" t="n">
        <v>46</v>
      </c>
      <c r="H714" s="1" t="n">
        <v>54</v>
      </c>
      <c r="I714" s="1" t="str">
        <f aca="false">RIGHT(("0"&amp;C714),2)&amp;RIGHT(("0"&amp;D714),2)&amp;RIGHT(("0"&amp;E714),2)&amp;RIGHT(("0"&amp;F714),2)&amp;RIGHT(("0"&amp;G714),2)&amp;RIGHT(("0"&amp;H714),2)</f>
        <v>011216264654</v>
      </c>
      <c r="J714" s="1" t="n">
        <f aca="false">COUNTIF(I:I,I714)</f>
        <v>1</v>
      </c>
      <c r="K714" s="1" t="n">
        <v>0</v>
      </c>
      <c r="M714" s="1" t="s">
        <v>23</v>
      </c>
      <c r="N714" s="1" t="n">
        <v>67</v>
      </c>
      <c r="O714" s="1" t="s">
        <v>3408</v>
      </c>
      <c r="P714" s="1" t="n">
        <v>5838</v>
      </c>
      <c r="Q714" s="1" t="s">
        <v>3409</v>
      </c>
      <c r="R714" s="1" t="s">
        <v>3410</v>
      </c>
      <c r="S714" s="1" t="s">
        <v>23</v>
      </c>
      <c r="T714" s="1" t="s">
        <v>23</v>
      </c>
      <c r="U714" s="1" t="s">
        <v>23</v>
      </c>
      <c r="V714" s="1" t="s">
        <v>3411</v>
      </c>
    </row>
    <row r="715" customFormat="false" ht="13.8" hidden="false" customHeight="false" outlineLevel="0" collapsed="false">
      <c r="A715" s="1" t="n">
        <v>714</v>
      </c>
      <c r="B715" s="2" t="s">
        <v>3412</v>
      </c>
      <c r="C715" s="1" t="n">
        <v>7</v>
      </c>
      <c r="D715" s="1" t="n">
        <v>8</v>
      </c>
      <c r="E715" s="1" t="n">
        <v>17</v>
      </c>
      <c r="F715" s="1" t="n">
        <v>35</v>
      </c>
      <c r="G715" s="1" t="n">
        <v>39</v>
      </c>
      <c r="H715" s="1" t="n">
        <v>53</v>
      </c>
      <c r="I715" s="1" t="str">
        <f aca="false">RIGHT(("0"&amp;C715),2)&amp;RIGHT(("0"&amp;D715),2)&amp;RIGHT(("0"&amp;E715),2)&amp;RIGHT(("0"&amp;F715),2)&amp;RIGHT(("0"&amp;G715),2)&amp;RIGHT(("0"&amp;H715),2)</f>
        <v>070817353953</v>
      </c>
      <c r="J715" s="1" t="n">
        <f aca="false">COUNTIF(I:I,I715)</f>
        <v>1</v>
      </c>
      <c r="K715" s="1" t="n">
        <v>0</v>
      </c>
      <c r="M715" s="1" t="s">
        <v>23</v>
      </c>
      <c r="N715" s="1" t="n">
        <v>113</v>
      </c>
      <c r="O715" s="1" t="s">
        <v>3413</v>
      </c>
      <c r="P715" s="1" t="n">
        <v>10955</v>
      </c>
      <c r="Q715" s="1" t="s">
        <v>3414</v>
      </c>
      <c r="R715" s="1" t="s">
        <v>3415</v>
      </c>
      <c r="S715" s="1" t="s">
        <v>23</v>
      </c>
      <c r="T715" s="1" t="s">
        <v>23</v>
      </c>
      <c r="U715" s="1" t="s">
        <v>23</v>
      </c>
      <c r="V715" s="1" t="s">
        <v>3416</v>
      </c>
    </row>
    <row r="716" customFormat="false" ht="13.8" hidden="false" customHeight="false" outlineLevel="0" collapsed="false">
      <c r="A716" s="1" t="n">
        <v>715</v>
      </c>
      <c r="B716" s="2" t="s">
        <v>3417</v>
      </c>
      <c r="C716" s="1" t="n">
        <v>4</v>
      </c>
      <c r="D716" s="1" t="n">
        <v>12</v>
      </c>
      <c r="E716" s="1" t="n">
        <v>24</v>
      </c>
      <c r="F716" s="1" t="n">
        <v>33</v>
      </c>
      <c r="G716" s="1" t="n">
        <v>36</v>
      </c>
      <c r="H716" s="1" t="n">
        <v>54</v>
      </c>
      <c r="I716" s="1" t="str">
        <f aca="false">RIGHT(("0"&amp;C716),2)&amp;RIGHT(("0"&amp;D716),2)&amp;RIGHT(("0"&amp;E716),2)&amp;RIGHT(("0"&amp;F716),2)&amp;RIGHT(("0"&amp;G716),2)&amp;RIGHT(("0"&amp;H716),2)</f>
        <v>041224333654</v>
      </c>
      <c r="J716" s="1" t="n">
        <f aca="false">COUNTIF(I:I,I716)</f>
        <v>1</v>
      </c>
      <c r="K716" s="1" t="n">
        <v>3</v>
      </c>
      <c r="L716" s="1" t="s">
        <v>3418</v>
      </c>
      <c r="M716" s="1" t="s">
        <v>3419</v>
      </c>
      <c r="N716" s="1" t="n">
        <v>237</v>
      </c>
      <c r="O716" s="1" t="s">
        <v>3420</v>
      </c>
      <c r="P716" s="1" t="n">
        <v>13134</v>
      </c>
      <c r="Q716" s="1" t="s">
        <v>3421</v>
      </c>
      <c r="R716" s="1" t="s">
        <v>23</v>
      </c>
      <c r="S716" s="1" t="s">
        <v>23</v>
      </c>
      <c r="T716" s="1" t="s">
        <v>23</v>
      </c>
      <c r="U716" s="1" t="s">
        <v>23</v>
      </c>
      <c r="V716" s="1" t="s">
        <v>3422</v>
      </c>
    </row>
    <row r="717" customFormat="false" ht="13.8" hidden="false" customHeight="false" outlineLevel="0" collapsed="false">
      <c r="A717" s="1" t="n">
        <v>716</v>
      </c>
      <c r="B717" s="2" t="s">
        <v>3423</v>
      </c>
      <c r="C717" s="1" t="n">
        <v>2</v>
      </c>
      <c r="D717" s="1" t="n">
        <v>7</v>
      </c>
      <c r="E717" s="1" t="n">
        <v>16</v>
      </c>
      <c r="F717" s="1" t="n">
        <v>29</v>
      </c>
      <c r="G717" s="1" t="n">
        <v>32</v>
      </c>
      <c r="H717" s="1" t="n">
        <v>50</v>
      </c>
      <c r="I717" s="1" t="str">
        <f aca="false">RIGHT(("0"&amp;C717),2)&amp;RIGHT(("0"&amp;D717),2)&amp;RIGHT(("0"&amp;E717),2)&amp;RIGHT(("0"&amp;F717),2)&amp;RIGHT(("0"&amp;G717),2)&amp;RIGHT(("0"&amp;H717),2)</f>
        <v>020716293250</v>
      </c>
      <c r="J717" s="1" t="n">
        <f aca="false">COUNTIF(I:I,I717)</f>
        <v>1</v>
      </c>
      <c r="K717" s="1" t="n">
        <v>1</v>
      </c>
      <c r="L717" s="1" t="s">
        <v>66</v>
      </c>
      <c r="M717" s="1" t="s">
        <v>3424</v>
      </c>
      <c r="N717" s="1" t="n">
        <v>37</v>
      </c>
      <c r="O717" s="1" t="s">
        <v>3425</v>
      </c>
      <c r="P717" s="1" t="n">
        <v>2512</v>
      </c>
      <c r="Q717" s="1" t="s">
        <v>3426</v>
      </c>
      <c r="R717" s="1" t="s">
        <v>23</v>
      </c>
      <c r="S717" s="1" t="s">
        <v>23</v>
      </c>
      <c r="T717" s="1" t="s">
        <v>23</v>
      </c>
      <c r="U717" s="1" t="s">
        <v>23</v>
      </c>
      <c r="V717" s="1" t="s">
        <v>3427</v>
      </c>
    </row>
    <row r="718" customFormat="false" ht="13.8" hidden="false" customHeight="false" outlineLevel="0" collapsed="false">
      <c r="A718" s="1" t="n">
        <v>717</v>
      </c>
      <c r="B718" s="2" t="s">
        <v>3428</v>
      </c>
      <c r="C718" s="1" t="n">
        <v>6</v>
      </c>
      <c r="D718" s="1" t="n">
        <v>17</v>
      </c>
      <c r="E718" s="1" t="n">
        <v>23</v>
      </c>
      <c r="F718" s="1" t="n">
        <v>28</v>
      </c>
      <c r="G718" s="1" t="n">
        <v>35</v>
      </c>
      <c r="H718" s="1" t="n">
        <v>41</v>
      </c>
      <c r="I718" s="1" t="str">
        <f aca="false">RIGHT(("0"&amp;C718),2)&amp;RIGHT(("0"&amp;D718),2)&amp;RIGHT(("0"&amp;E718),2)&amp;RIGHT(("0"&amp;F718),2)&amp;RIGHT(("0"&amp;G718),2)&amp;RIGHT(("0"&amp;H718),2)</f>
        <v>061723283541</v>
      </c>
      <c r="J718" s="1" t="n">
        <f aca="false">COUNTIF(I:I,I718)</f>
        <v>1</v>
      </c>
      <c r="K718" s="1" t="n">
        <v>0</v>
      </c>
      <c r="M718" s="1" t="s">
        <v>23</v>
      </c>
      <c r="N718" s="1" t="n">
        <v>68</v>
      </c>
      <c r="O718" s="1" t="s">
        <v>3429</v>
      </c>
      <c r="P718" s="1" t="n">
        <v>3816</v>
      </c>
      <c r="Q718" s="1" t="s">
        <v>3430</v>
      </c>
      <c r="R718" s="1" t="s">
        <v>3431</v>
      </c>
      <c r="S718" s="1" t="s">
        <v>23</v>
      </c>
      <c r="T718" s="1" t="s">
        <v>23</v>
      </c>
      <c r="U718" s="1" t="s">
        <v>23</v>
      </c>
      <c r="V718" s="1" t="s">
        <v>3432</v>
      </c>
    </row>
    <row r="719" customFormat="false" ht="13.8" hidden="false" customHeight="false" outlineLevel="0" collapsed="false">
      <c r="A719" s="1" t="n">
        <v>718</v>
      </c>
      <c r="B719" s="2" t="s">
        <v>3433</v>
      </c>
      <c r="C719" s="1" t="n">
        <v>7</v>
      </c>
      <c r="D719" s="1" t="n">
        <v>21</v>
      </c>
      <c r="E719" s="1" t="n">
        <v>33</v>
      </c>
      <c r="F719" s="1" t="n">
        <v>35</v>
      </c>
      <c r="G719" s="1" t="n">
        <v>39</v>
      </c>
      <c r="H719" s="1" t="n">
        <v>58</v>
      </c>
      <c r="I719" s="1" t="str">
        <f aca="false">RIGHT(("0"&amp;C719),2)&amp;RIGHT(("0"&amp;D719),2)&amp;RIGHT(("0"&amp;E719),2)&amp;RIGHT(("0"&amp;F719),2)&amp;RIGHT(("0"&amp;G719),2)&amp;RIGHT(("0"&amp;H719),2)</f>
        <v>072133353958</v>
      </c>
      <c r="J719" s="1" t="n">
        <f aca="false">COUNTIF(I:I,I719)</f>
        <v>1</v>
      </c>
      <c r="K719" s="1" t="n">
        <v>0</v>
      </c>
      <c r="M719" s="1" t="s">
        <v>23</v>
      </c>
      <c r="N719" s="1" t="n">
        <v>41</v>
      </c>
      <c r="O719" s="1" t="s">
        <v>3434</v>
      </c>
      <c r="P719" s="1" t="n">
        <v>2893</v>
      </c>
      <c r="Q719" s="1" t="s">
        <v>3435</v>
      </c>
      <c r="R719" s="1" t="s">
        <v>3436</v>
      </c>
      <c r="S719" s="1" t="s">
        <v>23</v>
      </c>
      <c r="T719" s="1" t="s">
        <v>23</v>
      </c>
      <c r="U719" s="1" t="s">
        <v>23</v>
      </c>
      <c r="V719" s="1" t="s">
        <v>3437</v>
      </c>
    </row>
    <row r="720" customFormat="false" ht="13.8" hidden="false" customHeight="false" outlineLevel="0" collapsed="false">
      <c r="A720" s="1" t="n">
        <v>719</v>
      </c>
      <c r="B720" s="2" t="s">
        <v>3438</v>
      </c>
      <c r="C720" s="1" t="n">
        <v>3</v>
      </c>
      <c r="D720" s="1" t="n">
        <v>32</v>
      </c>
      <c r="E720" s="1" t="n">
        <v>37</v>
      </c>
      <c r="F720" s="1" t="n">
        <v>39</v>
      </c>
      <c r="G720" s="1" t="n">
        <v>47</v>
      </c>
      <c r="H720" s="1" t="n">
        <v>53</v>
      </c>
      <c r="I720" s="1" t="str">
        <f aca="false">RIGHT(("0"&amp;C720),2)&amp;RIGHT(("0"&amp;D720),2)&amp;RIGHT(("0"&amp;E720),2)&amp;RIGHT(("0"&amp;F720),2)&amp;RIGHT(("0"&amp;G720),2)&amp;RIGHT(("0"&amp;H720),2)</f>
        <v>033237394753</v>
      </c>
      <c r="J720" s="1" t="n">
        <f aca="false">COUNTIF(I:I,I720)</f>
        <v>1</v>
      </c>
      <c r="K720" s="1" t="n">
        <v>0</v>
      </c>
      <c r="M720" s="1" t="s">
        <v>23</v>
      </c>
      <c r="N720" s="1" t="n">
        <v>63</v>
      </c>
      <c r="O720" s="1" t="s">
        <v>3439</v>
      </c>
      <c r="P720" s="1" t="n">
        <v>3553</v>
      </c>
      <c r="Q720" s="1" t="s">
        <v>3440</v>
      </c>
      <c r="R720" s="1" t="s">
        <v>3441</v>
      </c>
      <c r="S720" s="1" t="s">
        <v>23</v>
      </c>
      <c r="T720" s="1" t="s">
        <v>23</v>
      </c>
      <c r="U720" s="1" t="s">
        <v>23</v>
      </c>
      <c r="V720" s="1" t="s">
        <v>3442</v>
      </c>
    </row>
    <row r="721" customFormat="false" ht="13.8" hidden="false" customHeight="false" outlineLevel="0" collapsed="false">
      <c r="A721" s="1" t="n">
        <v>720</v>
      </c>
      <c r="B721" s="2" t="s">
        <v>3443</v>
      </c>
      <c r="C721" s="1" t="n">
        <v>12</v>
      </c>
      <c r="D721" s="1" t="n">
        <v>31</v>
      </c>
      <c r="E721" s="1" t="n">
        <v>44</v>
      </c>
      <c r="F721" s="1" t="n">
        <v>51</v>
      </c>
      <c r="G721" s="1" t="n">
        <v>54</v>
      </c>
      <c r="H721" s="1" t="n">
        <v>56</v>
      </c>
      <c r="I721" s="1" t="str">
        <f aca="false">RIGHT(("0"&amp;C721),2)&amp;RIGHT(("0"&amp;D721),2)&amp;RIGHT(("0"&amp;E721),2)&amp;RIGHT(("0"&amp;F721),2)&amp;RIGHT(("0"&amp;G721),2)&amp;RIGHT(("0"&amp;H721),2)</f>
        <v>123144515456</v>
      </c>
      <c r="J721" s="1" t="n">
        <f aca="false">COUNTIF(I:I,I721)</f>
        <v>1</v>
      </c>
      <c r="K721" s="1" t="n">
        <v>0</v>
      </c>
      <c r="M721" s="1" t="s">
        <v>23</v>
      </c>
      <c r="N721" s="1" t="n">
        <v>20</v>
      </c>
      <c r="O721" s="1" t="s">
        <v>3444</v>
      </c>
      <c r="P721" s="1" t="n">
        <v>2606</v>
      </c>
      <c r="Q721" s="1" t="s">
        <v>3445</v>
      </c>
      <c r="R721" s="1" t="s">
        <v>3446</v>
      </c>
      <c r="S721" s="1" t="s">
        <v>23</v>
      </c>
      <c r="T721" s="1" t="s">
        <v>23</v>
      </c>
      <c r="U721" s="1" t="s">
        <v>23</v>
      </c>
      <c r="V721" s="1" t="s">
        <v>3447</v>
      </c>
    </row>
    <row r="722" customFormat="false" ht="13.8" hidden="false" customHeight="false" outlineLevel="0" collapsed="false">
      <c r="A722" s="1" t="n">
        <v>721</v>
      </c>
      <c r="B722" s="2" t="s">
        <v>3448</v>
      </c>
      <c r="C722" s="1" t="n">
        <v>3</v>
      </c>
      <c r="D722" s="1" t="n">
        <v>14</v>
      </c>
      <c r="E722" s="1" t="n">
        <v>23</v>
      </c>
      <c r="F722" s="1" t="n">
        <v>25</v>
      </c>
      <c r="G722" s="1" t="n">
        <v>36</v>
      </c>
      <c r="H722" s="1" t="n">
        <v>55</v>
      </c>
      <c r="I722" s="1" t="str">
        <f aca="false">RIGHT(("0"&amp;C722),2)&amp;RIGHT(("0"&amp;D722),2)&amp;RIGHT(("0"&amp;E722),2)&amp;RIGHT(("0"&amp;F722),2)&amp;RIGHT(("0"&amp;G722),2)&amp;RIGHT(("0"&amp;H722),2)</f>
        <v>031423253655</v>
      </c>
      <c r="J722" s="1" t="n">
        <f aca="false">COUNTIF(I:I,I722)</f>
        <v>1</v>
      </c>
      <c r="K722" s="1" t="n">
        <v>0</v>
      </c>
      <c r="M722" s="1" t="s">
        <v>23</v>
      </c>
      <c r="N722" s="1" t="n">
        <v>99</v>
      </c>
      <c r="O722" s="1" t="s">
        <v>3449</v>
      </c>
      <c r="P722" s="1" t="n">
        <v>6723</v>
      </c>
      <c r="Q722" s="1" t="s">
        <v>3450</v>
      </c>
      <c r="R722" s="1" t="s">
        <v>3451</v>
      </c>
      <c r="S722" s="1" t="s">
        <v>23</v>
      </c>
      <c r="T722" s="1" t="s">
        <v>23</v>
      </c>
      <c r="U722" s="1" t="s">
        <v>23</v>
      </c>
      <c r="V722" s="1" t="s">
        <v>3452</v>
      </c>
    </row>
    <row r="723" customFormat="false" ht="13.8" hidden="false" customHeight="false" outlineLevel="0" collapsed="false">
      <c r="A723" s="1" t="n">
        <v>722</v>
      </c>
      <c r="B723" s="2" t="s">
        <v>3453</v>
      </c>
      <c r="C723" s="1" t="n">
        <v>9</v>
      </c>
      <c r="D723" s="1" t="n">
        <v>18</v>
      </c>
      <c r="E723" s="1" t="n">
        <v>36</v>
      </c>
      <c r="F723" s="1" t="n">
        <v>44</v>
      </c>
      <c r="G723" s="1" t="n">
        <v>57</v>
      </c>
      <c r="H723" s="1" t="n">
        <v>60</v>
      </c>
      <c r="I723" s="1" t="str">
        <f aca="false">RIGHT(("0"&amp;C723),2)&amp;RIGHT(("0"&amp;D723),2)&amp;RIGHT(("0"&amp;E723),2)&amp;RIGHT(("0"&amp;F723),2)&amp;RIGHT(("0"&amp;G723),2)&amp;RIGHT(("0"&amp;H723),2)</f>
        <v>091836445760</v>
      </c>
      <c r="J723" s="1" t="n">
        <f aca="false">COUNTIF(I:I,I723)</f>
        <v>1</v>
      </c>
      <c r="K723" s="1" t="n">
        <v>0</v>
      </c>
      <c r="M723" s="1" t="s">
        <v>23</v>
      </c>
      <c r="N723" s="1" t="n">
        <v>85</v>
      </c>
      <c r="O723" s="1" t="s">
        <v>3454</v>
      </c>
      <c r="P723" s="1" t="n">
        <v>5334</v>
      </c>
      <c r="Q723" s="1" t="s">
        <v>3455</v>
      </c>
      <c r="R723" s="1" t="s">
        <v>3456</v>
      </c>
      <c r="S723" s="1" t="s">
        <v>23</v>
      </c>
      <c r="T723" s="1" t="s">
        <v>23</v>
      </c>
      <c r="U723" s="1" t="s">
        <v>23</v>
      </c>
      <c r="V723" s="1" t="s">
        <v>3457</v>
      </c>
    </row>
    <row r="724" customFormat="false" ht="13.8" hidden="false" customHeight="false" outlineLevel="0" collapsed="false">
      <c r="A724" s="1" t="n">
        <v>723</v>
      </c>
      <c r="B724" s="2" t="s">
        <v>3458</v>
      </c>
      <c r="C724" s="1" t="n">
        <v>1</v>
      </c>
      <c r="D724" s="1" t="n">
        <v>6</v>
      </c>
      <c r="E724" s="1" t="n">
        <v>16</v>
      </c>
      <c r="F724" s="1" t="n">
        <v>36</v>
      </c>
      <c r="G724" s="1" t="n">
        <v>50</v>
      </c>
      <c r="H724" s="1" t="n">
        <v>52</v>
      </c>
      <c r="I724" s="1" t="str">
        <f aca="false">RIGHT(("0"&amp;C724),2)&amp;RIGHT(("0"&amp;D724),2)&amp;RIGHT(("0"&amp;E724),2)&amp;RIGHT(("0"&amp;F724),2)&amp;RIGHT(("0"&amp;G724),2)&amp;RIGHT(("0"&amp;H724),2)</f>
        <v>010616365052</v>
      </c>
      <c r="J724" s="1" t="n">
        <f aca="false">COUNTIF(I:I,I724)</f>
        <v>1</v>
      </c>
      <c r="K724" s="1" t="n">
        <v>0</v>
      </c>
      <c r="M724" s="1" t="s">
        <v>23</v>
      </c>
      <c r="N724" s="1" t="n">
        <v>49</v>
      </c>
      <c r="O724" s="1" t="s">
        <v>3459</v>
      </c>
      <c r="P724" s="1" t="n">
        <v>4000</v>
      </c>
      <c r="Q724" s="1" t="s">
        <v>3460</v>
      </c>
      <c r="R724" s="1" t="s">
        <v>3461</v>
      </c>
      <c r="S724" s="1" t="s">
        <v>23</v>
      </c>
      <c r="T724" s="1" t="s">
        <v>23</v>
      </c>
      <c r="U724" s="1" t="s">
        <v>23</v>
      </c>
      <c r="V724" s="1" t="s">
        <v>3462</v>
      </c>
    </row>
    <row r="725" customFormat="false" ht="13.8" hidden="false" customHeight="false" outlineLevel="0" collapsed="false">
      <c r="A725" s="1" t="n">
        <v>724</v>
      </c>
      <c r="B725" s="2" t="s">
        <v>3463</v>
      </c>
      <c r="C725" s="1" t="n">
        <v>17</v>
      </c>
      <c r="D725" s="1" t="n">
        <v>27</v>
      </c>
      <c r="E725" s="1" t="n">
        <v>34</v>
      </c>
      <c r="F725" s="1" t="n">
        <v>48</v>
      </c>
      <c r="G725" s="1" t="n">
        <v>51</v>
      </c>
      <c r="H725" s="1" t="n">
        <v>55</v>
      </c>
      <c r="I725" s="1" t="str">
        <f aca="false">RIGHT(("0"&amp;C725),2)&amp;RIGHT(("0"&amp;D725),2)&amp;RIGHT(("0"&amp;E725),2)&amp;RIGHT(("0"&amp;F725),2)&amp;RIGHT(("0"&amp;G725),2)&amp;RIGHT(("0"&amp;H725),2)</f>
        <v>172734485155</v>
      </c>
      <c r="J725" s="1" t="n">
        <f aca="false">COUNTIF(I:I,I725)</f>
        <v>1</v>
      </c>
      <c r="K725" s="1" t="n">
        <v>0</v>
      </c>
      <c r="M725" s="1" t="s">
        <v>23</v>
      </c>
      <c r="N725" s="1" t="n">
        <v>102</v>
      </c>
      <c r="O725" s="1" t="s">
        <v>3464</v>
      </c>
      <c r="P725" s="1" t="n">
        <v>6190</v>
      </c>
      <c r="Q725" s="1" t="s">
        <v>3465</v>
      </c>
      <c r="R725" s="1" t="s">
        <v>3466</v>
      </c>
      <c r="S725" s="1" t="s">
        <v>23</v>
      </c>
      <c r="T725" s="1" t="s">
        <v>23</v>
      </c>
      <c r="U725" s="1" t="s">
        <v>23</v>
      </c>
      <c r="V725" s="1" t="s">
        <v>3467</v>
      </c>
    </row>
    <row r="726" customFormat="false" ht="13.8" hidden="false" customHeight="false" outlineLevel="0" collapsed="false">
      <c r="A726" s="1" t="n">
        <v>725</v>
      </c>
      <c r="B726" s="2" t="s">
        <v>3468</v>
      </c>
      <c r="C726" s="1" t="n">
        <v>3</v>
      </c>
      <c r="D726" s="1" t="n">
        <v>9</v>
      </c>
      <c r="E726" s="1" t="n">
        <v>35</v>
      </c>
      <c r="F726" s="1" t="n">
        <v>37</v>
      </c>
      <c r="G726" s="1" t="n">
        <v>41</v>
      </c>
      <c r="H726" s="1" t="n">
        <v>49</v>
      </c>
      <c r="I726" s="1" t="str">
        <f aca="false">RIGHT(("0"&amp;C726),2)&amp;RIGHT(("0"&amp;D726),2)&amp;RIGHT(("0"&amp;E726),2)&amp;RIGHT(("0"&amp;F726),2)&amp;RIGHT(("0"&amp;G726),2)&amp;RIGHT(("0"&amp;H726),2)</f>
        <v>030935374149</v>
      </c>
      <c r="J726" s="1" t="n">
        <f aca="false">COUNTIF(I:I,I726)</f>
        <v>1</v>
      </c>
      <c r="K726" s="1" t="n">
        <v>2</v>
      </c>
      <c r="L726" s="1" t="s">
        <v>3469</v>
      </c>
      <c r="M726" s="1" t="s">
        <v>3470</v>
      </c>
      <c r="N726" s="1" t="n">
        <v>343</v>
      </c>
      <c r="O726" s="1" t="s">
        <v>3471</v>
      </c>
      <c r="P726" s="1" t="n">
        <v>20451</v>
      </c>
      <c r="Q726" s="1" t="s">
        <v>3472</v>
      </c>
      <c r="R726" s="1" t="s">
        <v>23</v>
      </c>
      <c r="S726" s="1" t="s">
        <v>23</v>
      </c>
      <c r="T726" s="1" t="s">
        <v>23</v>
      </c>
      <c r="U726" s="1" t="s">
        <v>23</v>
      </c>
      <c r="V726" s="1" t="s">
        <v>3473</v>
      </c>
    </row>
    <row r="727" customFormat="false" ht="13.8" hidden="false" customHeight="false" outlineLevel="0" collapsed="false">
      <c r="A727" s="1" t="n">
        <v>726</v>
      </c>
      <c r="B727" s="2" t="s">
        <v>3474</v>
      </c>
      <c r="C727" s="1" t="n">
        <v>1</v>
      </c>
      <c r="D727" s="1" t="n">
        <v>5</v>
      </c>
      <c r="E727" s="1" t="n">
        <v>7</v>
      </c>
      <c r="F727" s="1" t="n">
        <v>37</v>
      </c>
      <c r="G727" s="1" t="n">
        <v>40</v>
      </c>
      <c r="H727" s="1" t="n">
        <v>47</v>
      </c>
      <c r="I727" s="1" t="str">
        <f aca="false">RIGHT(("0"&amp;C727),2)&amp;RIGHT(("0"&amp;D727),2)&amp;RIGHT(("0"&amp;E727),2)&amp;RIGHT(("0"&amp;F727),2)&amp;RIGHT(("0"&amp;G727),2)&amp;RIGHT(("0"&amp;H727),2)</f>
        <v>010507374047</v>
      </c>
      <c r="J727" s="1" t="n">
        <f aca="false">COUNTIF(I:I,I727)</f>
        <v>1</v>
      </c>
      <c r="K727" s="1" t="n">
        <v>0</v>
      </c>
      <c r="M727" s="1" t="s">
        <v>23</v>
      </c>
      <c r="N727" s="1" t="n">
        <v>35</v>
      </c>
      <c r="O727" s="1" t="s">
        <v>3475</v>
      </c>
      <c r="P727" s="1" t="n">
        <v>2838</v>
      </c>
      <c r="Q727" s="1" t="s">
        <v>3476</v>
      </c>
      <c r="R727" s="1" t="s">
        <v>3477</v>
      </c>
      <c r="S727" s="1" t="s">
        <v>23</v>
      </c>
      <c r="T727" s="1" t="s">
        <v>23</v>
      </c>
      <c r="U727" s="1" t="s">
        <v>23</v>
      </c>
      <c r="V727" s="1" t="s">
        <v>3478</v>
      </c>
    </row>
    <row r="728" customFormat="false" ht="13.8" hidden="false" customHeight="false" outlineLevel="0" collapsed="false">
      <c r="A728" s="1" t="n">
        <v>727</v>
      </c>
      <c r="B728" s="2" t="s">
        <v>3479</v>
      </c>
      <c r="C728" s="1" t="n">
        <v>4</v>
      </c>
      <c r="D728" s="1" t="n">
        <v>12</v>
      </c>
      <c r="E728" s="1" t="n">
        <v>14</v>
      </c>
      <c r="F728" s="1" t="n">
        <v>30</v>
      </c>
      <c r="G728" s="1" t="n">
        <v>42</v>
      </c>
      <c r="H728" s="1" t="n">
        <v>59</v>
      </c>
      <c r="I728" s="1" t="str">
        <f aca="false">RIGHT(("0"&amp;C728),2)&amp;RIGHT(("0"&amp;D728),2)&amp;RIGHT(("0"&amp;E728),2)&amp;RIGHT(("0"&amp;F728),2)&amp;RIGHT(("0"&amp;G728),2)&amp;RIGHT(("0"&amp;H728),2)</f>
        <v>041214304259</v>
      </c>
      <c r="J728" s="1" t="n">
        <f aca="false">COUNTIF(I:I,I728)</f>
        <v>1</v>
      </c>
      <c r="K728" s="1" t="n">
        <v>0</v>
      </c>
      <c r="M728" s="1" t="s">
        <v>23</v>
      </c>
      <c r="N728" s="1" t="n">
        <v>29</v>
      </c>
      <c r="O728" s="1" t="s">
        <v>3480</v>
      </c>
      <c r="P728" s="1" t="n">
        <v>2688</v>
      </c>
      <c r="Q728" s="1" t="s">
        <v>3481</v>
      </c>
      <c r="R728" s="1" t="s">
        <v>3482</v>
      </c>
      <c r="S728" s="1" t="s">
        <v>23</v>
      </c>
      <c r="T728" s="1" t="s">
        <v>23</v>
      </c>
      <c r="U728" s="1" t="s">
        <v>23</v>
      </c>
      <c r="V728" s="1" t="s">
        <v>3483</v>
      </c>
    </row>
    <row r="729" customFormat="false" ht="13.8" hidden="false" customHeight="false" outlineLevel="0" collapsed="false">
      <c r="A729" s="1" t="n">
        <v>728</v>
      </c>
      <c r="B729" s="2" t="s">
        <v>3484</v>
      </c>
      <c r="C729" s="1" t="n">
        <v>8</v>
      </c>
      <c r="D729" s="1" t="n">
        <v>13</v>
      </c>
      <c r="E729" s="1" t="n">
        <v>24</v>
      </c>
      <c r="F729" s="1" t="n">
        <v>32</v>
      </c>
      <c r="G729" s="1" t="n">
        <v>42</v>
      </c>
      <c r="H729" s="1" t="n">
        <v>44</v>
      </c>
      <c r="I729" s="1" t="str">
        <f aca="false">RIGHT(("0"&amp;C729),2)&amp;RIGHT(("0"&amp;D729),2)&amp;RIGHT(("0"&amp;E729),2)&amp;RIGHT(("0"&amp;F729),2)&amp;RIGHT(("0"&amp;G729),2)&amp;RIGHT(("0"&amp;H729),2)</f>
        <v>081324324244</v>
      </c>
      <c r="J729" s="1" t="n">
        <f aca="false">COUNTIF(I:I,I729)</f>
        <v>1</v>
      </c>
      <c r="K729" s="1" t="n">
        <v>0</v>
      </c>
      <c r="M729" s="1" t="s">
        <v>23</v>
      </c>
      <c r="N729" s="1" t="n">
        <v>81</v>
      </c>
      <c r="O729" s="1" t="s">
        <v>3485</v>
      </c>
      <c r="P729" s="1" t="n">
        <v>5381</v>
      </c>
      <c r="Q729" s="1" t="s">
        <v>3486</v>
      </c>
      <c r="R729" s="1" t="s">
        <v>3487</v>
      </c>
      <c r="S729" s="1" t="s">
        <v>23</v>
      </c>
      <c r="T729" s="1" t="s">
        <v>23</v>
      </c>
      <c r="U729" s="1" t="s">
        <v>23</v>
      </c>
      <c r="V729" s="1" t="s">
        <v>3488</v>
      </c>
    </row>
    <row r="730" customFormat="false" ht="13.8" hidden="false" customHeight="false" outlineLevel="0" collapsed="false">
      <c r="A730" s="1" t="n">
        <v>729</v>
      </c>
      <c r="B730" s="2" t="s">
        <v>3489</v>
      </c>
      <c r="C730" s="1" t="n">
        <v>5</v>
      </c>
      <c r="D730" s="1" t="n">
        <v>18</v>
      </c>
      <c r="E730" s="1" t="n">
        <v>33</v>
      </c>
      <c r="F730" s="1" t="n">
        <v>43</v>
      </c>
      <c r="G730" s="1" t="n">
        <v>56</v>
      </c>
      <c r="H730" s="1" t="n">
        <v>57</v>
      </c>
      <c r="I730" s="1" t="str">
        <f aca="false">RIGHT(("0"&amp;C730),2)&amp;RIGHT(("0"&amp;D730),2)&amp;RIGHT(("0"&amp;E730),2)&amp;RIGHT(("0"&amp;F730),2)&amp;RIGHT(("0"&amp;G730),2)&amp;RIGHT(("0"&amp;H730),2)</f>
        <v>051833435657</v>
      </c>
      <c r="J730" s="1" t="n">
        <f aca="false">COUNTIF(I:I,I730)</f>
        <v>1</v>
      </c>
      <c r="K730" s="1" t="n">
        <v>1</v>
      </c>
      <c r="L730" s="1" t="s">
        <v>157</v>
      </c>
      <c r="M730" s="1" t="s">
        <v>3490</v>
      </c>
      <c r="N730" s="1" t="n">
        <v>51</v>
      </c>
      <c r="O730" s="1" t="s">
        <v>3491</v>
      </c>
      <c r="P730" s="1" t="n">
        <v>5041</v>
      </c>
      <c r="Q730" s="1" t="s">
        <v>3492</v>
      </c>
      <c r="R730" s="1" t="s">
        <v>23</v>
      </c>
      <c r="S730" s="1" t="s">
        <v>23</v>
      </c>
      <c r="T730" s="1" t="s">
        <v>23</v>
      </c>
      <c r="U730" s="1" t="s">
        <v>23</v>
      </c>
      <c r="V730" s="1" t="s">
        <v>3493</v>
      </c>
    </row>
    <row r="731" customFormat="false" ht="13.8" hidden="false" customHeight="false" outlineLevel="0" collapsed="false">
      <c r="A731" s="1" t="n">
        <v>730</v>
      </c>
      <c r="B731" s="2" t="s">
        <v>3494</v>
      </c>
      <c r="C731" s="1" t="n">
        <v>2</v>
      </c>
      <c r="D731" s="1" t="n">
        <v>15</v>
      </c>
      <c r="E731" s="1" t="n">
        <v>16</v>
      </c>
      <c r="F731" s="1" t="n">
        <v>45</v>
      </c>
      <c r="G731" s="1" t="n">
        <v>50</v>
      </c>
      <c r="H731" s="1" t="n">
        <v>54</v>
      </c>
      <c r="I731" s="1" t="str">
        <f aca="false">RIGHT(("0"&amp;C731),2)&amp;RIGHT(("0"&amp;D731),2)&amp;RIGHT(("0"&amp;E731),2)&amp;RIGHT(("0"&amp;F731),2)&amp;RIGHT(("0"&amp;G731),2)&amp;RIGHT(("0"&amp;H731),2)</f>
        <v>021516455054</v>
      </c>
      <c r="J731" s="1" t="n">
        <f aca="false">COUNTIF(I:I,I731)</f>
        <v>1</v>
      </c>
      <c r="K731" s="1" t="n">
        <v>0</v>
      </c>
      <c r="M731" s="1" t="s">
        <v>23</v>
      </c>
      <c r="N731" s="1" t="n">
        <v>34</v>
      </c>
      <c r="O731" s="1" t="s">
        <v>3495</v>
      </c>
      <c r="P731" s="1" t="n">
        <v>2824</v>
      </c>
      <c r="Q731" s="1" t="s">
        <v>3496</v>
      </c>
      <c r="R731" s="1" t="s">
        <v>3497</v>
      </c>
      <c r="S731" s="1" t="s">
        <v>23</v>
      </c>
      <c r="T731" s="1" t="s">
        <v>23</v>
      </c>
      <c r="U731" s="1" t="s">
        <v>23</v>
      </c>
      <c r="V731" s="1" t="s">
        <v>3498</v>
      </c>
    </row>
    <row r="732" customFormat="false" ht="13.8" hidden="false" customHeight="false" outlineLevel="0" collapsed="false">
      <c r="A732" s="1" t="n">
        <v>731</v>
      </c>
      <c r="B732" s="2" t="s">
        <v>3499</v>
      </c>
      <c r="C732" s="1" t="n">
        <v>6</v>
      </c>
      <c r="D732" s="1" t="n">
        <v>15</v>
      </c>
      <c r="E732" s="1" t="n">
        <v>16</v>
      </c>
      <c r="F732" s="1" t="n">
        <v>23</v>
      </c>
      <c r="G732" s="1" t="n">
        <v>28</v>
      </c>
      <c r="H732" s="1" t="n">
        <v>35</v>
      </c>
      <c r="I732" s="1" t="str">
        <f aca="false">RIGHT(("0"&amp;C732),2)&amp;RIGHT(("0"&amp;D732),2)&amp;RIGHT(("0"&amp;E732),2)&amp;RIGHT(("0"&amp;F732),2)&amp;RIGHT(("0"&amp;G732),2)&amp;RIGHT(("0"&amp;H732),2)</f>
        <v>061516232835</v>
      </c>
      <c r="J732" s="1" t="n">
        <f aca="false">COUNTIF(I:I,I732)</f>
        <v>1</v>
      </c>
      <c r="K732" s="1" t="n">
        <v>0</v>
      </c>
      <c r="M732" s="1" t="s">
        <v>23</v>
      </c>
      <c r="N732" s="1" t="n">
        <v>88</v>
      </c>
      <c r="O732" s="1" t="s">
        <v>3500</v>
      </c>
      <c r="P732" s="1" t="n">
        <v>6659</v>
      </c>
      <c r="Q732" s="1" t="s">
        <v>3501</v>
      </c>
      <c r="R732" s="1" t="s">
        <v>3502</v>
      </c>
      <c r="S732" s="1" t="s">
        <v>23</v>
      </c>
      <c r="T732" s="1" t="s">
        <v>23</v>
      </c>
      <c r="U732" s="1" t="s">
        <v>23</v>
      </c>
      <c r="V732" s="1" t="s">
        <v>3503</v>
      </c>
    </row>
    <row r="733" customFormat="false" ht="13.8" hidden="false" customHeight="false" outlineLevel="0" collapsed="false">
      <c r="A733" s="1" t="n">
        <v>732</v>
      </c>
      <c r="B733" s="2" t="s">
        <v>3504</v>
      </c>
      <c r="C733" s="1" t="n">
        <v>6</v>
      </c>
      <c r="D733" s="1" t="n">
        <v>17</v>
      </c>
      <c r="E733" s="1" t="n">
        <v>19</v>
      </c>
      <c r="F733" s="1" t="n">
        <v>49</v>
      </c>
      <c r="G733" s="1" t="n">
        <v>50</v>
      </c>
      <c r="H733" s="1" t="n">
        <v>53</v>
      </c>
      <c r="I733" s="1" t="str">
        <f aca="false">RIGHT(("0"&amp;C733),2)&amp;RIGHT(("0"&amp;D733),2)&amp;RIGHT(("0"&amp;E733),2)&amp;RIGHT(("0"&amp;F733),2)&amp;RIGHT(("0"&amp;G733),2)&amp;RIGHT(("0"&amp;H733),2)</f>
        <v>061719495053</v>
      </c>
      <c r="J733" s="1" t="n">
        <f aca="false">COUNTIF(I:I,I733)</f>
        <v>1</v>
      </c>
      <c r="K733" s="1" t="n">
        <v>0</v>
      </c>
      <c r="M733" s="1" t="s">
        <v>23</v>
      </c>
      <c r="N733" s="1" t="n">
        <v>65</v>
      </c>
      <c r="O733" s="1" t="s">
        <v>3505</v>
      </c>
      <c r="P733" s="1" t="n">
        <v>4196</v>
      </c>
      <c r="Q733" s="1" t="s">
        <v>3506</v>
      </c>
      <c r="R733" s="1" t="s">
        <v>3507</v>
      </c>
      <c r="S733" s="1" t="s">
        <v>23</v>
      </c>
      <c r="T733" s="1" t="s">
        <v>23</v>
      </c>
      <c r="U733" s="1" t="s">
        <v>23</v>
      </c>
      <c r="V733" s="1" t="s">
        <v>3508</v>
      </c>
    </row>
    <row r="734" customFormat="false" ht="13.8" hidden="false" customHeight="false" outlineLevel="0" collapsed="false">
      <c r="A734" s="1" t="n">
        <v>733</v>
      </c>
      <c r="B734" s="2" t="s">
        <v>3509</v>
      </c>
      <c r="C734" s="1" t="n">
        <v>2</v>
      </c>
      <c r="D734" s="1" t="n">
        <v>12</v>
      </c>
      <c r="E734" s="1" t="n">
        <v>26</v>
      </c>
      <c r="F734" s="1" t="n">
        <v>31</v>
      </c>
      <c r="G734" s="1" t="n">
        <v>43</v>
      </c>
      <c r="H734" s="1" t="n">
        <v>46</v>
      </c>
      <c r="I734" s="1" t="str">
        <f aca="false">RIGHT(("0"&amp;C734),2)&amp;RIGHT(("0"&amp;D734),2)&amp;RIGHT(("0"&amp;E734),2)&amp;RIGHT(("0"&amp;F734),2)&amp;RIGHT(("0"&amp;G734),2)&amp;RIGHT(("0"&amp;H734),2)</f>
        <v>021226314346</v>
      </c>
      <c r="J734" s="1" t="n">
        <f aca="false">COUNTIF(I:I,I734)</f>
        <v>1</v>
      </c>
      <c r="K734" s="1" t="n">
        <v>0</v>
      </c>
      <c r="M734" s="1" t="s">
        <v>23</v>
      </c>
      <c r="N734" s="1" t="n">
        <v>67</v>
      </c>
      <c r="O734" s="1" t="s">
        <v>3510</v>
      </c>
      <c r="P734" s="1" t="n">
        <v>5110</v>
      </c>
      <c r="Q734" s="1" t="s">
        <v>3511</v>
      </c>
      <c r="R734" s="1" t="s">
        <v>3512</v>
      </c>
      <c r="S734" s="1" t="s">
        <v>23</v>
      </c>
      <c r="T734" s="1" t="s">
        <v>23</v>
      </c>
      <c r="U734" s="1" t="s">
        <v>23</v>
      </c>
      <c r="V734" s="1" t="s">
        <v>3513</v>
      </c>
    </row>
    <row r="735" customFormat="false" ht="13.8" hidden="false" customHeight="false" outlineLevel="0" collapsed="false">
      <c r="A735" s="1" t="n">
        <v>734</v>
      </c>
      <c r="B735" s="2" t="s">
        <v>3514</v>
      </c>
      <c r="C735" s="1" t="n">
        <v>27</v>
      </c>
      <c r="D735" s="1" t="n">
        <v>29</v>
      </c>
      <c r="E735" s="1" t="n">
        <v>43</v>
      </c>
      <c r="F735" s="1" t="n">
        <v>44</v>
      </c>
      <c r="G735" s="1" t="n">
        <v>45</v>
      </c>
      <c r="H735" s="1" t="n">
        <v>54</v>
      </c>
      <c r="I735" s="1" t="str">
        <f aca="false">RIGHT(("0"&amp;C735),2)&amp;RIGHT(("0"&amp;D735),2)&amp;RIGHT(("0"&amp;E735),2)&amp;RIGHT(("0"&amp;F735),2)&amp;RIGHT(("0"&amp;G735),2)&amp;RIGHT(("0"&amp;H735),2)</f>
        <v>272943444554</v>
      </c>
      <c r="J735" s="1" t="n">
        <f aca="false">COUNTIF(I:I,I735)</f>
        <v>1</v>
      </c>
      <c r="K735" s="1" t="n">
        <v>1</v>
      </c>
      <c r="L735" s="1" t="s">
        <v>157</v>
      </c>
      <c r="M735" s="1" t="s">
        <v>3515</v>
      </c>
      <c r="N735" s="1" t="n">
        <v>58</v>
      </c>
      <c r="O735" s="1" t="s">
        <v>3516</v>
      </c>
      <c r="P735" s="1" t="n">
        <v>3984</v>
      </c>
      <c r="Q735" s="1" t="s">
        <v>3517</v>
      </c>
      <c r="R735" s="1" t="s">
        <v>23</v>
      </c>
      <c r="S735" s="1" t="s">
        <v>23</v>
      </c>
      <c r="T735" s="1" t="s">
        <v>23</v>
      </c>
      <c r="U735" s="1" t="s">
        <v>23</v>
      </c>
      <c r="V735" s="1" t="s">
        <v>3518</v>
      </c>
    </row>
    <row r="736" customFormat="false" ht="13.8" hidden="false" customHeight="false" outlineLevel="0" collapsed="false">
      <c r="A736" s="1" t="n">
        <v>735</v>
      </c>
      <c r="B736" s="2" t="s">
        <v>3519</v>
      </c>
      <c r="C736" s="1" t="n">
        <v>9</v>
      </c>
      <c r="D736" s="1" t="n">
        <v>15</v>
      </c>
      <c r="E736" s="1" t="n">
        <v>38</v>
      </c>
      <c r="F736" s="1" t="n">
        <v>40</v>
      </c>
      <c r="G736" s="1" t="n">
        <v>42</v>
      </c>
      <c r="H736" s="1" t="n">
        <v>52</v>
      </c>
      <c r="I736" s="1" t="str">
        <f aca="false">RIGHT(("0"&amp;C736),2)&amp;RIGHT(("0"&amp;D736),2)&amp;RIGHT(("0"&amp;E736),2)&amp;RIGHT(("0"&amp;F736),2)&amp;RIGHT(("0"&amp;G736),2)&amp;RIGHT(("0"&amp;H736),2)</f>
        <v>091538404252</v>
      </c>
      <c r="J736" s="1" t="n">
        <f aca="false">COUNTIF(I:I,I736)</f>
        <v>1</v>
      </c>
      <c r="K736" s="1" t="n">
        <v>0</v>
      </c>
      <c r="M736" s="1" t="s">
        <v>23</v>
      </c>
      <c r="N736" s="1" t="n">
        <v>33</v>
      </c>
      <c r="O736" s="1" t="s">
        <v>3520</v>
      </c>
      <c r="P736" s="1" t="n">
        <v>3043</v>
      </c>
      <c r="Q736" s="1" t="s">
        <v>3521</v>
      </c>
      <c r="R736" s="1" t="s">
        <v>3522</v>
      </c>
      <c r="S736" s="1" t="s">
        <v>23</v>
      </c>
      <c r="T736" s="1" t="s">
        <v>23</v>
      </c>
      <c r="U736" s="1" t="s">
        <v>23</v>
      </c>
      <c r="V736" s="1" t="s">
        <v>3523</v>
      </c>
    </row>
    <row r="737" customFormat="false" ht="13.8" hidden="false" customHeight="false" outlineLevel="0" collapsed="false">
      <c r="A737" s="1" t="n">
        <v>736</v>
      </c>
      <c r="B737" s="2" t="s">
        <v>3524</v>
      </c>
      <c r="C737" s="1" t="n">
        <v>1</v>
      </c>
      <c r="D737" s="1" t="n">
        <v>21</v>
      </c>
      <c r="E737" s="1" t="n">
        <v>38</v>
      </c>
      <c r="F737" s="1" t="n">
        <v>41</v>
      </c>
      <c r="G737" s="1" t="n">
        <v>49</v>
      </c>
      <c r="H737" s="1" t="n">
        <v>56</v>
      </c>
      <c r="I737" s="1" t="str">
        <f aca="false">RIGHT(("0"&amp;C737),2)&amp;RIGHT(("0"&amp;D737),2)&amp;RIGHT(("0"&amp;E737),2)&amp;RIGHT(("0"&amp;F737),2)&amp;RIGHT(("0"&amp;G737),2)&amp;RIGHT(("0"&amp;H737),2)</f>
        <v>012138414956</v>
      </c>
      <c r="J737" s="1" t="n">
        <f aca="false">COUNTIF(I:I,I737)</f>
        <v>1</v>
      </c>
      <c r="K737" s="1" t="n">
        <v>0</v>
      </c>
      <c r="M737" s="1" t="s">
        <v>23</v>
      </c>
      <c r="N737" s="1" t="n">
        <v>19</v>
      </c>
      <c r="O737" s="1" t="s">
        <v>3525</v>
      </c>
      <c r="P737" s="1" t="n">
        <v>2190</v>
      </c>
      <c r="Q737" s="1" t="s">
        <v>3526</v>
      </c>
      <c r="R737" s="1" t="s">
        <v>3527</v>
      </c>
      <c r="S737" s="1" t="s">
        <v>23</v>
      </c>
      <c r="T737" s="1" t="s">
        <v>23</v>
      </c>
      <c r="U737" s="1" t="s">
        <v>23</v>
      </c>
      <c r="V737" s="1" t="s">
        <v>3528</v>
      </c>
    </row>
    <row r="738" customFormat="false" ht="13.8" hidden="false" customHeight="false" outlineLevel="0" collapsed="false">
      <c r="A738" s="1" t="n">
        <v>737</v>
      </c>
      <c r="B738" s="2" t="s">
        <v>3529</v>
      </c>
      <c r="C738" s="1" t="n">
        <v>11</v>
      </c>
      <c r="D738" s="1" t="n">
        <v>12</v>
      </c>
      <c r="E738" s="1" t="n">
        <v>24</v>
      </c>
      <c r="F738" s="1" t="n">
        <v>32</v>
      </c>
      <c r="G738" s="1" t="n">
        <v>33</v>
      </c>
      <c r="H738" s="1" t="n">
        <v>38</v>
      </c>
      <c r="I738" s="1" t="str">
        <f aca="false">RIGHT(("0"&amp;C738),2)&amp;RIGHT(("0"&amp;D738),2)&amp;RIGHT(("0"&amp;E738),2)&amp;RIGHT(("0"&amp;F738),2)&amp;RIGHT(("0"&amp;G738),2)&amp;RIGHT(("0"&amp;H738),2)</f>
        <v>111224323338</v>
      </c>
      <c r="J738" s="1" t="n">
        <f aca="false">COUNTIF(I:I,I738)</f>
        <v>1</v>
      </c>
      <c r="K738" s="1" t="n">
        <v>0</v>
      </c>
      <c r="M738" s="1" t="s">
        <v>23</v>
      </c>
      <c r="N738" s="1" t="n">
        <v>65</v>
      </c>
      <c r="O738" s="1" t="s">
        <v>3530</v>
      </c>
      <c r="P738" s="1" t="n">
        <v>6267</v>
      </c>
      <c r="Q738" s="1" t="s">
        <v>3531</v>
      </c>
      <c r="R738" s="1" t="s">
        <v>3532</v>
      </c>
      <c r="S738" s="1" t="s">
        <v>23</v>
      </c>
      <c r="T738" s="1" t="s">
        <v>23</v>
      </c>
      <c r="U738" s="1" t="s">
        <v>23</v>
      </c>
      <c r="V738" s="1" t="s">
        <v>3533</v>
      </c>
    </row>
    <row r="739" customFormat="false" ht="13.8" hidden="false" customHeight="false" outlineLevel="0" collapsed="false">
      <c r="A739" s="1" t="n">
        <v>738</v>
      </c>
      <c r="B739" s="2" t="s">
        <v>3534</v>
      </c>
      <c r="C739" s="1" t="n">
        <v>14</v>
      </c>
      <c r="D739" s="1" t="n">
        <v>15</v>
      </c>
      <c r="E739" s="1" t="n">
        <v>26</v>
      </c>
      <c r="F739" s="1" t="n">
        <v>30</v>
      </c>
      <c r="G739" s="1" t="n">
        <v>42</v>
      </c>
      <c r="H739" s="1" t="n">
        <v>54</v>
      </c>
      <c r="I739" s="1" t="str">
        <f aca="false">RIGHT(("0"&amp;C739),2)&amp;RIGHT(("0"&amp;D739),2)&amp;RIGHT(("0"&amp;E739),2)&amp;RIGHT(("0"&amp;F739),2)&amp;RIGHT(("0"&amp;G739),2)&amp;RIGHT(("0"&amp;H739),2)</f>
        <v>141526304254</v>
      </c>
      <c r="J739" s="1" t="n">
        <f aca="false">COUNTIF(I:I,I739)</f>
        <v>1</v>
      </c>
      <c r="K739" s="1" t="n">
        <v>0</v>
      </c>
      <c r="M739" s="1" t="s">
        <v>23</v>
      </c>
      <c r="N739" s="1" t="n">
        <v>47</v>
      </c>
      <c r="O739" s="1" t="s">
        <v>3535</v>
      </c>
      <c r="P739" s="1" t="n">
        <v>4178</v>
      </c>
      <c r="Q739" s="1" t="s">
        <v>3536</v>
      </c>
      <c r="R739" s="1" t="s">
        <v>3537</v>
      </c>
      <c r="S739" s="1" t="s">
        <v>23</v>
      </c>
      <c r="T739" s="1" t="s">
        <v>23</v>
      </c>
      <c r="U739" s="1" t="s">
        <v>23</v>
      </c>
      <c r="V739" s="1" t="s">
        <v>3538</v>
      </c>
    </row>
    <row r="740" customFormat="false" ht="13.8" hidden="false" customHeight="false" outlineLevel="0" collapsed="false">
      <c r="A740" s="1" t="n">
        <v>739</v>
      </c>
      <c r="B740" s="2" t="s">
        <v>3539</v>
      </c>
      <c r="C740" s="1" t="n">
        <v>6</v>
      </c>
      <c r="D740" s="1" t="n">
        <v>10</v>
      </c>
      <c r="E740" s="1" t="n">
        <v>35</v>
      </c>
      <c r="F740" s="1" t="n">
        <v>45</v>
      </c>
      <c r="G740" s="1" t="n">
        <v>49</v>
      </c>
      <c r="H740" s="1" t="n">
        <v>56</v>
      </c>
      <c r="I740" s="1" t="str">
        <f aca="false">RIGHT(("0"&amp;C740),2)&amp;RIGHT(("0"&amp;D740),2)&amp;RIGHT(("0"&amp;E740),2)&amp;RIGHT(("0"&amp;F740),2)&amp;RIGHT(("0"&amp;G740),2)&amp;RIGHT(("0"&amp;H740),2)</f>
        <v>061035454956</v>
      </c>
      <c r="J740" s="1" t="n">
        <f aca="false">COUNTIF(I:I,I740)</f>
        <v>1</v>
      </c>
      <c r="K740" s="1" t="n">
        <v>0</v>
      </c>
      <c r="M740" s="1" t="s">
        <v>23</v>
      </c>
      <c r="N740" s="1" t="n">
        <v>54</v>
      </c>
      <c r="O740" s="1" t="s">
        <v>3540</v>
      </c>
      <c r="P740" s="1" t="n">
        <v>4723</v>
      </c>
      <c r="Q740" s="1" t="s">
        <v>3204</v>
      </c>
      <c r="R740" s="1" t="s">
        <v>3541</v>
      </c>
      <c r="S740" s="1" t="s">
        <v>23</v>
      </c>
      <c r="T740" s="1" t="s">
        <v>23</v>
      </c>
      <c r="U740" s="1" t="s">
        <v>23</v>
      </c>
      <c r="V740" s="1" t="s">
        <v>3542</v>
      </c>
    </row>
    <row r="741" customFormat="false" ht="13.8" hidden="false" customHeight="false" outlineLevel="0" collapsed="false">
      <c r="A741" s="1" t="n">
        <v>740</v>
      </c>
      <c r="B741" s="2" t="s">
        <v>3543</v>
      </c>
      <c r="C741" s="1" t="n">
        <v>12</v>
      </c>
      <c r="D741" s="1" t="n">
        <v>16</v>
      </c>
      <c r="E741" s="1" t="n">
        <v>28</v>
      </c>
      <c r="F741" s="1" t="n">
        <v>29</v>
      </c>
      <c r="G741" s="1" t="n">
        <v>47</v>
      </c>
      <c r="H741" s="1" t="n">
        <v>50</v>
      </c>
      <c r="I741" s="1" t="str">
        <f aca="false">RIGHT(("0"&amp;C741),2)&amp;RIGHT(("0"&amp;D741),2)&amp;RIGHT(("0"&amp;E741),2)&amp;RIGHT(("0"&amp;F741),2)&amp;RIGHT(("0"&amp;G741),2)&amp;RIGHT(("0"&amp;H741),2)</f>
        <v>121628294750</v>
      </c>
      <c r="J741" s="1" t="n">
        <f aca="false">COUNTIF(I:I,I741)</f>
        <v>1</v>
      </c>
      <c r="K741" s="1" t="n">
        <v>1</v>
      </c>
      <c r="L741" s="1" t="s">
        <v>28</v>
      </c>
      <c r="M741" s="1" t="s">
        <v>3544</v>
      </c>
      <c r="N741" s="1" t="n">
        <v>90</v>
      </c>
      <c r="O741" s="1" t="s">
        <v>3545</v>
      </c>
      <c r="P741" s="1" t="n">
        <v>6943</v>
      </c>
      <c r="Q741" s="1" t="s">
        <v>3546</v>
      </c>
      <c r="R741" s="1" t="s">
        <v>23</v>
      </c>
      <c r="S741" s="1" t="s">
        <v>23</v>
      </c>
      <c r="T741" s="1" t="s">
        <v>23</v>
      </c>
      <c r="U741" s="1" t="s">
        <v>23</v>
      </c>
      <c r="V741" s="1" t="s">
        <v>3547</v>
      </c>
    </row>
    <row r="742" customFormat="false" ht="13.8" hidden="false" customHeight="false" outlineLevel="0" collapsed="false">
      <c r="A742" s="1" t="n">
        <v>741</v>
      </c>
      <c r="B742" s="2" t="s">
        <v>3548</v>
      </c>
      <c r="C742" s="1" t="n">
        <v>24</v>
      </c>
      <c r="D742" s="1" t="n">
        <v>26</v>
      </c>
      <c r="E742" s="1" t="n">
        <v>27</v>
      </c>
      <c r="F742" s="1" t="n">
        <v>36</v>
      </c>
      <c r="G742" s="1" t="n">
        <v>39</v>
      </c>
      <c r="H742" s="1" t="n">
        <v>59</v>
      </c>
      <c r="I742" s="1" t="str">
        <f aca="false">RIGHT(("0"&amp;C742),2)&amp;RIGHT(("0"&amp;D742),2)&amp;RIGHT(("0"&amp;E742),2)&amp;RIGHT(("0"&amp;F742),2)&amp;RIGHT(("0"&amp;G742),2)&amp;RIGHT(("0"&amp;H742),2)</f>
        <v>242627363959</v>
      </c>
      <c r="J742" s="1" t="n">
        <f aca="false">COUNTIF(I:I,I742)</f>
        <v>1</v>
      </c>
      <c r="K742" s="1" t="n">
        <v>0</v>
      </c>
      <c r="M742" s="1" t="s">
        <v>23</v>
      </c>
      <c r="N742" s="1" t="n">
        <v>23</v>
      </c>
      <c r="O742" s="1" t="s">
        <v>3549</v>
      </c>
      <c r="P742" s="1" t="n">
        <v>2133</v>
      </c>
      <c r="Q742" s="1" t="s">
        <v>3550</v>
      </c>
      <c r="R742" s="1" t="s">
        <v>3551</v>
      </c>
      <c r="S742" s="1" t="s">
        <v>23</v>
      </c>
      <c r="T742" s="1" t="s">
        <v>23</v>
      </c>
      <c r="U742" s="1" t="s">
        <v>23</v>
      </c>
      <c r="V742" s="1" t="s">
        <v>3552</v>
      </c>
    </row>
    <row r="743" customFormat="false" ht="13.8" hidden="false" customHeight="false" outlineLevel="0" collapsed="false">
      <c r="A743" s="1" t="n">
        <v>742</v>
      </c>
      <c r="B743" s="2" t="s">
        <v>3553</v>
      </c>
      <c r="C743" s="1" t="n">
        <v>2</v>
      </c>
      <c r="D743" s="1" t="n">
        <v>7</v>
      </c>
      <c r="E743" s="1" t="n">
        <v>17</v>
      </c>
      <c r="F743" s="1" t="n">
        <v>34</v>
      </c>
      <c r="G743" s="1" t="n">
        <v>41</v>
      </c>
      <c r="H743" s="1" t="n">
        <v>50</v>
      </c>
      <c r="I743" s="1" t="str">
        <f aca="false">RIGHT(("0"&amp;C743),2)&amp;RIGHT(("0"&amp;D743),2)&amp;RIGHT(("0"&amp;E743),2)&amp;RIGHT(("0"&amp;F743),2)&amp;RIGHT(("0"&amp;G743),2)&amp;RIGHT(("0"&amp;H743),2)</f>
        <v>020717344150</v>
      </c>
      <c r="J743" s="1" t="n">
        <f aca="false">COUNTIF(I:I,I743)</f>
        <v>1</v>
      </c>
      <c r="K743" s="1" t="n">
        <v>0</v>
      </c>
      <c r="M743" s="1" t="s">
        <v>23</v>
      </c>
      <c r="N743" s="1" t="n">
        <v>25</v>
      </c>
      <c r="O743" s="1" t="s">
        <v>3554</v>
      </c>
      <c r="P743" s="1" t="n">
        <v>1622</v>
      </c>
      <c r="Q743" s="1" t="s">
        <v>3555</v>
      </c>
      <c r="R743" s="1" t="s">
        <v>3556</v>
      </c>
      <c r="S743" s="1" t="s">
        <v>23</v>
      </c>
      <c r="T743" s="1" t="s">
        <v>23</v>
      </c>
      <c r="U743" s="1" t="s">
        <v>23</v>
      </c>
      <c r="V743" s="1" t="s">
        <v>3557</v>
      </c>
    </row>
    <row r="744" customFormat="false" ht="13.8" hidden="false" customHeight="false" outlineLevel="0" collapsed="false">
      <c r="A744" s="1" t="n">
        <v>743</v>
      </c>
      <c r="B744" s="2" t="s">
        <v>3558</v>
      </c>
      <c r="C744" s="1" t="n">
        <v>20</v>
      </c>
      <c r="D744" s="1" t="n">
        <v>23</v>
      </c>
      <c r="E744" s="1" t="n">
        <v>25</v>
      </c>
      <c r="F744" s="1" t="n">
        <v>32</v>
      </c>
      <c r="G744" s="1" t="n">
        <v>54</v>
      </c>
      <c r="H744" s="1" t="n">
        <v>60</v>
      </c>
      <c r="I744" s="1" t="str">
        <f aca="false">RIGHT(("0"&amp;C744),2)&amp;RIGHT(("0"&amp;D744),2)&amp;RIGHT(("0"&amp;E744),2)&amp;RIGHT(("0"&amp;F744),2)&amp;RIGHT(("0"&amp;G744),2)&amp;RIGHT(("0"&amp;H744),2)</f>
        <v>202325325460</v>
      </c>
      <c r="J744" s="1" t="n">
        <f aca="false">COUNTIF(I:I,I744)</f>
        <v>1</v>
      </c>
      <c r="K744" s="1" t="n">
        <v>0</v>
      </c>
      <c r="M744" s="1" t="s">
        <v>23</v>
      </c>
      <c r="N744" s="1" t="n">
        <v>28</v>
      </c>
      <c r="O744" s="1" t="s">
        <v>3559</v>
      </c>
      <c r="P744" s="1" t="n">
        <v>2762</v>
      </c>
      <c r="Q744" s="1" t="s">
        <v>3560</v>
      </c>
      <c r="R744" s="1" t="s">
        <v>3561</v>
      </c>
      <c r="S744" s="1" t="s">
        <v>23</v>
      </c>
      <c r="T744" s="1" t="s">
        <v>23</v>
      </c>
      <c r="U744" s="1" t="s">
        <v>23</v>
      </c>
      <c r="V744" s="1" t="s">
        <v>3562</v>
      </c>
    </row>
    <row r="745" customFormat="false" ht="13.8" hidden="false" customHeight="false" outlineLevel="0" collapsed="false">
      <c r="A745" s="1" t="n">
        <v>744</v>
      </c>
      <c r="B745" s="2" t="s">
        <v>3563</v>
      </c>
      <c r="C745" s="1" t="n">
        <v>4</v>
      </c>
      <c r="D745" s="1" t="n">
        <v>12</v>
      </c>
      <c r="E745" s="1" t="n">
        <v>23</v>
      </c>
      <c r="F745" s="1" t="n">
        <v>26</v>
      </c>
      <c r="G745" s="1" t="n">
        <v>39</v>
      </c>
      <c r="H745" s="1" t="n">
        <v>46</v>
      </c>
      <c r="I745" s="1" t="str">
        <f aca="false">RIGHT(("0"&amp;C745),2)&amp;RIGHT(("0"&amp;D745),2)&amp;RIGHT(("0"&amp;E745),2)&amp;RIGHT(("0"&amp;F745),2)&amp;RIGHT(("0"&amp;G745),2)&amp;RIGHT(("0"&amp;H745),2)</f>
        <v>041223263946</v>
      </c>
      <c r="J745" s="1" t="n">
        <f aca="false">COUNTIF(I:I,I745)</f>
        <v>1</v>
      </c>
      <c r="K745" s="1" t="n">
        <v>0</v>
      </c>
      <c r="M745" s="1" t="s">
        <v>23</v>
      </c>
      <c r="N745" s="1" t="n">
        <v>77</v>
      </c>
      <c r="O745" s="1" t="s">
        <v>3564</v>
      </c>
      <c r="P745" s="1" t="n">
        <v>5387</v>
      </c>
      <c r="Q745" s="1" t="s">
        <v>3565</v>
      </c>
      <c r="R745" s="1" t="s">
        <v>3566</v>
      </c>
      <c r="S745" s="1" t="s">
        <v>23</v>
      </c>
      <c r="T745" s="1" t="s">
        <v>23</v>
      </c>
      <c r="U745" s="1" t="s">
        <v>23</v>
      </c>
      <c r="V745" s="1" t="s">
        <v>3567</v>
      </c>
    </row>
    <row r="746" customFormat="false" ht="13.8" hidden="false" customHeight="false" outlineLevel="0" collapsed="false">
      <c r="A746" s="1" t="n">
        <v>745</v>
      </c>
      <c r="B746" s="2" t="s">
        <v>3568</v>
      </c>
      <c r="C746" s="1" t="n">
        <v>2</v>
      </c>
      <c r="D746" s="1" t="n">
        <v>16</v>
      </c>
      <c r="E746" s="1" t="n">
        <v>21</v>
      </c>
      <c r="F746" s="1" t="n">
        <v>37</v>
      </c>
      <c r="G746" s="1" t="n">
        <v>43</v>
      </c>
      <c r="H746" s="1" t="n">
        <v>57</v>
      </c>
      <c r="I746" s="1" t="str">
        <f aca="false">RIGHT(("0"&amp;C746),2)&amp;RIGHT(("0"&amp;D746),2)&amp;RIGHT(("0"&amp;E746),2)&amp;RIGHT(("0"&amp;F746),2)&amp;RIGHT(("0"&amp;G746),2)&amp;RIGHT(("0"&amp;H746),2)</f>
        <v>021621374357</v>
      </c>
      <c r="J746" s="1" t="n">
        <f aca="false">COUNTIF(I:I,I746)</f>
        <v>1</v>
      </c>
      <c r="K746" s="1" t="n">
        <v>0</v>
      </c>
      <c r="M746" s="1" t="s">
        <v>23</v>
      </c>
      <c r="N746" s="1" t="n">
        <v>134</v>
      </c>
      <c r="O746" s="1" t="s">
        <v>3569</v>
      </c>
      <c r="P746" s="1" t="n">
        <v>5262</v>
      </c>
      <c r="Q746" s="1" t="s">
        <v>3570</v>
      </c>
      <c r="R746" s="1" t="s">
        <v>3571</v>
      </c>
      <c r="S746" s="1" t="s">
        <v>23</v>
      </c>
      <c r="T746" s="1" t="s">
        <v>23</v>
      </c>
      <c r="U746" s="1" t="s">
        <v>23</v>
      </c>
      <c r="V746" s="1" t="s">
        <v>3572</v>
      </c>
    </row>
    <row r="747" customFormat="false" ht="13.8" hidden="false" customHeight="false" outlineLevel="0" collapsed="false">
      <c r="A747" s="1" t="n">
        <v>746</v>
      </c>
      <c r="B747" s="2" t="s">
        <v>3573</v>
      </c>
      <c r="C747" s="1" t="n">
        <v>1</v>
      </c>
      <c r="D747" s="1" t="n">
        <v>10</v>
      </c>
      <c r="E747" s="1" t="n">
        <v>12</v>
      </c>
      <c r="F747" s="1" t="n">
        <v>25</v>
      </c>
      <c r="G747" s="1" t="n">
        <v>49</v>
      </c>
      <c r="H747" s="1" t="n">
        <v>57</v>
      </c>
      <c r="I747" s="1" t="str">
        <f aca="false">RIGHT(("0"&amp;C747),2)&amp;RIGHT(("0"&amp;D747),2)&amp;RIGHT(("0"&amp;E747),2)&amp;RIGHT(("0"&amp;F747),2)&amp;RIGHT(("0"&amp;G747),2)&amp;RIGHT(("0"&amp;H747),2)</f>
        <v>011012254957</v>
      </c>
      <c r="J747" s="1" t="n">
        <f aca="false">COUNTIF(I:I,I747)</f>
        <v>1</v>
      </c>
      <c r="K747" s="1" t="n">
        <v>2</v>
      </c>
      <c r="L747" s="1" t="s">
        <v>2113</v>
      </c>
      <c r="M747" s="1" t="s">
        <v>3574</v>
      </c>
      <c r="N747" s="1" t="n">
        <v>114</v>
      </c>
      <c r="O747" s="1" t="s">
        <v>3575</v>
      </c>
      <c r="P747" s="1" t="n">
        <v>6686</v>
      </c>
      <c r="Q747" s="1" t="s">
        <v>3576</v>
      </c>
      <c r="R747" s="1" t="s">
        <v>23</v>
      </c>
      <c r="S747" s="1" t="s">
        <v>23</v>
      </c>
      <c r="T747" s="1" t="s">
        <v>23</v>
      </c>
      <c r="U747" s="1" t="s">
        <v>23</v>
      </c>
      <c r="V747" s="1" t="s">
        <v>3577</v>
      </c>
    </row>
    <row r="748" customFormat="false" ht="13.8" hidden="false" customHeight="false" outlineLevel="0" collapsed="false">
      <c r="A748" s="1" t="n">
        <v>747</v>
      </c>
      <c r="B748" s="2" t="s">
        <v>3578</v>
      </c>
      <c r="C748" s="1" t="n">
        <v>2</v>
      </c>
      <c r="D748" s="1" t="n">
        <v>3</v>
      </c>
      <c r="E748" s="1" t="n">
        <v>12</v>
      </c>
      <c r="F748" s="1" t="n">
        <v>21</v>
      </c>
      <c r="G748" s="1" t="n">
        <v>23</v>
      </c>
      <c r="H748" s="1" t="n">
        <v>56</v>
      </c>
      <c r="I748" s="1" t="str">
        <f aca="false">RIGHT(("0"&amp;C748),2)&amp;RIGHT(("0"&amp;D748),2)&amp;RIGHT(("0"&amp;E748),2)&amp;RIGHT(("0"&amp;F748),2)&amp;RIGHT(("0"&amp;G748),2)&amp;RIGHT(("0"&amp;H748),2)</f>
        <v>020312212356</v>
      </c>
      <c r="J748" s="1" t="n">
        <f aca="false">COUNTIF(I:I,I748)</f>
        <v>1</v>
      </c>
      <c r="K748" s="1" t="n">
        <v>0</v>
      </c>
      <c r="M748" s="1" t="s">
        <v>23</v>
      </c>
      <c r="N748" s="1" t="n">
        <v>53</v>
      </c>
      <c r="O748" s="1" t="s">
        <v>3579</v>
      </c>
      <c r="P748" s="1" t="n">
        <v>4363</v>
      </c>
      <c r="Q748" s="1" t="s">
        <v>3580</v>
      </c>
      <c r="R748" s="1" t="s">
        <v>3581</v>
      </c>
      <c r="S748" s="1" t="s">
        <v>23</v>
      </c>
      <c r="T748" s="1" t="s">
        <v>23</v>
      </c>
      <c r="U748" s="1" t="s">
        <v>23</v>
      </c>
      <c r="V748" s="1" t="s">
        <v>3582</v>
      </c>
    </row>
    <row r="749" customFormat="false" ht="13.8" hidden="false" customHeight="false" outlineLevel="0" collapsed="false">
      <c r="A749" s="1" t="n">
        <v>748</v>
      </c>
      <c r="B749" s="2" t="s">
        <v>3583</v>
      </c>
      <c r="C749" s="1" t="n">
        <v>1</v>
      </c>
      <c r="D749" s="1" t="n">
        <v>2</v>
      </c>
      <c r="E749" s="1" t="n">
        <v>7</v>
      </c>
      <c r="F749" s="1" t="n">
        <v>19</v>
      </c>
      <c r="G749" s="1" t="n">
        <v>35</v>
      </c>
      <c r="H749" s="1" t="n">
        <v>51</v>
      </c>
      <c r="I749" s="1" t="str">
        <f aca="false">RIGHT(("0"&amp;C749),2)&amp;RIGHT(("0"&amp;D749),2)&amp;RIGHT(("0"&amp;E749),2)&amp;RIGHT(("0"&amp;F749),2)&amp;RIGHT(("0"&amp;G749),2)&amp;RIGHT(("0"&amp;H749),2)</f>
        <v>010207193551</v>
      </c>
      <c r="J749" s="1" t="n">
        <f aca="false">COUNTIF(I:I,I749)</f>
        <v>1</v>
      </c>
      <c r="K749" s="1" t="n">
        <v>0</v>
      </c>
      <c r="M749" s="1" t="s">
        <v>23</v>
      </c>
      <c r="N749" s="1" t="n">
        <v>74</v>
      </c>
      <c r="O749" s="1" t="s">
        <v>3584</v>
      </c>
      <c r="P749" s="1" t="n">
        <v>4519</v>
      </c>
      <c r="Q749" s="1" t="s">
        <v>3585</v>
      </c>
      <c r="R749" s="1" t="s">
        <v>3586</v>
      </c>
      <c r="S749" s="1" t="s">
        <v>23</v>
      </c>
      <c r="T749" s="1" t="s">
        <v>23</v>
      </c>
      <c r="U749" s="1" t="s">
        <v>23</v>
      </c>
      <c r="V749" s="1" t="s">
        <v>3587</v>
      </c>
    </row>
    <row r="750" customFormat="false" ht="13.8" hidden="false" customHeight="false" outlineLevel="0" collapsed="false">
      <c r="A750" s="1" t="n">
        <v>749</v>
      </c>
      <c r="B750" s="2" t="s">
        <v>3588</v>
      </c>
      <c r="C750" s="1" t="n">
        <v>4</v>
      </c>
      <c r="D750" s="1" t="n">
        <v>24</v>
      </c>
      <c r="E750" s="1" t="n">
        <v>47</v>
      </c>
      <c r="F750" s="1" t="n">
        <v>48</v>
      </c>
      <c r="G750" s="1" t="n">
        <v>50</v>
      </c>
      <c r="H750" s="1" t="n">
        <v>57</v>
      </c>
      <c r="I750" s="1" t="str">
        <f aca="false">RIGHT(("0"&amp;C750),2)&amp;RIGHT(("0"&amp;D750),2)&amp;RIGHT(("0"&amp;E750),2)&amp;RIGHT(("0"&amp;F750),2)&amp;RIGHT(("0"&amp;G750),2)&amp;RIGHT(("0"&amp;H750),2)</f>
        <v>042447485057</v>
      </c>
      <c r="J750" s="1" t="n">
        <f aca="false">COUNTIF(I:I,I750)</f>
        <v>1</v>
      </c>
      <c r="K750" s="1" t="n">
        <v>0</v>
      </c>
      <c r="M750" s="1" t="s">
        <v>23</v>
      </c>
      <c r="N750" s="1" t="n">
        <v>31</v>
      </c>
      <c r="O750" s="1" t="s">
        <v>3589</v>
      </c>
      <c r="P750" s="1" t="n">
        <v>2669</v>
      </c>
      <c r="Q750" s="1" t="s">
        <v>3590</v>
      </c>
      <c r="R750" s="1" t="s">
        <v>3591</v>
      </c>
      <c r="S750" s="1" t="s">
        <v>23</v>
      </c>
      <c r="T750" s="1" t="s">
        <v>23</v>
      </c>
      <c r="U750" s="1" t="s">
        <v>23</v>
      </c>
      <c r="V750" s="1" t="s">
        <v>3592</v>
      </c>
    </row>
    <row r="751" customFormat="false" ht="13.8" hidden="false" customHeight="false" outlineLevel="0" collapsed="false">
      <c r="A751" s="1" t="n">
        <v>750</v>
      </c>
      <c r="B751" s="2" t="s">
        <v>3593</v>
      </c>
      <c r="C751" s="1" t="n">
        <v>10</v>
      </c>
      <c r="D751" s="1" t="n">
        <v>17</v>
      </c>
      <c r="E751" s="1" t="n">
        <v>33</v>
      </c>
      <c r="F751" s="1" t="n">
        <v>42</v>
      </c>
      <c r="G751" s="1" t="n">
        <v>54</v>
      </c>
      <c r="H751" s="1" t="n">
        <v>58</v>
      </c>
      <c r="I751" s="1" t="str">
        <f aca="false">RIGHT(("0"&amp;C751),2)&amp;RIGHT(("0"&amp;D751),2)&amp;RIGHT(("0"&amp;E751),2)&amp;RIGHT(("0"&amp;F751),2)&amp;RIGHT(("0"&amp;G751),2)&amp;RIGHT(("0"&amp;H751),2)</f>
        <v>101733425458</v>
      </c>
      <c r="J751" s="1" t="n">
        <f aca="false">COUNTIF(I:I,I751)</f>
        <v>1</v>
      </c>
      <c r="K751" s="1" t="n">
        <v>0</v>
      </c>
      <c r="M751" s="1" t="s">
        <v>23</v>
      </c>
      <c r="N751" s="1" t="n">
        <v>49</v>
      </c>
      <c r="O751" s="1" t="s">
        <v>3594</v>
      </c>
      <c r="P751" s="1" t="n">
        <v>3799</v>
      </c>
      <c r="Q751" s="1" t="s">
        <v>3595</v>
      </c>
      <c r="R751" s="1" t="s">
        <v>3596</v>
      </c>
      <c r="S751" s="1" t="s">
        <v>23</v>
      </c>
      <c r="T751" s="1" t="s">
        <v>23</v>
      </c>
      <c r="U751" s="1" t="s">
        <v>23</v>
      </c>
      <c r="V751" s="1" t="s">
        <v>3597</v>
      </c>
    </row>
    <row r="752" customFormat="false" ht="13.8" hidden="false" customHeight="false" outlineLevel="0" collapsed="false">
      <c r="A752" s="1" t="n">
        <v>751</v>
      </c>
      <c r="B752" s="2" t="s">
        <v>3598</v>
      </c>
      <c r="C752" s="1" t="n">
        <v>4</v>
      </c>
      <c r="D752" s="1" t="n">
        <v>7</v>
      </c>
      <c r="E752" s="1" t="n">
        <v>20</v>
      </c>
      <c r="F752" s="1" t="n">
        <v>25</v>
      </c>
      <c r="G752" s="1" t="n">
        <v>38</v>
      </c>
      <c r="H752" s="1" t="n">
        <v>50</v>
      </c>
      <c r="I752" s="1" t="str">
        <f aca="false">RIGHT(("0"&amp;C752),2)&amp;RIGHT(("0"&amp;D752),2)&amp;RIGHT(("0"&amp;E752),2)&amp;RIGHT(("0"&amp;F752),2)&amp;RIGHT(("0"&amp;G752),2)&amp;RIGHT(("0"&amp;H752),2)</f>
        <v>040720253850</v>
      </c>
      <c r="J752" s="1" t="n">
        <f aca="false">COUNTIF(I:I,I752)</f>
        <v>1</v>
      </c>
      <c r="K752" s="1" t="n">
        <v>0</v>
      </c>
      <c r="M752" s="1" t="s">
        <v>23</v>
      </c>
      <c r="N752" s="1" t="n">
        <v>74</v>
      </c>
      <c r="O752" s="1" t="s">
        <v>3599</v>
      </c>
      <c r="P752" s="1" t="n">
        <v>5579</v>
      </c>
      <c r="Q752" s="1" t="s">
        <v>3600</v>
      </c>
      <c r="R752" s="1" t="s">
        <v>3601</v>
      </c>
      <c r="S752" s="1" t="s">
        <v>23</v>
      </c>
      <c r="T752" s="1" t="s">
        <v>3602</v>
      </c>
      <c r="U752" s="1" t="s">
        <v>23</v>
      </c>
    </row>
    <row r="753" customFormat="false" ht="13.8" hidden="false" customHeight="false" outlineLevel="0" collapsed="false">
      <c r="A753" s="1" t="n">
        <v>752</v>
      </c>
      <c r="B753" s="2" t="s">
        <v>3603</v>
      </c>
      <c r="C753" s="1" t="n">
        <v>4</v>
      </c>
      <c r="D753" s="1" t="n">
        <v>23</v>
      </c>
      <c r="E753" s="1" t="n">
        <v>24</v>
      </c>
      <c r="F753" s="1" t="n">
        <v>25</v>
      </c>
      <c r="G753" s="1" t="n">
        <v>29</v>
      </c>
      <c r="H753" s="1" t="n">
        <v>42</v>
      </c>
      <c r="I753" s="1" t="str">
        <f aca="false">RIGHT(("0"&amp;C753),2)&amp;RIGHT(("0"&amp;D753),2)&amp;RIGHT(("0"&amp;E753),2)&amp;RIGHT(("0"&amp;F753),2)&amp;RIGHT(("0"&amp;G753),2)&amp;RIGHT(("0"&amp;H753),2)</f>
        <v>042324252942</v>
      </c>
      <c r="J753" s="1" t="n">
        <f aca="false">COUNTIF(I:I,I753)</f>
        <v>1</v>
      </c>
      <c r="K753" s="1" t="n">
        <v>0</v>
      </c>
      <c r="M753" s="1" t="s">
        <v>23</v>
      </c>
      <c r="N753" s="1" t="n">
        <v>86</v>
      </c>
      <c r="O753" s="1" t="s">
        <v>3604</v>
      </c>
      <c r="P753" s="1" t="n">
        <v>6849</v>
      </c>
      <c r="Q753" s="1" t="s">
        <v>3605</v>
      </c>
      <c r="R753" s="1" t="s">
        <v>3606</v>
      </c>
      <c r="S753" s="1" t="s">
        <v>23</v>
      </c>
      <c r="T753" s="1" t="s">
        <v>23</v>
      </c>
      <c r="U753" s="1" t="s">
        <v>23</v>
      </c>
      <c r="V753" s="1" t="s">
        <v>3607</v>
      </c>
    </row>
    <row r="754" customFormat="false" ht="13.8" hidden="false" customHeight="false" outlineLevel="0" collapsed="false">
      <c r="A754" s="1" t="n">
        <v>753</v>
      </c>
      <c r="B754" s="2" t="s">
        <v>3608</v>
      </c>
      <c r="C754" s="1" t="n">
        <v>2</v>
      </c>
      <c r="D754" s="1" t="n">
        <v>7</v>
      </c>
      <c r="E754" s="1" t="n">
        <v>22</v>
      </c>
      <c r="F754" s="1" t="n">
        <v>35</v>
      </c>
      <c r="G754" s="1" t="n">
        <v>43</v>
      </c>
      <c r="H754" s="1" t="n">
        <v>59</v>
      </c>
      <c r="I754" s="1" t="str">
        <f aca="false">RIGHT(("0"&amp;C754),2)&amp;RIGHT(("0"&amp;D754),2)&amp;RIGHT(("0"&amp;E754),2)&amp;RIGHT(("0"&amp;F754),2)&amp;RIGHT(("0"&amp;G754),2)&amp;RIGHT(("0"&amp;H754),2)</f>
        <v>020722354359</v>
      </c>
      <c r="J754" s="1" t="n">
        <f aca="false">COUNTIF(I:I,I754)</f>
        <v>1</v>
      </c>
      <c r="K754" s="1" t="n">
        <v>1</v>
      </c>
      <c r="L754" s="1" t="s">
        <v>190</v>
      </c>
      <c r="M754" s="1" t="s">
        <v>3609</v>
      </c>
      <c r="N754" s="1" t="n">
        <v>152</v>
      </c>
      <c r="O754" s="1" t="s">
        <v>3610</v>
      </c>
      <c r="P754" s="1" t="n">
        <v>8630</v>
      </c>
      <c r="Q754" s="1" t="s">
        <v>3611</v>
      </c>
      <c r="R754" s="1" t="s">
        <v>23</v>
      </c>
      <c r="S754" s="1" t="s">
        <v>23</v>
      </c>
      <c r="T754" s="1" t="s">
        <v>23</v>
      </c>
      <c r="U754" s="1" t="s">
        <v>23</v>
      </c>
      <c r="V754" s="1" t="s">
        <v>3612</v>
      </c>
    </row>
    <row r="755" customFormat="false" ht="13.8" hidden="false" customHeight="false" outlineLevel="0" collapsed="false">
      <c r="A755" s="1" t="n">
        <v>754</v>
      </c>
      <c r="B755" s="2" t="s">
        <v>3613</v>
      </c>
      <c r="C755" s="1" t="n">
        <v>3</v>
      </c>
      <c r="D755" s="1" t="n">
        <v>4</v>
      </c>
      <c r="E755" s="1" t="n">
        <v>13</v>
      </c>
      <c r="F755" s="1" t="n">
        <v>34</v>
      </c>
      <c r="G755" s="1" t="n">
        <v>42</v>
      </c>
      <c r="H755" s="1" t="n">
        <v>50</v>
      </c>
      <c r="I755" s="1" t="str">
        <f aca="false">RIGHT(("0"&amp;C755),2)&amp;RIGHT(("0"&amp;D755),2)&amp;RIGHT(("0"&amp;E755),2)&amp;RIGHT(("0"&amp;F755),2)&amp;RIGHT(("0"&amp;G755),2)&amp;RIGHT(("0"&amp;H755),2)</f>
        <v>030413344250</v>
      </c>
      <c r="J755" s="1" t="n">
        <f aca="false">COUNTIF(I:I,I755)</f>
        <v>1</v>
      </c>
      <c r="K755" s="1" t="n">
        <v>0</v>
      </c>
      <c r="M755" s="1" t="s">
        <v>23</v>
      </c>
      <c r="N755" s="1" t="n">
        <v>41</v>
      </c>
      <c r="O755" s="1" t="s">
        <v>3614</v>
      </c>
      <c r="P755" s="1" t="n">
        <v>2827</v>
      </c>
      <c r="Q755" s="1" t="s">
        <v>3615</v>
      </c>
      <c r="R755" s="1" t="s">
        <v>3616</v>
      </c>
      <c r="S755" s="1" t="s">
        <v>23</v>
      </c>
      <c r="T755" s="1" t="s">
        <v>23</v>
      </c>
      <c r="U755" s="1" t="s">
        <v>23</v>
      </c>
      <c r="V755" s="1" t="s">
        <v>3617</v>
      </c>
    </row>
    <row r="756" customFormat="false" ht="13.8" hidden="false" customHeight="false" outlineLevel="0" collapsed="false">
      <c r="A756" s="1" t="n">
        <v>755</v>
      </c>
      <c r="B756" s="2" t="s">
        <v>3618</v>
      </c>
      <c r="C756" s="1" t="n">
        <v>4</v>
      </c>
      <c r="D756" s="1" t="n">
        <v>12</v>
      </c>
      <c r="E756" s="1" t="n">
        <v>30</v>
      </c>
      <c r="F756" s="1" t="n">
        <v>47</v>
      </c>
      <c r="G756" s="1" t="n">
        <v>49</v>
      </c>
      <c r="H756" s="1" t="n">
        <v>59</v>
      </c>
      <c r="I756" s="1" t="str">
        <f aca="false">RIGHT(("0"&amp;C756),2)&amp;RIGHT(("0"&amp;D756),2)&amp;RIGHT(("0"&amp;E756),2)&amp;RIGHT(("0"&amp;F756),2)&amp;RIGHT(("0"&amp;G756),2)&amp;RIGHT(("0"&amp;H756),2)</f>
        <v>041230474959</v>
      </c>
      <c r="J756" s="1" t="n">
        <f aca="false">COUNTIF(I:I,I756)</f>
        <v>1</v>
      </c>
      <c r="K756" s="1" t="n">
        <v>0</v>
      </c>
      <c r="M756" s="1" t="s">
        <v>23</v>
      </c>
      <c r="N756" s="1" t="n">
        <v>41</v>
      </c>
      <c r="O756" s="1" t="s">
        <v>3619</v>
      </c>
      <c r="P756" s="1" t="n">
        <v>2977</v>
      </c>
      <c r="Q756" s="1" t="s">
        <v>3620</v>
      </c>
      <c r="R756" s="1" t="s">
        <v>3621</v>
      </c>
      <c r="S756" s="1" t="s">
        <v>23</v>
      </c>
      <c r="T756" s="1" t="s">
        <v>23</v>
      </c>
      <c r="U756" s="1" t="s">
        <v>23</v>
      </c>
      <c r="V756" s="1" t="s">
        <v>3622</v>
      </c>
    </row>
    <row r="757" customFormat="false" ht="13.8" hidden="false" customHeight="false" outlineLevel="0" collapsed="false">
      <c r="A757" s="1" t="n">
        <v>756</v>
      </c>
      <c r="B757" s="2" t="s">
        <v>3623</v>
      </c>
      <c r="C757" s="1" t="n">
        <v>5</v>
      </c>
      <c r="D757" s="1" t="n">
        <v>27</v>
      </c>
      <c r="E757" s="1" t="n">
        <v>37</v>
      </c>
      <c r="F757" s="1" t="n">
        <v>38</v>
      </c>
      <c r="G757" s="1" t="n">
        <v>41</v>
      </c>
      <c r="H757" s="1" t="n">
        <v>50</v>
      </c>
      <c r="I757" s="1" t="str">
        <f aca="false">RIGHT(("0"&amp;C757),2)&amp;RIGHT(("0"&amp;D757),2)&amp;RIGHT(("0"&amp;E757),2)&amp;RIGHT(("0"&amp;F757),2)&amp;RIGHT(("0"&amp;G757),2)&amp;RIGHT(("0"&amp;H757),2)</f>
        <v>052737384150</v>
      </c>
      <c r="J757" s="1" t="n">
        <f aca="false">COUNTIF(I:I,I757)</f>
        <v>1</v>
      </c>
      <c r="K757" s="1" t="n">
        <v>0</v>
      </c>
      <c r="M757" s="1" t="s">
        <v>23</v>
      </c>
      <c r="N757" s="1" t="n">
        <v>34</v>
      </c>
      <c r="O757" s="1" t="s">
        <v>3624</v>
      </c>
      <c r="P757" s="1" t="n">
        <v>3135</v>
      </c>
      <c r="Q757" s="1" t="s">
        <v>3625</v>
      </c>
      <c r="R757" s="1" t="s">
        <v>3626</v>
      </c>
      <c r="S757" s="1" t="s">
        <v>23</v>
      </c>
      <c r="T757" s="1" t="s">
        <v>23</v>
      </c>
      <c r="U757" s="1" t="s">
        <v>23</v>
      </c>
      <c r="V757" s="1" t="s">
        <v>3627</v>
      </c>
    </row>
    <row r="758" customFormat="false" ht="13.8" hidden="false" customHeight="false" outlineLevel="0" collapsed="false">
      <c r="A758" s="1" t="n">
        <v>757</v>
      </c>
      <c r="B758" s="2" t="s">
        <v>3628</v>
      </c>
      <c r="C758" s="1" t="n">
        <v>12</v>
      </c>
      <c r="D758" s="1" t="n">
        <v>17</v>
      </c>
      <c r="E758" s="1" t="n">
        <v>18</v>
      </c>
      <c r="F758" s="1" t="n">
        <v>30</v>
      </c>
      <c r="G758" s="1" t="n">
        <v>32</v>
      </c>
      <c r="H758" s="1" t="n">
        <v>58</v>
      </c>
      <c r="I758" s="1" t="str">
        <f aca="false">RIGHT(("0"&amp;C758),2)&amp;RIGHT(("0"&amp;D758),2)&amp;RIGHT(("0"&amp;E758),2)&amp;RIGHT(("0"&amp;F758),2)&amp;RIGHT(("0"&amp;G758),2)&amp;RIGHT(("0"&amp;H758),2)</f>
        <v>121718303258</v>
      </c>
      <c r="J758" s="1" t="n">
        <f aca="false">COUNTIF(I:I,I758)</f>
        <v>1</v>
      </c>
      <c r="K758" s="1" t="n">
        <v>0</v>
      </c>
      <c r="M758" s="1" t="s">
        <v>23</v>
      </c>
      <c r="N758" s="1" t="n">
        <v>53</v>
      </c>
      <c r="O758" s="1" t="s">
        <v>3629</v>
      </c>
      <c r="P758" s="1" t="n">
        <v>3448</v>
      </c>
      <c r="Q758" s="1" t="s">
        <v>3630</v>
      </c>
      <c r="R758" s="1" t="s">
        <v>3631</v>
      </c>
      <c r="S758" s="1" t="s">
        <v>23</v>
      </c>
      <c r="T758" s="1" t="s">
        <v>23</v>
      </c>
      <c r="U758" s="1" t="s">
        <v>23</v>
      </c>
      <c r="V758" s="1" t="s">
        <v>3632</v>
      </c>
    </row>
    <row r="759" customFormat="false" ht="13.8" hidden="false" customHeight="false" outlineLevel="0" collapsed="false">
      <c r="A759" s="1" t="n">
        <v>758</v>
      </c>
      <c r="B759" s="2" t="s">
        <v>3633</v>
      </c>
      <c r="C759" s="1" t="n">
        <v>1</v>
      </c>
      <c r="D759" s="1" t="n">
        <v>23</v>
      </c>
      <c r="E759" s="1" t="n">
        <v>36</v>
      </c>
      <c r="F759" s="1" t="n">
        <v>43</v>
      </c>
      <c r="G759" s="1" t="n">
        <v>47</v>
      </c>
      <c r="H759" s="1" t="n">
        <v>59</v>
      </c>
      <c r="I759" s="1" t="str">
        <f aca="false">RIGHT(("0"&amp;C759),2)&amp;RIGHT(("0"&amp;D759),2)&amp;RIGHT(("0"&amp;E759),2)&amp;RIGHT(("0"&amp;F759),2)&amp;RIGHT(("0"&amp;G759),2)&amp;RIGHT(("0"&amp;H759),2)</f>
        <v>012336434759</v>
      </c>
      <c r="J759" s="1" t="n">
        <f aca="false">COUNTIF(I:I,I759)</f>
        <v>1</v>
      </c>
      <c r="K759" s="1" t="n">
        <v>0</v>
      </c>
      <c r="M759" s="1" t="s">
        <v>23</v>
      </c>
      <c r="N759" s="1" t="n">
        <v>74</v>
      </c>
      <c r="O759" s="1" t="s">
        <v>3634</v>
      </c>
      <c r="P759" s="1" t="n">
        <v>4910</v>
      </c>
      <c r="Q759" s="1" t="s">
        <v>3635</v>
      </c>
      <c r="R759" s="1" t="s">
        <v>3636</v>
      </c>
      <c r="S759" s="1" t="s">
        <v>23</v>
      </c>
      <c r="T759" s="1" t="s">
        <v>23</v>
      </c>
      <c r="U759" s="1" t="s">
        <v>23</v>
      </c>
      <c r="V759" s="1" t="s">
        <v>3637</v>
      </c>
    </row>
    <row r="760" customFormat="false" ht="13.8" hidden="false" customHeight="false" outlineLevel="0" collapsed="false">
      <c r="A760" s="1" t="n">
        <v>759</v>
      </c>
      <c r="B760" s="2" t="s">
        <v>3638</v>
      </c>
      <c r="C760" s="1" t="n">
        <v>30</v>
      </c>
      <c r="D760" s="1" t="n">
        <v>31</v>
      </c>
      <c r="E760" s="1" t="n">
        <v>39</v>
      </c>
      <c r="F760" s="1" t="n">
        <v>45</v>
      </c>
      <c r="G760" s="1" t="n">
        <v>48</v>
      </c>
      <c r="H760" s="1" t="n">
        <v>59</v>
      </c>
      <c r="I760" s="1" t="str">
        <f aca="false">RIGHT(("0"&amp;C760),2)&amp;RIGHT(("0"&amp;D760),2)&amp;RIGHT(("0"&amp;E760),2)&amp;RIGHT(("0"&amp;F760),2)&amp;RIGHT(("0"&amp;G760),2)&amp;RIGHT(("0"&amp;H760),2)</f>
        <v>303139454859</v>
      </c>
      <c r="J760" s="1" t="n">
        <f aca="false">COUNTIF(I:I,I760)</f>
        <v>1</v>
      </c>
      <c r="K760" s="1" t="n">
        <v>0</v>
      </c>
      <c r="M760" s="1" t="s">
        <v>23</v>
      </c>
      <c r="N760" s="1" t="n">
        <v>38</v>
      </c>
      <c r="O760" s="1" t="s">
        <v>3639</v>
      </c>
      <c r="P760" s="1" t="n">
        <v>2588</v>
      </c>
      <c r="Q760" s="1" t="s">
        <v>3640</v>
      </c>
      <c r="R760" s="1" t="s">
        <v>3641</v>
      </c>
      <c r="S760" s="1" t="s">
        <v>23</v>
      </c>
      <c r="T760" s="1" t="s">
        <v>23</v>
      </c>
      <c r="U760" s="1" t="s">
        <v>23</v>
      </c>
      <c r="V760" s="1" t="s">
        <v>3642</v>
      </c>
    </row>
    <row r="761" customFormat="false" ht="13.8" hidden="false" customHeight="false" outlineLevel="0" collapsed="false">
      <c r="A761" s="1" t="n">
        <v>760</v>
      </c>
      <c r="B761" s="2" t="s">
        <v>3643</v>
      </c>
      <c r="C761" s="1" t="n">
        <v>12</v>
      </c>
      <c r="D761" s="1" t="n">
        <v>17</v>
      </c>
      <c r="E761" s="1" t="n">
        <v>44</v>
      </c>
      <c r="F761" s="1" t="n">
        <v>45</v>
      </c>
      <c r="G761" s="1" t="n">
        <v>46</v>
      </c>
      <c r="H761" s="1" t="n">
        <v>60</v>
      </c>
      <c r="I761" s="1" t="str">
        <f aca="false">RIGHT(("0"&amp;C761),2)&amp;RIGHT(("0"&amp;D761),2)&amp;RIGHT(("0"&amp;E761),2)&amp;RIGHT(("0"&amp;F761),2)&amp;RIGHT(("0"&amp;G761),2)&amp;RIGHT(("0"&amp;H761),2)</f>
        <v>121744454660</v>
      </c>
      <c r="J761" s="1" t="n">
        <f aca="false">COUNTIF(I:I,I761)</f>
        <v>1</v>
      </c>
      <c r="K761" s="1" t="n">
        <v>0</v>
      </c>
      <c r="M761" s="1" t="s">
        <v>23</v>
      </c>
      <c r="N761" s="1" t="n">
        <v>80</v>
      </c>
      <c r="O761" s="1" t="s">
        <v>3644</v>
      </c>
      <c r="P761" s="1" t="n">
        <v>5517</v>
      </c>
      <c r="Q761" s="1" t="s">
        <v>3645</v>
      </c>
      <c r="R761" s="1" t="s">
        <v>3646</v>
      </c>
      <c r="S761" s="1" t="s">
        <v>23</v>
      </c>
      <c r="T761" s="1" t="s">
        <v>23</v>
      </c>
      <c r="U761" s="1" t="s">
        <v>23</v>
      </c>
      <c r="V761" s="1" t="s">
        <v>3647</v>
      </c>
    </row>
    <row r="762" customFormat="false" ht="13.8" hidden="false" customHeight="false" outlineLevel="0" collapsed="false">
      <c r="A762" s="1" t="n">
        <v>761</v>
      </c>
      <c r="B762" s="2" t="s">
        <v>3648</v>
      </c>
      <c r="C762" s="1" t="n">
        <v>13</v>
      </c>
      <c r="D762" s="1" t="n">
        <v>17</v>
      </c>
      <c r="E762" s="1" t="n">
        <v>27</v>
      </c>
      <c r="F762" s="1" t="n">
        <v>29</v>
      </c>
      <c r="G762" s="1" t="n">
        <v>40</v>
      </c>
      <c r="H762" s="1" t="n">
        <v>56</v>
      </c>
      <c r="I762" s="1" t="str">
        <f aca="false">RIGHT(("0"&amp;C762),2)&amp;RIGHT(("0"&amp;D762),2)&amp;RIGHT(("0"&amp;E762),2)&amp;RIGHT(("0"&amp;F762),2)&amp;RIGHT(("0"&amp;G762),2)&amp;RIGHT(("0"&amp;H762),2)</f>
        <v>131727294056</v>
      </c>
      <c r="J762" s="1" t="n">
        <f aca="false">COUNTIF(I:I,I762)</f>
        <v>1</v>
      </c>
      <c r="K762" s="1" t="n">
        <v>0</v>
      </c>
      <c r="M762" s="1" t="s">
        <v>23</v>
      </c>
      <c r="N762" s="1" t="n">
        <v>100</v>
      </c>
      <c r="O762" s="1" t="s">
        <v>3649</v>
      </c>
      <c r="P762" s="1" t="n">
        <v>8936</v>
      </c>
      <c r="Q762" s="1" t="s">
        <v>917</v>
      </c>
      <c r="R762" s="1" t="s">
        <v>3650</v>
      </c>
      <c r="S762" s="1" t="s">
        <v>23</v>
      </c>
      <c r="T762" s="1" t="s">
        <v>23</v>
      </c>
      <c r="U762" s="1" t="s">
        <v>23</v>
      </c>
      <c r="V762" s="1" t="s">
        <v>3651</v>
      </c>
    </row>
    <row r="763" customFormat="false" ht="13.8" hidden="false" customHeight="false" outlineLevel="0" collapsed="false">
      <c r="A763" s="1" t="n">
        <v>762</v>
      </c>
      <c r="B763" s="2" t="s">
        <v>3652</v>
      </c>
      <c r="C763" s="1" t="n">
        <v>9</v>
      </c>
      <c r="D763" s="1" t="n">
        <v>12</v>
      </c>
      <c r="E763" s="1" t="n">
        <v>21</v>
      </c>
      <c r="F763" s="1" t="n">
        <v>37</v>
      </c>
      <c r="G763" s="1" t="n">
        <v>39</v>
      </c>
      <c r="H763" s="1" t="n">
        <v>54</v>
      </c>
      <c r="I763" s="1" t="str">
        <f aca="false">RIGHT(("0"&amp;C763),2)&amp;RIGHT(("0"&amp;D763),2)&amp;RIGHT(("0"&amp;E763),2)&amp;RIGHT(("0"&amp;F763),2)&amp;RIGHT(("0"&amp;G763),2)&amp;RIGHT(("0"&amp;H763),2)</f>
        <v>091221373954</v>
      </c>
      <c r="J763" s="1" t="n">
        <f aca="false">COUNTIF(I:I,I763)</f>
        <v>1</v>
      </c>
      <c r="K763" s="1" t="n">
        <v>0</v>
      </c>
      <c r="M763" s="1" t="s">
        <v>23</v>
      </c>
      <c r="N763" s="1" t="n">
        <v>143</v>
      </c>
      <c r="O763" s="1" t="s">
        <v>3653</v>
      </c>
      <c r="P763" s="1" t="n">
        <v>10120</v>
      </c>
      <c r="Q763" s="1" t="s">
        <v>3654</v>
      </c>
      <c r="R763" s="1" t="s">
        <v>3655</v>
      </c>
      <c r="S763" s="1" t="s">
        <v>23</v>
      </c>
      <c r="T763" s="1" t="s">
        <v>23</v>
      </c>
      <c r="U763" s="1" t="s">
        <v>23</v>
      </c>
      <c r="V763" s="1" t="s">
        <v>3656</v>
      </c>
    </row>
    <row r="764" customFormat="false" ht="13.8" hidden="false" customHeight="false" outlineLevel="0" collapsed="false">
      <c r="A764" s="1" t="n">
        <v>763</v>
      </c>
      <c r="B764" s="2" t="s">
        <v>3657</v>
      </c>
      <c r="C764" s="1" t="n">
        <v>1</v>
      </c>
      <c r="D764" s="1" t="n">
        <v>9</v>
      </c>
      <c r="E764" s="1" t="n">
        <v>26</v>
      </c>
      <c r="F764" s="1" t="n">
        <v>40</v>
      </c>
      <c r="G764" s="1" t="n">
        <v>47</v>
      </c>
      <c r="H764" s="1" t="n">
        <v>48</v>
      </c>
      <c r="I764" s="1" t="str">
        <f aca="false">RIGHT(("0"&amp;C764),2)&amp;RIGHT(("0"&amp;D764),2)&amp;RIGHT(("0"&amp;E764),2)&amp;RIGHT(("0"&amp;F764),2)&amp;RIGHT(("0"&amp;G764),2)&amp;RIGHT(("0"&amp;H764),2)</f>
        <v>010926404748</v>
      </c>
      <c r="J764" s="1" t="n">
        <f aca="false">COUNTIF(I:I,I764)</f>
        <v>1</v>
      </c>
      <c r="K764" s="1" t="n">
        <v>0</v>
      </c>
      <c r="M764" s="1" t="s">
        <v>23</v>
      </c>
      <c r="N764" s="1" t="n">
        <v>101</v>
      </c>
      <c r="O764" s="1" t="s">
        <v>3658</v>
      </c>
      <c r="P764" s="1" t="n">
        <v>7655</v>
      </c>
      <c r="Q764" s="1" t="s">
        <v>3659</v>
      </c>
      <c r="R764" s="1" t="s">
        <v>3660</v>
      </c>
      <c r="S764" s="1" t="s">
        <v>23</v>
      </c>
      <c r="T764" s="1" t="s">
        <v>23</v>
      </c>
      <c r="U764" s="1" t="s">
        <v>23</v>
      </c>
      <c r="V764" s="1" t="s">
        <v>3661</v>
      </c>
    </row>
    <row r="765" customFormat="false" ht="13.8" hidden="false" customHeight="false" outlineLevel="0" collapsed="false">
      <c r="A765" s="1" t="n">
        <v>764</v>
      </c>
      <c r="B765" s="2" t="s">
        <v>3662</v>
      </c>
      <c r="C765" s="1" t="n">
        <v>3</v>
      </c>
      <c r="D765" s="1" t="n">
        <v>7</v>
      </c>
      <c r="E765" s="1" t="n">
        <v>45</v>
      </c>
      <c r="F765" s="1" t="n">
        <v>47</v>
      </c>
      <c r="G765" s="1" t="n">
        <v>53</v>
      </c>
      <c r="H765" s="1" t="n">
        <v>55</v>
      </c>
      <c r="I765" s="1" t="str">
        <f aca="false">RIGHT(("0"&amp;C765),2)&amp;RIGHT(("0"&amp;D765),2)&amp;RIGHT(("0"&amp;E765),2)&amp;RIGHT(("0"&amp;F765),2)&amp;RIGHT(("0"&amp;G765),2)&amp;RIGHT(("0"&amp;H765),2)</f>
        <v>030745475355</v>
      </c>
      <c r="J765" s="1" t="n">
        <f aca="false">COUNTIF(I:I,I765)</f>
        <v>1</v>
      </c>
      <c r="K765" s="1" t="n">
        <v>1</v>
      </c>
      <c r="L765" s="1" t="s">
        <v>3663</v>
      </c>
      <c r="M765" s="1" t="s">
        <v>3664</v>
      </c>
      <c r="N765" s="1" t="n">
        <v>189</v>
      </c>
      <c r="O765" s="1" t="s">
        <v>3665</v>
      </c>
      <c r="P765" s="1" t="n">
        <v>15290</v>
      </c>
      <c r="Q765" s="1" t="s">
        <v>2534</v>
      </c>
      <c r="R765" s="1" t="s">
        <v>23</v>
      </c>
      <c r="S765" s="1" t="s">
        <v>23</v>
      </c>
      <c r="T765" s="1" t="s">
        <v>23</v>
      </c>
      <c r="U765" s="1" t="s">
        <v>23</v>
      </c>
      <c r="V765" s="1" t="s">
        <v>3666</v>
      </c>
    </row>
    <row r="766" customFormat="false" ht="13.8" hidden="false" customHeight="false" outlineLevel="0" collapsed="false">
      <c r="A766" s="1" t="n">
        <v>765</v>
      </c>
      <c r="B766" s="2" t="s">
        <v>3667</v>
      </c>
      <c r="C766" s="1" t="n">
        <v>3</v>
      </c>
      <c r="D766" s="1" t="n">
        <v>10</v>
      </c>
      <c r="E766" s="1" t="n">
        <v>16</v>
      </c>
      <c r="F766" s="1" t="n">
        <v>30</v>
      </c>
      <c r="G766" s="1" t="n">
        <v>37</v>
      </c>
      <c r="H766" s="1" t="n">
        <v>50</v>
      </c>
      <c r="I766" s="1" t="str">
        <f aca="false">RIGHT(("0"&amp;C766),2)&amp;RIGHT(("0"&amp;D766),2)&amp;RIGHT(("0"&amp;E766),2)&amp;RIGHT(("0"&amp;F766),2)&amp;RIGHT(("0"&amp;G766),2)&amp;RIGHT(("0"&amp;H766),2)</f>
        <v>031016303750</v>
      </c>
      <c r="J766" s="1" t="n">
        <f aca="false">COUNTIF(I:I,I766)</f>
        <v>1</v>
      </c>
      <c r="K766" s="1" t="n">
        <v>0</v>
      </c>
      <c r="M766" s="1" t="s">
        <v>23</v>
      </c>
      <c r="N766" s="1" t="n">
        <v>62</v>
      </c>
      <c r="O766" s="1" t="s">
        <v>3668</v>
      </c>
      <c r="P766" s="1" t="n">
        <v>4336</v>
      </c>
      <c r="Q766" s="1" t="s">
        <v>3669</v>
      </c>
      <c r="R766" s="1" t="s">
        <v>3670</v>
      </c>
      <c r="S766" s="1" t="s">
        <v>23</v>
      </c>
      <c r="T766" s="1" t="s">
        <v>23</v>
      </c>
      <c r="U766" s="1" t="s">
        <v>23</v>
      </c>
      <c r="V766" s="1" t="s">
        <v>3671</v>
      </c>
    </row>
    <row r="767" customFormat="false" ht="13.8" hidden="false" customHeight="false" outlineLevel="0" collapsed="false">
      <c r="A767" s="1" t="n">
        <v>766</v>
      </c>
      <c r="B767" s="2" t="s">
        <v>3672</v>
      </c>
      <c r="C767" s="1" t="n">
        <v>1</v>
      </c>
      <c r="D767" s="1" t="n">
        <v>19</v>
      </c>
      <c r="E767" s="1" t="n">
        <v>24</v>
      </c>
      <c r="F767" s="1" t="n">
        <v>42</v>
      </c>
      <c r="G767" s="1" t="n">
        <v>50</v>
      </c>
      <c r="H767" s="1" t="n">
        <v>58</v>
      </c>
      <c r="I767" s="1" t="str">
        <f aca="false">RIGHT(("0"&amp;C767),2)&amp;RIGHT(("0"&amp;D767),2)&amp;RIGHT(("0"&amp;E767),2)&amp;RIGHT(("0"&amp;F767),2)&amp;RIGHT(("0"&amp;G767),2)&amp;RIGHT(("0"&amp;H767),2)</f>
        <v>011924425058</v>
      </c>
      <c r="J767" s="1" t="n">
        <f aca="false">COUNTIF(I:I,I767)</f>
        <v>1</v>
      </c>
      <c r="K767" s="1" t="n">
        <v>0</v>
      </c>
      <c r="M767" s="1" t="s">
        <v>23</v>
      </c>
      <c r="N767" s="1" t="n">
        <v>63</v>
      </c>
      <c r="O767" s="1" t="s">
        <v>3673</v>
      </c>
      <c r="P767" s="1" t="n">
        <v>4477</v>
      </c>
      <c r="Q767" s="1" t="s">
        <v>3674</v>
      </c>
      <c r="R767" s="1" t="s">
        <v>3675</v>
      </c>
      <c r="S767" s="1" t="s">
        <v>23</v>
      </c>
      <c r="T767" s="1" t="s">
        <v>23</v>
      </c>
      <c r="U767" s="1" t="s">
        <v>23</v>
      </c>
      <c r="V767" s="1" t="s">
        <v>3676</v>
      </c>
    </row>
    <row r="768" customFormat="false" ht="13.8" hidden="false" customHeight="false" outlineLevel="0" collapsed="false">
      <c r="A768" s="1" t="n">
        <v>767</v>
      </c>
      <c r="B768" s="2" t="s">
        <v>3677</v>
      </c>
      <c r="C768" s="1" t="n">
        <v>15</v>
      </c>
      <c r="D768" s="1" t="n">
        <v>22</v>
      </c>
      <c r="E768" s="1" t="n">
        <v>32</v>
      </c>
      <c r="F768" s="1" t="n">
        <v>38</v>
      </c>
      <c r="G768" s="1" t="n">
        <v>50</v>
      </c>
      <c r="H768" s="1" t="n">
        <v>54</v>
      </c>
      <c r="I768" s="1" t="str">
        <f aca="false">RIGHT(("0"&amp;C768),2)&amp;RIGHT(("0"&amp;D768),2)&amp;RIGHT(("0"&amp;E768),2)&amp;RIGHT(("0"&amp;F768),2)&amp;RIGHT(("0"&amp;G768),2)&amp;RIGHT(("0"&amp;H768),2)</f>
        <v>152232385054</v>
      </c>
      <c r="J768" s="1" t="n">
        <f aca="false">COUNTIF(I:I,I768)</f>
        <v>1</v>
      </c>
      <c r="K768" s="1" t="n">
        <v>0</v>
      </c>
      <c r="M768" s="1" t="s">
        <v>23</v>
      </c>
      <c r="N768" s="1" t="n">
        <v>62</v>
      </c>
      <c r="O768" s="1" t="s">
        <v>3678</v>
      </c>
      <c r="P768" s="1" t="n">
        <v>4419</v>
      </c>
      <c r="Q768" s="1" t="s">
        <v>3679</v>
      </c>
      <c r="R768" s="1" t="s">
        <v>3680</v>
      </c>
      <c r="S768" s="1" t="s">
        <v>23</v>
      </c>
      <c r="T768" s="1" t="s">
        <v>23</v>
      </c>
      <c r="U768" s="1" t="s">
        <v>23</v>
      </c>
      <c r="V768" s="1" t="s">
        <v>3681</v>
      </c>
    </row>
    <row r="769" customFormat="false" ht="13.8" hidden="false" customHeight="false" outlineLevel="0" collapsed="false">
      <c r="A769" s="1" t="n">
        <v>768</v>
      </c>
      <c r="B769" s="2" t="s">
        <v>3682</v>
      </c>
      <c r="C769" s="1" t="n">
        <v>4</v>
      </c>
      <c r="D769" s="1" t="n">
        <v>8</v>
      </c>
      <c r="E769" s="1" t="n">
        <v>30</v>
      </c>
      <c r="F769" s="1" t="n">
        <v>33</v>
      </c>
      <c r="G769" s="1" t="n">
        <v>37</v>
      </c>
      <c r="H769" s="1" t="n">
        <v>59</v>
      </c>
      <c r="I769" s="1" t="str">
        <f aca="false">RIGHT(("0"&amp;C769),2)&amp;RIGHT(("0"&amp;D769),2)&amp;RIGHT(("0"&amp;E769),2)&amp;RIGHT(("0"&amp;F769),2)&amp;RIGHT(("0"&amp;G769),2)&amp;RIGHT(("0"&amp;H769),2)</f>
        <v>040830333759</v>
      </c>
      <c r="J769" s="1" t="n">
        <f aca="false">COUNTIF(I:I,I769)</f>
        <v>1</v>
      </c>
      <c r="K769" s="1" t="n">
        <v>1</v>
      </c>
      <c r="L769" s="1" t="s">
        <v>157</v>
      </c>
      <c r="M769" s="1" t="s">
        <v>3683</v>
      </c>
      <c r="N769" s="1" t="n">
        <v>93</v>
      </c>
      <c r="O769" s="1" t="s">
        <v>3684</v>
      </c>
      <c r="P769" s="1" t="n">
        <v>6408</v>
      </c>
      <c r="Q769" s="1" t="s">
        <v>1649</v>
      </c>
      <c r="R769" s="1" t="s">
        <v>23</v>
      </c>
      <c r="S769" s="1" t="s">
        <v>23</v>
      </c>
      <c r="T769" s="1" t="s">
        <v>23</v>
      </c>
      <c r="U769" s="1" t="s">
        <v>23</v>
      </c>
      <c r="V769" s="1" t="s">
        <v>3685</v>
      </c>
    </row>
    <row r="770" customFormat="false" ht="13.8" hidden="false" customHeight="false" outlineLevel="0" collapsed="false">
      <c r="A770" s="1" t="n">
        <v>769</v>
      </c>
      <c r="B770" s="2" t="s">
        <v>3686</v>
      </c>
      <c r="C770" s="1" t="n">
        <v>12</v>
      </c>
      <c r="D770" s="1" t="n">
        <v>16</v>
      </c>
      <c r="E770" s="1" t="n">
        <v>20</v>
      </c>
      <c r="F770" s="1" t="n">
        <v>21</v>
      </c>
      <c r="G770" s="1" t="n">
        <v>29</v>
      </c>
      <c r="H770" s="1" t="n">
        <v>50</v>
      </c>
      <c r="I770" s="1" t="str">
        <f aca="false">RIGHT(("0"&amp;C770),2)&amp;RIGHT(("0"&amp;D770),2)&amp;RIGHT(("0"&amp;E770),2)&amp;RIGHT(("0"&amp;F770),2)&amp;RIGHT(("0"&amp;G770),2)&amp;RIGHT(("0"&amp;H770),2)</f>
        <v>121620212950</v>
      </c>
      <c r="J770" s="1" t="n">
        <f aca="false">COUNTIF(I:I,I770)</f>
        <v>1</v>
      </c>
      <c r="K770" s="1" t="n">
        <v>0</v>
      </c>
      <c r="M770" s="1" t="s">
        <v>23</v>
      </c>
      <c r="N770" s="1" t="n">
        <v>49</v>
      </c>
      <c r="O770" s="1" t="s">
        <v>3687</v>
      </c>
      <c r="P770" s="1" t="n">
        <v>3078</v>
      </c>
      <c r="Q770" s="1" t="s">
        <v>3688</v>
      </c>
      <c r="R770" s="1" t="s">
        <v>3689</v>
      </c>
      <c r="S770" s="1" t="s">
        <v>23</v>
      </c>
      <c r="T770" s="1" t="s">
        <v>23</v>
      </c>
      <c r="U770" s="1" t="s">
        <v>23</v>
      </c>
      <c r="V770" s="1" t="s">
        <v>3690</v>
      </c>
    </row>
    <row r="771" customFormat="false" ht="13.8" hidden="false" customHeight="false" outlineLevel="0" collapsed="false">
      <c r="A771" s="1" t="n">
        <v>770</v>
      </c>
      <c r="B771" s="2" t="s">
        <v>3691</v>
      </c>
      <c r="C771" s="1" t="n">
        <v>4</v>
      </c>
      <c r="D771" s="1" t="n">
        <v>12</v>
      </c>
      <c r="E771" s="1" t="n">
        <v>25</v>
      </c>
      <c r="F771" s="1" t="n">
        <v>34</v>
      </c>
      <c r="G771" s="1" t="n">
        <v>35</v>
      </c>
      <c r="H771" s="1" t="n">
        <v>48</v>
      </c>
      <c r="I771" s="1" t="str">
        <f aca="false">RIGHT(("0"&amp;C771),2)&amp;RIGHT(("0"&amp;D771),2)&amp;RIGHT(("0"&amp;E771),2)&amp;RIGHT(("0"&amp;F771),2)&amp;RIGHT(("0"&amp;G771),2)&amp;RIGHT(("0"&amp;H771),2)</f>
        <v>041225343548</v>
      </c>
      <c r="J771" s="1" t="n">
        <f aca="false">COUNTIF(I:I,I771)</f>
        <v>1</v>
      </c>
      <c r="K771" s="1" t="n">
        <v>0</v>
      </c>
      <c r="M771" s="1" t="s">
        <v>23</v>
      </c>
      <c r="N771" s="1" t="n">
        <v>68</v>
      </c>
      <c r="O771" s="1" t="s">
        <v>3692</v>
      </c>
      <c r="P771" s="1" t="n">
        <v>5401</v>
      </c>
      <c r="Q771" s="1" t="s">
        <v>3693</v>
      </c>
      <c r="R771" s="1" t="s">
        <v>3694</v>
      </c>
      <c r="S771" s="1" t="s">
        <v>23</v>
      </c>
      <c r="T771" s="1" t="s">
        <v>23</v>
      </c>
      <c r="U771" s="1" t="s">
        <v>23</v>
      </c>
      <c r="V771" s="1" t="s">
        <v>3695</v>
      </c>
    </row>
    <row r="772" customFormat="false" ht="13.8" hidden="false" customHeight="false" outlineLevel="0" collapsed="false">
      <c r="A772" s="1" t="n">
        <v>771</v>
      </c>
      <c r="B772" s="2" t="s">
        <v>3696</v>
      </c>
      <c r="C772" s="1" t="n">
        <v>14</v>
      </c>
      <c r="D772" s="1" t="n">
        <v>21</v>
      </c>
      <c r="E772" s="1" t="n">
        <v>29</v>
      </c>
      <c r="F772" s="1" t="n">
        <v>34</v>
      </c>
      <c r="G772" s="1" t="n">
        <v>46</v>
      </c>
      <c r="H772" s="1" t="n">
        <v>47</v>
      </c>
      <c r="I772" s="1" t="str">
        <f aca="false">RIGHT(("0"&amp;C772),2)&amp;RIGHT(("0"&amp;D772),2)&amp;RIGHT(("0"&amp;E772),2)&amp;RIGHT(("0"&amp;F772),2)&amp;RIGHT(("0"&amp;G772),2)&amp;RIGHT(("0"&amp;H772),2)</f>
        <v>142129344647</v>
      </c>
      <c r="J772" s="1" t="n">
        <f aca="false">COUNTIF(I:I,I772)</f>
        <v>1</v>
      </c>
      <c r="K772" s="1" t="n">
        <v>0</v>
      </c>
      <c r="M772" s="1" t="s">
        <v>23</v>
      </c>
      <c r="N772" s="1" t="n">
        <v>69</v>
      </c>
      <c r="O772" s="1" t="s">
        <v>3697</v>
      </c>
      <c r="P772" s="1" t="n">
        <v>4559</v>
      </c>
      <c r="Q772" s="1" t="s">
        <v>3698</v>
      </c>
      <c r="R772" s="1" t="s">
        <v>3699</v>
      </c>
      <c r="S772" s="1" t="s">
        <v>23</v>
      </c>
      <c r="T772" s="1" t="s">
        <v>23</v>
      </c>
      <c r="U772" s="1" t="s">
        <v>23</v>
      </c>
      <c r="V772" s="1" t="s">
        <v>3700</v>
      </c>
    </row>
    <row r="773" customFormat="false" ht="13.8" hidden="false" customHeight="false" outlineLevel="0" collapsed="false">
      <c r="A773" s="1" t="n">
        <v>772</v>
      </c>
      <c r="B773" s="2" t="s">
        <v>3701</v>
      </c>
      <c r="C773" s="1" t="n">
        <v>10</v>
      </c>
      <c r="D773" s="1" t="n">
        <v>35</v>
      </c>
      <c r="E773" s="1" t="n">
        <v>38</v>
      </c>
      <c r="F773" s="1" t="n">
        <v>51</v>
      </c>
      <c r="G773" s="1" t="n">
        <v>52</v>
      </c>
      <c r="H773" s="1" t="n">
        <v>60</v>
      </c>
      <c r="I773" s="1" t="str">
        <f aca="false">RIGHT(("0"&amp;C773),2)&amp;RIGHT(("0"&amp;D773),2)&amp;RIGHT(("0"&amp;E773),2)&amp;RIGHT(("0"&amp;F773),2)&amp;RIGHT(("0"&amp;G773),2)&amp;RIGHT(("0"&amp;H773),2)</f>
        <v>103538515260</v>
      </c>
      <c r="J773" s="1" t="n">
        <f aca="false">COUNTIF(I:I,I773)</f>
        <v>1</v>
      </c>
      <c r="K773" s="1" t="n">
        <v>0</v>
      </c>
      <c r="M773" s="1" t="s">
        <v>23</v>
      </c>
      <c r="N773" s="1" t="n">
        <v>66</v>
      </c>
      <c r="O773" s="1" t="s">
        <v>3702</v>
      </c>
      <c r="P773" s="1" t="n">
        <v>5330</v>
      </c>
      <c r="Q773" s="1" t="s">
        <v>3703</v>
      </c>
      <c r="R773" s="1" t="s">
        <v>3704</v>
      </c>
      <c r="S773" s="1" t="s">
        <v>23</v>
      </c>
      <c r="T773" s="1" t="s">
        <v>3602</v>
      </c>
      <c r="U773" s="1" t="s">
        <v>23</v>
      </c>
    </row>
    <row r="774" customFormat="false" ht="13.8" hidden="false" customHeight="false" outlineLevel="0" collapsed="false">
      <c r="A774" s="1" t="n">
        <v>773</v>
      </c>
      <c r="B774" s="2" t="s">
        <v>3705</v>
      </c>
      <c r="C774" s="1" t="n">
        <v>3</v>
      </c>
      <c r="D774" s="1" t="n">
        <v>5</v>
      </c>
      <c r="E774" s="1" t="n">
        <v>14</v>
      </c>
      <c r="F774" s="1" t="n">
        <v>29</v>
      </c>
      <c r="G774" s="1" t="n">
        <v>34</v>
      </c>
      <c r="H774" s="1" t="n">
        <v>51</v>
      </c>
      <c r="I774" s="1" t="str">
        <f aca="false">RIGHT(("0"&amp;C774),2)&amp;RIGHT(("0"&amp;D774),2)&amp;RIGHT(("0"&amp;E774),2)&amp;RIGHT(("0"&amp;F774),2)&amp;RIGHT(("0"&amp;G774),2)&amp;RIGHT(("0"&amp;H774),2)</f>
        <v>030514293451</v>
      </c>
      <c r="J774" s="1" t="n">
        <f aca="false">COUNTIF(I:I,I774)</f>
        <v>1</v>
      </c>
      <c r="K774" s="1" t="n">
        <v>0</v>
      </c>
      <c r="M774" s="1" t="s">
        <v>23</v>
      </c>
      <c r="N774" s="1" t="n">
        <v>58</v>
      </c>
      <c r="O774" s="1" t="s">
        <v>3706</v>
      </c>
      <c r="P774" s="1" t="n">
        <v>4919</v>
      </c>
      <c r="Q774" s="1" t="s">
        <v>3707</v>
      </c>
      <c r="R774" s="1" t="s">
        <v>3708</v>
      </c>
      <c r="S774" s="1" t="s">
        <v>23</v>
      </c>
      <c r="T774" s="1" t="s">
        <v>23</v>
      </c>
      <c r="U774" s="1" t="s">
        <v>23</v>
      </c>
      <c r="V774" s="1" t="s">
        <v>3709</v>
      </c>
    </row>
    <row r="775" customFormat="false" ht="13.8" hidden="false" customHeight="false" outlineLevel="0" collapsed="false">
      <c r="A775" s="1" t="n">
        <v>774</v>
      </c>
      <c r="B775" s="2" t="s">
        <v>3710</v>
      </c>
      <c r="C775" s="1" t="n">
        <v>5</v>
      </c>
      <c r="D775" s="1" t="n">
        <v>10</v>
      </c>
      <c r="E775" s="1" t="n">
        <v>37</v>
      </c>
      <c r="F775" s="1" t="n">
        <v>46</v>
      </c>
      <c r="G775" s="1" t="n">
        <v>54</v>
      </c>
      <c r="H775" s="1" t="n">
        <v>58</v>
      </c>
      <c r="I775" s="1" t="str">
        <f aca="false">RIGHT(("0"&amp;C775),2)&amp;RIGHT(("0"&amp;D775),2)&amp;RIGHT(("0"&amp;E775),2)&amp;RIGHT(("0"&amp;F775),2)&amp;RIGHT(("0"&amp;G775),2)&amp;RIGHT(("0"&amp;H775),2)</f>
        <v>051037465458</v>
      </c>
      <c r="J775" s="1" t="n">
        <f aca="false">COUNTIF(I:I,I775)</f>
        <v>1</v>
      </c>
      <c r="K775" s="1" t="n">
        <v>1</v>
      </c>
      <c r="L775" s="1" t="s">
        <v>3663</v>
      </c>
      <c r="M775" s="1" t="s">
        <v>3711</v>
      </c>
      <c r="N775" s="1" t="n">
        <v>64</v>
      </c>
      <c r="O775" s="1" t="s">
        <v>3712</v>
      </c>
      <c r="P775" s="1" t="n">
        <v>4336</v>
      </c>
      <c r="Q775" s="1" t="s">
        <v>3713</v>
      </c>
      <c r="R775" s="1" t="s">
        <v>23</v>
      </c>
      <c r="S775" s="1" t="s">
        <v>23</v>
      </c>
      <c r="T775" s="1" t="s">
        <v>23</v>
      </c>
      <c r="U775" s="1" t="s">
        <v>23</v>
      </c>
      <c r="V775" s="1" t="s">
        <v>3714</v>
      </c>
    </row>
    <row r="776" customFormat="false" ht="13.8" hidden="false" customHeight="false" outlineLevel="0" collapsed="false">
      <c r="A776" s="1" t="n">
        <v>775</v>
      </c>
      <c r="B776" s="2" t="s">
        <v>3715</v>
      </c>
      <c r="C776" s="1" t="n">
        <v>12</v>
      </c>
      <c r="D776" s="1" t="n">
        <v>27</v>
      </c>
      <c r="E776" s="1" t="n">
        <v>42</v>
      </c>
      <c r="F776" s="1" t="n">
        <v>46</v>
      </c>
      <c r="G776" s="1" t="n">
        <v>47</v>
      </c>
      <c r="H776" s="1" t="n">
        <v>50</v>
      </c>
      <c r="I776" s="1" t="str">
        <f aca="false">RIGHT(("0"&amp;C776),2)&amp;RIGHT(("0"&amp;D776),2)&amp;RIGHT(("0"&amp;E776),2)&amp;RIGHT(("0"&amp;F776),2)&amp;RIGHT(("0"&amp;G776),2)&amp;RIGHT(("0"&amp;H776),2)</f>
        <v>122742464750</v>
      </c>
      <c r="J776" s="1" t="n">
        <f aca="false">COUNTIF(I:I,I776)</f>
        <v>1</v>
      </c>
      <c r="K776" s="1" t="n">
        <v>0</v>
      </c>
      <c r="M776" s="1" t="s">
        <v>23</v>
      </c>
      <c r="N776" s="1" t="n">
        <v>30</v>
      </c>
      <c r="O776" s="1" t="s">
        <v>3716</v>
      </c>
      <c r="P776" s="1" t="n">
        <v>3058</v>
      </c>
      <c r="Q776" s="1" t="s">
        <v>1918</v>
      </c>
      <c r="R776" s="1" t="s">
        <v>3717</v>
      </c>
      <c r="S776" s="1" t="s">
        <v>23</v>
      </c>
      <c r="T776" s="1" t="s">
        <v>23</v>
      </c>
      <c r="U776" s="1" t="s">
        <v>23</v>
      </c>
      <c r="V776" s="1" t="s">
        <v>3718</v>
      </c>
    </row>
    <row r="777" customFormat="false" ht="13.8" hidden="false" customHeight="false" outlineLevel="0" collapsed="false">
      <c r="A777" s="1" t="n">
        <v>776</v>
      </c>
      <c r="B777" s="2" t="s">
        <v>3719</v>
      </c>
      <c r="C777" s="1" t="n">
        <v>3</v>
      </c>
      <c r="D777" s="1" t="n">
        <v>15</v>
      </c>
      <c r="E777" s="1" t="n">
        <v>35</v>
      </c>
      <c r="F777" s="1" t="n">
        <v>41</v>
      </c>
      <c r="G777" s="1" t="n">
        <v>57</v>
      </c>
      <c r="H777" s="1" t="n">
        <v>60</v>
      </c>
      <c r="I777" s="1" t="str">
        <f aca="false">RIGHT(("0"&amp;C777),2)&amp;RIGHT(("0"&amp;D777),2)&amp;RIGHT(("0"&amp;E777),2)&amp;RIGHT(("0"&amp;F777),2)&amp;RIGHT(("0"&amp;G777),2)&amp;RIGHT(("0"&amp;H777),2)</f>
        <v>031535415760</v>
      </c>
      <c r="J777" s="1" t="n">
        <f aca="false">COUNTIF(I:I,I777)</f>
        <v>1</v>
      </c>
      <c r="K777" s="1" t="n">
        <v>0</v>
      </c>
      <c r="M777" s="1" t="s">
        <v>23</v>
      </c>
      <c r="N777" s="1" t="n">
        <v>56</v>
      </c>
      <c r="O777" s="1" t="s">
        <v>3720</v>
      </c>
      <c r="P777" s="1" t="n">
        <v>3075</v>
      </c>
      <c r="Q777" s="1" t="s">
        <v>3721</v>
      </c>
      <c r="R777" s="1" t="s">
        <v>3722</v>
      </c>
      <c r="S777" s="1" t="s">
        <v>23</v>
      </c>
      <c r="T777" s="1" t="s">
        <v>23</v>
      </c>
      <c r="U777" s="1" t="s">
        <v>23</v>
      </c>
      <c r="V777" s="1" t="s">
        <v>3723</v>
      </c>
    </row>
    <row r="778" customFormat="false" ht="13.8" hidden="false" customHeight="false" outlineLevel="0" collapsed="false">
      <c r="A778" s="1" t="n">
        <v>777</v>
      </c>
      <c r="B778" s="2" t="s">
        <v>3724</v>
      </c>
      <c r="C778" s="1" t="n">
        <v>2</v>
      </c>
      <c r="D778" s="1" t="n">
        <v>14</v>
      </c>
      <c r="E778" s="1" t="n">
        <v>23</v>
      </c>
      <c r="F778" s="1" t="n">
        <v>28</v>
      </c>
      <c r="G778" s="1" t="n">
        <v>50</v>
      </c>
      <c r="H778" s="1" t="n">
        <v>56</v>
      </c>
      <c r="I778" s="1" t="str">
        <f aca="false">RIGHT(("0"&amp;C778),2)&amp;RIGHT(("0"&amp;D778),2)&amp;RIGHT(("0"&amp;E778),2)&amp;RIGHT(("0"&amp;F778),2)&amp;RIGHT(("0"&amp;G778),2)&amp;RIGHT(("0"&amp;H778),2)</f>
        <v>021423285056</v>
      </c>
      <c r="J778" s="1" t="n">
        <f aca="false">COUNTIF(I:I,I778)</f>
        <v>1</v>
      </c>
      <c r="K778" s="1" t="n">
        <v>0</v>
      </c>
      <c r="M778" s="1" t="s">
        <v>23</v>
      </c>
      <c r="N778" s="1" t="n">
        <v>80</v>
      </c>
      <c r="O778" s="1" t="s">
        <v>3725</v>
      </c>
      <c r="P778" s="1" t="n">
        <v>3943</v>
      </c>
      <c r="Q778" s="1" t="s">
        <v>690</v>
      </c>
      <c r="R778" s="1" t="s">
        <v>3726</v>
      </c>
      <c r="S778" s="1" t="s">
        <v>23</v>
      </c>
      <c r="T778" s="1" t="s">
        <v>3727</v>
      </c>
      <c r="U778" s="1" t="s">
        <v>23</v>
      </c>
      <c r="V778" s="1" t="s">
        <v>3728</v>
      </c>
    </row>
    <row r="779" customFormat="false" ht="13.8" hidden="false" customHeight="false" outlineLevel="0" collapsed="false">
      <c r="A779" s="1" t="n">
        <v>778</v>
      </c>
      <c r="B779" s="2" t="s">
        <v>3729</v>
      </c>
      <c r="C779" s="1" t="n">
        <v>20</v>
      </c>
      <c r="D779" s="1" t="n">
        <v>31</v>
      </c>
      <c r="E779" s="1" t="n">
        <v>36</v>
      </c>
      <c r="F779" s="1" t="n">
        <v>37</v>
      </c>
      <c r="G779" s="1" t="n">
        <v>45</v>
      </c>
      <c r="H779" s="1" t="n">
        <v>51</v>
      </c>
      <c r="I779" s="1" t="str">
        <f aca="false">RIGHT(("0"&amp;C779),2)&amp;RIGHT(("0"&amp;D779),2)&amp;RIGHT(("0"&amp;E779),2)&amp;RIGHT(("0"&amp;F779),2)&amp;RIGHT(("0"&amp;G779),2)&amp;RIGHT(("0"&amp;H779),2)</f>
        <v>203136374551</v>
      </c>
      <c r="J779" s="1" t="n">
        <f aca="false">COUNTIF(I:I,I779)</f>
        <v>1</v>
      </c>
      <c r="K779" s="1" t="n">
        <v>0</v>
      </c>
      <c r="M779" s="1" t="s">
        <v>23</v>
      </c>
      <c r="N779" s="1" t="n">
        <v>21</v>
      </c>
      <c r="O779" s="1" t="s">
        <v>3730</v>
      </c>
      <c r="P779" s="1" t="n">
        <v>1890</v>
      </c>
      <c r="Q779" s="1" t="s">
        <v>3731</v>
      </c>
      <c r="R779" s="1" t="s">
        <v>3732</v>
      </c>
      <c r="S779" s="1" t="s">
        <v>23</v>
      </c>
      <c r="T779" s="1" t="s">
        <v>23</v>
      </c>
      <c r="U779" s="1" t="s">
        <v>23</v>
      </c>
      <c r="V779" s="1" t="s">
        <v>3733</v>
      </c>
    </row>
    <row r="780" customFormat="false" ht="13.8" hidden="false" customHeight="false" outlineLevel="0" collapsed="false">
      <c r="A780" s="1" t="n">
        <v>779</v>
      </c>
      <c r="B780" s="2" t="s">
        <v>3734</v>
      </c>
      <c r="C780" s="1" t="n">
        <v>25</v>
      </c>
      <c r="D780" s="1" t="n">
        <v>26</v>
      </c>
      <c r="E780" s="1" t="n">
        <v>29</v>
      </c>
      <c r="F780" s="1" t="n">
        <v>36</v>
      </c>
      <c r="G780" s="1" t="n">
        <v>52</v>
      </c>
      <c r="H780" s="1" t="n">
        <v>54</v>
      </c>
      <c r="I780" s="1" t="str">
        <f aca="false">RIGHT(("0"&amp;C780),2)&amp;RIGHT(("0"&amp;D780),2)&amp;RIGHT(("0"&amp;E780),2)&amp;RIGHT(("0"&amp;F780),2)&amp;RIGHT(("0"&amp;G780),2)&amp;RIGHT(("0"&amp;H780),2)</f>
        <v>252629365254</v>
      </c>
      <c r="J780" s="1" t="n">
        <f aca="false">COUNTIF(I:I,I780)</f>
        <v>1</v>
      </c>
      <c r="K780" s="1" t="n">
        <v>0</v>
      </c>
      <c r="M780" s="1" t="s">
        <v>23</v>
      </c>
      <c r="N780" s="1" t="n">
        <v>26</v>
      </c>
      <c r="O780" s="1" t="s">
        <v>3735</v>
      </c>
      <c r="P780" s="1" t="n">
        <v>3127</v>
      </c>
      <c r="Q780" s="1" t="s">
        <v>3736</v>
      </c>
      <c r="R780" s="1" t="s">
        <v>3737</v>
      </c>
      <c r="S780" s="1" t="s">
        <v>23</v>
      </c>
      <c r="T780" s="1" t="s">
        <v>23</v>
      </c>
      <c r="U780" s="1" t="s">
        <v>23</v>
      </c>
      <c r="V780" s="1" t="s">
        <v>3738</v>
      </c>
    </row>
    <row r="781" customFormat="false" ht="13.8" hidden="false" customHeight="false" outlineLevel="0" collapsed="false">
      <c r="A781" s="1" t="n">
        <v>780</v>
      </c>
      <c r="B781" s="2" t="s">
        <v>3739</v>
      </c>
      <c r="C781" s="1" t="n">
        <v>7</v>
      </c>
      <c r="D781" s="1" t="n">
        <v>10</v>
      </c>
      <c r="E781" s="1" t="n">
        <v>28</v>
      </c>
      <c r="F781" s="1" t="n">
        <v>50</v>
      </c>
      <c r="G781" s="1" t="n">
        <v>51</v>
      </c>
      <c r="H781" s="1" t="n">
        <v>59</v>
      </c>
      <c r="I781" s="1" t="str">
        <f aca="false">RIGHT(("0"&amp;C781),2)&amp;RIGHT(("0"&amp;D781),2)&amp;RIGHT(("0"&amp;E781),2)&amp;RIGHT(("0"&amp;F781),2)&amp;RIGHT(("0"&amp;G781),2)&amp;RIGHT(("0"&amp;H781),2)</f>
        <v>071028505159</v>
      </c>
      <c r="J781" s="1" t="n">
        <f aca="false">COUNTIF(I:I,I781)</f>
        <v>1</v>
      </c>
      <c r="K781" s="1" t="n">
        <v>0</v>
      </c>
      <c r="M781" s="1" t="s">
        <v>23</v>
      </c>
      <c r="N781" s="1" t="n">
        <v>43</v>
      </c>
      <c r="O781" s="1" t="s">
        <v>3740</v>
      </c>
      <c r="P781" s="1" t="n">
        <v>3828</v>
      </c>
      <c r="Q781" s="1" t="s">
        <v>3741</v>
      </c>
      <c r="R781" s="1" t="s">
        <v>3742</v>
      </c>
      <c r="S781" s="1" t="s">
        <v>23</v>
      </c>
      <c r="T781" s="1" t="s">
        <v>23</v>
      </c>
      <c r="U781" s="1" t="s">
        <v>23</v>
      </c>
      <c r="V781" s="1" t="s">
        <v>3743</v>
      </c>
    </row>
    <row r="782" customFormat="false" ht="13.8" hidden="false" customHeight="false" outlineLevel="0" collapsed="false">
      <c r="A782" s="1" t="n">
        <v>781</v>
      </c>
      <c r="B782" s="2" t="s">
        <v>3744</v>
      </c>
      <c r="C782" s="1" t="n">
        <v>8</v>
      </c>
      <c r="D782" s="1" t="n">
        <v>10</v>
      </c>
      <c r="E782" s="1" t="n">
        <v>13</v>
      </c>
      <c r="F782" s="1" t="n">
        <v>39</v>
      </c>
      <c r="G782" s="1" t="n">
        <v>54</v>
      </c>
      <c r="H782" s="1" t="n">
        <v>56</v>
      </c>
      <c r="I782" s="1" t="str">
        <f aca="false">RIGHT(("0"&amp;C782),2)&amp;RIGHT(("0"&amp;D782),2)&amp;RIGHT(("0"&amp;E782),2)&amp;RIGHT(("0"&amp;F782),2)&amp;RIGHT(("0"&amp;G782),2)&amp;RIGHT(("0"&amp;H782),2)</f>
        <v>081013395456</v>
      </c>
      <c r="J782" s="1" t="n">
        <f aca="false">COUNTIF(I:I,I782)</f>
        <v>1</v>
      </c>
      <c r="K782" s="1" t="n">
        <v>0</v>
      </c>
      <c r="M782" s="1" t="s">
        <v>23</v>
      </c>
      <c r="N782" s="1" t="n">
        <v>66</v>
      </c>
      <c r="O782" s="1" t="s">
        <v>3745</v>
      </c>
      <c r="P782" s="1" t="n">
        <v>5707</v>
      </c>
      <c r="Q782" s="1" t="s">
        <v>3746</v>
      </c>
      <c r="R782" s="1" t="s">
        <v>3747</v>
      </c>
      <c r="S782" s="1" t="s">
        <v>23</v>
      </c>
      <c r="T782" s="1" t="s">
        <v>23</v>
      </c>
      <c r="U782" s="1" t="s">
        <v>23</v>
      </c>
      <c r="V782" s="1" t="s">
        <v>3748</v>
      </c>
    </row>
    <row r="783" customFormat="false" ht="13.8" hidden="false" customHeight="false" outlineLevel="0" collapsed="false">
      <c r="A783" s="1" t="n">
        <v>782</v>
      </c>
      <c r="B783" s="2" t="s">
        <v>3749</v>
      </c>
      <c r="C783" s="1" t="n">
        <v>2</v>
      </c>
      <c r="D783" s="1" t="n">
        <v>11</v>
      </c>
      <c r="E783" s="1" t="n">
        <v>23</v>
      </c>
      <c r="F783" s="1" t="n">
        <v>35</v>
      </c>
      <c r="G783" s="1" t="n">
        <v>42</v>
      </c>
      <c r="H783" s="1" t="n">
        <v>59</v>
      </c>
      <c r="I783" s="1" t="str">
        <f aca="false">RIGHT(("0"&amp;C783),2)&amp;RIGHT(("0"&amp;D783),2)&amp;RIGHT(("0"&amp;E783),2)&amp;RIGHT(("0"&amp;F783),2)&amp;RIGHT(("0"&amp;G783),2)&amp;RIGHT(("0"&amp;H783),2)</f>
        <v>021123354259</v>
      </c>
      <c r="J783" s="1" t="n">
        <f aca="false">COUNTIF(I:I,I783)</f>
        <v>1</v>
      </c>
      <c r="K783" s="1" t="n">
        <v>0</v>
      </c>
      <c r="M783" s="1" t="s">
        <v>23</v>
      </c>
      <c r="N783" s="1" t="n">
        <v>144</v>
      </c>
      <c r="O783" s="1" t="s">
        <v>3750</v>
      </c>
      <c r="P783" s="1" t="n">
        <v>7533</v>
      </c>
      <c r="Q783" s="1" t="s">
        <v>3751</v>
      </c>
      <c r="R783" s="1" t="s">
        <v>3752</v>
      </c>
      <c r="S783" s="1" t="s">
        <v>23</v>
      </c>
      <c r="T783" s="1" t="s">
        <v>23</v>
      </c>
      <c r="U783" s="1" t="s">
        <v>23</v>
      </c>
      <c r="V783" s="1" t="s">
        <v>3753</v>
      </c>
    </row>
    <row r="784" customFormat="false" ht="13.8" hidden="false" customHeight="false" outlineLevel="0" collapsed="false">
      <c r="A784" s="1" t="n">
        <v>783</v>
      </c>
      <c r="B784" s="2" t="s">
        <v>3754</v>
      </c>
      <c r="C784" s="1" t="n">
        <v>4</v>
      </c>
      <c r="D784" s="1" t="n">
        <v>8</v>
      </c>
      <c r="E784" s="1" t="n">
        <v>21</v>
      </c>
      <c r="F784" s="1" t="n">
        <v>32</v>
      </c>
      <c r="G784" s="1" t="n">
        <v>43</v>
      </c>
      <c r="H784" s="1" t="n">
        <v>48</v>
      </c>
      <c r="I784" s="1" t="str">
        <f aca="false">RIGHT(("0"&amp;C784),2)&amp;RIGHT(("0"&amp;D784),2)&amp;RIGHT(("0"&amp;E784),2)&amp;RIGHT(("0"&amp;F784),2)&amp;RIGHT(("0"&amp;G784),2)&amp;RIGHT(("0"&amp;H784),2)</f>
        <v>040821324348</v>
      </c>
      <c r="J784" s="1" t="n">
        <f aca="false">COUNTIF(I:I,I784)</f>
        <v>1</v>
      </c>
      <c r="K784" s="1" t="n">
        <v>1</v>
      </c>
      <c r="L784" s="1" t="s">
        <v>2538</v>
      </c>
      <c r="M784" s="1" t="s">
        <v>3755</v>
      </c>
      <c r="N784" s="1" t="n">
        <v>140</v>
      </c>
      <c r="O784" s="1" t="s">
        <v>3756</v>
      </c>
      <c r="P784" s="1" t="n">
        <v>8427</v>
      </c>
      <c r="Q784" s="1" t="s">
        <v>3757</v>
      </c>
      <c r="R784" s="1" t="s">
        <v>23</v>
      </c>
      <c r="S784" s="1" t="s">
        <v>23</v>
      </c>
      <c r="T784" s="1" t="s">
        <v>23</v>
      </c>
      <c r="U784" s="1" t="s">
        <v>23</v>
      </c>
      <c r="V784" s="1" t="s">
        <v>3758</v>
      </c>
    </row>
    <row r="785" customFormat="false" ht="13.8" hidden="false" customHeight="false" outlineLevel="0" collapsed="false">
      <c r="A785" s="1" t="n">
        <v>784</v>
      </c>
      <c r="B785" s="2" t="s">
        <v>3759</v>
      </c>
      <c r="C785" s="1" t="n">
        <v>8</v>
      </c>
      <c r="D785" s="1" t="n">
        <v>27</v>
      </c>
      <c r="E785" s="1" t="n">
        <v>37</v>
      </c>
      <c r="F785" s="1" t="n">
        <v>42</v>
      </c>
      <c r="G785" s="1" t="n">
        <v>53</v>
      </c>
      <c r="H785" s="1" t="n">
        <v>56</v>
      </c>
      <c r="I785" s="1" t="str">
        <f aca="false">RIGHT(("0"&amp;C785),2)&amp;RIGHT(("0"&amp;D785),2)&amp;RIGHT(("0"&amp;E785),2)&amp;RIGHT(("0"&amp;F785),2)&amp;RIGHT(("0"&amp;G785),2)&amp;RIGHT(("0"&amp;H785),2)</f>
        <v>082737425356</v>
      </c>
      <c r="J785" s="1" t="n">
        <f aca="false">COUNTIF(I:I,I785)</f>
        <v>1</v>
      </c>
      <c r="K785" s="1" t="n">
        <v>0</v>
      </c>
      <c r="M785" s="1" t="s">
        <v>23</v>
      </c>
      <c r="N785" s="1" t="n">
        <v>27</v>
      </c>
      <c r="O785" s="1" t="s">
        <v>3760</v>
      </c>
      <c r="P785" s="1" t="n">
        <v>2163</v>
      </c>
      <c r="Q785" s="1" t="s">
        <v>3761</v>
      </c>
      <c r="R785" s="1" t="s">
        <v>3762</v>
      </c>
      <c r="S785" s="1" t="s">
        <v>23</v>
      </c>
      <c r="T785" s="1" t="s">
        <v>23</v>
      </c>
      <c r="U785" s="1" t="s">
        <v>23</v>
      </c>
      <c r="V785" s="1" t="s">
        <v>3763</v>
      </c>
    </row>
    <row r="786" customFormat="false" ht="13.8" hidden="false" customHeight="false" outlineLevel="0" collapsed="false">
      <c r="A786" s="1" t="n">
        <v>785</v>
      </c>
      <c r="B786" s="2" t="s">
        <v>3764</v>
      </c>
      <c r="C786" s="1" t="n">
        <v>5</v>
      </c>
      <c r="D786" s="1" t="n">
        <v>8</v>
      </c>
      <c r="E786" s="1" t="n">
        <v>17</v>
      </c>
      <c r="F786" s="1" t="n">
        <v>35</v>
      </c>
      <c r="G786" s="1" t="n">
        <v>37</v>
      </c>
      <c r="H786" s="1" t="n">
        <v>48</v>
      </c>
      <c r="I786" s="1" t="str">
        <f aca="false">RIGHT(("0"&amp;C786),2)&amp;RIGHT(("0"&amp;D786),2)&amp;RIGHT(("0"&amp;E786),2)&amp;RIGHT(("0"&amp;F786),2)&amp;RIGHT(("0"&amp;G786),2)&amp;RIGHT(("0"&amp;H786),2)</f>
        <v>050817353748</v>
      </c>
      <c r="J786" s="1" t="n">
        <f aca="false">COUNTIF(I:I,I786)</f>
        <v>1</v>
      </c>
      <c r="K786" s="1" t="n">
        <v>1</v>
      </c>
      <c r="L786" s="1" t="s">
        <v>66</v>
      </c>
      <c r="M786" s="1" t="s">
        <v>3765</v>
      </c>
      <c r="N786" s="1" t="n">
        <v>126</v>
      </c>
      <c r="O786" s="1" t="s">
        <v>3766</v>
      </c>
      <c r="P786" s="1" t="n">
        <v>6657</v>
      </c>
      <c r="Q786" s="1" t="s">
        <v>3767</v>
      </c>
      <c r="R786" s="1" t="s">
        <v>23</v>
      </c>
      <c r="S786" s="1" t="s">
        <v>23</v>
      </c>
      <c r="T786" s="1" t="s">
        <v>23</v>
      </c>
      <c r="U786" s="1" t="s">
        <v>23</v>
      </c>
      <c r="V786" s="1" t="s">
        <v>3768</v>
      </c>
    </row>
    <row r="787" customFormat="false" ht="13.8" hidden="false" customHeight="false" outlineLevel="0" collapsed="false">
      <c r="A787" s="1" t="n">
        <v>786</v>
      </c>
      <c r="B787" s="2" t="s">
        <v>3769</v>
      </c>
      <c r="C787" s="1" t="n">
        <v>10</v>
      </c>
      <c r="D787" s="1" t="n">
        <v>11</v>
      </c>
      <c r="E787" s="1" t="n">
        <v>26</v>
      </c>
      <c r="F787" s="1" t="n">
        <v>27</v>
      </c>
      <c r="G787" s="1" t="n">
        <v>31</v>
      </c>
      <c r="H787" s="1" t="n">
        <v>41</v>
      </c>
      <c r="I787" s="1" t="str">
        <f aca="false">RIGHT(("0"&amp;C787),2)&amp;RIGHT(("0"&amp;D787),2)&amp;RIGHT(("0"&amp;E787),2)&amp;RIGHT(("0"&amp;F787),2)&amp;RIGHT(("0"&amp;G787),2)&amp;RIGHT(("0"&amp;H787),2)</f>
        <v>101126273141</v>
      </c>
      <c r="J787" s="1" t="n">
        <f aca="false">COUNTIF(I:I,I787)</f>
        <v>1</v>
      </c>
      <c r="K787" s="1" t="n">
        <v>0</v>
      </c>
      <c r="M787" s="1" t="s">
        <v>23</v>
      </c>
      <c r="N787" s="1" t="n">
        <v>19</v>
      </c>
      <c r="O787" s="1" t="s">
        <v>3770</v>
      </c>
      <c r="P787" s="1" t="n">
        <v>1521</v>
      </c>
      <c r="Q787" s="1" t="s">
        <v>3771</v>
      </c>
      <c r="R787" s="1" t="s">
        <v>3772</v>
      </c>
      <c r="S787" s="1" t="s">
        <v>23</v>
      </c>
      <c r="T787" s="1" t="s">
        <v>23</v>
      </c>
      <c r="U787" s="1" t="s">
        <v>23</v>
      </c>
      <c r="V787" s="1" t="s">
        <v>3773</v>
      </c>
    </row>
    <row r="788" customFormat="false" ht="13.8" hidden="false" customHeight="false" outlineLevel="0" collapsed="false">
      <c r="A788" s="1" t="n">
        <v>787</v>
      </c>
      <c r="B788" s="2" t="s">
        <v>3774</v>
      </c>
      <c r="C788" s="1" t="n">
        <v>20</v>
      </c>
      <c r="D788" s="1" t="n">
        <v>31</v>
      </c>
      <c r="E788" s="1" t="n">
        <v>34</v>
      </c>
      <c r="F788" s="1" t="n">
        <v>37</v>
      </c>
      <c r="G788" s="1" t="n">
        <v>54</v>
      </c>
      <c r="H788" s="1" t="n">
        <v>60</v>
      </c>
      <c r="I788" s="1" t="str">
        <f aca="false">RIGHT(("0"&amp;C788),2)&amp;RIGHT(("0"&amp;D788),2)&amp;RIGHT(("0"&amp;E788),2)&amp;RIGHT(("0"&amp;F788),2)&amp;RIGHT(("0"&amp;G788),2)&amp;RIGHT(("0"&amp;H788),2)</f>
        <v>203134375460</v>
      </c>
      <c r="J788" s="1" t="n">
        <f aca="false">COUNTIF(I:I,I788)</f>
        <v>1</v>
      </c>
      <c r="K788" s="1" t="n">
        <v>0</v>
      </c>
      <c r="M788" s="1" t="s">
        <v>23</v>
      </c>
      <c r="N788" s="1" t="n">
        <v>40</v>
      </c>
      <c r="O788" s="1" t="s">
        <v>3775</v>
      </c>
      <c r="P788" s="1" t="n">
        <v>1955</v>
      </c>
      <c r="Q788" s="1" t="s">
        <v>3776</v>
      </c>
      <c r="R788" s="1" t="s">
        <v>3777</v>
      </c>
      <c r="S788" s="1" t="s">
        <v>23</v>
      </c>
      <c r="T788" s="1" t="s">
        <v>23</v>
      </c>
      <c r="U788" s="1" t="s">
        <v>23</v>
      </c>
      <c r="V788" s="1" t="s">
        <v>3778</v>
      </c>
    </row>
    <row r="789" customFormat="false" ht="13.8" hidden="false" customHeight="false" outlineLevel="0" collapsed="false">
      <c r="A789" s="1" t="n">
        <v>788</v>
      </c>
      <c r="B789" s="2" t="s">
        <v>3779</v>
      </c>
      <c r="C789" s="1" t="n">
        <v>17</v>
      </c>
      <c r="D789" s="1" t="n">
        <v>19</v>
      </c>
      <c r="E789" s="1" t="n">
        <v>29</v>
      </c>
      <c r="F789" s="1" t="n">
        <v>31</v>
      </c>
      <c r="G789" s="1" t="n">
        <v>44</v>
      </c>
      <c r="H789" s="1" t="n">
        <v>57</v>
      </c>
      <c r="I789" s="1" t="str">
        <f aca="false">RIGHT(("0"&amp;C789),2)&amp;RIGHT(("0"&amp;D789),2)&amp;RIGHT(("0"&amp;E789),2)&amp;RIGHT(("0"&amp;F789),2)&amp;RIGHT(("0"&amp;G789),2)&amp;RIGHT(("0"&amp;H789),2)</f>
        <v>171929314457</v>
      </c>
      <c r="J789" s="1" t="n">
        <f aca="false">COUNTIF(I:I,I789)</f>
        <v>1</v>
      </c>
      <c r="K789" s="1" t="n">
        <v>0</v>
      </c>
      <c r="M789" s="1" t="s">
        <v>23</v>
      </c>
      <c r="N789" s="1" t="n">
        <v>62</v>
      </c>
      <c r="O789" s="1" t="s">
        <v>3780</v>
      </c>
      <c r="P789" s="1" t="n">
        <v>3247</v>
      </c>
      <c r="Q789" s="1" t="s">
        <v>3781</v>
      </c>
      <c r="R789" s="1" t="s">
        <v>3782</v>
      </c>
      <c r="S789" s="1" t="s">
        <v>23</v>
      </c>
      <c r="T789" s="1" t="s">
        <v>23</v>
      </c>
      <c r="U789" s="1" t="s">
        <v>23</v>
      </c>
      <c r="V789" s="1" t="s">
        <v>3783</v>
      </c>
    </row>
    <row r="790" customFormat="false" ht="13.8" hidden="false" customHeight="false" outlineLevel="0" collapsed="false">
      <c r="A790" s="1" t="n">
        <v>789</v>
      </c>
      <c r="B790" s="2" t="s">
        <v>3784</v>
      </c>
      <c r="C790" s="1" t="n">
        <v>6</v>
      </c>
      <c r="D790" s="1" t="n">
        <v>31</v>
      </c>
      <c r="E790" s="1" t="n">
        <v>38</v>
      </c>
      <c r="F790" s="1" t="n">
        <v>39</v>
      </c>
      <c r="G790" s="1" t="n">
        <v>50</v>
      </c>
      <c r="H790" s="1" t="n">
        <v>60</v>
      </c>
      <c r="I790" s="1" t="str">
        <f aca="false">RIGHT(("0"&amp;C790),2)&amp;RIGHT(("0"&amp;D790),2)&amp;RIGHT(("0"&amp;E790),2)&amp;RIGHT(("0"&amp;F790),2)&amp;RIGHT(("0"&amp;G790),2)&amp;RIGHT(("0"&amp;H790),2)</f>
        <v>063138395060</v>
      </c>
      <c r="J790" s="1" t="n">
        <f aca="false">COUNTIF(I:I,I790)</f>
        <v>1</v>
      </c>
      <c r="K790" s="1" t="n">
        <v>0</v>
      </c>
      <c r="M790" s="1" t="s">
        <v>23</v>
      </c>
      <c r="N790" s="1" t="n">
        <v>13</v>
      </c>
      <c r="O790" s="1" t="s">
        <v>3785</v>
      </c>
      <c r="P790" s="1" t="n">
        <v>1808</v>
      </c>
      <c r="Q790" s="1" t="s">
        <v>3786</v>
      </c>
      <c r="R790" s="1" t="s">
        <v>3787</v>
      </c>
      <c r="S790" s="1" t="s">
        <v>23</v>
      </c>
      <c r="T790" s="1" t="s">
        <v>23</v>
      </c>
      <c r="U790" s="1" t="s">
        <v>23</v>
      </c>
      <c r="V790" s="1" t="s">
        <v>3788</v>
      </c>
    </row>
    <row r="791" customFormat="false" ht="13.8" hidden="false" customHeight="false" outlineLevel="0" collapsed="false">
      <c r="A791" s="1" t="n">
        <v>790</v>
      </c>
      <c r="B791" s="2" t="s">
        <v>3789</v>
      </c>
      <c r="C791" s="1" t="n">
        <v>2</v>
      </c>
      <c r="D791" s="1" t="n">
        <v>6</v>
      </c>
      <c r="E791" s="1" t="n">
        <v>19</v>
      </c>
      <c r="F791" s="1" t="n">
        <v>22</v>
      </c>
      <c r="G791" s="1" t="n">
        <v>28</v>
      </c>
      <c r="H791" s="1" t="n">
        <v>43</v>
      </c>
      <c r="I791" s="1" t="str">
        <f aca="false">RIGHT(("0"&amp;C791),2)&amp;RIGHT(("0"&amp;D791),2)&amp;RIGHT(("0"&amp;E791),2)&amp;RIGHT(("0"&amp;F791),2)&amp;RIGHT(("0"&amp;G791),2)&amp;RIGHT(("0"&amp;H791),2)</f>
        <v>020619222843</v>
      </c>
      <c r="J791" s="1" t="n">
        <f aca="false">COUNTIF(I:I,I791)</f>
        <v>1</v>
      </c>
      <c r="K791" s="1" t="n">
        <v>0</v>
      </c>
      <c r="M791" s="1" t="s">
        <v>23</v>
      </c>
      <c r="N791" s="1" t="n">
        <v>71</v>
      </c>
      <c r="O791" s="1" t="s">
        <v>3790</v>
      </c>
      <c r="P791" s="1" t="n">
        <v>5884</v>
      </c>
      <c r="Q791" s="1" t="s">
        <v>3791</v>
      </c>
      <c r="R791" s="1" t="s">
        <v>3792</v>
      </c>
      <c r="S791" s="1" t="s">
        <v>23</v>
      </c>
      <c r="T791" s="1" t="s">
        <v>23</v>
      </c>
      <c r="U791" s="1" t="s">
        <v>23</v>
      </c>
      <c r="V791" s="1" t="s">
        <v>3793</v>
      </c>
    </row>
    <row r="792" customFormat="false" ht="13.8" hidden="false" customHeight="false" outlineLevel="0" collapsed="false">
      <c r="A792" s="1" t="n">
        <v>791</v>
      </c>
      <c r="B792" s="2" t="s">
        <v>3794</v>
      </c>
      <c r="C792" s="1" t="n">
        <v>9</v>
      </c>
      <c r="D792" s="1" t="n">
        <v>14</v>
      </c>
      <c r="E792" s="1" t="n">
        <v>19</v>
      </c>
      <c r="F792" s="1" t="n">
        <v>35</v>
      </c>
      <c r="G792" s="1" t="n">
        <v>42</v>
      </c>
      <c r="H792" s="1" t="n">
        <v>58</v>
      </c>
      <c r="I792" s="1" t="str">
        <f aca="false">RIGHT(("0"&amp;C792),2)&amp;RIGHT(("0"&amp;D792),2)&amp;RIGHT(("0"&amp;E792),2)&amp;RIGHT(("0"&amp;F792),2)&amp;RIGHT(("0"&amp;G792),2)&amp;RIGHT(("0"&amp;H792),2)</f>
        <v>091419354258</v>
      </c>
      <c r="J792" s="1" t="n">
        <f aca="false">COUNTIF(I:I,I792)</f>
        <v>1</v>
      </c>
      <c r="K792" s="1" t="n">
        <v>1</v>
      </c>
      <c r="L792" s="1" t="s">
        <v>91</v>
      </c>
      <c r="M792" s="1" t="s">
        <v>3795</v>
      </c>
      <c r="N792" s="1" t="n">
        <v>114</v>
      </c>
      <c r="O792" s="1" t="s">
        <v>3796</v>
      </c>
      <c r="P792" s="1" t="n">
        <v>5756</v>
      </c>
      <c r="Q792" s="1" t="s">
        <v>3797</v>
      </c>
      <c r="R792" s="1" t="s">
        <v>23</v>
      </c>
      <c r="S792" s="1" t="s">
        <v>23</v>
      </c>
      <c r="T792" s="1" t="s">
        <v>23</v>
      </c>
      <c r="U792" s="1" t="s">
        <v>23</v>
      </c>
      <c r="V792" s="1" t="s">
        <v>3798</v>
      </c>
    </row>
    <row r="793" customFormat="false" ht="13.8" hidden="false" customHeight="false" outlineLevel="0" collapsed="false">
      <c r="A793" s="1" t="n">
        <v>792</v>
      </c>
      <c r="B793" s="2" t="s">
        <v>3799</v>
      </c>
      <c r="C793" s="1" t="n">
        <v>9</v>
      </c>
      <c r="D793" s="1" t="n">
        <v>29</v>
      </c>
      <c r="E793" s="1" t="n">
        <v>34</v>
      </c>
      <c r="F793" s="1" t="n">
        <v>43</v>
      </c>
      <c r="G793" s="1" t="n">
        <v>45</v>
      </c>
      <c r="H793" s="1" t="n">
        <v>56</v>
      </c>
      <c r="I793" s="1" t="str">
        <f aca="false">RIGHT(("0"&amp;C793),2)&amp;RIGHT(("0"&amp;D793),2)&amp;RIGHT(("0"&amp;E793),2)&amp;RIGHT(("0"&amp;F793),2)&amp;RIGHT(("0"&amp;G793),2)&amp;RIGHT(("0"&amp;H793),2)</f>
        <v>092934434556</v>
      </c>
      <c r="J793" s="1" t="n">
        <f aca="false">COUNTIF(I:I,I793)</f>
        <v>1</v>
      </c>
      <c r="K793" s="1" t="n">
        <v>0</v>
      </c>
      <c r="M793" s="1" t="s">
        <v>23</v>
      </c>
      <c r="N793" s="1" t="n">
        <v>32</v>
      </c>
      <c r="O793" s="1" t="s">
        <v>3800</v>
      </c>
      <c r="P793" s="1" t="n">
        <v>1949</v>
      </c>
      <c r="Q793" s="1" t="s">
        <v>3801</v>
      </c>
      <c r="R793" s="1" t="s">
        <v>3802</v>
      </c>
      <c r="S793" s="1" t="s">
        <v>23</v>
      </c>
      <c r="T793" s="1" t="s">
        <v>23</v>
      </c>
      <c r="U793" s="1" t="s">
        <v>23</v>
      </c>
      <c r="V793" s="1" t="s">
        <v>3803</v>
      </c>
    </row>
    <row r="794" customFormat="false" ht="13.8" hidden="false" customHeight="false" outlineLevel="0" collapsed="false">
      <c r="A794" s="1" t="n">
        <v>793</v>
      </c>
      <c r="B794" s="2" t="s">
        <v>3804</v>
      </c>
      <c r="C794" s="1" t="n">
        <v>3</v>
      </c>
      <c r="D794" s="1" t="n">
        <v>15</v>
      </c>
      <c r="E794" s="1" t="n">
        <v>16</v>
      </c>
      <c r="F794" s="1" t="n">
        <v>33</v>
      </c>
      <c r="G794" s="1" t="n">
        <v>51</v>
      </c>
      <c r="H794" s="1" t="n">
        <v>57</v>
      </c>
      <c r="I794" s="1" t="str">
        <f aca="false">RIGHT(("0"&amp;C794),2)&amp;RIGHT(("0"&amp;D794),2)&amp;RIGHT(("0"&amp;E794),2)&amp;RIGHT(("0"&amp;F794),2)&amp;RIGHT(("0"&amp;G794),2)&amp;RIGHT(("0"&amp;H794),2)</f>
        <v>031516335157</v>
      </c>
      <c r="J794" s="1" t="n">
        <f aca="false">COUNTIF(I:I,I794)</f>
        <v>1</v>
      </c>
      <c r="K794" s="1" t="n">
        <v>0</v>
      </c>
      <c r="M794" s="1" t="s">
        <v>23</v>
      </c>
      <c r="N794" s="1" t="n">
        <v>62</v>
      </c>
      <c r="O794" s="1" t="s">
        <v>3805</v>
      </c>
      <c r="P794" s="1" t="n">
        <v>3629</v>
      </c>
      <c r="Q794" s="1" t="s">
        <v>3806</v>
      </c>
      <c r="R794" s="1" t="s">
        <v>3807</v>
      </c>
      <c r="S794" s="1" t="s">
        <v>23</v>
      </c>
      <c r="T794" s="1" t="s">
        <v>23</v>
      </c>
      <c r="U794" s="1" t="s">
        <v>23</v>
      </c>
      <c r="V794" s="1" t="s">
        <v>3808</v>
      </c>
    </row>
    <row r="795" customFormat="false" ht="13.8" hidden="false" customHeight="false" outlineLevel="0" collapsed="false">
      <c r="A795" s="1" t="n">
        <v>794</v>
      </c>
      <c r="B795" s="2" t="s">
        <v>3809</v>
      </c>
      <c r="C795" s="1" t="n">
        <v>3</v>
      </c>
      <c r="D795" s="1" t="n">
        <v>38</v>
      </c>
      <c r="E795" s="1" t="n">
        <v>42</v>
      </c>
      <c r="F795" s="1" t="n">
        <v>47</v>
      </c>
      <c r="G795" s="1" t="n">
        <v>55</v>
      </c>
      <c r="H795" s="1" t="n">
        <v>56</v>
      </c>
      <c r="I795" s="1" t="str">
        <f aca="false">RIGHT(("0"&amp;C795),2)&amp;RIGHT(("0"&amp;D795),2)&amp;RIGHT(("0"&amp;E795),2)&amp;RIGHT(("0"&amp;F795),2)&amp;RIGHT(("0"&amp;G795),2)&amp;RIGHT(("0"&amp;H795),2)</f>
        <v>033842475556</v>
      </c>
      <c r="J795" s="1" t="n">
        <f aca="false">COUNTIF(I:I,I795)</f>
        <v>1</v>
      </c>
      <c r="K795" s="1" t="n">
        <v>0</v>
      </c>
      <c r="M795" s="1" t="s">
        <v>23</v>
      </c>
      <c r="N795" s="1" t="n">
        <v>15</v>
      </c>
      <c r="O795" s="1" t="s">
        <v>3810</v>
      </c>
      <c r="P795" s="1" t="n">
        <v>1730</v>
      </c>
      <c r="Q795" s="1" t="s">
        <v>3811</v>
      </c>
      <c r="R795" s="1" t="s">
        <v>3812</v>
      </c>
      <c r="S795" s="1" t="s">
        <v>23</v>
      </c>
      <c r="T795" s="1" t="s">
        <v>23</v>
      </c>
      <c r="U795" s="1" t="s">
        <v>23</v>
      </c>
      <c r="V795" s="1" t="s">
        <v>3813</v>
      </c>
    </row>
    <row r="796" customFormat="false" ht="13.8" hidden="false" customHeight="false" outlineLevel="0" collapsed="false">
      <c r="A796" s="1" t="n">
        <v>795</v>
      </c>
      <c r="B796" s="2" t="s">
        <v>3814</v>
      </c>
      <c r="C796" s="1" t="n">
        <v>14</v>
      </c>
      <c r="D796" s="1" t="n">
        <v>21</v>
      </c>
      <c r="E796" s="1" t="n">
        <v>26</v>
      </c>
      <c r="F796" s="1" t="n">
        <v>29</v>
      </c>
      <c r="G796" s="1" t="n">
        <v>36</v>
      </c>
      <c r="H796" s="1" t="n">
        <v>48</v>
      </c>
      <c r="I796" s="1" t="str">
        <f aca="false">RIGHT(("0"&amp;C796),2)&amp;RIGHT(("0"&amp;D796),2)&amp;RIGHT(("0"&amp;E796),2)&amp;RIGHT(("0"&amp;F796),2)&amp;RIGHT(("0"&amp;G796),2)&amp;RIGHT(("0"&amp;H796),2)</f>
        <v>142126293648</v>
      </c>
      <c r="J796" s="1" t="n">
        <f aca="false">COUNTIF(I:I,I796)</f>
        <v>1</v>
      </c>
      <c r="K796" s="1" t="n">
        <v>0</v>
      </c>
      <c r="M796" s="1" t="s">
        <v>23</v>
      </c>
      <c r="N796" s="1" t="n">
        <v>76</v>
      </c>
      <c r="O796" s="1" t="s">
        <v>3815</v>
      </c>
      <c r="P796" s="1" t="n">
        <v>4389</v>
      </c>
      <c r="Q796" s="1" t="s">
        <v>3816</v>
      </c>
      <c r="R796" s="1" t="s">
        <v>3817</v>
      </c>
      <c r="S796" s="1" t="s">
        <v>23</v>
      </c>
      <c r="T796" s="1" t="s">
        <v>23</v>
      </c>
      <c r="U796" s="1" t="s">
        <v>23</v>
      </c>
      <c r="V796" s="1" t="s">
        <v>3818</v>
      </c>
    </row>
    <row r="797" customFormat="false" ht="13.8" hidden="false" customHeight="false" outlineLevel="0" collapsed="false">
      <c r="A797" s="1" t="n">
        <v>796</v>
      </c>
      <c r="B797" s="2" t="s">
        <v>3819</v>
      </c>
      <c r="C797" s="1" t="n">
        <v>5</v>
      </c>
      <c r="D797" s="1" t="n">
        <v>19</v>
      </c>
      <c r="E797" s="1" t="n">
        <v>24</v>
      </c>
      <c r="F797" s="1" t="n">
        <v>34</v>
      </c>
      <c r="G797" s="1" t="n">
        <v>39</v>
      </c>
      <c r="H797" s="1" t="n">
        <v>43</v>
      </c>
      <c r="I797" s="1" t="str">
        <f aca="false">RIGHT(("0"&amp;C797),2)&amp;RIGHT(("0"&amp;D797),2)&amp;RIGHT(("0"&amp;E797),2)&amp;RIGHT(("0"&amp;F797),2)&amp;RIGHT(("0"&amp;G797),2)&amp;RIGHT(("0"&amp;H797),2)</f>
        <v>051924343943</v>
      </c>
      <c r="J797" s="1" t="n">
        <f aca="false">COUNTIF(I:I,I797)</f>
        <v>1</v>
      </c>
      <c r="K797" s="1" t="n">
        <v>0</v>
      </c>
      <c r="M797" s="1" t="s">
        <v>23</v>
      </c>
      <c r="N797" s="1" t="n">
        <v>80</v>
      </c>
      <c r="O797" s="1" t="s">
        <v>3820</v>
      </c>
      <c r="P797" s="1" t="n">
        <v>4883</v>
      </c>
      <c r="Q797" s="1" t="s">
        <v>3821</v>
      </c>
      <c r="R797" s="1" t="s">
        <v>3822</v>
      </c>
      <c r="S797" s="1" t="s">
        <v>23</v>
      </c>
      <c r="T797" s="1" t="s">
        <v>23</v>
      </c>
      <c r="U797" s="1" t="s">
        <v>23</v>
      </c>
      <c r="V797" s="1" t="s">
        <v>3823</v>
      </c>
    </row>
    <row r="798" customFormat="false" ht="13.8" hidden="false" customHeight="false" outlineLevel="0" collapsed="false">
      <c r="A798" s="1" t="n">
        <v>797</v>
      </c>
      <c r="B798" s="2" t="s">
        <v>3824</v>
      </c>
      <c r="C798" s="1" t="n">
        <v>6</v>
      </c>
      <c r="D798" s="1" t="n">
        <v>12</v>
      </c>
      <c r="E798" s="1" t="n">
        <v>47</v>
      </c>
      <c r="F798" s="1" t="n">
        <v>48</v>
      </c>
      <c r="G798" s="1" t="n">
        <v>52</v>
      </c>
      <c r="H798" s="1" t="n">
        <v>58</v>
      </c>
      <c r="I798" s="1" t="str">
        <f aca="false">RIGHT(("0"&amp;C798),2)&amp;RIGHT(("0"&amp;D798),2)&amp;RIGHT(("0"&amp;E798),2)&amp;RIGHT(("0"&amp;F798),2)&amp;RIGHT(("0"&amp;G798),2)&amp;RIGHT(("0"&amp;H798),2)</f>
        <v>061247485258</v>
      </c>
      <c r="J798" s="1" t="n">
        <f aca="false">COUNTIF(I:I,I798)</f>
        <v>1</v>
      </c>
      <c r="K798" s="1" t="n">
        <v>0</v>
      </c>
      <c r="M798" s="1" t="s">
        <v>23</v>
      </c>
      <c r="N798" s="1" t="n">
        <v>66</v>
      </c>
      <c r="O798" s="1" t="s">
        <v>3825</v>
      </c>
      <c r="P798" s="1" t="n">
        <v>3447</v>
      </c>
      <c r="Q798" s="1" t="s">
        <v>3826</v>
      </c>
      <c r="R798" s="1" t="s">
        <v>3827</v>
      </c>
      <c r="S798" s="1" t="s">
        <v>23</v>
      </c>
      <c r="T798" s="1" t="s">
        <v>23</v>
      </c>
      <c r="U798" s="1" t="s">
        <v>23</v>
      </c>
      <c r="V798" s="1" t="s">
        <v>3828</v>
      </c>
    </row>
    <row r="799" customFormat="false" ht="13.8" hidden="false" customHeight="false" outlineLevel="0" collapsed="false">
      <c r="A799" s="1" t="n">
        <v>798</v>
      </c>
      <c r="B799" s="2" t="s">
        <v>3829</v>
      </c>
      <c r="C799" s="1" t="n">
        <v>3</v>
      </c>
      <c r="D799" s="1" t="n">
        <v>4</v>
      </c>
      <c r="E799" s="1" t="n">
        <v>9</v>
      </c>
      <c r="F799" s="1" t="n">
        <v>29</v>
      </c>
      <c r="G799" s="1" t="n">
        <v>32</v>
      </c>
      <c r="H799" s="1" t="n">
        <v>52</v>
      </c>
      <c r="I799" s="1" t="str">
        <f aca="false">RIGHT(("0"&amp;C799),2)&amp;RIGHT(("0"&amp;D799),2)&amp;RIGHT(("0"&amp;E799),2)&amp;RIGHT(("0"&amp;F799),2)&amp;RIGHT(("0"&amp;G799),2)&amp;RIGHT(("0"&amp;H799),2)</f>
        <v>030409293252</v>
      </c>
      <c r="J799" s="1" t="n">
        <f aca="false">COUNTIF(I:I,I799)</f>
        <v>1</v>
      </c>
      <c r="K799" s="1" t="n">
        <v>0</v>
      </c>
      <c r="M799" s="1" t="s">
        <v>23</v>
      </c>
      <c r="N799" s="1" t="n">
        <v>48</v>
      </c>
      <c r="O799" s="1" t="s">
        <v>3830</v>
      </c>
      <c r="P799" s="1" t="n">
        <v>4104</v>
      </c>
      <c r="Q799" s="1" t="s">
        <v>3831</v>
      </c>
      <c r="R799" s="1" t="s">
        <v>3832</v>
      </c>
      <c r="S799" s="1" t="s">
        <v>23</v>
      </c>
      <c r="T799" s="1" t="s">
        <v>23</v>
      </c>
      <c r="U799" s="1" t="s">
        <v>23</v>
      </c>
      <c r="V799" s="1" t="s">
        <v>3833</v>
      </c>
    </row>
    <row r="800" customFormat="false" ht="13.8" hidden="false" customHeight="false" outlineLevel="0" collapsed="false">
      <c r="A800" s="1" t="n">
        <v>799</v>
      </c>
      <c r="B800" s="2" t="s">
        <v>3834</v>
      </c>
      <c r="C800" s="1" t="n">
        <v>19</v>
      </c>
      <c r="D800" s="1" t="n">
        <v>29</v>
      </c>
      <c r="E800" s="1" t="n">
        <v>35</v>
      </c>
      <c r="F800" s="1" t="n">
        <v>42</v>
      </c>
      <c r="G800" s="1" t="n">
        <v>55</v>
      </c>
      <c r="H800" s="1" t="n">
        <v>57</v>
      </c>
      <c r="I800" s="1" t="str">
        <f aca="false">RIGHT(("0"&amp;C800),2)&amp;RIGHT(("0"&amp;D800),2)&amp;RIGHT(("0"&amp;E800),2)&amp;RIGHT(("0"&amp;F800),2)&amp;RIGHT(("0"&amp;G800),2)&amp;RIGHT(("0"&amp;H800),2)</f>
        <v>192935425557</v>
      </c>
      <c r="J800" s="1" t="n">
        <f aca="false">COUNTIF(I:I,I800)</f>
        <v>1</v>
      </c>
      <c r="K800" s="1" t="n">
        <v>0</v>
      </c>
      <c r="M800" s="1" t="s">
        <v>23</v>
      </c>
      <c r="N800" s="1" t="n">
        <v>56</v>
      </c>
      <c r="O800" s="1" t="s">
        <v>3835</v>
      </c>
      <c r="P800" s="1" t="n">
        <v>4675</v>
      </c>
      <c r="Q800" s="1" t="s">
        <v>3836</v>
      </c>
      <c r="R800" s="1" t="s">
        <v>3837</v>
      </c>
      <c r="S800" s="1" t="s">
        <v>23</v>
      </c>
      <c r="T800" s="1" t="s">
        <v>23</v>
      </c>
      <c r="U800" s="1" t="s">
        <v>23</v>
      </c>
      <c r="V800" s="1" t="s">
        <v>3838</v>
      </c>
    </row>
    <row r="801" customFormat="false" ht="13.8" hidden="false" customHeight="false" outlineLevel="0" collapsed="false">
      <c r="A801" s="1" t="n">
        <v>800</v>
      </c>
      <c r="B801" s="2" t="s">
        <v>3839</v>
      </c>
      <c r="C801" s="1" t="n">
        <v>1</v>
      </c>
      <c r="D801" s="1" t="n">
        <v>7</v>
      </c>
      <c r="E801" s="1" t="n">
        <v>11</v>
      </c>
      <c r="F801" s="1" t="n">
        <v>37</v>
      </c>
      <c r="G801" s="1" t="n">
        <v>38</v>
      </c>
      <c r="H801" s="1" t="n">
        <v>56</v>
      </c>
      <c r="I801" s="1" t="str">
        <f aca="false">RIGHT(("0"&amp;C801),2)&amp;RIGHT(("0"&amp;D801),2)&amp;RIGHT(("0"&amp;E801),2)&amp;RIGHT(("0"&amp;F801),2)&amp;RIGHT(("0"&amp;G801),2)&amp;RIGHT(("0"&amp;H801),2)</f>
        <v>010711373856</v>
      </c>
      <c r="J801" s="1" t="n">
        <f aca="false">COUNTIF(I:I,I801)</f>
        <v>1</v>
      </c>
      <c r="K801" s="1" t="n">
        <v>0</v>
      </c>
      <c r="M801" s="1" t="s">
        <v>23</v>
      </c>
      <c r="N801" s="1" t="n">
        <v>44</v>
      </c>
      <c r="O801" s="1" t="s">
        <v>3840</v>
      </c>
      <c r="P801" s="1" t="n">
        <v>4497</v>
      </c>
      <c r="Q801" s="1" t="s">
        <v>3841</v>
      </c>
      <c r="R801" s="1" t="s">
        <v>3842</v>
      </c>
      <c r="S801" s="1" t="s">
        <v>23</v>
      </c>
      <c r="T801" s="1" t="s">
        <v>23</v>
      </c>
      <c r="U801" s="1" t="s">
        <v>23</v>
      </c>
      <c r="V801" s="1" t="s">
        <v>3843</v>
      </c>
    </row>
    <row r="802" customFormat="false" ht="13.8" hidden="false" customHeight="false" outlineLevel="0" collapsed="false">
      <c r="A802" s="1" t="n">
        <v>801</v>
      </c>
      <c r="B802" s="2" t="s">
        <v>3844</v>
      </c>
      <c r="C802" s="1" t="n">
        <v>11</v>
      </c>
      <c r="D802" s="1" t="n">
        <v>19</v>
      </c>
      <c r="E802" s="1" t="n">
        <v>20</v>
      </c>
      <c r="F802" s="1" t="n">
        <v>22</v>
      </c>
      <c r="G802" s="1" t="n">
        <v>42</v>
      </c>
      <c r="H802" s="1" t="n">
        <v>48</v>
      </c>
      <c r="I802" s="1" t="str">
        <f aca="false">RIGHT(("0"&amp;C802),2)&amp;RIGHT(("0"&amp;D802),2)&amp;RIGHT(("0"&amp;E802),2)&amp;RIGHT(("0"&amp;F802),2)&amp;RIGHT(("0"&amp;G802),2)&amp;RIGHT(("0"&amp;H802),2)</f>
        <v>111920224248</v>
      </c>
      <c r="J802" s="1" t="n">
        <f aca="false">COUNTIF(I:I,I802)</f>
        <v>1</v>
      </c>
      <c r="K802" s="1" t="n">
        <v>0</v>
      </c>
      <c r="M802" s="1" t="s">
        <v>23</v>
      </c>
      <c r="N802" s="1" t="n">
        <v>73</v>
      </c>
      <c r="O802" s="1" t="s">
        <v>3845</v>
      </c>
      <c r="P802" s="1" t="n">
        <v>5791</v>
      </c>
      <c r="Q802" s="1" t="s">
        <v>3846</v>
      </c>
      <c r="R802" s="1" t="s">
        <v>3847</v>
      </c>
      <c r="S802" s="1" t="s">
        <v>23</v>
      </c>
      <c r="T802" s="1" t="s">
        <v>23</v>
      </c>
      <c r="U802" s="1" t="s">
        <v>23</v>
      </c>
      <c r="V802" s="1" t="s">
        <v>3848</v>
      </c>
    </row>
    <row r="803" customFormat="false" ht="13.8" hidden="false" customHeight="false" outlineLevel="0" collapsed="false">
      <c r="A803" s="1" t="n">
        <v>802</v>
      </c>
      <c r="B803" s="2" t="s">
        <v>3849</v>
      </c>
      <c r="C803" s="1" t="n">
        <v>6</v>
      </c>
      <c r="D803" s="1" t="n">
        <v>14</v>
      </c>
      <c r="E803" s="1" t="n">
        <v>18</v>
      </c>
      <c r="F803" s="1" t="n">
        <v>24</v>
      </c>
      <c r="G803" s="1" t="n">
        <v>48</v>
      </c>
      <c r="H803" s="1" t="n">
        <v>60</v>
      </c>
      <c r="I803" s="1" t="str">
        <f aca="false">RIGHT(("0"&amp;C803),2)&amp;RIGHT(("0"&amp;D803),2)&amp;RIGHT(("0"&amp;E803),2)&amp;RIGHT(("0"&amp;F803),2)&amp;RIGHT(("0"&amp;G803),2)&amp;RIGHT(("0"&amp;H803),2)</f>
        <v>061418244860</v>
      </c>
      <c r="J803" s="1" t="n">
        <f aca="false">COUNTIF(I:I,I803)</f>
        <v>1</v>
      </c>
      <c r="K803" s="1" t="n">
        <v>0</v>
      </c>
      <c r="M803" s="1" t="s">
        <v>23</v>
      </c>
      <c r="N803" s="1" t="n">
        <v>117</v>
      </c>
      <c r="O803" s="1" t="s">
        <v>3850</v>
      </c>
      <c r="P803" s="1" t="n">
        <v>8216</v>
      </c>
      <c r="Q803" s="1" t="s">
        <v>3851</v>
      </c>
      <c r="R803" s="1" t="s">
        <v>3852</v>
      </c>
      <c r="S803" s="1" t="s">
        <v>23</v>
      </c>
      <c r="T803" s="1" t="s">
        <v>23</v>
      </c>
      <c r="U803" s="1" t="s">
        <v>23</v>
      </c>
      <c r="V803" s="1" t="s">
        <v>3853</v>
      </c>
    </row>
    <row r="804" customFormat="false" ht="13.8" hidden="false" customHeight="false" outlineLevel="0" collapsed="false">
      <c r="A804" s="1" t="n">
        <v>803</v>
      </c>
      <c r="B804" s="2" t="s">
        <v>3854</v>
      </c>
      <c r="C804" s="1" t="n">
        <v>3</v>
      </c>
      <c r="D804" s="1" t="n">
        <v>5</v>
      </c>
      <c r="E804" s="1" t="n">
        <v>10</v>
      </c>
      <c r="F804" s="1" t="n">
        <v>21</v>
      </c>
      <c r="G804" s="1" t="n">
        <v>28</v>
      </c>
      <c r="H804" s="1" t="n">
        <v>57</v>
      </c>
      <c r="I804" s="1" t="str">
        <f aca="false">RIGHT(("0"&amp;C804),2)&amp;RIGHT(("0"&amp;D804),2)&amp;RIGHT(("0"&amp;E804),2)&amp;RIGHT(("0"&amp;F804),2)&amp;RIGHT(("0"&amp;G804),2)&amp;RIGHT(("0"&amp;H804),2)</f>
        <v>030510212857</v>
      </c>
      <c r="J804" s="1" t="n">
        <f aca="false">COUNTIF(I:I,I804)</f>
        <v>1</v>
      </c>
      <c r="K804" s="1" t="n">
        <v>0</v>
      </c>
      <c r="M804" s="1" t="s">
        <v>23</v>
      </c>
      <c r="N804" s="1" t="n">
        <v>193</v>
      </c>
      <c r="O804" s="1" t="s">
        <v>3855</v>
      </c>
      <c r="P804" s="1" t="n">
        <v>12055</v>
      </c>
      <c r="Q804" s="1" t="s">
        <v>3856</v>
      </c>
      <c r="R804" s="1" t="s">
        <v>3857</v>
      </c>
      <c r="S804" s="1" t="s">
        <v>23</v>
      </c>
      <c r="T804" s="1" t="s">
        <v>23</v>
      </c>
      <c r="U804" s="1" t="s">
        <v>23</v>
      </c>
      <c r="V804" s="1" t="s">
        <v>3858</v>
      </c>
    </row>
    <row r="805" customFormat="false" ht="13.8" hidden="false" customHeight="false" outlineLevel="0" collapsed="false">
      <c r="A805" s="1" t="n">
        <v>804</v>
      </c>
      <c r="B805" s="2" t="s">
        <v>3859</v>
      </c>
      <c r="C805" s="1" t="n">
        <v>3</v>
      </c>
      <c r="D805" s="1" t="n">
        <v>13</v>
      </c>
      <c r="E805" s="1" t="n">
        <v>37</v>
      </c>
      <c r="F805" s="1" t="n">
        <v>47</v>
      </c>
      <c r="G805" s="1" t="n">
        <v>56</v>
      </c>
      <c r="H805" s="1" t="n">
        <v>59</v>
      </c>
      <c r="I805" s="1" t="str">
        <f aca="false">RIGHT(("0"&amp;C805),2)&amp;RIGHT(("0"&amp;D805),2)&amp;RIGHT(("0"&amp;E805),2)&amp;RIGHT(("0"&amp;F805),2)&amp;RIGHT(("0"&amp;G805),2)&amp;RIGHT(("0"&amp;H805),2)</f>
        <v>031337475659</v>
      </c>
      <c r="J805" s="1" t="n">
        <f aca="false">COUNTIF(I:I,I805)</f>
        <v>1</v>
      </c>
      <c r="K805" s="1" t="n">
        <v>1</v>
      </c>
      <c r="L805" s="1" t="s">
        <v>91</v>
      </c>
      <c r="M805" s="1" t="s">
        <v>3860</v>
      </c>
      <c r="N805" s="1" t="n">
        <v>134</v>
      </c>
      <c r="O805" s="1" t="s">
        <v>3861</v>
      </c>
      <c r="P805" s="1" t="n">
        <v>9937</v>
      </c>
      <c r="Q805" s="1" t="s">
        <v>3862</v>
      </c>
      <c r="R805" s="1" t="s">
        <v>23</v>
      </c>
      <c r="S805" s="1" t="s">
        <v>23</v>
      </c>
      <c r="T805" s="1" t="s">
        <v>23</v>
      </c>
      <c r="U805" s="1" t="s">
        <v>23</v>
      </c>
      <c r="V805" s="1" t="s">
        <v>3863</v>
      </c>
    </row>
    <row r="806" customFormat="false" ht="13.8" hidden="false" customHeight="false" outlineLevel="0" collapsed="false">
      <c r="A806" s="1" t="n">
        <v>805</v>
      </c>
      <c r="B806" s="2" t="s">
        <v>3864</v>
      </c>
      <c r="C806" s="1" t="n">
        <v>2</v>
      </c>
      <c r="D806" s="1" t="n">
        <v>30</v>
      </c>
      <c r="E806" s="1" t="n">
        <v>36</v>
      </c>
      <c r="F806" s="1" t="n">
        <v>43</v>
      </c>
      <c r="G806" s="1" t="n">
        <v>48</v>
      </c>
      <c r="H806" s="1" t="n">
        <v>60</v>
      </c>
      <c r="I806" s="1" t="str">
        <f aca="false">RIGHT(("0"&amp;C806),2)&amp;RIGHT(("0"&amp;D806),2)&amp;RIGHT(("0"&amp;E806),2)&amp;RIGHT(("0"&amp;F806),2)&amp;RIGHT(("0"&amp;G806),2)&amp;RIGHT(("0"&amp;H806),2)</f>
        <v>023036434860</v>
      </c>
      <c r="J806" s="1" t="n">
        <f aca="false">COUNTIF(I:I,I806)</f>
        <v>1</v>
      </c>
      <c r="K806" s="1" t="n">
        <v>0</v>
      </c>
      <c r="M806" s="1" t="s">
        <v>23</v>
      </c>
      <c r="N806" s="1" t="n">
        <v>62</v>
      </c>
      <c r="O806" s="1" t="s">
        <v>3865</v>
      </c>
      <c r="P806" s="1" t="n">
        <v>3489</v>
      </c>
      <c r="Q806" s="1" t="s">
        <v>3264</v>
      </c>
      <c r="R806" s="1" t="s">
        <v>3866</v>
      </c>
      <c r="S806" s="1" t="s">
        <v>23</v>
      </c>
      <c r="T806" s="1" t="s">
        <v>23</v>
      </c>
      <c r="U806" s="1" t="s">
        <v>23</v>
      </c>
      <c r="V806" s="1" t="s">
        <v>3867</v>
      </c>
    </row>
    <row r="807" customFormat="false" ht="13.8" hidden="false" customHeight="false" outlineLevel="0" collapsed="false">
      <c r="A807" s="1" t="n">
        <v>806</v>
      </c>
      <c r="B807" s="2" t="s">
        <v>3868</v>
      </c>
      <c r="C807" s="1" t="n">
        <v>18</v>
      </c>
      <c r="D807" s="1" t="n">
        <v>26</v>
      </c>
      <c r="E807" s="1" t="n">
        <v>35</v>
      </c>
      <c r="F807" s="1" t="n">
        <v>41</v>
      </c>
      <c r="G807" s="1" t="n">
        <v>47</v>
      </c>
      <c r="H807" s="1" t="n">
        <v>60</v>
      </c>
      <c r="I807" s="1" t="str">
        <f aca="false">RIGHT(("0"&amp;C807),2)&amp;RIGHT(("0"&amp;D807),2)&amp;RIGHT(("0"&amp;E807),2)&amp;RIGHT(("0"&amp;F807),2)&amp;RIGHT(("0"&amp;G807),2)&amp;RIGHT(("0"&amp;H807),2)</f>
        <v>182635414760</v>
      </c>
      <c r="J807" s="1" t="n">
        <f aca="false">COUNTIF(I:I,I807)</f>
        <v>1</v>
      </c>
      <c r="K807" s="1" t="n">
        <v>0</v>
      </c>
      <c r="M807" s="1" t="s">
        <v>23</v>
      </c>
      <c r="N807" s="1" t="n">
        <v>50</v>
      </c>
      <c r="O807" s="1" t="s">
        <v>3869</v>
      </c>
      <c r="P807" s="1" t="n">
        <v>3179</v>
      </c>
      <c r="Q807" s="1" t="s">
        <v>3870</v>
      </c>
      <c r="R807" s="1" t="s">
        <v>3871</v>
      </c>
      <c r="S807" s="1" t="s">
        <v>23</v>
      </c>
      <c r="T807" s="1" t="s">
        <v>23</v>
      </c>
      <c r="U807" s="1" t="s">
        <v>23</v>
      </c>
      <c r="V807" s="1" t="s">
        <v>3872</v>
      </c>
    </row>
    <row r="808" customFormat="false" ht="13.8" hidden="false" customHeight="false" outlineLevel="0" collapsed="false">
      <c r="A808" s="1" t="n">
        <v>807</v>
      </c>
      <c r="B808" s="2" t="s">
        <v>3873</v>
      </c>
      <c r="C808" s="1" t="n">
        <v>2</v>
      </c>
      <c r="D808" s="1" t="n">
        <v>8</v>
      </c>
      <c r="E808" s="1" t="n">
        <v>27</v>
      </c>
      <c r="F808" s="1" t="n">
        <v>32</v>
      </c>
      <c r="G808" s="1" t="n">
        <v>49</v>
      </c>
      <c r="H808" s="1" t="n">
        <v>56</v>
      </c>
      <c r="I808" s="1" t="str">
        <f aca="false">RIGHT(("0"&amp;C808),2)&amp;RIGHT(("0"&amp;D808),2)&amp;RIGHT(("0"&amp;E808),2)&amp;RIGHT(("0"&amp;F808),2)&amp;RIGHT(("0"&amp;G808),2)&amp;RIGHT(("0"&amp;H808),2)</f>
        <v>020827324956</v>
      </c>
      <c r="J808" s="1" t="n">
        <f aca="false">COUNTIF(I:I,I808)</f>
        <v>1</v>
      </c>
      <c r="K808" s="1" t="n">
        <v>0</v>
      </c>
      <c r="M808" s="1" t="s">
        <v>23</v>
      </c>
      <c r="N808" s="1" t="n">
        <v>130</v>
      </c>
      <c r="O808" s="1" t="s">
        <v>3874</v>
      </c>
      <c r="P808" s="1" t="n">
        <v>6188</v>
      </c>
      <c r="Q808" s="1" t="s">
        <v>3875</v>
      </c>
      <c r="R808" s="1" t="s">
        <v>3876</v>
      </c>
      <c r="S808" s="1" t="s">
        <v>23</v>
      </c>
      <c r="T808" s="1" t="s">
        <v>23</v>
      </c>
      <c r="U808" s="1" t="s">
        <v>23</v>
      </c>
      <c r="V808" s="1" t="s">
        <v>3877</v>
      </c>
    </row>
    <row r="809" customFormat="false" ht="13.8" hidden="false" customHeight="false" outlineLevel="0" collapsed="false">
      <c r="A809" s="1" t="n">
        <v>808</v>
      </c>
      <c r="B809" s="2" t="s">
        <v>3878</v>
      </c>
      <c r="C809" s="1" t="n">
        <v>2</v>
      </c>
      <c r="D809" s="1" t="n">
        <v>15</v>
      </c>
      <c r="E809" s="1" t="n">
        <v>21</v>
      </c>
      <c r="F809" s="1" t="n">
        <v>31</v>
      </c>
      <c r="G809" s="1" t="n">
        <v>46</v>
      </c>
      <c r="H809" s="1" t="n">
        <v>57</v>
      </c>
      <c r="I809" s="1" t="str">
        <f aca="false">RIGHT(("0"&amp;C809),2)&amp;RIGHT(("0"&amp;D809),2)&amp;RIGHT(("0"&amp;E809),2)&amp;RIGHT(("0"&amp;F809),2)&amp;RIGHT(("0"&amp;G809),2)&amp;RIGHT(("0"&amp;H809),2)</f>
        <v>021521314657</v>
      </c>
      <c r="J809" s="1" t="n">
        <f aca="false">COUNTIF(I:I,I809)</f>
        <v>1</v>
      </c>
      <c r="K809" s="1" t="n">
        <v>0</v>
      </c>
      <c r="M809" s="1" t="s">
        <v>23</v>
      </c>
      <c r="N809" s="1" t="n">
        <v>44</v>
      </c>
      <c r="O809" s="1" t="s">
        <v>3879</v>
      </c>
      <c r="P809" s="1" t="n">
        <v>3844</v>
      </c>
      <c r="Q809" s="1" t="s">
        <v>3880</v>
      </c>
      <c r="R809" s="1" t="s">
        <v>3881</v>
      </c>
      <c r="S809" s="1" t="s">
        <v>23</v>
      </c>
      <c r="T809" s="1" t="s">
        <v>23</v>
      </c>
      <c r="U809" s="1" t="s">
        <v>23</v>
      </c>
      <c r="V809" s="1" t="s">
        <v>3882</v>
      </c>
    </row>
    <row r="810" customFormat="false" ht="13.8" hidden="false" customHeight="false" outlineLevel="0" collapsed="false">
      <c r="A810" s="1" t="n">
        <v>809</v>
      </c>
      <c r="B810" s="2" t="s">
        <v>3883</v>
      </c>
      <c r="C810" s="1" t="n">
        <v>5</v>
      </c>
      <c r="D810" s="1" t="n">
        <v>11</v>
      </c>
      <c r="E810" s="1" t="n">
        <v>15</v>
      </c>
      <c r="F810" s="1" t="n">
        <v>23</v>
      </c>
      <c r="G810" s="1" t="n">
        <v>25</v>
      </c>
      <c r="H810" s="1" t="n">
        <v>30</v>
      </c>
      <c r="I810" s="1" t="str">
        <f aca="false">RIGHT(("0"&amp;C810),2)&amp;RIGHT(("0"&amp;D810),2)&amp;RIGHT(("0"&amp;E810),2)&amp;RIGHT(("0"&amp;F810),2)&amp;RIGHT(("0"&amp;G810),2)&amp;RIGHT(("0"&amp;H810),2)</f>
        <v>051115232530</v>
      </c>
      <c r="J810" s="1" t="n">
        <f aca="false">COUNTIF(I:I,I810)</f>
        <v>1</v>
      </c>
      <c r="K810" s="1" t="n">
        <v>0</v>
      </c>
      <c r="M810" s="1" t="s">
        <v>23</v>
      </c>
      <c r="N810" s="1" t="n">
        <v>121</v>
      </c>
      <c r="O810" s="1" t="s">
        <v>3884</v>
      </c>
      <c r="P810" s="1" t="n">
        <v>7669</v>
      </c>
      <c r="Q810" s="1" t="s">
        <v>3885</v>
      </c>
      <c r="R810" s="1" t="s">
        <v>3886</v>
      </c>
      <c r="S810" s="1" t="s">
        <v>23</v>
      </c>
      <c r="T810" s="1" t="s">
        <v>23</v>
      </c>
      <c r="U810" s="1" t="s">
        <v>23</v>
      </c>
      <c r="V810" s="1" t="s">
        <v>3887</v>
      </c>
    </row>
    <row r="811" customFormat="false" ht="13.8" hidden="false" customHeight="false" outlineLevel="0" collapsed="false">
      <c r="A811" s="1" t="n">
        <v>810</v>
      </c>
      <c r="B811" s="2" t="s">
        <v>3888</v>
      </c>
      <c r="C811" s="1" t="n">
        <v>1</v>
      </c>
      <c r="D811" s="1" t="n">
        <v>4</v>
      </c>
      <c r="E811" s="1" t="n">
        <v>5</v>
      </c>
      <c r="F811" s="1" t="n">
        <v>33</v>
      </c>
      <c r="G811" s="1" t="n">
        <v>37</v>
      </c>
      <c r="H811" s="1" t="n">
        <v>48</v>
      </c>
      <c r="I811" s="1" t="str">
        <f aca="false">RIGHT(("0"&amp;C811),2)&amp;RIGHT(("0"&amp;D811),2)&amp;RIGHT(("0"&amp;E811),2)&amp;RIGHT(("0"&amp;F811),2)&amp;RIGHT(("0"&amp;G811),2)&amp;RIGHT(("0"&amp;H811),2)</f>
        <v>010405333748</v>
      </c>
      <c r="J811" s="1" t="n">
        <f aca="false">COUNTIF(I:I,I811)</f>
        <v>1</v>
      </c>
      <c r="K811" s="1" t="n">
        <v>0</v>
      </c>
      <c r="M811" s="1" t="s">
        <v>23</v>
      </c>
      <c r="N811" s="1" t="n">
        <v>75</v>
      </c>
      <c r="O811" s="1" t="s">
        <v>3889</v>
      </c>
      <c r="P811" s="1" t="n">
        <v>6450</v>
      </c>
      <c r="Q811" s="1" t="s">
        <v>3890</v>
      </c>
      <c r="R811" s="1" t="s">
        <v>3891</v>
      </c>
      <c r="S811" s="1" t="s">
        <v>23</v>
      </c>
      <c r="T811" s="1" t="s">
        <v>3892</v>
      </c>
      <c r="U811" s="1" t="s">
        <v>23</v>
      </c>
      <c r="V811" s="1" t="s">
        <v>3893</v>
      </c>
    </row>
    <row r="812" customFormat="false" ht="13.8" hidden="false" customHeight="false" outlineLevel="0" collapsed="false">
      <c r="A812" s="1" t="n">
        <v>811</v>
      </c>
      <c r="B812" s="2" t="s">
        <v>3894</v>
      </c>
      <c r="C812" s="1" t="n">
        <v>10</v>
      </c>
      <c r="D812" s="1" t="n">
        <v>28</v>
      </c>
      <c r="E812" s="1" t="n">
        <v>32</v>
      </c>
      <c r="F812" s="1" t="n">
        <v>41</v>
      </c>
      <c r="G812" s="1" t="n">
        <v>47</v>
      </c>
      <c r="H812" s="1" t="n">
        <v>57</v>
      </c>
      <c r="I812" s="1" t="str">
        <f aca="false">RIGHT(("0"&amp;C812),2)&amp;RIGHT(("0"&amp;D812),2)&amp;RIGHT(("0"&amp;E812),2)&amp;RIGHT(("0"&amp;F812),2)&amp;RIGHT(("0"&amp;G812),2)&amp;RIGHT(("0"&amp;H812),2)</f>
        <v>102832414757</v>
      </c>
      <c r="J812" s="1" t="n">
        <f aca="false">COUNTIF(I:I,I812)</f>
        <v>1</v>
      </c>
      <c r="K812" s="1" t="n">
        <v>2</v>
      </c>
      <c r="L812" s="1" t="s">
        <v>2113</v>
      </c>
      <c r="M812" s="1" t="s">
        <v>3895</v>
      </c>
      <c r="N812" s="1" t="n">
        <v>89</v>
      </c>
      <c r="O812" s="1" t="s">
        <v>3896</v>
      </c>
      <c r="P812" s="1" t="n">
        <v>5508</v>
      </c>
      <c r="Q812" s="1" t="s">
        <v>3897</v>
      </c>
      <c r="R812" s="1" t="s">
        <v>23</v>
      </c>
      <c r="S812" s="1" t="s">
        <v>23</v>
      </c>
      <c r="T812" s="1" t="s">
        <v>23</v>
      </c>
      <c r="U812" s="1" t="s">
        <v>23</v>
      </c>
      <c r="V812" s="1" t="s">
        <v>3898</v>
      </c>
    </row>
    <row r="813" customFormat="false" ht="13.8" hidden="false" customHeight="false" outlineLevel="0" collapsed="false">
      <c r="A813" s="1" t="n">
        <v>812</v>
      </c>
      <c r="B813" s="2" t="s">
        <v>3899</v>
      </c>
      <c r="C813" s="1" t="n">
        <v>11</v>
      </c>
      <c r="D813" s="1" t="n">
        <v>13</v>
      </c>
      <c r="E813" s="1" t="n">
        <v>38</v>
      </c>
      <c r="F813" s="1" t="n">
        <v>39</v>
      </c>
      <c r="G813" s="1" t="n">
        <v>54</v>
      </c>
      <c r="H813" s="1" t="n">
        <v>57</v>
      </c>
      <c r="I813" s="1" t="str">
        <f aca="false">RIGHT(("0"&amp;C813),2)&amp;RIGHT(("0"&amp;D813),2)&amp;RIGHT(("0"&amp;E813),2)&amp;RIGHT(("0"&amp;F813),2)&amp;RIGHT(("0"&amp;G813),2)&amp;RIGHT(("0"&amp;H813),2)</f>
        <v>111338395457</v>
      </c>
      <c r="J813" s="1" t="n">
        <f aca="false">COUNTIF(I:I,I813)</f>
        <v>1</v>
      </c>
      <c r="K813" s="1" t="n">
        <v>0</v>
      </c>
      <c r="M813" s="1" t="s">
        <v>23</v>
      </c>
      <c r="N813" s="1" t="n">
        <v>57</v>
      </c>
      <c r="O813" s="1" t="s">
        <v>3900</v>
      </c>
      <c r="P813" s="1" t="n">
        <v>2116</v>
      </c>
      <c r="Q813" s="1" t="s">
        <v>3901</v>
      </c>
      <c r="R813" s="1" t="s">
        <v>3902</v>
      </c>
      <c r="S813" s="1" t="s">
        <v>23</v>
      </c>
      <c r="T813" s="1" t="s">
        <v>23</v>
      </c>
      <c r="U813" s="1" t="s">
        <v>23</v>
      </c>
      <c r="V813" s="1" t="s">
        <v>3903</v>
      </c>
    </row>
    <row r="814" customFormat="false" ht="13.8" hidden="false" customHeight="false" outlineLevel="0" collapsed="false">
      <c r="A814" s="1" t="n">
        <v>813</v>
      </c>
      <c r="B814" s="2" t="s">
        <v>3904</v>
      </c>
      <c r="C814" s="1" t="n">
        <v>9</v>
      </c>
      <c r="D814" s="1" t="n">
        <v>15</v>
      </c>
      <c r="E814" s="1" t="n">
        <v>23</v>
      </c>
      <c r="F814" s="1" t="n">
        <v>45</v>
      </c>
      <c r="G814" s="1" t="n">
        <v>46</v>
      </c>
      <c r="H814" s="1" t="n">
        <v>56</v>
      </c>
      <c r="I814" s="1" t="str">
        <f aca="false">RIGHT(("0"&amp;C814),2)&amp;RIGHT(("0"&amp;D814),2)&amp;RIGHT(("0"&amp;E814),2)&amp;RIGHT(("0"&amp;F814),2)&amp;RIGHT(("0"&amp;G814),2)&amp;RIGHT(("0"&amp;H814),2)</f>
        <v>091523454656</v>
      </c>
      <c r="J814" s="1" t="n">
        <f aca="false">COUNTIF(I:I,I814)</f>
        <v>1</v>
      </c>
      <c r="K814" s="1" t="n">
        <v>0</v>
      </c>
      <c r="M814" s="1" t="s">
        <v>23</v>
      </c>
      <c r="N814" s="1" t="n">
        <v>43</v>
      </c>
      <c r="O814" s="1" t="s">
        <v>3905</v>
      </c>
      <c r="P814" s="1" t="n">
        <v>3244</v>
      </c>
      <c r="Q814" s="1" t="s">
        <v>3906</v>
      </c>
      <c r="R814" s="1" t="s">
        <v>3907</v>
      </c>
      <c r="S814" s="1" t="s">
        <v>23</v>
      </c>
      <c r="T814" s="1" t="s">
        <v>23</v>
      </c>
      <c r="U814" s="1" t="s">
        <v>23</v>
      </c>
      <c r="V814" s="1" t="s">
        <v>3908</v>
      </c>
    </row>
    <row r="815" customFormat="false" ht="13.8" hidden="false" customHeight="false" outlineLevel="0" collapsed="false">
      <c r="A815" s="1" t="n">
        <v>814</v>
      </c>
      <c r="B815" s="2" t="s">
        <v>3909</v>
      </c>
      <c r="C815" s="1" t="n">
        <v>2</v>
      </c>
      <c r="D815" s="1" t="n">
        <v>8</v>
      </c>
      <c r="E815" s="1" t="n">
        <v>11</v>
      </c>
      <c r="F815" s="1" t="n">
        <v>41</v>
      </c>
      <c r="G815" s="1" t="n">
        <v>46</v>
      </c>
      <c r="H815" s="1" t="n">
        <v>50</v>
      </c>
      <c r="I815" s="1" t="str">
        <f aca="false">RIGHT(("0"&amp;C815),2)&amp;RIGHT(("0"&amp;D815),2)&amp;RIGHT(("0"&amp;E815),2)&amp;RIGHT(("0"&amp;F815),2)&amp;RIGHT(("0"&amp;G815),2)&amp;RIGHT(("0"&amp;H815),2)</f>
        <v>020811414650</v>
      </c>
      <c r="J815" s="1" t="n">
        <f aca="false">COUNTIF(I:I,I815)</f>
        <v>1</v>
      </c>
      <c r="K815" s="1" t="n">
        <v>0</v>
      </c>
      <c r="M815" s="1" t="s">
        <v>23</v>
      </c>
      <c r="N815" s="1" t="n">
        <v>37</v>
      </c>
      <c r="O815" s="1" t="s">
        <v>3910</v>
      </c>
      <c r="P815" s="1" t="n">
        <v>2534</v>
      </c>
      <c r="Q815" s="1" t="s">
        <v>3911</v>
      </c>
      <c r="R815" s="1" t="s">
        <v>3912</v>
      </c>
      <c r="S815" s="1" t="s">
        <v>23</v>
      </c>
      <c r="T815" s="1" t="s">
        <v>23</v>
      </c>
      <c r="U815" s="1" t="s">
        <v>23</v>
      </c>
      <c r="V815" s="1" t="s">
        <v>3913</v>
      </c>
    </row>
    <row r="816" customFormat="false" ht="13.8" hidden="false" customHeight="false" outlineLevel="0" collapsed="false">
      <c r="A816" s="1" t="n">
        <v>815</v>
      </c>
      <c r="B816" s="2" t="s">
        <v>3914</v>
      </c>
      <c r="C816" s="1" t="n">
        <v>9</v>
      </c>
      <c r="D816" s="1" t="n">
        <v>19</v>
      </c>
      <c r="E816" s="1" t="n">
        <v>37</v>
      </c>
      <c r="F816" s="1" t="n">
        <v>39</v>
      </c>
      <c r="G816" s="1" t="n">
        <v>50</v>
      </c>
      <c r="H816" s="1" t="n">
        <v>57</v>
      </c>
      <c r="I816" s="1" t="str">
        <f aca="false">RIGHT(("0"&amp;C816),2)&amp;RIGHT(("0"&amp;D816),2)&amp;RIGHT(("0"&amp;E816),2)&amp;RIGHT(("0"&amp;F816),2)&amp;RIGHT(("0"&amp;G816),2)&amp;RIGHT(("0"&amp;H816),2)</f>
        <v>091937395057</v>
      </c>
      <c r="J816" s="1" t="n">
        <f aca="false">COUNTIF(I:I,I816)</f>
        <v>1</v>
      </c>
      <c r="K816" s="1" t="n">
        <v>0</v>
      </c>
      <c r="M816" s="1" t="s">
        <v>23</v>
      </c>
      <c r="N816" s="1" t="n">
        <v>56</v>
      </c>
      <c r="O816" s="1" t="s">
        <v>3915</v>
      </c>
      <c r="P816" s="1" t="n">
        <v>3621</v>
      </c>
      <c r="Q816" s="1" t="s">
        <v>3916</v>
      </c>
      <c r="R816" s="1" t="s">
        <v>3917</v>
      </c>
      <c r="S816" s="1" t="s">
        <v>23</v>
      </c>
      <c r="T816" s="1" t="s">
        <v>23</v>
      </c>
      <c r="U816" s="1" t="s">
        <v>23</v>
      </c>
      <c r="V816" s="1" t="s">
        <v>3918</v>
      </c>
    </row>
    <row r="817" customFormat="false" ht="13.8" hidden="false" customHeight="false" outlineLevel="0" collapsed="false">
      <c r="A817" s="1" t="n">
        <v>816</v>
      </c>
      <c r="B817" s="2" t="s">
        <v>3919</v>
      </c>
      <c r="C817" s="1" t="n">
        <v>20</v>
      </c>
      <c r="D817" s="1" t="n">
        <v>21</v>
      </c>
      <c r="E817" s="1" t="n">
        <v>30</v>
      </c>
      <c r="F817" s="1" t="n">
        <v>40</v>
      </c>
      <c r="G817" s="1" t="n">
        <v>47</v>
      </c>
      <c r="H817" s="1" t="n">
        <v>52</v>
      </c>
      <c r="I817" s="1" t="str">
        <f aca="false">RIGHT(("0"&amp;C817),2)&amp;RIGHT(("0"&amp;D817),2)&amp;RIGHT(("0"&amp;E817),2)&amp;RIGHT(("0"&amp;F817),2)&amp;RIGHT(("0"&amp;G817),2)&amp;RIGHT(("0"&amp;H817),2)</f>
        <v>202130404752</v>
      </c>
      <c r="J817" s="1" t="n">
        <f aca="false">COUNTIF(I:I,I817)</f>
        <v>1</v>
      </c>
      <c r="K817" s="1" t="n">
        <v>0</v>
      </c>
      <c r="M817" s="1" t="s">
        <v>23</v>
      </c>
      <c r="N817" s="1" t="n">
        <v>21</v>
      </c>
      <c r="O817" s="1" t="s">
        <v>3920</v>
      </c>
      <c r="P817" s="1" t="n">
        <v>1885</v>
      </c>
      <c r="Q817" s="1" t="s">
        <v>3921</v>
      </c>
      <c r="R817" s="1" t="s">
        <v>3922</v>
      </c>
      <c r="S817" s="1" t="s">
        <v>23</v>
      </c>
      <c r="T817" s="1" t="s">
        <v>23</v>
      </c>
      <c r="U817" s="1" t="s">
        <v>23</v>
      </c>
      <c r="V817" s="1" t="s">
        <v>3923</v>
      </c>
    </row>
    <row r="818" customFormat="false" ht="13.8" hidden="false" customHeight="false" outlineLevel="0" collapsed="false">
      <c r="A818" s="1" t="n">
        <v>817</v>
      </c>
      <c r="B818" s="2" t="s">
        <v>3924</v>
      </c>
      <c r="C818" s="1" t="n">
        <v>10</v>
      </c>
      <c r="D818" s="1" t="n">
        <v>29</v>
      </c>
      <c r="E818" s="1" t="n">
        <v>30</v>
      </c>
      <c r="F818" s="1" t="n">
        <v>34</v>
      </c>
      <c r="G818" s="1" t="n">
        <v>43</v>
      </c>
      <c r="H818" s="1" t="n">
        <v>52</v>
      </c>
      <c r="I818" s="1" t="str">
        <f aca="false">RIGHT(("0"&amp;C818),2)&amp;RIGHT(("0"&amp;D818),2)&amp;RIGHT(("0"&amp;E818),2)&amp;RIGHT(("0"&amp;F818),2)&amp;RIGHT(("0"&amp;G818),2)&amp;RIGHT(("0"&amp;H818),2)</f>
        <v>102930344352</v>
      </c>
      <c r="J818" s="1" t="n">
        <f aca="false">COUNTIF(I:I,I818)</f>
        <v>1</v>
      </c>
      <c r="K818" s="1" t="n">
        <v>0</v>
      </c>
      <c r="M818" s="1" t="s">
        <v>23</v>
      </c>
      <c r="N818" s="1" t="n">
        <v>27</v>
      </c>
      <c r="O818" s="1" t="s">
        <v>3925</v>
      </c>
      <c r="P818" s="1" t="n">
        <v>2469</v>
      </c>
      <c r="Q818" s="1" t="s">
        <v>3926</v>
      </c>
      <c r="R818" s="1" t="s">
        <v>3927</v>
      </c>
      <c r="S818" s="1" t="s">
        <v>23</v>
      </c>
      <c r="T818" s="1" t="s">
        <v>3928</v>
      </c>
      <c r="U818" s="1" t="s">
        <v>23</v>
      </c>
      <c r="V818" s="1" t="s">
        <v>3929</v>
      </c>
    </row>
    <row r="819" customFormat="false" ht="13.8" hidden="false" customHeight="false" outlineLevel="0" collapsed="false">
      <c r="A819" s="1" t="n">
        <v>818</v>
      </c>
      <c r="B819" s="2" t="s">
        <v>3930</v>
      </c>
      <c r="C819" s="1" t="n">
        <v>8</v>
      </c>
      <c r="D819" s="1" t="n">
        <v>9</v>
      </c>
      <c r="E819" s="1" t="n">
        <v>22</v>
      </c>
      <c r="F819" s="1" t="n">
        <v>25</v>
      </c>
      <c r="G819" s="1" t="n">
        <v>41</v>
      </c>
      <c r="H819" s="1" t="n">
        <v>44</v>
      </c>
      <c r="I819" s="1" t="str">
        <f aca="false">RIGHT(("0"&amp;C819),2)&amp;RIGHT(("0"&amp;D819),2)&amp;RIGHT(("0"&amp;E819),2)&amp;RIGHT(("0"&amp;F819),2)&amp;RIGHT(("0"&amp;G819),2)&amp;RIGHT(("0"&amp;H819),2)</f>
        <v>080922254144</v>
      </c>
      <c r="J819" s="1" t="n">
        <f aca="false">COUNTIF(I:I,I819)</f>
        <v>1</v>
      </c>
      <c r="K819" s="1" t="n">
        <v>0</v>
      </c>
      <c r="M819" s="1" t="s">
        <v>23</v>
      </c>
      <c r="N819" s="1" t="n">
        <v>58</v>
      </c>
      <c r="O819" s="1" t="s">
        <v>3931</v>
      </c>
      <c r="P819" s="1" t="n">
        <v>4935</v>
      </c>
      <c r="Q819" s="1" t="s">
        <v>3932</v>
      </c>
      <c r="R819" s="1" t="s">
        <v>3933</v>
      </c>
      <c r="S819" s="1" t="s">
        <v>23</v>
      </c>
      <c r="T819" s="1" t="s">
        <v>23</v>
      </c>
      <c r="U819" s="1" t="s">
        <v>23</v>
      </c>
      <c r="V819" s="1" t="s">
        <v>3934</v>
      </c>
    </row>
    <row r="820" customFormat="false" ht="13.8" hidden="false" customHeight="false" outlineLevel="0" collapsed="false">
      <c r="A820" s="1" t="n">
        <v>819</v>
      </c>
      <c r="B820" s="2" t="s">
        <v>3935</v>
      </c>
      <c r="C820" s="1" t="n">
        <v>5</v>
      </c>
      <c r="D820" s="1" t="n">
        <v>19</v>
      </c>
      <c r="E820" s="1" t="n">
        <v>25</v>
      </c>
      <c r="F820" s="1" t="n">
        <v>46</v>
      </c>
      <c r="G820" s="1" t="n">
        <v>51</v>
      </c>
      <c r="H820" s="1" t="n">
        <v>58</v>
      </c>
      <c r="I820" s="1" t="str">
        <f aca="false">RIGHT(("0"&amp;C820),2)&amp;RIGHT(("0"&amp;D820),2)&amp;RIGHT(("0"&amp;E820),2)&amp;RIGHT(("0"&amp;F820),2)&amp;RIGHT(("0"&amp;G820),2)&amp;RIGHT(("0"&amp;H820),2)</f>
        <v>051925465158</v>
      </c>
      <c r="J820" s="1" t="n">
        <f aca="false">COUNTIF(I:I,I820)</f>
        <v>1</v>
      </c>
      <c r="K820" s="1" t="n">
        <v>0</v>
      </c>
      <c r="M820" s="1" t="s">
        <v>23</v>
      </c>
      <c r="N820" s="1" t="n">
        <v>105</v>
      </c>
      <c r="O820" s="1" t="s">
        <v>3936</v>
      </c>
      <c r="P820" s="1" t="n">
        <v>5868</v>
      </c>
      <c r="Q820" s="1" t="s">
        <v>3937</v>
      </c>
      <c r="R820" s="1" t="s">
        <v>3938</v>
      </c>
      <c r="S820" s="1" t="s">
        <v>23</v>
      </c>
      <c r="T820" s="1" t="s">
        <v>23</v>
      </c>
      <c r="U820" s="1" t="s">
        <v>23</v>
      </c>
      <c r="V820" s="1" t="s">
        <v>3939</v>
      </c>
    </row>
    <row r="821" customFormat="false" ht="13.8" hidden="false" customHeight="false" outlineLevel="0" collapsed="false">
      <c r="A821" s="1" t="n">
        <v>820</v>
      </c>
      <c r="B821" s="2" t="s">
        <v>3940</v>
      </c>
      <c r="C821" s="1" t="n">
        <v>10</v>
      </c>
      <c r="D821" s="1" t="n">
        <v>17</v>
      </c>
      <c r="E821" s="1" t="n">
        <v>21</v>
      </c>
      <c r="F821" s="1" t="n">
        <v>32</v>
      </c>
      <c r="G821" s="1" t="n">
        <v>45</v>
      </c>
      <c r="H821" s="1" t="n">
        <v>46</v>
      </c>
      <c r="I821" s="1" t="str">
        <f aca="false">RIGHT(("0"&amp;C821),2)&amp;RIGHT(("0"&amp;D821),2)&amp;RIGHT(("0"&amp;E821),2)&amp;RIGHT(("0"&amp;F821),2)&amp;RIGHT(("0"&amp;G821),2)&amp;RIGHT(("0"&amp;H821),2)</f>
        <v>101721324546</v>
      </c>
      <c r="J821" s="1" t="n">
        <f aca="false">COUNTIF(I:I,I821)</f>
        <v>1</v>
      </c>
      <c r="K821" s="1" t="n">
        <v>2</v>
      </c>
      <c r="L821" s="1" t="s">
        <v>91</v>
      </c>
      <c r="M821" s="1" t="s">
        <v>3941</v>
      </c>
      <c r="N821" s="1" t="n">
        <v>82</v>
      </c>
      <c r="O821" s="1" t="s">
        <v>3942</v>
      </c>
      <c r="P821" s="1" t="n">
        <v>5102</v>
      </c>
      <c r="Q821" s="1" t="s">
        <v>3943</v>
      </c>
      <c r="R821" s="1" t="s">
        <v>23</v>
      </c>
      <c r="S821" s="1" t="s">
        <v>23</v>
      </c>
      <c r="T821" s="1" t="s">
        <v>23</v>
      </c>
      <c r="U821" s="1" t="s">
        <v>23</v>
      </c>
      <c r="V821" s="1" t="s">
        <v>3944</v>
      </c>
    </row>
    <row r="822" customFormat="false" ht="13.8" hidden="false" customHeight="false" outlineLevel="0" collapsed="false">
      <c r="A822" s="1" t="n">
        <v>821</v>
      </c>
      <c r="B822" s="2" t="s">
        <v>3945</v>
      </c>
      <c r="C822" s="1" t="n">
        <v>4</v>
      </c>
      <c r="D822" s="1" t="n">
        <v>29</v>
      </c>
      <c r="E822" s="1" t="n">
        <v>33</v>
      </c>
      <c r="F822" s="1" t="n">
        <v>36</v>
      </c>
      <c r="G822" s="1" t="n">
        <v>38</v>
      </c>
      <c r="H822" s="1" t="n">
        <v>42</v>
      </c>
      <c r="I822" s="1" t="str">
        <f aca="false">RIGHT(("0"&amp;C822),2)&amp;RIGHT(("0"&amp;D822),2)&amp;RIGHT(("0"&amp;E822),2)&amp;RIGHT(("0"&amp;F822),2)&amp;RIGHT(("0"&amp;G822),2)&amp;RIGHT(("0"&amp;H822),2)</f>
        <v>042933363842</v>
      </c>
      <c r="J822" s="1" t="n">
        <f aca="false">COUNTIF(I:I,I822)</f>
        <v>1</v>
      </c>
      <c r="K822" s="1" t="n">
        <v>0</v>
      </c>
      <c r="M822" s="1" t="s">
        <v>23</v>
      </c>
      <c r="N822" s="1" t="n">
        <v>37</v>
      </c>
      <c r="O822" s="1" t="s">
        <v>3946</v>
      </c>
      <c r="P822" s="1" t="n">
        <v>3307</v>
      </c>
      <c r="Q822" s="1" t="s">
        <v>3947</v>
      </c>
      <c r="R822" s="1" t="s">
        <v>3948</v>
      </c>
      <c r="S822" s="1" t="s">
        <v>23</v>
      </c>
      <c r="T822" s="1" t="s">
        <v>23</v>
      </c>
      <c r="U822" s="1" t="s">
        <v>23</v>
      </c>
      <c r="V822" s="1" t="s">
        <v>3949</v>
      </c>
    </row>
    <row r="823" customFormat="false" ht="13.8" hidden="false" customHeight="false" outlineLevel="0" collapsed="false">
      <c r="A823" s="1" t="n">
        <v>822</v>
      </c>
      <c r="B823" s="2" t="s">
        <v>3950</v>
      </c>
      <c r="C823" s="1" t="n">
        <v>4</v>
      </c>
      <c r="D823" s="1" t="n">
        <v>10</v>
      </c>
      <c r="E823" s="1" t="n">
        <v>17</v>
      </c>
      <c r="F823" s="1" t="n">
        <v>27</v>
      </c>
      <c r="G823" s="1" t="n">
        <v>41</v>
      </c>
      <c r="H823" s="1" t="n">
        <v>52</v>
      </c>
      <c r="I823" s="1" t="str">
        <f aca="false">RIGHT(("0"&amp;C823),2)&amp;RIGHT(("0"&amp;D823),2)&amp;RIGHT(("0"&amp;E823),2)&amp;RIGHT(("0"&amp;F823),2)&amp;RIGHT(("0"&amp;G823),2)&amp;RIGHT(("0"&amp;H823),2)</f>
        <v>041017274152</v>
      </c>
      <c r="J823" s="1" t="n">
        <f aca="false">COUNTIF(I:I,I823)</f>
        <v>1</v>
      </c>
      <c r="K823" s="1" t="n">
        <v>0</v>
      </c>
      <c r="M823" s="1" t="s">
        <v>23</v>
      </c>
      <c r="N823" s="1" t="n">
        <v>31</v>
      </c>
      <c r="O823" s="1" t="s">
        <v>3951</v>
      </c>
      <c r="P823" s="1" t="n">
        <v>2585</v>
      </c>
      <c r="Q823" s="1" t="s">
        <v>3952</v>
      </c>
      <c r="R823" s="1" t="s">
        <v>3953</v>
      </c>
      <c r="S823" s="1" t="s">
        <v>23</v>
      </c>
      <c r="T823" s="1" t="s">
        <v>23</v>
      </c>
      <c r="U823" s="1" t="s">
        <v>23</v>
      </c>
      <c r="V823" s="1" t="s">
        <v>3954</v>
      </c>
    </row>
    <row r="824" customFormat="false" ht="13.8" hidden="false" customHeight="false" outlineLevel="0" collapsed="false">
      <c r="A824" s="1" t="n">
        <v>823</v>
      </c>
      <c r="B824" s="2" t="s">
        <v>3955</v>
      </c>
      <c r="C824" s="1" t="n">
        <v>1</v>
      </c>
      <c r="D824" s="1" t="n">
        <v>15</v>
      </c>
      <c r="E824" s="1" t="n">
        <v>26</v>
      </c>
      <c r="F824" s="1" t="n">
        <v>51</v>
      </c>
      <c r="G824" s="1" t="n">
        <v>54</v>
      </c>
      <c r="H824" s="1" t="n">
        <v>59</v>
      </c>
      <c r="I824" s="1" t="str">
        <f aca="false">RIGHT(("0"&amp;C824),2)&amp;RIGHT(("0"&amp;D824),2)&amp;RIGHT(("0"&amp;E824),2)&amp;RIGHT(("0"&amp;F824),2)&amp;RIGHT(("0"&amp;G824),2)&amp;RIGHT(("0"&amp;H824),2)</f>
        <v>011526515459</v>
      </c>
      <c r="J824" s="1" t="n">
        <f aca="false">COUNTIF(I:I,I824)</f>
        <v>1</v>
      </c>
      <c r="K824" s="1" t="n">
        <v>0</v>
      </c>
      <c r="M824" s="1" t="s">
        <v>23</v>
      </c>
      <c r="N824" s="1" t="n">
        <v>22</v>
      </c>
      <c r="O824" s="1" t="s">
        <v>3956</v>
      </c>
      <c r="P824" s="1" t="n">
        <v>2144</v>
      </c>
      <c r="Q824" s="1" t="s">
        <v>3957</v>
      </c>
      <c r="R824" s="1" t="s">
        <v>3958</v>
      </c>
      <c r="S824" s="1" t="s">
        <v>23</v>
      </c>
      <c r="T824" s="1" t="s">
        <v>23</v>
      </c>
      <c r="U824" s="1" t="s">
        <v>23</v>
      </c>
      <c r="V824" s="1" t="s">
        <v>3959</v>
      </c>
    </row>
    <row r="825" customFormat="false" ht="13.8" hidden="false" customHeight="false" outlineLevel="0" collapsed="false">
      <c r="A825" s="1" t="n">
        <v>824</v>
      </c>
      <c r="B825" s="2" t="s">
        <v>3960</v>
      </c>
      <c r="C825" s="1" t="n">
        <v>6</v>
      </c>
      <c r="D825" s="1" t="n">
        <v>7</v>
      </c>
      <c r="E825" s="1" t="n">
        <v>9</v>
      </c>
      <c r="F825" s="1" t="n">
        <v>20</v>
      </c>
      <c r="G825" s="1" t="n">
        <v>33</v>
      </c>
      <c r="H825" s="1" t="n">
        <v>48</v>
      </c>
      <c r="I825" s="1" t="str">
        <f aca="false">RIGHT(("0"&amp;C825),2)&amp;RIGHT(("0"&amp;D825),2)&amp;RIGHT(("0"&amp;E825),2)&amp;RIGHT(("0"&amp;F825),2)&amp;RIGHT(("0"&amp;G825),2)&amp;RIGHT(("0"&amp;H825),2)</f>
        <v>060709203348</v>
      </c>
      <c r="J825" s="1" t="n">
        <f aca="false">COUNTIF(I:I,I825)</f>
        <v>1</v>
      </c>
      <c r="K825" s="1" t="n">
        <v>0</v>
      </c>
      <c r="M825" s="1" t="s">
        <v>23</v>
      </c>
      <c r="N825" s="1" t="n">
        <v>53</v>
      </c>
      <c r="O825" s="1" t="s">
        <v>3961</v>
      </c>
      <c r="P825" s="1" t="n">
        <v>5002</v>
      </c>
      <c r="Q825" s="1" t="s">
        <v>3962</v>
      </c>
      <c r="R825" s="1" t="s">
        <v>3963</v>
      </c>
      <c r="S825" s="1" t="s">
        <v>23</v>
      </c>
      <c r="T825" s="1" t="s">
        <v>23</v>
      </c>
      <c r="U825" s="1" t="s">
        <v>23</v>
      </c>
      <c r="V825" s="1" t="s">
        <v>3964</v>
      </c>
    </row>
    <row r="826" customFormat="false" ht="13.8" hidden="false" customHeight="false" outlineLevel="0" collapsed="false">
      <c r="A826" s="1" t="n">
        <v>825</v>
      </c>
      <c r="B826" s="2" t="s">
        <v>3965</v>
      </c>
      <c r="C826" s="1" t="n">
        <v>10</v>
      </c>
      <c r="D826" s="1" t="n">
        <v>21</v>
      </c>
      <c r="E826" s="1" t="n">
        <v>28</v>
      </c>
      <c r="F826" s="1" t="n">
        <v>40</v>
      </c>
      <c r="G826" s="1" t="n">
        <v>41</v>
      </c>
      <c r="H826" s="1" t="n">
        <v>47</v>
      </c>
      <c r="I826" s="1" t="str">
        <f aca="false">RIGHT(("0"&amp;C826),2)&amp;RIGHT(("0"&amp;D826),2)&amp;RIGHT(("0"&amp;E826),2)&amp;RIGHT(("0"&amp;F826),2)&amp;RIGHT(("0"&amp;G826),2)&amp;RIGHT(("0"&amp;H826),2)</f>
        <v>102128404147</v>
      </c>
      <c r="J826" s="1" t="n">
        <f aca="false">COUNTIF(I:I,I826)</f>
        <v>1</v>
      </c>
      <c r="K826" s="1" t="n">
        <v>0</v>
      </c>
      <c r="M826" s="1" t="s">
        <v>23</v>
      </c>
      <c r="N826" s="1" t="n">
        <v>52</v>
      </c>
      <c r="O826" s="1" t="s">
        <v>3966</v>
      </c>
      <c r="P826" s="1" t="n">
        <v>4148</v>
      </c>
      <c r="Q826" s="1" t="s">
        <v>3967</v>
      </c>
      <c r="R826" s="1" t="s">
        <v>3968</v>
      </c>
      <c r="S826" s="1" t="s">
        <v>23</v>
      </c>
      <c r="T826" s="1" t="s">
        <v>23</v>
      </c>
      <c r="U826" s="1" t="s">
        <v>23</v>
      </c>
      <c r="V826" s="1" t="s">
        <v>3969</v>
      </c>
    </row>
    <row r="827" customFormat="false" ht="13.8" hidden="false" customHeight="false" outlineLevel="0" collapsed="false">
      <c r="A827" s="1" t="n">
        <v>826</v>
      </c>
      <c r="B827" s="2" t="s">
        <v>3970</v>
      </c>
      <c r="C827" s="1" t="n">
        <v>6</v>
      </c>
      <c r="D827" s="1" t="n">
        <v>7</v>
      </c>
      <c r="E827" s="1" t="n">
        <v>8</v>
      </c>
      <c r="F827" s="1" t="n">
        <v>27</v>
      </c>
      <c r="G827" s="1" t="n">
        <v>45</v>
      </c>
      <c r="H827" s="1" t="n">
        <v>53</v>
      </c>
      <c r="I827" s="1" t="str">
        <f aca="false">RIGHT(("0"&amp;C827),2)&amp;RIGHT(("0"&amp;D827),2)&amp;RIGHT(("0"&amp;E827),2)&amp;RIGHT(("0"&amp;F827),2)&amp;RIGHT(("0"&amp;G827),2)&amp;RIGHT(("0"&amp;H827),2)</f>
        <v>060708274553</v>
      </c>
      <c r="J827" s="1" t="n">
        <f aca="false">COUNTIF(I:I,I827)</f>
        <v>1</v>
      </c>
      <c r="K827" s="1" t="n">
        <v>0</v>
      </c>
      <c r="M827" s="1" t="s">
        <v>23</v>
      </c>
      <c r="N827" s="1" t="n">
        <v>68</v>
      </c>
      <c r="O827" s="1" t="s">
        <v>3971</v>
      </c>
      <c r="P827" s="1" t="n">
        <v>3571</v>
      </c>
      <c r="Q827" s="1" t="s">
        <v>3972</v>
      </c>
      <c r="R827" s="1" t="s">
        <v>3973</v>
      </c>
      <c r="S827" s="1" t="s">
        <v>23</v>
      </c>
      <c r="T827" s="1" t="s">
        <v>23</v>
      </c>
      <c r="U827" s="1" t="s">
        <v>23</v>
      </c>
      <c r="V827" s="1" t="s">
        <v>3974</v>
      </c>
    </row>
    <row r="828" customFormat="false" ht="13.8" hidden="false" customHeight="false" outlineLevel="0" collapsed="false">
      <c r="A828" s="1" t="n">
        <v>827</v>
      </c>
      <c r="B828" s="2" t="s">
        <v>3975</v>
      </c>
      <c r="C828" s="1" t="n">
        <v>18</v>
      </c>
      <c r="D828" s="1" t="n">
        <v>24</v>
      </c>
      <c r="E828" s="1" t="n">
        <v>30</v>
      </c>
      <c r="F828" s="1" t="n">
        <v>42</v>
      </c>
      <c r="G828" s="1" t="n">
        <v>51</v>
      </c>
      <c r="H828" s="1" t="n">
        <v>56</v>
      </c>
      <c r="I828" s="1" t="str">
        <f aca="false">RIGHT(("0"&amp;C828),2)&amp;RIGHT(("0"&amp;D828),2)&amp;RIGHT(("0"&amp;E828),2)&amp;RIGHT(("0"&amp;F828),2)&amp;RIGHT(("0"&amp;G828),2)&amp;RIGHT(("0"&amp;H828),2)</f>
        <v>182430425156</v>
      </c>
      <c r="J828" s="1" t="n">
        <f aca="false">COUNTIF(I:I,I828)</f>
        <v>1</v>
      </c>
      <c r="K828" s="1" t="n">
        <v>0</v>
      </c>
      <c r="M828" s="1" t="s">
        <v>23</v>
      </c>
      <c r="N828" s="1" t="n">
        <v>47</v>
      </c>
      <c r="O828" s="1" t="s">
        <v>3976</v>
      </c>
      <c r="P828" s="1" t="n">
        <v>4106</v>
      </c>
      <c r="Q828" s="1" t="s">
        <v>3977</v>
      </c>
      <c r="R828" s="1" t="s">
        <v>3978</v>
      </c>
      <c r="S828" s="1" t="s">
        <v>23</v>
      </c>
      <c r="T828" s="1" t="s">
        <v>23</v>
      </c>
      <c r="U828" s="1" t="s">
        <v>23</v>
      </c>
      <c r="V828" s="1" t="s">
        <v>3979</v>
      </c>
    </row>
    <row r="829" customFormat="false" ht="13.8" hidden="false" customHeight="false" outlineLevel="0" collapsed="false">
      <c r="A829" s="1" t="n">
        <v>828</v>
      </c>
      <c r="B829" s="2" t="s">
        <v>3980</v>
      </c>
      <c r="C829" s="1" t="n">
        <v>23</v>
      </c>
      <c r="D829" s="1" t="n">
        <v>28</v>
      </c>
      <c r="E829" s="1" t="n">
        <v>38</v>
      </c>
      <c r="F829" s="1" t="n">
        <v>42</v>
      </c>
      <c r="G829" s="1" t="n">
        <v>50</v>
      </c>
      <c r="H829" s="1" t="n">
        <v>53</v>
      </c>
      <c r="I829" s="1" t="str">
        <f aca="false">RIGHT(("0"&amp;C829),2)&amp;RIGHT(("0"&amp;D829),2)&amp;RIGHT(("0"&amp;E829),2)&amp;RIGHT(("0"&amp;F829),2)&amp;RIGHT(("0"&amp;G829),2)&amp;RIGHT(("0"&amp;H829),2)</f>
        <v>232838425053</v>
      </c>
      <c r="J829" s="1" t="n">
        <f aca="false">COUNTIF(I:I,I829)</f>
        <v>1</v>
      </c>
      <c r="K829" s="1" t="n">
        <v>0</v>
      </c>
      <c r="M829" s="1" t="s">
        <v>23</v>
      </c>
      <c r="N829" s="1" t="n">
        <v>29</v>
      </c>
      <c r="O829" s="1" t="s">
        <v>3981</v>
      </c>
      <c r="P829" s="1" t="n">
        <v>3478</v>
      </c>
      <c r="Q829" s="1" t="s">
        <v>3982</v>
      </c>
      <c r="R829" s="1" t="s">
        <v>3983</v>
      </c>
      <c r="S829" s="1" t="s">
        <v>23</v>
      </c>
      <c r="T829" s="1" t="s">
        <v>23</v>
      </c>
      <c r="U829" s="1" t="s">
        <v>23</v>
      </c>
      <c r="V829" s="1" t="s">
        <v>3984</v>
      </c>
    </row>
    <row r="830" customFormat="false" ht="13.8" hidden="false" customHeight="false" outlineLevel="0" collapsed="false">
      <c r="A830" s="1" t="n">
        <v>829</v>
      </c>
      <c r="B830" s="2" t="s">
        <v>3985</v>
      </c>
      <c r="C830" s="1" t="n">
        <v>10</v>
      </c>
      <c r="D830" s="1" t="n">
        <v>14</v>
      </c>
      <c r="E830" s="1" t="n">
        <v>32</v>
      </c>
      <c r="F830" s="1" t="n">
        <v>47</v>
      </c>
      <c r="G830" s="1" t="n">
        <v>50</v>
      </c>
      <c r="H830" s="1" t="n">
        <v>56</v>
      </c>
      <c r="I830" s="1" t="str">
        <f aca="false">RIGHT(("0"&amp;C830),2)&amp;RIGHT(("0"&amp;D830),2)&amp;RIGHT(("0"&amp;E830),2)&amp;RIGHT(("0"&amp;F830),2)&amp;RIGHT(("0"&amp;G830),2)&amp;RIGHT(("0"&amp;H830),2)</f>
        <v>101432475056</v>
      </c>
      <c r="J830" s="1" t="n">
        <f aca="false">COUNTIF(I:I,I830)</f>
        <v>1</v>
      </c>
      <c r="K830" s="1" t="n">
        <v>0</v>
      </c>
      <c r="M830" s="1" t="s">
        <v>23</v>
      </c>
      <c r="N830" s="1" t="n">
        <v>162</v>
      </c>
      <c r="O830" s="1" t="s">
        <v>3986</v>
      </c>
      <c r="P830" s="1" t="n">
        <v>10814</v>
      </c>
      <c r="Q830" s="1" t="s">
        <v>3987</v>
      </c>
      <c r="R830" s="1" t="s">
        <v>3988</v>
      </c>
      <c r="S830" s="1" t="s">
        <v>23</v>
      </c>
      <c r="T830" s="1" t="s">
        <v>23</v>
      </c>
      <c r="U830" s="1" t="s">
        <v>23</v>
      </c>
      <c r="V830" s="1" t="s">
        <v>3989</v>
      </c>
    </row>
    <row r="831" customFormat="false" ht="13.8" hidden="false" customHeight="false" outlineLevel="0" collapsed="false">
      <c r="A831" s="1" t="n">
        <v>830</v>
      </c>
      <c r="B831" s="2" t="s">
        <v>3990</v>
      </c>
      <c r="C831" s="1" t="n">
        <v>2</v>
      </c>
      <c r="D831" s="1" t="n">
        <v>13</v>
      </c>
      <c r="E831" s="1" t="n">
        <v>41</v>
      </c>
      <c r="F831" s="1" t="n">
        <v>49</v>
      </c>
      <c r="G831" s="1" t="n">
        <v>51</v>
      </c>
      <c r="H831" s="1" t="n">
        <v>53</v>
      </c>
      <c r="I831" s="1" t="str">
        <f aca="false">RIGHT(("0"&amp;C831),2)&amp;RIGHT(("0"&amp;D831),2)&amp;RIGHT(("0"&amp;E831),2)&amp;RIGHT(("0"&amp;F831),2)&amp;RIGHT(("0"&amp;G831),2)&amp;RIGHT(("0"&amp;H831),2)</f>
        <v>021341495153</v>
      </c>
      <c r="J831" s="1" t="n">
        <f aca="false">COUNTIF(I:I,I831)</f>
        <v>1</v>
      </c>
      <c r="K831" s="1" t="n">
        <v>0</v>
      </c>
      <c r="M831" s="1" t="s">
        <v>23</v>
      </c>
      <c r="N831" s="1" t="n">
        <v>94</v>
      </c>
      <c r="O831" s="1" t="s">
        <v>3991</v>
      </c>
      <c r="P831" s="1" t="n">
        <v>7705</v>
      </c>
      <c r="Q831" s="1" t="s">
        <v>3992</v>
      </c>
      <c r="R831" s="1" t="s">
        <v>3993</v>
      </c>
      <c r="S831" s="1" t="s">
        <v>23</v>
      </c>
      <c r="T831" s="1" t="s">
        <v>23</v>
      </c>
      <c r="U831" s="1" t="s">
        <v>23</v>
      </c>
      <c r="V831" s="1" t="s">
        <v>3994</v>
      </c>
    </row>
    <row r="832" customFormat="false" ht="13.8" hidden="false" customHeight="false" outlineLevel="0" collapsed="false">
      <c r="A832" s="1" t="n">
        <v>831</v>
      </c>
      <c r="B832" s="2" t="s">
        <v>3995</v>
      </c>
      <c r="C832" s="1" t="n">
        <v>3</v>
      </c>
      <c r="D832" s="1" t="n">
        <v>32</v>
      </c>
      <c r="E832" s="1" t="n">
        <v>33</v>
      </c>
      <c r="F832" s="1" t="n">
        <v>42</v>
      </c>
      <c r="G832" s="1" t="n">
        <v>48</v>
      </c>
      <c r="H832" s="1" t="n">
        <v>50</v>
      </c>
      <c r="I832" s="1" t="str">
        <f aca="false">RIGHT(("0"&amp;C832),2)&amp;RIGHT(("0"&amp;D832),2)&amp;RIGHT(("0"&amp;E832),2)&amp;RIGHT(("0"&amp;F832),2)&amp;RIGHT(("0"&amp;G832),2)&amp;RIGHT(("0"&amp;H832),2)</f>
        <v>033233424850</v>
      </c>
      <c r="J832" s="1" t="n">
        <f aca="false">COUNTIF(I:I,I832)</f>
        <v>1</v>
      </c>
      <c r="K832" s="1" t="n">
        <v>0</v>
      </c>
      <c r="M832" s="1" t="s">
        <v>23</v>
      </c>
      <c r="N832" s="1" t="n">
        <v>117</v>
      </c>
      <c r="O832" s="1" t="s">
        <v>3996</v>
      </c>
      <c r="P832" s="1" t="n">
        <v>12045</v>
      </c>
      <c r="Q832" s="1" t="s">
        <v>3997</v>
      </c>
      <c r="R832" s="1" t="s">
        <v>3998</v>
      </c>
      <c r="S832" s="1" t="s">
        <v>23</v>
      </c>
      <c r="T832" s="1" t="s">
        <v>23</v>
      </c>
      <c r="U832" s="1" t="s">
        <v>23</v>
      </c>
      <c r="V832" s="1" t="s">
        <v>3999</v>
      </c>
    </row>
    <row r="833" customFormat="false" ht="13.8" hidden="false" customHeight="false" outlineLevel="0" collapsed="false">
      <c r="A833" s="1" t="n">
        <v>832</v>
      </c>
      <c r="B833" s="2" t="s">
        <v>4000</v>
      </c>
      <c r="C833" s="1" t="n">
        <v>15</v>
      </c>
      <c r="D833" s="1" t="n">
        <v>17</v>
      </c>
      <c r="E833" s="1" t="n">
        <v>23</v>
      </c>
      <c r="F833" s="1" t="n">
        <v>33</v>
      </c>
      <c r="G833" s="1" t="n">
        <v>39</v>
      </c>
      <c r="H833" s="1" t="n">
        <v>49</v>
      </c>
      <c r="I833" s="1" t="str">
        <f aca="false">RIGHT(("0"&amp;C833),2)&amp;RIGHT(("0"&amp;D833),2)&amp;RIGHT(("0"&amp;E833),2)&amp;RIGHT(("0"&amp;F833),2)&amp;RIGHT(("0"&amp;G833),2)&amp;RIGHT(("0"&amp;H833),2)</f>
        <v>151723333949</v>
      </c>
      <c r="J833" s="1" t="n">
        <f aca="false">COUNTIF(I:I,I833)</f>
        <v>1</v>
      </c>
      <c r="K833" s="1" t="n">
        <v>1</v>
      </c>
      <c r="L833" s="1" t="s">
        <v>4001</v>
      </c>
      <c r="M833" s="1" t="s">
        <v>4002</v>
      </c>
      <c r="N833" s="1" t="n">
        <v>510</v>
      </c>
      <c r="O833" s="1" t="s">
        <v>4003</v>
      </c>
      <c r="P833" s="1" t="n">
        <v>37086</v>
      </c>
      <c r="Q833" s="1" t="s">
        <v>4004</v>
      </c>
      <c r="R833" s="1" t="s">
        <v>23</v>
      </c>
      <c r="S833" s="1" t="s">
        <v>23</v>
      </c>
      <c r="T833" s="1" t="s">
        <v>23</v>
      </c>
      <c r="U833" s="1" t="s">
        <v>23</v>
      </c>
      <c r="V833" s="1" t="s">
        <v>4005</v>
      </c>
    </row>
    <row r="834" customFormat="false" ht="13.8" hidden="false" customHeight="false" outlineLevel="0" collapsed="false">
      <c r="A834" s="1" t="n">
        <v>833</v>
      </c>
      <c r="B834" s="2" t="s">
        <v>4006</v>
      </c>
      <c r="C834" s="1" t="n">
        <v>13</v>
      </c>
      <c r="D834" s="1" t="n">
        <v>16</v>
      </c>
      <c r="E834" s="1" t="n">
        <v>46</v>
      </c>
      <c r="F834" s="1" t="n">
        <v>53</v>
      </c>
      <c r="G834" s="1" t="n">
        <v>57</v>
      </c>
      <c r="H834" s="1" t="n">
        <v>58</v>
      </c>
      <c r="I834" s="1" t="str">
        <f aca="false">RIGHT(("0"&amp;C834),2)&amp;RIGHT(("0"&amp;D834),2)&amp;RIGHT(("0"&amp;E834),2)&amp;RIGHT(("0"&amp;F834),2)&amp;RIGHT(("0"&amp;G834),2)&amp;RIGHT(("0"&amp;H834),2)</f>
        <v>131646535758</v>
      </c>
      <c r="J834" s="1" t="n">
        <f aca="false">COUNTIF(I:I,I834)</f>
        <v>1</v>
      </c>
      <c r="K834" s="1" t="n">
        <v>0</v>
      </c>
      <c r="M834" s="1" t="s">
        <v>23</v>
      </c>
      <c r="N834" s="1" t="n">
        <v>40</v>
      </c>
      <c r="O834" s="1" t="s">
        <v>4007</v>
      </c>
      <c r="P834" s="1" t="n">
        <v>2678</v>
      </c>
      <c r="Q834" s="1" t="s">
        <v>4008</v>
      </c>
      <c r="R834" s="1" t="s">
        <v>4009</v>
      </c>
      <c r="S834" s="1" t="s">
        <v>23</v>
      </c>
      <c r="T834" s="1" t="s">
        <v>23</v>
      </c>
      <c r="U834" s="1" t="s">
        <v>23</v>
      </c>
      <c r="V834" s="1" t="s">
        <v>4010</v>
      </c>
    </row>
    <row r="835" customFormat="false" ht="13.8" hidden="false" customHeight="false" outlineLevel="0" collapsed="false">
      <c r="A835" s="1" t="n">
        <v>834</v>
      </c>
      <c r="B835" s="2" t="s">
        <v>4011</v>
      </c>
      <c r="C835" s="1" t="n">
        <v>10</v>
      </c>
      <c r="D835" s="1" t="n">
        <v>16</v>
      </c>
      <c r="E835" s="1" t="n">
        <v>17</v>
      </c>
      <c r="F835" s="1" t="n">
        <v>34</v>
      </c>
      <c r="G835" s="1" t="n">
        <v>44</v>
      </c>
      <c r="H835" s="1" t="n">
        <v>51</v>
      </c>
      <c r="I835" s="1" t="str">
        <f aca="false">RIGHT(("0"&amp;C835),2)&amp;RIGHT(("0"&amp;D835),2)&amp;RIGHT(("0"&amp;E835),2)&amp;RIGHT(("0"&amp;F835),2)&amp;RIGHT(("0"&amp;G835),2)&amp;RIGHT(("0"&amp;H835),2)</f>
        <v>101617344451</v>
      </c>
      <c r="J835" s="1" t="n">
        <f aca="false">COUNTIF(I:I,I835)</f>
        <v>1</v>
      </c>
      <c r="K835" s="1" t="n">
        <v>1</v>
      </c>
      <c r="L835" s="1" t="s">
        <v>91</v>
      </c>
      <c r="M835" s="1" t="s">
        <v>4012</v>
      </c>
      <c r="N835" s="1" t="n">
        <v>42</v>
      </c>
      <c r="O835" s="1" t="s">
        <v>4013</v>
      </c>
      <c r="P835" s="1" t="n">
        <v>3073</v>
      </c>
      <c r="Q835" s="1" t="s">
        <v>4014</v>
      </c>
      <c r="R835" s="1" t="s">
        <v>23</v>
      </c>
      <c r="S835" s="1" t="s">
        <v>23</v>
      </c>
      <c r="T835" s="1" t="s">
        <v>23</v>
      </c>
      <c r="U835" s="1" t="s">
        <v>23</v>
      </c>
      <c r="V835" s="1" t="s">
        <v>4015</v>
      </c>
    </row>
    <row r="836" customFormat="false" ht="13.8" hidden="false" customHeight="false" outlineLevel="0" collapsed="false">
      <c r="A836" s="1" t="n">
        <v>835</v>
      </c>
      <c r="B836" s="2" t="s">
        <v>4016</v>
      </c>
      <c r="C836" s="1" t="n">
        <v>18</v>
      </c>
      <c r="D836" s="1" t="n">
        <v>31</v>
      </c>
      <c r="E836" s="1" t="n">
        <v>33</v>
      </c>
      <c r="F836" s="1" t="n">
        <v>49</v>
      </c>
      <c r="G836" s="1" t="n">
        <v>57</v>
      </c>
      <c r="H836" s="1" t="n">
        <v>58</v>
      </c>
      <c r="I836" s="1" t="str">
        <f aca="false">RIGHT(("0"&amp;C836),2)&amp;RIGHT(("0"&amp;D836),2)&amp;RIGHT(("0"&amp;E836),2)&amp;RIGHT(("0"&amp;F836),2)&amp;RIGHT(("0"&amp;G836),2)&amp;RIGHT(("0"&amp;H836),2)</f>
        <v>183133495758</v>
      </c>
      <c r="J836" s="1" t="n">
        <f aca="false">COUNTIF(I:I,I836)</f>
        <v>1</v>
      </c>
      <c r="K836" s="1" t="n">
        <v>0</v>
      </c>
      <c r="M836" s="1" t="s">
        <v>23</v>
      </c>
      <c r="N836" s="1" t="n">
        <v>40</v>
      </c>
      <c r="O836" s="1" t="s">
        <v>4017</v>
      </c>
      <c r="P836" s="1" t="n">
        <v>4078</v>
      </c>
      <c r="Q836" s="1" t="s">
        <v>4018</v>
      </c>
      <c r="R836" s="1" t="s">
        <v>4019</v>
      </c>
      <c r="S836" s="1" t="s">
        <v>23</v>
      </c>
      <c r="T836" s="1" t="s">
        <v>23</v>
      </c>
      <c r="U836" s="1" t="s">
        <v>23</v>
      </c>
      <c r="V836" s="1" t="s">
        <v>4020</v>
      </c>
    </row>
    <row r="837" customFormat="false" ht="13.8" hidden="false" customHeight="false" outlineLevel="0" collapsed="false">
      <c r="A837" s="1" t="n">
        <v>836</v>
      </c>
      <c r="B837" s="2" t="s">
        <v>4021</v>
      </c>
      <c r="C837" s="1" t="n">
        <v>17</v>
      </c>
      <c r="D837" s="1" t="n">
        <v>22</v>
      </c>
      <c r="E837" s="1" t="n">
        <v>28</v>
      </c>
      <c r="F837" s="1" t="n">
        <v>38</v>
      </c>
      <c r="G837" s="1" t="n">
        <v>52</v>
      </c>
      <c r="H837" s="1" t="n">
        <v>59</v>
      </c>
      <c r="I837" s="1" t="str">
        <f aca="false">RIGHT(("0"&amp;C837),2)&amp;RIGHT(("0"&amp;D837),2)&amp;RIGHT(("0"&amp;E837),2)&amp;RIGHT(("0"&amp;F837),2)&amp;RIGHT(("0"&amp;G837),2)&amp;RIGHT(("0"&amp;H837),2)</f>
        <v>172228385259</v>
      </c>
      <c r="J837" s="1" t="n">
        <f aca="false">COUNTIF(I:I,I837)</f>
        <v>1</v>
      </c>
      <c r="K837" s="1" t="n">
        <v>0</v>
      </c>
      <c r="M837" s="1" t="s">
        <v>23</v>
      </c>
      <c r="N837" s="1" t="n">
        <v>64</v>
      </c>
      <c r="O837" s="1" t="s">
        <v>4022</v>
      </c>
      <c r="P837" s="1" t="n">
        <v>4859</v>
      </c>
      <c r="Q837" s="1" t="s">
        <v>4023</v>
      </c>
      <c r="R837" s="1" t="s">
        <v>4024</v>
      </c>
      <c r="S837" s="1" t="s">
        <v>23</v>
      </c>
      <c r="T837" s="1" t="s">
        <v>23</v>
      </c>
      <c r="U837" s="1" t="s">
        <v>23</v>
      </c>
      <c r="V837" s="1" t="s">
        <v>4025</v>
      </c>
    </row>
    <row r="838" customFormat="false" ht="13.8" hidden="false" customHeight="false" outlineLevel="0" collapsed="false">
      <c r="A838" s="1" t="n">
        <v>837</v>
      </c>
      <c r="B838" s="2" t="s">
        <v>4026</v>
      </c>
      <c r="C838" s="1" t="n">
        <v>5</v>
      </c>
      <c r="D838" s="1" t="n">
        <v>6</v>
      </c>
      <c r="E838" s="1" t="n">
        <v>16</v>
      </c>
      <c r="F838" s="1" t="n">
        <v>24</v>
      </c>
      <c r="G838" s="1" t="n">
        <v>34</v>
      </c>
      <c r="H838" s="1" t="n">
        <v>60</v>
      </c>
      <c r="I838" s="1" t="str">
        <f aca="false">RIGHT(("0"&amp;C838),2)&amp;RIGHT(("0"&amp;D838),2)&amp;RIGHT(("0"&amp;E838),2)&amp;RIGHT(("0"&amp;F838),2)&amp;RIGHT(("0"&amp;G838),2)&amp;RIGHT(("0"&amp;H838),2)</f>
        <v>050616243460</v>
      </c>
      <c r="J838" s="1" t="n">
        <f aca="false">COUNTIF(I:I,I838)</f>
        <v>1</v>
      </c>
      <c r="K838" s="1" t="n">
        <v>1</v>
      </c>
      <c r="L838" s="1" t="s">
        <v>4001</v>
      </c>
      <c r="M838" s="1" t="s">
        <v>4027</v>
      </c>
      <c r="N838" s="1" t="n">
        <v>73</v>
      </c>
      <c r="O838" s="1" t="s">
        <v>4028</v>
      </c>
      <c r="P838" s="1" t="n">
        <v>6233</v>
      </c>
      <c r="Q838" s="1" t="s">
        <v>4029</v>
      </c>
      <c r="R838" s="1" t="s">
        <v>23</v>
      </c>
      <c r="S838" s="1" t="s">
        <v>23</v>
      </c>
      <c r="T838" s="1" t="s">
        <v>23</v>
      </c>
      <c r="U838" s="1" t="s">
        <v>23</v>
      </c>
      <c r="V838" s="1" t="s">
        <v>4030</v>
      </c>
    </row>
    <row r="839" customFormat="false" ht="13.8" hidden="false" customHeight="false" outlineLevel="0" collapsed="false">
      <c r="A839" s="1" t="n">
        <v>838</v>
      </c>
      <c r="B839" s="2" t="s">
        <v>4031</v>
      </c>
      <c r="C839" s="1" t="n">
        <v>9</v>
      </c>
      <c r="D839" s="1" t="n">
        <v>23</v>
      </c>
      <c r="E839" s="1" t="n">
        <v>30</v>
      </c>
      <c r="F839" s="1" t="n">
        <v>38</v>
      </c>
      <c r="G839" s="1" t="n">
        <v>44</v>
      </c>
      <c r="H839" s="1" t="n">
        <v>47</v>
      </c>
      <c r="I839" s="1" t="str">
        <f aca="false">RIGHT(("0"&amp;C839),2)&amp;RIGHT(("0"&amp;D839),2)&amp;RIGHT(("0"&amp;E839),2)&amp;RIGHT(("0"&amp;F839),2)&amp;RIGHT(("0"&amp;G839),2)&amp;RIGHT(("0"&amp;H839),2)</f>
        <v>092330384447</v>
      </c>
      <c r="J839" s="1" t="n">
        <f aca="false">COUNTIF(I:I,I839)</f>
        <v>1</v>
      </c>
      <c r="K839" s="1" t="n">
        <v>0</v>
      </c>
      <c r="M839" s="1" t="s">
        <v>23</v>
      </c>
      <c r="N839" s="1" t="n">
        <v>41</v>
      </c>
      <c r="O839" s="1" t="s">
        <v>4032</v>
      </c>
      <c r="P839" s="1" t="n">
        <v>2825</v>
      </c>
      <c r="Q839" s="1" t="s">
        <v>4033</v>
      </c>
      <c r="R839" s="1" t="s">
        <v>4034</v>
      </c>
      <c r="S839" s="1" t="s">
        <v>23</v>
      </c>
      <c r="T839" s="1" t="s">
        <v>23</v>
      </c>
      <c r="U839" s="1" t="s">
        <v>23</v>
      </c>
      <c r="V839" s="1" t="s">
        <v>4035</v>
      </c>
    </row>
    <row r="840" customFormat="false" ht="13.8" hidden="false" customHeight="false" outlineLevel="0" collapsed="false">
      <c r="A840" s="1" t="n">
        <v>839</v>
      </c>
      <c r="B840" s="2" t="s">
        <v>4036</v>
      </c>
      <c r="C840" s="1" t="n">
        <v>7</v>
      </c>
      <c r="D840" s="1" t="n">
        <v>8</v>
      </c>
      <c r="E840" s="1" t="n">
        <v>11</v>
      </c>
      <c r="F840" s="1" t="n">
        <v>18</v>
      </c>
      <c r="G840" s="1" t="n">
        <v>37</v>
      </c>
      <c r="H840" s="1" t="n">
        <v>43</v>
      </c>
      <c r="I840" s="1" t="str">
        <f aca="false">RIGHT(("0"&amp;C840),2)&amp;RIGHT(("0"&amp;D840),2)&amp;RIGHT(("0"&amp;E840),2)&amp;RIGHT(("0"&amp;F840),2)&amp;RIGHT(("0"&amp;G840),2)&amp;RIGHT(("0"&amp;H840),2)</f>
        <v>070811183743</v>
      </c>
      <c r="J840" s="1" t="n">
        <f aca="false">COUNTIF(I:I,I840)</f>
        <v>1</v>
      </c>
      <c r="K840" s="1" t="n">
        <v>0</v>
      </c>
      <c r="M840" s="1" t="s">
        <v>23</v>
      </c>
      <c r="N840" s="1" t="n">
        <v>77</v>
      </c>
      <c r="O840" s="1" t="s">
        <v>4037</v>
      </c>
      <c r="P840" s="1" t="n">
        <v>5314</v>
      </c>
      <c r="Q840" s="1" t="s">
        <v>4038</v>
      </c>
      <c r="R840" s="1" t="s">
        <v>4039</v>
      </c>
      <c r="S840" s="1" t="s">
        <v>23</v>
      </c>
      <c r="T840" s="1" t="s">
        <v>23</v>
      </c>
      <c r="U840" s="1" t="s">
        <v>23</v>
      </c>
      <c r="V840" s="1" t="s">
        <v>4040</v>
      </c>
    </row>
    <row r="841" customFormat="false" ht="13.8" hidden="false" customHeight="false" outlineLevel="0" collapsed="false">
      <c r="A841" s="1" t="n">
        <v>840</v>
      </c>
      <c r="B841" s="2" t="s">
        <v>4041</v>
      </c>
      <c r="C841" s="1" t="n">
        <v>17</v>
      </c>
      <c r="D841" s="1" t="n">
        <v>29</v>
      </c>
      <c r="E841" s="1" t="n">
        <v>31</v>
      </c>
      <c r="F841" s="1" t="n">
        <v>35</v>
      </c>
      <c r="G841" s="1" t="n">
        <v>43</v>
      </c>
      <c r="H841" s="1" t="n">
        <v>59</v>
      </c>
      <c r="I841" s="1" t="str">
        <f aca="false">RIGHT(("0"&amp;C841),2)&amp;RIGHT(("0"&amp;D841),2)&amp;RIGHT(("0"&amp;E841),2)&amp;RIGHT(("0"&amp;F841),2)&amp;RIGHT(("0"&amp;G841),2)&amp;RIGHT(("0"&amp;H841),2)</f>
        <v>172931354359</v>
      </c>
      <c r="J841" s="1" t="n">
        <f aca="false">COUNTIF(I:I,I841)</f>
        <v>1</v>
      </c>
      <c r="K841" s="1" t="n">
        <v>0</v>
      </c>
      <c r="M841" s="1" t="s">
        <v>23</v>
      </c>
      <c r="N841" s="1" t="n">
        <v>94</v>
      </c>
      <c r="O841" s="1" t="s">
        <v>4042</v>
      </c>
      <c r="P841" s="1" t="n">
        <v>5512</v>
      </c>
      <c r="Q841" s="1" t="s">
        <v>4043</v>
      </c>
      <c r="R841" s="1" t="s">
        <v>4044</v>
      </c>
      <c r="S841" s="1" t="s">
        <v>23</v>
      </c>
      <c r="T841" s="1" t="s">
        <v>23</v>
      </c>
      <c r="U841" s="1" t="s">
        <v>23</v>
      </c>
      <c r="V841" s="1" t="s">
        <v>4045</v>
      </c>
    </row>
    <row r="842" customFormat="false" ht="13.8" hidden="false" customHeight="false" outlineLevel="0" collapsed="false">
      <c r="A842" s="1" t="n">
        <v>841</v>
      </c>
      <c r="B842" s="2" t="s">
        <v>4046</v>
      </c>
      <c r="C842" s="1" t="n">
        <v>7</v>
      </c>
      <c r="D842" s="1" t="n">
        <v>22</v>
      </c>
      <c r="E842" s="1" t="n">
        <v>32</v>
      </c>
      <c r="F842" s="1" t="n">
        <v>36</v>
      </c>
      <c r="G842" s="1" t="n">
        <v>38</v>
      </c>
      <c r="H842" s="1" t="n">
        <v>51</v>
      </c>
      <c r="I842" s="1" t="str">
        <f aca="false">RIGHT(("0"&amp;C842),2)&amp;RIGHT(("0"&amp;D842),2)&amp;RIGHT(("0"&amp;E842),2)&amp;RIGHT(("0"&amp;F842),2)&amp;RIGHT(("0"&amp;G842),2)&amp;RIGHT(("0"&amp;H842),2)</f>
        <v>072232363851</v>
      </c>
      <c r="J842" s="1" t="n">
        <f aca="false">COUNTIF(I:I,I842)</f>
        <v>1</v>
      </c>
      <c r="K842" s="1" t="n">
        <v>0</v>
      </c>
      <c r="M842" s="1" t="s">
        <v>23</v>
      </c>
      <c r="N842" s="1" t="n">
        <v>67</v>
      </c>
      <c r="O842" s="1" t="s">
        <v>4047</v>
      </c>
      <c r="P842" s="1" t="n">
        <v>5162</v>
      </c>
      <c r="Q842" s="1" t="s">
        <v>4048</v>
      </c>
      <c r="R842" s="1" t="s">
        <v>4049</v>
      </c>
      <c r="S842" s="1" t="s">
        <v>23</v>
      </c>
      <c r="T842" s="1" t="s">
        <v>23</v>
      </c>
      <c r="U842" s="1" t="s">
        <v>23</v>
      </c>
      <c r="V842" s="1" t="s">
        <v>4050</v>
      </c>
    </row>
    <row r="843" customFormat="false" ht="13.8" hidden="false" customHeight="false" outlineLevel="0" collapsed="false">
      <c r="A843" s="1" t="n">
        <v>842</v>
      </c>
      <c r="B843" s="2" t="s">
        <v>4051</v>
      </c>
      <c r="C843" s="1" t="n">
        <v>7</v>
      </c>
      <c r="D843" s="1" t="n">
        <v>9</v>
      </c>
      <c r="E843" s="1" t="n">
        <v>30</v>
      </c>
      <c r="F843" s="1" t="n">
        <v>44</v>
      </c>
      <c r="G843" s="1" t="n">
        <v>51</v>
      </c>
      <c r="H843" s="1" t="n">
        <v>60</v>
      </c>
      <c r="I843" s="1" t="str">
        <f aca="false">RIGHT(("0"&amp;C843),2)&amp;RIGHT(("0"&amp;D843),2)&amp;RIGHT(("0"&amp;E843),2)&amp;RIGHT(("0"&amp;F843),2)&amp;RIGHT(("0"&amp;G843),2)&amp;RIGHT(("0"&amp;H843),2)</f>
        <v>070930445160</v>
      </c>
      <c r="J843" s="1" t="n">
        <f aca="false">COUNTIF(I:I,I843)</f>
        <v>1</v>
      </c>
      <c r="K843" s="1" t="n">
        <v>0</v>
      </c>
      <c r="M843" s="1" t="s">
        <v>23</v>
      </c>
      <c r="N843" s="1" t="n">
        <v>58</v>
      </c>
      <c r="O843" s="1" t="s">
        <v>4052</v>
      </c>
      <c r="P843" s="1" t="n">
        <v>4700</v>
      </c>
      <c r="Q843" s="1" t="s">
        <v>4053</v>
      </c>
      <c r="R843" s="1" t="s">
        <v>4054</v>
      </c>
      <c r="S843" s="1" t="s">
        <v>23</v>
      </c>
      <c r="T843" s="1" t="s">
        <v>23</v>
      </c>
      <c r="U843" s="1" t="s">
        <v>23</v>
      </c>
      <c r="V843" s="1" t="s">
        <v>4055</v>
      </c>
    </row>
    <row r="844" customFormat="false" ht="13.8" hidden="false" customHeight="false" outlineLevel="0" collapsed="false">
      <c r="A844" s="1" t="n">
        <v>843</v>
      </c>
      <c r="B844" s="2" t="s">
        <v>4056</v>
      </c>
      <c r="C844" s="1" t="n">
        <v>1</v>
      </c>
      <c r="D844" s="1" t="n">
        <v>16</v>
      </c>
      <c r="E844" s="1" t="n">
        <v>34</v>
      </c>
      <c r="F844" s="1" t="n">
        <v>36</v>
      </c>
      <c r="G844" s="1" t="n">
        <v>45</v>
      </c>
      <c r="H844" s="1" t="n">
        <v>48</v>
      </c>
      <c r="I844" s="1" t="str">
        <f aca="false">RIGHT(("0"&amp;C844),2)&amp;RIGHT(("0"&amp;D844),2)&amp;RIGHT(("0"&amp;E844),2)&amp;RIGHT(("0"&amp;F844),2)&amp;RIGHT(("0"&amp;G844),2)&amp;RIGHT(("0"&amp;H844),2)</f>
        <v>011634364548</v>
      </c>
      <c r="J844" s="1" t="n">
        <f aca="false">COUNTIF(I:I,I844)</f>
        <v>1</v>
      </c>
      <c r="K844" s="1" t="n">
        <v>0</v>
      </c>
      <c r="M844" s="1" t="s">
        <v>23</v>
      </c>
      <c r="N844" s="1" t="n">
        <v>68</v>
      </c>
      <c r="O844" s="1" t="s">
        <v>4057</v>
      </c>
      <c r="P844" s="1" t="n">
        <v>5642</v>
      </c>
      <c r="Q844" s="1" t="s">
        <v>4058</v>
      </c>
      <c r="R844" s="1" t="s">
        <v>4059</v>
      </c>
      <c r="S844" s="1" t="s">
        <v>23</v>
      </c>
      <c r="T844" s="1" t="s">
        <v>23</v>
      </c>
      <c r="U844" s="1" t="s">
        <v>23</v>
      </c>
      <c r="V844" s="1" t="s">
        <v>4060</v>
      </c>
    </row>
    <row r="845" customFormat="false" ht="13.8" hidden="false" customHeight="false" outlineLevel="0" collapsed="false">
      <c r="A845" s="1" t="n">
        <v>844</v>
      </c>
      <c r="B845" s="2" t="s">
        <v>4061</v>
      </c>
      <c r="C845" s="1" t="n">
        <v>16</v>
      </c>
      <c r="D845" s="1" t="n">
        <v>24</v>
      </c>
      <c r="E845" s="1" t="n">
        <v>34</v>
      </c>
      <c r="F845" s="1" t="n">
        <v>44</v>
      </c>
      <c r="G845" s="1" t="n">
        <v>54</v>
      </c>
      <c r="H845" s="1" t="n">
        <v>57</v>
      </c>
      <c r="I845" s="1" t="str">
        <f aca="false">RIGHT(("0"&amp;C845),2)&amp;RIGHT(("0"&amp;D845),2)&amp;RIGHT(("0"&amp;E845),2)&amp;RIGHT(("0"&amp;F845),2)&amp;RIGHT(("0"&amp;G845),2)&amp;RIGHT(("0"&amp;H845),2)</f>
        <v>162434445457</v>
      </c>
      <c r="J845" s="1" t="n">
        <f aca="false">COUNTIF(I:I,I845)</f>
        <v>1</v>
      </c>
      <c r="K845" s="1" t="n">
        <v>0</v>
      </c>
      <c r="M845" s="1" t="s">
        <v>23</v>
      </c>
      <c r="N845" s="1" t="n">
        <v>91</v>
      </c>
      <c r="O845" s="1" t="s">
        <v>4062</v>
      </c>
      <c r="P845" s="1" t="n">
        <v>7679</v>
      </c>
      <c r="Q845" s="1" t="s">
        <v>4063</v>
      </c>
      <c r="R845" s="1" t="s">
        <v>4064</v>
      </c>
      <c r="S845" s="1" t="s">
        <v>23</v>
      </c>
      <c r="T845" s="1" t="s">
        <v>23</v>
      </c>
      <c r="U845" s="1" t="s">
        <v>23</v>
      </c>
      <c r="V845" s="1" t="s">
        <v>4065</v>
      </c>
    </row>
    <row r="846" customFormat="false" ht="13.8" hidden="false" customHeight="false" outlineLevel="0" collapsed="false">
      <c r="A846" s="1" t="n">
        <v>845</v>
      </c>
      <c r="B846" s="2" t="s">
        <v>4066</v>
      </c>
      <c r="C846" s="1" t="n">
        <v>14</v>
      </c>
      <c r="D846" s="1" t="n">
        <v>19</v>
      </c>
      <c r="E846" s="1" t="n">
        <v>20</v>
      </c>
      <c r="F846" s="1" t="n">
        <v>40</v>
      </c>
      <c r="G846" s="1" t="n">
        <v>48</v>
      </c>
      <c r="H846" s="1" t="n">
        <v>52</v>
      </c>
      <c r="I846" s="1" t="str">
        <f aca="false">RIGHT(("0"&amp;C846),2)&amp;RIGHT(("0"&amp;D846),2)&amp;RIGHT(("0"&amp;E846),2)&amp;RIGHT(("0"&amp;F846),2)&amp;RIGHT(("0"&amp;G846),2)&amp;RIGHT(("0"&amp;H846),2)</f>
        <v>141920404852</v>
      </c>
      <c r="J846" s="1" t="n">
        <f aca="false">COUNTIF(I:I,I846)</f>
        <v>1</v>
      </c>
      <c r="K846" s="1" t="n">
        <v>0</v>
      </c>
      <c r="M846" s="1" t="s">
        <v>23</v>
      </c>
      <c r="N846" s="1" t="n">
        <v>67</v>
      </c>
      <c r="O846" s="1" t="s">
        <v>4067</v>
      </c>
      <c r="P846" s="1" t="n">
        <v>5308</v>
      </c>
      <c r="Q846" s="1" t="s">
        <v>4068</v>
      </c>
      <c r="R846" s="1" t="s">
        <v>4069</v>
      </c>
      <c r="S846" s="1" t="s">
        <v>23</v>
      </c>
      <c r="T846" s="1" t="s">
        <v>23</v>
      </c>
      <c r="U846" s="1" t="s">
        <v>23</v>
      </c>
      <c r="V846" s="1" t="s">
        <v>4070</v>
      </c>
    </row>
    <row r="847" customFormat="false" ht="13.8" hidden="false" customHeight="false" outlineLevel="0" collapsed="false">
      <c r="A847" s="1" t="n">
        <v>846</v>
      </c>
      <c r="B847" s="2" t="s">
        <v>4071</v>
      </c>
      <c r="C847" s="1" t="n">
        <v>2</v>
      </c>
      <c r="D847" s="1" t="n">
        <v>3</v>
      </c>
      <c r="E847" s="1" t="n">
        <v>44</v>
      </c>
      <c r="F847" s="1" t="n">
        <v>47</v>
      </c>
      <c r="G847" s="1" t="n">
        <v>50</v>
      </c>
      <c r="H847" s="1" t="n">
        <v>54</v>
      </c>
      <c r="I847" s="1" t="str">
        <f aca="false">RIGHT(("0"&amp;C847),2)&amp;RIGHT(("0"&amp;D847),2)&amp;RIGHT(("0"&amp;E847),2)&amp;RIGHT(("0"&amp;F847),2)&amp;RIGHT(("0"&amp;G847),2)&amp;RIGHT(("0"&amp;H847),2)</f>
        <v>020344475054</v>
      </c>
      <c r="J847" s="1" t="n">
        <f aca="false">COUNTIF(I:I,I847)</f>
        <v>1</v>
      </c>
      <c r="K847" s="1" t="n">
        <v>0</v>
      </c>
      <c r="M847" s="1" t="s">
        <v>23</v>
      </c>
      <c r="N847" s="1" t="n">
        <v>82</v>
      </c>
      <c r="O847" s="1" t="s">
        <v>4072</v>
      </c>
      <c r="P847" s="1" t="n">
        <v>6231</v>
      </c>
      <c r="Q847" s="1" t="s">
        <v>4073</v>
      </c>
      <c r="R847" s="1" t="s">
        <v>4074</v>
      </c>
      <c r="S847" s="1" t="s">
        <v>23</v>
      </c>
      <c r="T847" s="1" t="s">
        <v>23</v>
      </c>
      <c r="U847" s="1" t="s">
        <v>23</v>
      </c>
      <c r="V847" s="1" t="s">
        <v>4075</v>
      </c>
    </row>
    <row r="848" customFormat="false" ht="13.8" hidden="false" customHeight="false" outlineLevel="0" collapsed="false">
      <c r="A848" s="1" t="n">
        <v>847</v>
      </c>
      <c r="B848" s="2" t="s">
        <v>4076</v>
      </c>
      <c r="C848" s="1" t="n">
        <v>14</v>
      </c>
      <c r="D848" s="1" t="n">
        <v>15</v>
      </c>
      <c r="E848" s="1" t="n">
        <v>27</v>
      </c>
      <c r="F848" s="1" t="n">
        <v>42</v>
      </c>
      <c r="G848" s="1" t="n">
        <v>44</v>
      </c>
      <c r="H848" s="1" t="n">
        <v>48</v>
      </c>
      <c r="I848" s="1" t="str">
        <f aca="false">RIGHT(("0"&amp;C848),2)&amp;RIGHT(("0"&amp;D848),2)&amp;RIGHT(("0"&amp;E848),2)&amp;RIGHT(("0"&amp;F848),2)&amp;RIGHT(("0"&amp;G848),2)&amp;RIGHT(("0"&amp;H848),2)</f>
        <v>141527424448</v>
      </c>
      <c r="J848" s="1" t="n">
        <f aca="false">COUNTIF(I:I,I848)</f>
        <v>1</v>
      </c>
      <c r="K848" s="1" t="n">
        <v>1</v>
      </c>
      <c r="L848" s="1" t="s">
        <v>140</v>
      </c>
      <c r="M848" s="1" t="s">
        <v>4077</v>
      </c>
      <c r="N848" s="1" t="n">
        <v>242</v>
      </c>
      <c r="O848" s="1" t="s">
        <v>4078</v>
      </c>
      <c r="P848" s="1" t="n">
        <v>14062</v>
      </c>
      <c r="Q848" s="1" t="s">
        <v>4079</v>
      </c>
      <c r="R848" s="1" t="s">
        <v>23</v>
      </c>
      <c r="S848" s="1" t="s">
        <v>23</v>
      </c>
      <c r="T848" s="1" t="s">
        <v>23</v>
      </c>
      <c r="U848" s="1" t="s">
        <v>23</v>
      </c>
      <c r="V848" s="1" t="s">
        <v>4080</v>
      </c>
    </row>
    <row r="849" customFormat="false" ht="13.8" hidden="false" customHeight="false" outlineLevel="0" collapsed="false">
      <c r="A849" s="1" t="n">
        <v>848</v>
      </c>
      <c r="B849" s="2" t="s">
        <v>4081</v>
      </c>
      <c r="C849" s="1" t="n">
        <v>17</v>
      </c>
      <c r="D849" s="1" t="n">
        <v>27</v>
      </c>
      <c r="E849" s="1" t="n">
        <v>32</v>
      </c>
      <c r="F849" s="1" t="n">
        <v>34</v>
      </c>
      <c r="G849" s="1" t="n">
        <v>47</v>
      </c>
      <c r="H849" s="1" t="n">
        <v>56</v>
      </c>
      <c r="I849" s="1" t="str">
        <f aca="false">RIGHT(("0"&amp;C849),2)&amp;RIGHT(("0"&amp;D849),2)&amp;RIGHT(("0"&amp;E849),2)&amp;RIGHT(("0"&amp;F849),2)&amp;RIGHT(("0"&amp;G849),2)&amp;RIGHT(("0"&amp;H849),2)</f>
        <v>172732344756</v>
      </c>
      <c r="J849" s="1" t="n">
        <f aca="false">COUNTIF(I:I,I849)</f>
        <v>1</v>
      </c>
      <c r="K849" s="1" t="n">
        <v>1</v>
      </c>
      <c r="L849" s="1" t="s">
        <v>157</v>
      </c>
      <c r="M849" s="1" t="s">
        <v>4082</v>
      </c>
      <c r="N849" s="1" t="n">
        <v>90</v>
      </c>
      <c r="O849" s="1" t="s">
        <v>4083</v>
      </c>
      <c r="P849" s="1" t="n">
        <v>4602</v>
      </c>
      <c r="Q849" s="1" t="s">
        <v>4084</v>
      </c>
      <c r="R849" s="1" t="s">
        <v>23</v>
      </c>
      <c r="S849" s="1" t="s">
        <v>23</v>
      </c>
      <c r="T849" s="1" t="s">
        <v>23</v>
      </c>
      <c r="U849" s="1" t="s">
        <v>23</v>
      </c>
      <c r="V849" s="1" t="s">
        <v>4085</v>
      </c>
    </row>
    <row r="850" customFormat="false" ht="13.8" hidden="false" customHeight="false" outlineLevel="0" collapsed="false">
      <c r="A850" s="1" t="n">
        <v>849</v>
      </c>
      <c r="B850" s="2" t="s">
        <v>4086</v>
      </c>
      <c r="C850" s="1" t="n">
        <v>8</v>
      </c>
      <c r="D850" s="1" t="n">
        <v>9</v>
      </c>
      <c r="E850" s="1" t="n">
        <v>39</v>
      </c>
      <c r="F850" s="1" t="n">
        <v>44</v>
      </c>
      <c r="G850" s="1" t="n">
        <v>49</v>
      </c>
      <c r="H850" s="1" t="n">
        <v>58</v>
      </c>
      <c r="I850" s="1" t="str">
        <f aca="false">RIGHT(("0"&amp;C850),2)&amp;RIGHT(("0"&amp;D850),2)&amp;RIGHT(("0"&amp;E850),2)&amp;RIGHT(("0"&amp;F850),2)&amp;RIGHT(("0"&amp;G850),2)&amp;RIGHT(("0"&amp;H850),2)</f>
        <v>080939444958</v>
      </c>
      <c r="J850" s="1" t="n">
        <f aca="false">COUNTIF(I:I,I850)</f>
        <v>1</v>
      </c>
      <c r="K850" s="1" t="n">
        <v>0</v>
      </c>
      <c r="M850" s="1" t="s">
        <v>23</v>
      </c>
      <c r="N850" s="1" t="n">
        <v>33</v>
      </c>
      <c r="O850" s="1" t="s">
        <v>4087</v>
      </c>
      <c r="P850" s="1" t="n">
        <v>2208</v>
      </c>
      <c r="Q850" s="1" t="s">
        <v>4088</v>
      </c>
      <c r="R850" s="1" t="s">
        <v>4089</v>
      </c>
      <c r="S850" s="1" t="s">
        <v>23</v>
      </c>
      <c r="T850" s="1" t="s">
        <v>23</v>
      </c>
      <c r="U850" s="1" t="s">
        <v>23</v>
      </c>
      <c r="V850" s="1" t="s">
        <v>4090</v>
      </c>
    </row>
    <row r="851" customFormat="false" ht="13.8" hidden="false" customHeight="false" outlineLevel="0" collapsed="false">
      <c r="A851" s="1" t="n">
        <v>850</v>
      </c>
      <c r="B851" s="2" t="s">
        <v>4091</v>
      </c>
      <c r="C851" s="1" t="n">
        <v>7</v>
      </c>
      <c r="D851" s="1" t="n">
        <v>22</v>
      </c>
      <c r="E851" s="1" t="n">
        <v>25</v>
      </c>
      <c r="F851" s="1" t="n">
        <v>44</v>
      </c>
      <c r="G851" s="1" t="n">
        <v>59</v>
      </c>
      <c r="H851" s="1" t="n">
        <v>60</v>
      </c>
      <c r="I851" s="1" t="str">
        <f aca="false">RIGHT(("0"&amp;C851),2)&amp;RIGHT(("0"&amp;D851),2)&amp;RIGHT(("0"&amp;E851),2)&amp;RIGHT(("0"&amp;F851),2)&amp;RIGHT(("0"&amp;G851),2)&amp;RIGHT(("0"&amp;H851),2)</f>
        <v>072225445960</v>
      </c>
      <c r="J851" s="1" t="n">
        <f aca="false">COUNTIF(I:I,I851)</f>
        <v>1</v>
      </c>
      <c r="K851" s="1" t="n">
        <v>0</v>
      </c>
      <c r="M851" s="1" t="s">
        <v>23</v>
      </c>
      <c r="N851" s="1" t="n">
        <v>117</v>
      </c>
      <c r="O851" s="1" t="s">
        <v>4092</v>
      </c>
      <c r="P851" s="1" t="n">
        <v>6520</v>
      </c>
      <c r="Q851" s="1" t="s">
        <v>4093</v>
      </c>
      <c r="R851" s="1" t="s">
        <v>4094</v>
      </c>
      <c r="S851" s="1" t="s">
        <v>23</v>
      </c>
      <c r="T851" s="1" t="s">
        <v>23</v>
      </c>
      <c r="U851" s="1" t="s">
        <v>23</v>
      </c>
      <c r="V851" s="1" t="s">
        <v>4095</v>
      </c>
    </row>
    <row r="852" customFormat="false" ht="13.8" hidden="false" customHeight="false" outlineLevel="0" collapsed="false">
      <c r="A852" s="1" t="n">
        <v>851</v>
      </c>
      <c r="B852" s="2" t="s">
        <v>4096</v>
      </c>
      <c r="C852" s="1" t="n">
        <v>3</v>
      </c>
      <c r="D852" s="1" t="n">
        <v>16</v>
      </c>
      <c r="E852" s="1" t="n">
        <v>19</v>
      </c>
      <c r="F852" s="1" t="n">
        <v>32</v>
      </c>
      <c r="G852" s="1" t="n">
        <v>35</v>
      </c>
      <c r="H852" s="1" t="n">
        <v>58</v>
      </c>
      <c r="I852" s="1" t="str">
        <f aca="false">RIGHT(("0"&amp;C852),2)&amp;RIGHT(("0"&amp;D852),2)&amp;RIGHT(("0"&amp;E852),2)&amp;RIGHT(("0"&amp;F852),2)&amp;RIGHT(("0"&amp;G852),2)&amp;RIGHT(("0"&amp;H852),2)</f>
        <v>031619323558</v>
      </c>
      <c r="J852" s="1" t="n">
        <f aca="false">COUNTIF(I:I,I852)</f>
        <v>1</v>
      </c>
      <c r="K852" s="1" t="n">
        <v>3</v>
      </c>
      <c r="L852" s="1" t="s">
        <v>91</v>
      </c>
      <c r="M852" s="1" t="s">
        <v>4097</v>
      </c>
      <c r="N852" s="1" t="n">
        <v>177</v>
      </c>
      <c r="O852" s="1" t="s">
        <v>4098</v>
      </c>
      <c r="P852" s="1" t="n">
        <v>7593</v>
      </c>
      <c r="Q852" s="1" t="s">
        <v>4099</v>
      </c>
      <c r="R852" s="1" t="s">
        <v>23</v>
      </c>
      <c r="S852" s="1" t="s">
        <v>23</v>
      </c>
      <c r="T852" s="1" t="s">
        <v>23</v>
      </c>
      <c r="U852" s="1" t="s">
        <v>23</v>
      </c>
      <c r="V852" s="1" t="s">
        <v>4100</v>
      </c>
    </row>
    <row r="853" customFormat="false" ht="13.8" hidden="false" customHeight="false" outlineLevel="0" collapsed="false">
      <c r="A853" s="1" t="n">
        <v>852</v>
      </c>
      <c r="B853" s="2" t="s">
        <v>4101</v>
      </c>
      <c r="C853" s="1" t="n">
        <v>6</v>
      </c>
      <c r="D853" s="1" t="n">
        <v>14</v>
      </c>
      <c r="E853" s="1" t="n">
        <v>23</v>
      </c>
      <c r="F853" s="1" t="n">
        <v>34</v>
      </c>
      <c r="G853" s="1" t="n">
        <v>38</v>
      </c>
      <c r="H853" s="1" t="n">
        <v>44</v>
      </c>
      <c r="I853" s="1" t="str">
        <f aca="false">RIGHT(("0"&amp;C853),2)&amp;RIGHT(("0"&amp;D853),2)&amp;RIGHT(("0"&amp;E853),2)&amp;RIGHT(("0"&amp;F853),2)&amp;RIGHT(("0"&amp;G853),2)&amp;RIGHT(("0"&amp;H853),2)</f>
        <v>061423343844</v>
      </c>
      <c r="J853" s="1" t="n">
        <f aca="false">COUNTIF(I:I,I853)</f>
        <v>1</v>
      </c>
      <c r="K853" s="1" t="n">
        <v>0</v>
      </c>
      <c r="M853" s="1" t="s">
        <v>23</v>
      </c>
      <c r="N853" s="1" t="n">
        <v>42</v>
      </c>
      <c r="O853" s="1" t="s">
        <v>4102</v>
      </c>
      <c r="P853" s="1" t="n">
        <v>3489</v>
      </c>
      <c r="Q853" s="1" t="s">
        <v>4103</v>
      </c>
      <c r="R853" s="1" t="s">
        <v>4104</v>
      </c>
      <c r="S853" s="1" t="s">
        <v>23</v>
      </c>
      <c r="T853" s="1" t="s">
        <v>23</v>
      </c>
      <c r="U853" s="1" t="s">
        <v>23</v>
      </c>
      <c r="V853" s="1" t="s">
        <v>4105</v>
      </c>
    </row>
    <row r="854" customFormat="false" ht="13.8" hidden="false" customHeight="false" outlineLevel="0" collapsed="false">
      <c r="A854" s="1" t="n">
        <v>853</v>
      </c>
      <c r="B854" s="2" t="s">
        <v>4106</v>
      </c>
      <c r="C854" s="1" t="n">
        <v>30</v>
      </c>
      <c r="D854" s="1" t="n">
        <v>38</v>
      </c>
      <c r="E854" s="1" t="n">
        <v>46</v>
      </c>
      <c r="F854" s="1" t="n">
        <v>51</v>
      </c>
      <c r="G854" s="1" t="n">
        <v>56</v>
      </c>
      <c r="H854" s="1" t="n">
        <v>59</v>
      </c>
      <c r="I854" s="1" t="str">
        <f aca="false">RIGHT(("0"&amp;C854),2)&amp;RIGHT(("0"&amp;D854),2)&amp;RIGHT(("0"&amp;E854),2)&amp;RIGHT(("0"&amp;F854),2)&amp;RIGHT(("0"&amp;G854),2)&amp;RIGHT(("0"&amp;H854),2)</f>
        <v>303846515659</v>
      </c>
      <c r="J854" s="1" t="n">
        <f aca="false">COUNTIF(I:I,I854)</f>
        <v>1</v>
      </c>
      <c r="K854" s="1" t="n">
        <v>0</v>
      </c>
      <c r="M854" s="1" t="s">
        <v>23</v>
      </c>
      <c r="N854" s="1" t="n">
        <v>17</v>
      </c>
      <c r="O854" s="1" t="s">
        <v>4107</v>
      </c>
      <c r="P854" s="1" t="n">
        <v>1465</v>
      </c>
      <c r="Q854" s="1" t="s">
        <v>4108</v>
      </c>
      <c r="R854" s="1" t="s">
        <v>4109</v>
      </c>
      <c r="S854" s="1" t="s">
        <v>23</v>
      </c>
      <c r="T854" s="1" t="s">
        <v>23</v>
      </c>
      <c r="U854" s="1" t="s">
        <v>23</v>
      </c>
      <c r="V854" s="1" t="s">
        <v>4110</v>
      </c>
    </row>
    <row r="855" customFormat="false" ht="13.8" hidden="false" customHeight="false" outlineLevel="0" collapsed="false">
      <c r="A855" s="1" t="n">
        <v>854</v>
      </c>
      <c r="B855" s="2" t="s">
        <v>4111</v>
      </c>
      <c r="C855" s="1" t="n">
        <v>3</v>
      </c>
      <c r="D855" s="1" t="n">
        <v>17</v>
      </c>
      <c r="E855" s="1" t="n">
        <v>24</v>
      </c>
      <c r="F855" s="1" t="n">
        <v>25</v>
      </c>
      <c r="G855" s="1" t="n">
        <v>27</v>
      </c>
      <c r="H855" s="1" t="n">
        <v>44</v>
      </c>
      <c r="I855" s="1" t="str">
        <f aca="false">RIGHT(("0"&amp;C855),2)&amp;RIGHT(("0"&amp;D855),2)&amp;RIGHT(("0"&amp;E855),2)&amp;RIGHT(("0"&amp;F855),2)&amp;RIGHT(("0"&amp;G855),2)&amp;RIGHT(("0"&amp;H855),2)</f>
        <v>031724252744</v>
      </c>
      <c r="J855" s="1" t="n">
        <f aca="false">COUNTIF(I:I,I855)</f>
        <v>1</v>
      </c>
      <c r="K855" s="1" t="n">
        <v>0</v>
      </c>
      <c r="M855" s="1" t="s">
        <v>23</v>
      </c>
      <c r="N855" s="1" t="n">
        <v>88</v>
      </c>
      <c r="O855" s="1" t="s">
        <v>4112</v>
      </c>
      <c r="P855" s="1" t="n">
        <v>7056</v>
      </c>
      <c r="Q855" s="1" t="s">
        <v>4113</v>
      </c>
      <c r="R855" s="1" t="s">
        <v>4114</v>
      </c>
      <c r="S855" s="1" t="s">
        <v>23</v>
      </c>
      <c r="T855" s="1" t="s">
        <v>23</v>
      </c>
      <c r="U855" s="1" t="s">
        <v>23</v>
      </c>
      <c r="V855" s="1" t="s">
        <v>4115</v>
      </c>
    </row>
    <row r="856" customFormat="false" ht="13.8" hidden="false" customHeight="false" outlineLevel="0" collapsed="false">
      <c r="A856" s="1" t="n">
        <v>855</v>
      </c>
      <c r="B856" s="2" t="s">
        <v>4116</v>
      </c>
      <c r="C856" s="1" t="n">
        <v>3</v>
      </c>
      <c r="D856" s="1" t="n">
        <v>24</v>
      </c>
      <c r="E856" s="1" t="n">
        <v>31</v>
      </c>
      <c r="F856" s="1" t="n">
        <v>42</v>
      </c>
      <c r="G856" s="1" t="n">
        <v>43</v>
      </c>
      <c r="H856" s="1" t="n">
        <v>53</v>
      </c>
      <c r="I856" s="1" t="str">
        <f aca="false">RIGHT(("0"&amp;C856),2)&amp;RIGHT(("0"&amp;D856),2)&amp;RIGHT(("0"&amp;E856),2)&amp;RIGHT(("0"&amp;F856),2)&amp;RIGHT(("0"&amp;G856),2)&amp;RIGHT(("0"&amp;H856),2)</f>
        <v>032431424353</v>
      </c>
      <c r="J856" s="1" t="n">
        <f aca="false">COUNTIF(I:I,I856)</f>
        <v>1</v>
      </c>
      <c r="K856" s="1" t="n">
        <v>0</v>
      </c>
      <c r="M856" s="1" t="s">
        <v>23</v>
      </c>
      <c r="N856" s="1" t="n">
        <v>59</v>
      </c>
      <c r="O856" s="1" t="s">
        <v>4117</v>
      </c>
      <c r="P856" s="1" t="n">
        <v>3478</v>
      </c>
      <c r="Q856" s="1" t="s">
        <v>4118</v>
      </c>
      <c r="R856" s="1" t="s">
        <v>4119</v>
      </c>
      <c r="S856" s="1" t="s">
        <v>23</v>
      </c>
      <c r="T856" s="1" t="s">
        <v>23</v>
      </c>
      <c r="U856" s="1" t="s">
        <v>23</v>
      </c>
      <c r="V856" s="1" t="s">
        <v>4120</v>
      </c>
    </row>
    <row r="857" customFormat="false" ht="13.8" hidden="false" customHeight="false" outlineLevel="0" collapsed="false">
      <c r="A857" s="1" t="n">
        <v>856</v>
      </c>
      <c r="B857" s="2" t="s">
        <v>4121</v>
      </c>
      <c r="C857" s="1" t="n">
        <v>11</v>
      </c>
      <c r="D857" s="1" t="n">
        <v>15</v>
      </c>
      <c r="E857" s="1" t="n">
        <v>40</v>
      </c>
      <c r="F857" s="1" t="n">
        <v>41</v>
      </c>
      <c r="G857" s="1" t="n">
        <v>42</v>
      </c>
      <c r="H857" s="1" t="n">
        <v>47</v>
      </c>
      <c r="I857" s="1" t="str">
        <f aca="false">RIGHT(("0"&amp;C857),2)&amp;RIGHT(("0"&amp;D857),2)&amp;RIGHT(("0"&amp;E857),2)&amp;RIGHT(("0"&amp;F857),2)&amp;RIGHT(("0"&amp;G857),2)&amp;RIGHT(("0"&amp;H857),2)</f>
        <v>111540414247</v>
      </c>
      <c r="J857" s="1" t="n">
        <f aca="false">COUNTIF(I:I,I857)</f>
        <v>1</v>
      </c>
      <c r="K857" s="1" t="n">
        <v>0</v>
      </c>
      <c r="M857" s="1" t="s">
        <v>23</v>
      </c>
      <c r="N857" s="1" t="n">
        <v>37</v>
      </c>
      <c r="O857" s="1" t="s">
        <v>4122</v>
      </c>
      <c r="P857" s="1" t="n">
        <v>2924</v>
      </c>
      <c r="Q857" s="1" t="s">
        <v>4123</v>
      </c>
      <c r="R857" s="1" t="s">
        <v>4124</v>
      </c>
      <c r="S857" s="1" t="s">
        <v>23</v>
      </c>
      <c r="T857" s="1" t="s">
        <v>23</v>
      </c>
      <c r="U857" s="1" t="s">
        <v>23</v>
      </c>
      <c r="V857" s="1" t="s">
        <v>4125</v>
      </c>
    </row>
    <row r="858" customFormat="false" ht="13.8" hidden="false" customHeight="false" outlineLevel="0" collapsed="false">
      <c r="A858" s="1" t="n">
        <v>857</v>
      </c>
      <c r="B858" s="2" t="s">
        <v>4126</v>
      </c>
      <c r="C858" s="1" t="n">
        <v>2</v>
      </c>
      <c r="D858" s="1" t="n">
        <v>3</v>
      </c>
      <c r="E858" s="1" t="n">
        <v>17</v>
      </c>
      <c r="F858" s="1" t="n">
        <v>49</v>
      </c>
      <c r="G858" s="1" t="n">
        <v>50</v>
      </c>
      <c r="H858" s="1" t="n">
        <v>59</v>
      </c>
      <c r="I858" s="1" t="str">
        <f aca="false">RIGHT(("0"&amp;C858),2)&amp;RIGHT(("0"&amp;D858),2)&amp;RIGHT(("0"&amp;E858),2)&amp;RIGHT(("0"&amp;F858),2)&amp;RIGHT(("0"&amp;G858),2)&amp;RIGHT(("0"&amp;H858),2)</f>
        <v>020317495059</v>
      </c>
      <c r="J858" s="1" t="n">
        <f aca="false">COUNTIF(I:I,I858)</f>
        <v>1</v>
      </c>
      <c r="K858" s="1" t="n">
        <v>0</v>
      </c>
      <c r="M858" s="1" t="s">
        <v>23</v>
      </c>
      <c r="N858" s="1" t="n">
        <v>71</v>
      </c>
      <c r="O858" s="1" t="s">
        <v>4127</v>
      </c>
      <c r="P858" s="1" t="n">
        <v>4732</v>
      </c>
      <c r="Q858" s="1" t="s">
        <v>4128</v>
      </c>
      <c r="R858" s="1" t="s">
        <v>4129</v>
      </c>
      <c r="S858" s="1" t="s">
        <v>23</v>
      </c>
      <c r="T858" s="1" t="s">
        <v>23</v>
      </c>
      <c r="U858" s="1" t="s">
        <v>23</v>
      </c>
      <c r="V858" s="1" t="s">
        <v>4130</v>
      </c>
    </row>
    <row r="859" customFormat="false" ht="13.8" hidden="false" customHeight="false" outlineLevel="0" collapsed="false">
      <c r="A859" s="1" t="n">
        <v>858</v>
      </c>
      <c r="B859" s="2" t="s">
        <v>4131</v>
      </c>
      <c r="C859" s="1" t="n">
        <v>4</v>
      </c>
      <c r="D859" s="1" t="n">
        <v>18</v>
      </c>
      <c r="E859" s="1" t="n">
        <v>23</v>
      </c>
      <c r="F859" s="1" t="n">
        <v>31</v>
      </c>
      <c r="G859" s="1" t="n">
        <v>37</v>
      </c>
      <c r="H859" s="1" t="n">
        <v>54</v>
      </c>
      <c r="I859" s="1" t="str">
        <f aca="false">RIGHT(("0"&amp;C859),2)&amp;RIGHT(("0"&amp;D859),2)&amp;RIGHT(("0"&amp;E859),2)&amp;RIGHT(("0"&amp;F859),2)&amp;RIGHT(("0"&amp;G859),2)&amp;RIGHT(("0"&amp;H859),2)</f>
        <v>041823313754</v>
      </c>
      <c r="J859" s="1" t="n">
        <f aca="false">COUNTIF(I:I,I859)</f>
        <v>1</v>
      </c>
      <c r="K859" s="1" t="n">
        <v>2</v>
      </c>
      <c r="L859" s="1" t="s">
        <v>1373</v>
      </c>
      <c r="M859" s="1" t="s">
        <v>4132</v>
      </c>
      <c r="N859" s="1" t="n">
        <v>185</v>
      </c>
      <c r="O859" s="1" t="s">
        <v>4133</v>
      </c>
      <c r="P859" s="1" t="n">
        <v>8821</v>
      </c>
      <c r="Q859" s="1" t="s">
        <v>4134</v>
      </c>
      <c r="R859" s="1" t="s">
        <v>23</v>
      </c>
      <c r="S859" s="1" t="s">
        <v>23</v>
      </c>
      <c r="T859" s="1" t="s">
        <v>23</v>
      </c>
      <c r="U859" s="1" t="s">
        <v>23</v>
      </c>
      <c r="V859" s="1" t="s">
        <v>4135</v>
      </c>
    </row>
    <row r="860" customFormat="false" ht="13.8" hidden="false" customHeight="false" outlineLevel="0" collapsed="false">
      <c r="A860" s="1" t="n">
        <v>859</v>
      </c>
      <c r="B860" s="2" t="s">
        <v>4136</v>
      </c>
      <c r="C860" s="1" t="n">
        <v>9</v>
      </c>
      <c r="D860" s="1" t="n">
        <v>12</v>
      </c>
      <c r="E860" s="1" t="n">
        <v>34</v>
      </c>
      <c r="F860" s="1" t="n">
        <v>46</v>
      </c>
      <c r="G860" s="1" t="n">
        <v>47</v>
      </c>
      <c r="H860" s="1" t="n">
        <v>57</v>
      </c>
      <c r="I860" s="1" t="str">
        <f aca="false">RIGHT(("0"&amp;C860),2)&amp;RIGHT(("0"&amp;D860),2)&amp;RIGHT(("0"&amp;E860),2)&amp;RIGHT(("0"&amp;F860),2)&amp;RIGHT(("0"&amp;G860),2)&amp;RIGHT(("0"&amp;H860),2)</f>
        <v>091234464757</v>
      </c>
      <c r="J860" s="1" t="n">
        <f aca="false">COUNTIF(I:I,I860)</f>
        <v>1</v>
      </c>
      <c r="K860" s="1" t="n">
        <v>0</v>
      </c>
      <c r="M860" s="1" t="s">
        <v>23</v>
      </c>
      <c r="N860" s="1" t="n">
        <v>35</v>
      </c>
      <c r="O860" s="1" t="s">
        <v>4137</v>
      </c>
      <c r="P860" s="1" t="n">
        <v>3275</v>
      </c>
      <c r="Q860" s="1" t="s">
        <v>4138</v>
      </c>
      <c r="R860" s="1" t="s">
        <v>4139</v>
      </c>
      <c r="S860" s="1" t="s">
        <v>23</v>
      </c>
      <c r="T860" s="1" t="s">
        <v>23</v>
      </c>
      <c r="U860" s="1" t="s">
        <v>23</v>
      </c>
      <c r="V860" s="1" t="s">
        <v>4140</v>
      </c>
    </row>
    <row r="861" customFormat="false" ht="13.8" hidden="false" customHeight="false" outlineLevel="0" collapsed="false">
      <c r="A861" s="1" t="n">
        <v>860</v>
      </c>
      <c r="B861" s="2" t="s">
        <v>4141</v>
      </c>
      <c r="C861" s="1" t="n">
        <v>2</v>
      </c>
      <c r="D861" s="1" t="n">
        <v>8</v>
      </c>
      <c r="E861" s="1" t="n">
        <v>17</v>
      </c>
      <c r="F861" s="1" t="n">
        <v>22</v>
      </c>
      <c r="G861" s="1" t="n">
        <v>42</v>
      </c>
      <c r="H861" s="1" t="n">
        <v>44</v>
      </c>
      <c r="I861" s="1" t="str">
        <f aca="false">RIGHT(("0"&amp;C861),2)&amp;RIGHT(("0"&amp;D861),2)&amp;RIGHT(("0"&amp;E861),2)&amp;RIGHT(("0"&amp;F861),2)&amp;RIGHT(("0"&amp;G861),2)&amp;RIGHT(("0"&amp;H861),2)</f>
        <v>020817224244</v>
      </c>
      <c r="J861" s="1" t="n">
        <f aca="false">COUNTIF(I:I,I861)</f>
        <v>1</v>
      </c>
      <c r="K861" s="1" t="n">
        <v>0</v>
      </c>
      <c r="M861" s="1" t="s">
        <v>23</v>
      </c>
      <c r="N861" s="1" t="n">
        <v>111</v>
      </c>
      <c r="O861" s="1" t="s">
        <v>4142</v>
      </c>
      <c r="P861" s="1" t="n">
        <v>6853</v>
      </c>
      <c r="Q861" s="1" t="s">
        <v>4143</v>
      </c>
      <c r="R861" s="1" t="s">
        <v>4144</v>
      </c>
      <c r="S861" s="1" t="s">
        <v>23</v>
      </c>
      <c r="T861" s="1" t="s">
        <v>23</v>
      </c>
      <c r="U861" s="1" t="s">
        <v>23</v>
      </c>
      <c r="V861" s="1" t="s">
        <v>4145</v>
      </c>
    </row>
    <row r="862" customFormat="false" ht="13.8" hidden="false" customHeight="false" outlineLevel="0" collapsed="false">
      <c r="A862" s="1" t="n">
        <v>861</v>
      </c>
      <c r="B862" s="2" t="s">
        <v>4146</v>
      </c>
      <c r="C862" s="1" t="n">
        <v>39</v>
      </c>
      <c r="D862" s="1" t="n">
        <v>40</v>
      </c>
      <c r="E862" s="1" t="n">
        <v>42</v>
      </c>
      <c r="F862" s="1" t="n">
        <v>47</v>
      </c>
      <c r="G862" s="1" t="n">
        <v>59</v>
      </c>
      <c r="H862" s="1" t="n">
        <v>60</v>
      </c>
      <c r="I862" s="1" t="str">
        <f aca="false">RIGHT(("0"&amp;C862),2)&amp;RIGHT(("0"&amp;D862),2)&amp;RIGHT(("0"&amp;E862),2)&amp;RIGHT(("0"&amp;F862),2)&amp;RIGHT(("0"&amp;G862),2)&amp;RIGHT(("0"&amp;H862),2)</f>
        <v>394042475960</v>
      </c>
      <c r="J862" s="1" t="n">
        <f aca="false">COUNTIF(I:I,I862)</f>
        <v>1</v>
      </c>
      <c r="K862" s="1" t="n">
        <v>1</v>
      </c>
      <c r="L862" s="1" t="s">
        <v>2590</v>
      </c>
      <c r="M862" s="1" t="s">
        <v>4147</v>
      </c>
      <c r="N862" s="1" t="n">
        <v>34</v>
      </c>
      <c r="O862" s="1" t="s">
        <v>4148</v>
      </c>
      <c r="P862" s="1" t="n">
        <v>2296</v>
      </c>
      <c r="Q862" s="1" t="s">
        <v>4149</v>
      </c>
      <c r="R862" s="1" t="s">
        <v>23</v>
      </c>
      <c r="S862" s="1" t="s">
        <v>23</v>
      </c>
      <c r="T862" s="1" t="s">
        <v>23</v>
      </c>
      <c r="U862" s="1" t="s">
        <v>23</v>
      </c>
      <c r="V862" s="1" t="s">
        <v>4150</v>
      </c>
    </row>
    <row r="863" customFormat="false" ht="13.8" hidden="false" customHeight="false" outlineLevel="0" collapsed="false">
      <c r="A863" s="1" t="n">
        <v>862</v>
      </c>
      <c r="B863" s="2" t="s">
        <v>4151</v>
      </c>
      <c r="C863" s="1" t="n">
        <v>2</v>
      </c>
      <c r="D863" s="1" t="n">
        <v>8</v>
      </c>
      <c r="E863" s="1" t="n">
        <v>11</v>
      </c>
      <c r="F863" s="1" t="n">
        <v>12</v>
      </c>
      <c r="G863" s="1" t="n">
        <v>19</v>
      </c>
      <c r="H863" s="1" t="n">
        <v>35</v>
      </c>
      <c r="I863" s="1" t="str">
        <f aca="false">RIGHT(("0"&amp;C863),2)&amp;RIGHT(("0"&amp;D863),2)&amp;RIGHT(("0"&amp;E863),2)&amp;RIGHT(("0"&amp;F863),2)&amp;RIGHT(("0"&amp;G863),2)&amp;RIGHT(("0"&amp;H863),2)</f>
        <v>020811121935</v>
      </c>
      <c r="J863" s="1" t="n">
        <f aca="false">COUNTIF(I:I,I863)</f>
        <v>1</v>
      </c>
      <c r="K863" s="1" t="n">
        <v>1</v>
      </c>
      <c r="L863" s="1" t="s">
        <v>140</v>
      </c>
      <c r="M863" s="1" t="s">
        <v>4152</v>
      </c>
      <c r="N863" s="1" t="n">
        <v>99</v>
      </c>
      <c r="O863" s="1" t="s">
        <v>4153</v>
      </c>
      <c r="P863" s="1" t="n">
        <v>5632</v>
      </c>
      <c r="Q863" s="1" t="s">
        <v>4154</v>
      </c>
      <c r="R863" s="1" t="s">
        <v>23</v>
      </c>
      <c r="S863" s="1" t="s">
        <v>23</v>
      </c>
      <c r="T863" s="1" t="s">
        <v>23</v>
      </c>
      <c r="U863" s="1" t="s">
        <v>23</v>
      </c>
      <c r="V863" s="1" t="s">
        <v>4155</v>
      </c>
    </row>
    <row r="864" customFormat="false" ht="13.8" hidden="false" customHeight="false" outlineLevel="0" collapsed="false">
      <c r="A864" s="1" t="n">
        <v>863</v>
      </c>
      <c r="B864" s="2" t="s">
        <v>4156</v>
      </c>
      <c r="C864" s="1" t="n">
        <v>15</v>
      </c>
      <c r="D864" s="1" t="n">
        <v>24</v>
      </c>
      <c r="E864" s="1" t="n">
        <v>32</v>
      </c>
      <c r="F864" s="1" t="n">
        <v>50</v>
      </c>
      <c r="G864" s="1" t="n">
        <v>53</v>
      </c>
      <c r="H864" s="1" t="n">
        <v>57</v>
      </c>
      <c r="I864" s="1" t="str">
        <f aca="false">RIGHT(("0"&amp;C864),2)&amp;RIGHT(("0"&amp;D864),2)&amp;RIGHT(("0"&amp;E864),2)&amp;RIGHT(("0"&amp;F864),2)&amp;RIGHT(("0"&amp;G864),2)&amp;RIGHT(("0"&amp;H864),2)</f>
        <v>152432505357</v>
      </c>
      <c r="J864" s="1" t="n">
        <f aca="false">COUNTIF(I:I,I864)</f>
        <v>1</v>
      </c>
      <c r="K864" s="1" t="n">
        <v>0</v>
      </c>
      <c r="M864" s="1" t="s">
        <v>23</v>
      </c>
      <c r="N864" s="1" t="n">
        <v>25</v>
      </c>
      <c r="O864" s="1" t="s">
        <v>4157</v>
      </c>
      <c r="P864" s="1" t="n">
        <v>1454</v>
      </c>
      <c r="Q864" s="1" t="s">
        <v>4158</v>
      </c>
      <c r="R864" s="1" t="s">
        <v>4159</v>
      </c>
      <c r="S864" s="1" t="s">
        <v>23</v>
      </c>
      <c r="T864" s="1" t="s">
        <v>23</v>
      </c>
      <c r="U864" s="1" t="s">
        <v>23</v>
      </c>
      <c r="V864" s="1" t="s">
        <v>4160</v>
      </c>
    </row>
    <row r="865" customFormat="false" ht="13.8" hidden="false" customHeight="false" outlineLevel="0" collapsed="false">
      <c r="A865" s="1" t="n">
        <v>864</v>
      </c>
      <c r="B865" s="2" t="s">
        <v>4161</v>
      </c>
      <c r="C865" s="1" t="n">
        <v>8</v>
      </c>
      <c r="D865" s="1" t="n">
        <v>11</v>
      </c>
      <c r="E865" s="1" t="n">
        <v>31</v>
      </c>
      <c r="F865" s="1" t="n">
        <v>33</v>
      </c>
      <c r="G865" s="1" t="n">
        <v>42</v>
      </c>
      <c r="H865" s="1" t="n">
        <v>57</v>
      </c>
      <c r="I865" s="1" t="str">
        <f aca="false">RIGHT(("0"&amp;C865),2)&amp;RIGHT(("0"&amp;D865),2)&amp;RIGHT(("0"&amp;E865),2)&amp;RIGHT(("0"&amp;F865),2)&amp;RIGHT(("0"&amp;G865),2)&amp;RIGHT(("0"&amp;H865),2)</f>
        <v>081131334257</v>
      </c>
      <c r="J865" s="1" t="n">
        <f aca="false">COUNTIF(I:I,I865)</f>
        <v>1</v>
      </c>
      <c r="K865" s="1" t="n">
        <v>0</v>
      </c>
      <c r="M865" s="1" t="s">
        <v>23</v>
      </c>
      <c r="N865" s="1" t="n">
        <v>47</v>
      </c>
      <c r="O865" s="1" t="s">
        <v>4162</v>
      </c>
      <c r="P865" s="1" t="n">
        <v>2926</v>
      </c>
      <c r="Q865" s="1" t="s">
        <v>4163</v>
      </c>
      <c r="R865" s="1" t="s">
        <v>4164</v>
      </c>
      <c r="S865" s="1" t="s">
        <v>23</v>
      </c>
      <c r="T865" s="1" t="s">
        <v>23</v>
      </c>
      <c r="U865" s="1" t="s">
        <v>23</v>
      </c>
      <c r="V865" s="1" t="s">
        <v>4165</v>
      </c>
    </row>
    <row r="866" customFormat="false" ht="13.8" hidden="false" customHeight="false" outlineLevel="0" collapsed="false">
      <c r="A866" s="1" t="n">
        <v>865</v>
      </c>
      <c r="B866" s="2" t="s">
        <v>4166</v>
      </c>
      <c r="C866" s="1" t="n">
        <v>23</v>
      </c>
      <c r="D866" s="1" t="n">
        <v>26</v>
      </c>
      <c r="E866" s="1" t="n">
        <v>27</v>
      </c>
      <c r="F866" s="1" t="n">
        <v>41</v>
      </c>
      <c r="G866" s="1" t="n">
        <v>51</v>
      </c>
      <c r="H866" s="1" t="n">
        <v>53</v>
      </c>
      <c r="I866" s="1" t="str">
        <f aca="false">RIGHT(("0"&amp;C866),2)&amp;RIGHT(("0"&amp;D866),2)&amp;RIGHT(("0"&amp;E866),2)&amp;RIGHT(("0"&amp;F866),2)&amp;RIGHT(("0"&amp;G866),2)&amp;RIGHT(("0"&amp;H866),2)</f>
        <v>232627415153</v>
      </c>
      <c r="J866" s="1" t="n">
        <f aca="false">COUNTIF(I:I,I866)</f>
        <v>1</v>
      </c>
      <c r="K866" s="1" t="n">
        <v>0</v>
      </c>
      <c r="M866" s="1" t="s">
        <v>23</v>
      </c>
      <c r="N866" s="1" t="n">
        <v>28</v>
      </c>
      <c r="O866" s="1" t="s">
        <v>4167</v>
      </c>
      <c r="P866" s="1" t="n">
        <v>2694</v>
      </c>
      <c r="Q866" s="1" t="s">
        <v>4168</v>
      </c>
      <c r="R866" s="1" t="s">
        <v>4169</v>
      </c>
      <c r="S866" s="1" t="s">
        <v>23</v>
      </c>
      <c r="T866" s="1" t="s">
        <v>23</v>
      </c>
      <c r="U866" s="1" t="s">
        <v>23</v>
      </c>
      <c r="V866" s="1" t="s">
        <v>4170</v>
      </c>
    </row>
    <row r="867" customFormat="false" ht="13.8" hidden="false" customHeight="false" outlineLevel="0" collapsed="false">
      <c r="A867" s="1" t="n">
        <v>866</v>
      </c>
      <c r="B867" s="2" t="s">
        <v>4171</v>
      </c>
      <c r="C867" s="1" t="n">
        <v>5</v>
      </c>
      <c r="D867" s="1" t="n">
        <v>27</v>
      </c>
      <c r="E867" s="1" t="n">
        <v>36</v>
      </c>
      <c r="F867" s="1" t="n">
        <v>40</v>
      </c>
      <c r="G867" s="1" t="n">
        <v>46</v>
      </c>
      <c r="H867" s="1" t="n">
        <v>48</v>
      </c>
      <c r="I867" s="1" t="str">
        <f aca="false">RIGHT(("0"&amp;C867),2)&amp;RIGHT(("0"&amp;D867),2)&amp;RIGHT(("0"&amp;E867),2)&amp;RIGHT(("0"&amp;F867),2)&amp;RIGHT(("0"&amp;G867),2)&amp;RIGHT(("0"&amp;H867),2)</f>
        <v>052736404648</v>
      </c>
      <c r="J867" s="1" t="n">
        <f aca="false">COUNTIF(I:I,I867)</f>
        <v>1</v>
      </c>
      <c r="K867" s="1" t="n">
        <v>0</v>
      </c>
      <c r="M867" s="1" t="s">
        <v>23</v>
      </c>
      <c r="N867" s="1" t="n">
        <v>46</v>
      </c>
      <c r="O867" s="1" t="s">
        <v>4172</v>
      </c>
      <c r="P867" s="1" t="n">
        <v>3704</v>
      </c>
      <c r="Q867" s="1" t="s">
        <v>4173</v>
      </c>
      <c r="R867" s="1" t="s">
        <v>4174</v>
      </c>
      <c r="S867" s="1" t="s">
        <v>23</v>
      </c>
      <c r="T867" s="1" t="s">
        <v>23</v>
      </c>
      <c r="U867" s="1" t="s">
        <v>23</v>
      </c>
      <c r="V867" s="1" t="s">
        <v>4175</v>
      </c>
    </row>
    <row r="868" customFormat="false" ht="13.8" hidden="false" customHeight="false" outlineLevel="0" collapsed="false">
      <c r="A868" s="1" t="n">
        <v>867</v>
      </c>
      <c r="B868" s="2" t="s">
        <v>4176</v>
      </c>
      <c r="C868" s="1" t="n">
        <v>10</v>
      </c>
      <c r="D868" s="1" t="n">
        <v>19</v>
      </c>
      <c r="E868" s="1" t="n">
        <v>26</v>
      </c>
      <c r="F868" s="1" t="n">
        <v>28</v>
      </c>
      <c r="G868" s="1" t="n">
        <v>44</v>
      </c>
      <c r="H868" s="1" t="n">
        <v>54</v>
      </c>
      <c r="I868" s="1" t="str">
        <f aca="false">RIGHT(("0"&amp;C868),2)&amp;RIGHT(("0"&amp;D868),2)&amp;RIGHT(("0"&amp;E868),2)&amp;RIGHT(("0"&amp;F868),2)&amp;RIGHT(("0"&amp;G868),2)&amp;RIGHT(("0"&amp;H868),2)</f>
        <v>101926284454</v>
      </c>
      <c r="J868" s="1" t="n">
        <f aca="false">COUNTIF(I:I,I868)</f>
        <v>1</v>
      </c>
      <c r="K868" s="1" t="n">
        <v>0</v>
      </c>
      <c r="M868" s="1" t="s">
        <v>23</v>
      </c>
      <c r="N868" s="1" t="n">
        <v>51</v>
      </c>
      <c r="O868" s="1" t="s">
        <v>4177</v>
      </c>
      <c r="P868" s="1" t="n">
        <v>4381</v>
      </c>
      <c r="Q868" s="1" t="s">
        <v>4178</v>
      </c>
      <c r="R868" s="1" t="s">
        <v>4179</v>
      </c>
      <c r="S868" s="1" t="s">
        <v>23</v>
      </c>
      <c r="T868" s="1" t="s">
        <v>23</v>
      </c>
      <c r="U868" s="1" t="s">
        <v>23</v>
      </c>
      <c r="V868" s="1" t="s">
        <v>4180</v>
      </c>
    </row>
    <row r="869" customFormat="false" ht="13.8" hidden="false" customHeight="false" outlineLevel="0" collapsed="false">
      <c r="A869" s="1" t="n">
        <v>868</v>
      </c>
      <c r="B869" s="2" t="s">
        <v>4181</v>
      </c>
      <c r="C869" s="1" t="n">
        <v>21</v>
      </c>
      <c r="D869" s="1" t="n">
        <v>22</v>
      </c>
      <c r="E869" s="1" t="n">
        <v>25</v>
      </c>
      <c r="F869" s="1" t="n">
        <v>40</v>
      </c>
      <c r="G869" s="1" t="n">
        <v>51</v>
      </c>
      <c r="H869" s="1" t="n">
        <v>57</v>
      </c>
      <c r="I869" s="1" t="str">
        <f aca="false">RIGHT(("0"&amp;C869),2)&amp;RIGHT(("0"&amp;D869),2)&amp;RIGHT(("0"&amp;E869),2)&amp;RIGHT(("0"&amp;F869),2)&amp;RIGHT(("0"&amp;G869),2)&amp;RIGHT(("0"&amp;H869),2)</f>
        <v>212225405157</v>
      </c>
      <c r="J869" s="1" t="n">
        <f aca="false">COUNTIF(I:I,I869)</f>
        <v>1</v>
      </c>
      <c r="K869" s="1" t="n">
        <v>0</v>
      </c>
      <c r="M869" s="1" t="s">
        <v>23</v>
      </c>
      <c r="N869" s="1" t="n">
        <v>37</v>
      </c>
      <c r="O869" s="1" t="s">
        <v>4182</v>
      </c>
      <c r="P869" s="1" t="n">
        <v>3453</v>
      </c>
      <c r="Q869" s="1" t="s">
        <v>4183</v>
      </c>
      <c r="R869" s="1" t="s">
        <v>4184</v>
      </c>
      <c r="S869" s="1" t="s">
        <v>23</v>
      </c>
      <c r="T869" s="1" t="s">
        <v>3928</v>
      </c>
      <c r="U869" s="1" t="s">
        <v>23</v>
      </c>
      <c r="V869" s="1" t="s">
        <v>4185</v>
      </c>
    </row>
    <row r="870" customFormat="false" ht="13.8" hidden="false" customHeight="false" outlineLevel="0" collapsed="false">
      <c r="A870" s="1" t="n">
        <v>869</v>
      </c>
      <c r="B870" s="2" t="s">
        <v>4186</v>
      </c>
      <c r="C870" s="1" t="n">
        <v>27</v>
      </c>
      <c r="D870" s="1" t="n">
        <v>29</v>
      </c>
      <c r="E870" s="1" t="n">
        <v>42</v>
      </c>
      <c r="F870" s="1" t="n">
        <v>49</v>
      </c>
      <c r="G870" s="1" t="n">
        <v>50</v>
      </c>
      <c r="H870" s="1" t="n">
        <v>51</v>
      </c>
      <c r="I870" s="1" t="str">
        <f aca="false">RIGHT(("0"&amp;C870),2)&amp;RIGHT(("0"&amp;D870),2)&amp;RIGHT(("0"&amp;E870),2)&amp;RIGHT(("0"&amp;F870),2)&amp;RIGHT(("0"&amp;G870),2)&amp;RIGHT(("0"&amp;H870),2)</f>
        <v>272942495051</v>
      </c>
      <c r="J870" s="1" t="n">
        <f aca="false">COUNTIF(I:I,I870)</f>
        <v>1</v>
      </c>
      <c r="K870" s="1" t="n">
        <v>1</v>
      </c>
      <c r="L870" s="1" t="s">
        <v>91</v>
      </c>
      <c r="M870" s="1" t="s">
        <v>4187</v>
      </c>
      <c r="N870" s="1" t="n">
        <v>57</v>
      </c>
      <c r="O870" s="1" t="s">
        <v>4188</v>
      </c>
      <c r="P870" s="1" t="n">
        <v>3912</v>
      </c>
      <c r="Q870" s="1" t="s">
        <v>4189</v>
      </c>
      <c r="R870" s="1" t="s">
        <v>23</v>
      </c>
      <c r="S870" s="1" t="s">
        <v>23</v>
      </c>
      <c r="T870" s="1" t="s">
        <v>4190</v>
      </c>
      <c r="U870" s="1" t="s">
        <v>23</v>
      </c>
    </row>
    <row r="871" customFormat="false" ht="13.8" hidden="false" customHeight="false" outlineLevel="0" collapsed="false">
      <c r="A871" s="1" t="n">
        <v>870</v>
      </c>
      <c r="B871" s="2" t="s">
        <v>4191</v>
      </c>
      <c r="C871" s="1" t="n">
        <v>8</v>
      </c>
      <c r="D871" s="1" t="n">
        <v>21</v>
      </c>
      <c r="E871" s="1" t="n">
        <v>34</v>
      </c>
      <c r="F871" s="1" t="n">
        <v>40</v>
      </c>
      <c r="G871" s="1" t="n">
        <v>43</v>
      </c>
      <c r="H871" s="1" t="n">
        <v>52</v>
      </c>
      <c r="I871" s="1" t="str">
        <f aca="false">RIGHT(("0"&amp;C871),2)&amp;RIGHT(("0"&amp;D871),2)&amp;RIGHT(("0"&amp;E871),2)&amp;RIGHT(("0"&amp;F871),2)&amp;RIGHT(("0"&amp;G871),2)&amp;RIGHT(("0"&amp;H871),2)</f>
        <v>082134404352</v>
      </c>
      <c r="J871" s="1" t="n">
        <f aca="false">COUNTIF(I:I,I871)</f>
        <v>1</v>
      </c>
      <c r="K871" s="1" t="n">
        <v>0</v>
      </c>
      <c r="M871" s="1" t="s">
        <v>23</v>
      </c>
      <c r="N871" s="1" t="n">
        <v>26</v>
      </c>
      <c r="O871" s="1" t="s">
        <v>4192</v>
      </c>
      <c r="P871" s="1" t="n">
        <v>2923</v>
      </c>
      <c r="Q871" s="1" t="s">
        <v>4193</v>
      </c>
      <c r="R871" s="1" t="s">
        <v>4194</v>
      </c>
      <c r="S871" s="1" t="s">
        <v>23</v>
      </c>
      <c r="T871" s="1" t="s">
        <v>4195</v>
      </c>
      <c r="U871" s="1" t="s">
        <v>23</v>
      </c>
    </row>
    <row r="872" customFormat="false" ht="13.8" hidden="false" customHeight="false" outlineLevel="0" collapsed="false">
      <c r="A872" s="1" t="n">
        <v>871</v>
      </c>
      <c r="B872" s="2" t="s">
        <v>4196</v>
      </c>
      <c r="C872" s="1" t="n">
        <v>1</v>
      </c>
      <c r="D872" s="1" t="n">
        <v>5</v>
      </c>
      <c r="E872" s="1" t="n">
        <v>10</v>
      </c>
      <c r="F872" s="1" t="n">
        <v>17</v>
      </c>
      <c r="G872" s="1" t="n">
        <v>47</v>
      </c>
      <c r="H872" s="1" t="n">
        <v>58</v>
      </c>
      <c r="I872" s="1" t="str">
        <f aca="false">RIGHT(("0"&amp;C872),2)&amp;RIGHT(("0"&amp;D872),2)&amp;RIGHT(("0"&amp;E872),2)&amp;RIGHT(("0"&amp;F872),2)&amp;RIGHT(("0"&amp;G872),2)&amp;RIGHT(("0"&amp;H872),2)</f>
        <v>010510174758</v>
      </c>
      <c r="J872" s="1" t="n">
        <f aca="false">COUNTIF(I:I,I872)</f>
        <v>1</v>
      </c>
      <c r="K872" s="1" t="n">
        <v>0</v>
      </c>
      <c r="M872" s="1" t="s">
        <v>23</v>
      </c>
      <c r="N872" s="1" t="n">
        <v>80</v>
      </c>
      <c r="O872" s="1" t="s">
        <v>4197</v>
      </c>
      <c r="P872" s="1" t="n">
        <v>6225</v>
      </c>
      <c r="Q872" s="1" t="s">
        <v>150</v>
      </c>
      <c r="R872" s="1" t="s">
        <v>4198</v>
      </c>
      <c r="S872" s="1" t="s">
        <v>23</v>
      </c>
      <c r="T872" s="1" t="s">
        <v>3727</v>
      </c>
      <c r="U872" s="1" t="s">
        <v>23</v>
      </c>
    </row>
    <row r="873" customFormat="false" ht="13.8" hidden="false" customHeight="false" outlineLevel="0" collapsed="false">
      <c r="A873" s="1" t="n">
        <v>872</v>
      </c>
      <c r="B873" s="2" t="s">
        <v>4199</v>
      </c>
      <c r="C873" s="1" t="n">
        <v>5</v>
      </c>
      <c r="D873" s="1" t="n">
        <v>18</v>
      </c>
      <c r="E873" s="1" t="n">
        <v>31</v>
      </c>
      <c r="F873" s="1" t="n">
        <v>43</v>
      </c>
      <c r="G873" s="1" t="n">
        <v>55</v>
      </c>
      <c r="H873" s="1" t="n">
        <v>58</v>
      </c>
      <c r="I873" s="1" t="str">
        <f aca="false">RIGHT(("0"&amp;C873),2)&amp;RIGHT(("0"&amp;D873),2)&amp;RIGHT(("0"&amp;E873),2)&amp;RIGHT(("0"&amp;F873),2)&amp;RIGHT(("0"&amp;G873),2)&amp;RIGHT(("0"&amp;H873),2)</f>
        <v>051831435558</v>
      </c>
      <c r="J873" s="1" t="n">
        <f aca="false">COUNTIF(I:I,I873)</f>
        <v>1</v>
      </c>
      <c r="K873" s="1" t="n">
        <v>0</v>
      </c>
      <c r="M873" s="1" t="s">
        <v>23</v>
      </c>
      <c r="N873" s="1" t="n">
        <v>81</v>
      </c>
      <c r="O873" s="1" t="s">
        <v>4200</v>
      </c>
      <c r="P873" s="1" t="n">
        <v>4636</v>
      </c>
      <c r="Q873" s="1" t="s">
        <v>4201</v>
      </c>
      <c r="R873" s="1" t="s">
        <v>4202</v>
      </c>
      <c r="S873" s="1" t="s">
        <v>23</v>
      </c>
      <c r="T873" s="1" t="s">
        <v>4203</v>
      </c>
      <c r="U873" s="1" t="s">
        <v>23</v>
      </c>
    </row>
    <row r="874" customFormat="false" ht="13.8" hidden="false" customHeight="false" outlineLevel="0" collapsed="false">
      <c r="A874" s="1" t="n">
        <v>873</v>
      </c>
      <c r="B874" s="2" t="s">
        <v>4204</v>
      </c>
      <c r="C874" s="1" t="n">
        <v>4</v>
      </c>
      <c r="D874" s="1" t="n">
        <v>19</v>
      </c>
      <c r="E874" s="1" t="n">
        <v>30</v>
      </c>
      <c r="F874" s="1" t="n">
        <v>34</v>
      </c>
      <c r="G874" s="1" t="n">
        <v>57</v>
      </c>
      <c r="H874" s="1" t="n">
        <v>59</v>
      </c>
      <c r="I874" s="1" t="str">
        <f aca="false">RIGHT(("0"&amp;C874),2)&amp;RIGHT(("0"&amp;D874),2)&amp;RIGHT(("0"&amp;E874),2)&amp;RIGHT(("0"&amp;F874),2)&amp;RIGHT(("0"&amp;G874),2)&amp;RIGHT(("0"&amp;H874),2)</f>
        <v>041930345759</v>
      </c>
      <c r="J874" s="1" t="n">
        <f aca="false">COUNTIF(I:I,I874)</f>
        <v>1</v>
      </c>
      <c r="K874" s="1" t="n">
        <v>0</v>
      </c>
      <c r="M874" s="1" t="s">
        <v>23</v>
      </c>
      <c r="N874" s="1" t="n">
        <v>70</v>
      </c>
      <c r="O874" s="1" t="s">
        <v>4205</v>
      </c>
      <c r="P874" s="1" t="n">
        <v>5051</v>
      </c>
      <c r="Q874" s="1" t="s">
        <v>4206</v>
      </c>
      <c r="R874" s="1" t="s">
        <v>4207</v>
      </c>
      <c r="S874" s="1" t="s">
        <v>23</v>
      </c>
      <c r="T874" s="1" t="s">
        <v>4208</v>
      </c>
      <c r="U874" s="1" t="s">
        <v>23</v>
      </c>
    </row>
    <row r="875" customFormat="false" ht="13.8" hidden="false" customHeight="false" outlineLevel="0" collapsed="false">
      <c r="A875" s="1" t="n">
        <v>874</v>
      </c>
      <c r="B875" s="2" t="s">
        <v>4209</v>
      </c>
      <c r="C875" s="1" t="n">
        <v>10</v>
      </c>
      <c r="D875" s="1" t="n">
        <v>20</v>
      </c>
      <c r="E875" s="1" t="n">
        <v>42</v>
      </c>
      <c r="F875" s="1" t="n">
        <v>44</v>
      </c>
      <c r="G875" s="1" t="n">
        <v>52</v>
      </c>
      <c r="H875" s="1" t="n">
        <v>59</v>
      </c>
      <c r="I875" s="1" t="str">
        <f aca="false">RIGHT(("0"&amp;C875),2)&amp;RIGHT(("0"&amp;D875),2)&amp;RIGHT(("0"&amp;E875),2)&amp;RIGHT(("0"&amp;F875),2)&amp;RIGHT(("0"&amp;G875),2)&amp;RIGHT(("0"&amp;H875),2)</f>
        <v>102042445259</v>
      </c>
      <c r="J875" s="1" t="n">
        <f aca="false">COUNTIF(I:I,I875)</f>
        <v>1</v>
      </c>
      <c r="K875" s="1" t="n">
        <v>0</v>
      </c>
      <c r="M875" s="1" t="s">
        <v>23</v>
      </c>
      <c r="N875" s="1" t="n">
        <v>32</v>
      </c>
      <c r="O875" s="1" t="s">
        <v>4210</v>
      </c>
      <c r="P875" s="1" t="n">
        <v>3024</v>
      </c>
      <c r="Q875" s="1" t="s">
        <v>4211</v>
      </c>
      <c r="R875" s="1" t="s">
        <v>4212</v>
      </c>
      <c r="S875" s="1" t="s">
        <v>23</v>
      </c>
      <c r="T875" s="1" t="s">
        <v>4213</v>
      </c>
      <c r="U875" s="1" t="s">
        <v>23</v>
      </c>
    </row>
    <row r="876" customFormat="false" ht="13.8" hidden="false" customHeight="false" outlineLevel="0" collapsed="false">
      <c r="A876" s="1" t="n">
        <v>875</v>
      </c>
      <c r="B876" s="2" t="s">
        <v>4214</v>
      </c>
      <c r="C876" s="1" t="n">
        <v>18</v>
      </c>
      <c r="D876" s="1" t="n">
        <v>20</v>
      </c>
      <c r="E876" s="1" t="n">
        <v>24</v>
      </c>
      <c r="F876" s="1" t="n">
        <v>36</v>
      </c>
      <c r="G876" s="1" t="n">
        <v>53</v>
      </c>
      <c r="H876" s="1" t="n">
        <v>58</v>
      </c>
      <c r="I876" s="1" t="str">
        <f aca="false">RIGHT(("0"&amp;C876),2)&amp;RIGHT(("0"&amp;D876),2)&amp;RIGHT(("0"&amp;E876),2)&amp;RIGHT(("0"&amp;F876),2)&amp;RIGHT(("0"&amp;G876),2)&amp;RIGHT(("0"&amp;H876),2)</f>
        <v>182024365358</v>
      </c>
      <c r="J876" s="1" t="n">
        <f aca="false">COUNTIF(I:I,I876)</f>
        <v>1</v>
      </c>
      <c r="K876" s="1" t="n">
        <v>1</v>
      </c>
      <c r="L876" s="1" t="s">
        <v>91</v>
      </c>
      <c r="M876" s="1" t="s">
        <v>4215</v>
      </c>
      <c r="N876" s="1" t="n">
        <v>153</v>
      </c>
      <c r="O876" s="1" t="s">
        <v>4216</v>
      </c>
      <c r="P876" s="1" t="n">
        <v>8240</v>
      </c>
      <c r="Q876" s="1" t="s">
        <v>4217</v>
      </c>
      <c r="R876" s="1" t="s">
        <v>23</v>
      </c>
      <c r="S876" s="1" t="s">
        <v>23</v>
      </c>
      <c r="T876" s="1" t="s">
        <v>4218</v>
      </c>
      <c r="U876" s="1" t="s">
        <v>23</v>
      </c>
    </row>
    <row r="877" customFormat="false" ht="13.8" hidden="false" customHeight="false" outlineLevel="0" collapsed="false">
      <c r="A877" s="1" t="n">
        <v>876</v>
      </c>
      <c r="B877" s="2" t="s">
        <v>4219</v>
      </c>
      <c r="C877" s="1" t="n">
        <v>4</v>
      </c>
      <c r="D877" s="1" t="n">
        <v>8</v>
      </c>
      <c r="E877" s="1" t="n">
        <v>12</v>
      </c>
      <c r="F877" s="1" t="n">
        <v>41</v>
      </c>
      <c r="G877" s="1" t="n">
        <v>45</v>
      </c>
      <c r="H877" s="1" t="n">
        <v>60</v>
      </c>
      <c r="I877" s="1" t="str">
        <f aca="false">RIGHT(("0"&amp;C877),2)&amp;RIGHT(("0"&amp;D877),2)&amp;RIGHT(("0"&amp;E877),2)&amp;RIGHT(("0"&amp;F877),2)&amp;RIGHT(("0"&amp;G877),2)&amp;RIGHT(("0"&amp;H877),2)</f>
        <v>040812414560</v>
      </c>
      <c r="J877" s="1" t="n">
        <f aca="false">COUNTIF(I:I,I877)</f>
        <v>1</v>
      </c>
      <c r="K877" s="1" t="n">
        <v>0</v>
      </c>
      <c r="M877" s="1" t="s">
        <v>23</v>
      </c>
      <c r="N877" s="1" t="n">
        <v>30</v>
      </c>
      <c r="O877" s="1" t="s">
        <v>4220</v>
      </c>
      <c r="P877" s="1" t="n">
        <v>3847</v>
      </c>
      <c r="Q877" s="1" t="s">
        <v>4221</v>
      </c>
      <c r="R877" s="1" t="s">
        <v>4222</v>
      </c>
      <c r="S877" s="1" t="s">
        <v>23</v>
      </c>
      <c r="T877" s="1" t="s">
        <v>473</v>
      </c>
      <c r="U877" s="1" t="s">
        <v>23</v>
      </c>
    </row>
    <row r="878" customFormat="false" ht="13.8" hidden="false" customHeight="false" outlineLevel="0" collapsed="false">
      <c r="A878" s="1" t="n">
        <v>877</v>
      </c>
      <c r="B878" s="2" t="s">
        <v>4223</v>
      </c>
      <c r="C878" s="1" t="n">
        <v>13</v>
      </c>
      <c r="D878" s="1" t="n">
        <v>15</v>
      </c>
      <c r="E878" s="1" t="n">
        <v>20</v>
      </c>
      <c r="F878" s="1" t="n">
        <v>28</v>
      </c>
      <c r="G878" s="1" t="n">
        <v>31</v>
      </c>
      <c r="H878" s="1" t="n">
        <v>36</v>
      </c>
      <c r="I878" s="1" t="str">
        <f aca="false">RIGHT(("0"&amp;C878),2)&amp;RIGHT(("0"&amp;D878),2)&amp;RIGHT(("0"&amp;E878),2)&amp;RIGHT(("0"&amp;F878),2)&amp;RIGHT(("0"&amp;G878),2)&amp;RIGHT(("0"&amp;H878),2)</f>
        <v>131520283136</v>
      </c>
      <c r="J878" s="1" t="n">
        <f aca="false">COUNTIF(I:I,I878)</f>
        <v>1</v>
      </c>
      <c r="K878" s="1" t="n">
        <v>0</v>
      </c>
      <c r="M878" s="1" t="s">
        <v>23</v>
      </c>
      <c r="N878" s="1" t="n">
        <v>69</v>
      </c>
      <c r="O878" s="1" t="s">
        <v>4224</v>
      </c>
      <c r="P878" s="1" t="n">
        <v>4817</v>
      </c>
      <c r="Q878" s="1" t="s">
        <v>4225</v>
      </c>
      <c r="R878" s="1" t="s">
        <v>4226</v>
      </c>
      <c r="S878" s="1" t="s">
        <v>23</v>
      </c>
      <c r="T878" s="1" t="s">
        <v>4227</v>
      </c>
      <c r="U878" s="1" t="s">
        <v>23</v>
      </c>
    </row>
    <row r="879" customFormat="false" ht="13.8" hidden="false" customHeight="false" outlineLevel="0" collapsed="false">
      <c r="A879" s="1" t="n">
        <v>878</v>
      </c>
      <c r="B879" s="2" t="s">
        <v>4228</v>
      </c>
      <c r="C879" s="1" t="n">
        <v>11</v>
      </c>
      <c r="D879" s="1" t="n">
        <v>12</v>
      </c>
      <c r="E879" s="1" t="n">
        <v>37</v>
      </c>
      <c r="F879" s="1" t="n">
        <v>38</v>
      </c>
      <c r="G879" s="1" t="n">
        <v>43</v>
      </c>
      <c r="H879" s="1" t="n">
        <v>54</v>
      </c>
      <c r="I879" s="1" t="str">
        <f aca="false">RIGHT(("0"&amp;C879),2)&amp;RIGHT(("0"&amp;D879),2)&amp;RIGHT(("0"&amp;E879),2)&amp;RIGHT(("0"&amp;F879),2)&amp;RIGHT(("0"&amp;G879),2)&amp;RIGHT(("0"&amp;H879),2)</f>
        <v>111237384354</v>
      </c>
      <c r="J879" s="1" t="n">
        <f aca="false">COUNTIF(I:I,I879)</f>
        <v>1</v>
      </c>
      <c r="K879" s="1" t="n">
        <v>0</v>
      </c>
      <c r="M879" s="1" t="s">
        <v>23</v>
      </c>
      <c r="N879" s="1" t="n">
        <v>33</v>
      </c>
      <c r="O879" s="1" t="s">
        <v>4229</v>
      </c>
      <c r="P879" s="1" t="n">
        <v>3702</v>
      </c>
      <c r="Q879" s="1" t="s">
        <v>4230</v>
      </c>
      <c r="R879" s="1" t="s">
        <v>4231</v>
      </c>
      <c r="S879" s="1" t="s">
        <v>23</v>
      </c>
      <c r="T879" s="1" t="s">
        <v>4232</v>
      </c>
      <c r="U879" s="1" t="s">
        <v>23</v>
      </c>
    </row>
    <row r="880" customFormat="false" ht="13.8" hidden="false" customHeight="false" outlineLevel="0" collapsed="false">
      <c r="A880" s="1" t="n">
        <v>879</v>
      </c>
      <c r="B880" s="2" t="s">
        <v>4233</v>
      </c>
      <c r="C880" s="1" t="n">
        <v>10</v>
      </c>
      <c r="D880" s="1" t="n">
        <v>28</v>
      </c>
      <c r="E880" s="1" t="n">
        <v>29</v>
      </c>
      <c r="F880" s="1" t="n">
        <v>35</v>
      </c>
      <c r="G880" s="1" t="n">
        <v>42</v>
      </c>
      <c r="H880" s="1" t="n">
        <v>46</v>
      </c>
      <c r="I880" s="1" t="str">
        <f aca="false">RIGHT(("0"&amp;C880),2)&amp;RIGHT(("0"&amp;D880),2)&amp;RIGHT(("0"&amp;E880),2)&amp;RIGHT(("0"&amp;F880),2)&amp;RIGHT(("0"&amp;G880),2)&amp;RIGHT(("0"&amp;H880),2)</f>
        <v>102829354246</v>
      </c>
      <c r="J880" s="1" t="n">
        <f aca="false">COUNTIF(I:I,I880)</f>
        <v>1</v>
      </c>
      <c r="K880" s="1" t="n">
        <v>0</v>
      </c>
      <c r="M880" s="1" t="s">
        <v>23</v>
      </c>
      <c r="N880" s="1" t="n">
        <v>45</v>
      </c>
      <c r="O880" s="1" t="s">
        <v>4234</v>
      </c>
      <c r="P880" s="1" t="n">
        <v>3852</v>
      </c>
      <c r="Q880" s="1" t="s">
        <v>4235</v>
      </c>
      <c r="R880" s="1" t="s">
        <v>4236</v>
      </c>
      <c r="S880" s="1" t="s">
        <v>23</v>
      </c>
      <c r="T880" s="1" t="s">
        <v>3928</v>
      </c>
      <c r="U880" s="1" t="s">
        <v>23</v>
      </c>
    </row>
    <row r="881" customFormat="false" ht="13.8" hidden="false" customHeight="false" outlineLevel="0" collapsed="false">
      <c r="A881" s="1" t="n">
        <v>880</v>
      </c>
      <c r="B881" s="2" t="s">
        <v>4237</v>
      </c>
      <c r="C881" s="1" t="n">
        <v>25</v>
      </c>
      <c r="D881" s="1" t="n">
        <v>30</v>
      </c>
      <c r="E881" s="1" t="n">
        <v>37</v>
      </c>
      <c r="F881" s="1" t="n">
        <v>46</v>
      </c>
      <c r="G881" s="1" t="n">
        <v>49</v>
      </c>
      <c r="H881" s="1" t="n">
        <v>51</v>
      </c>
      <c r="I881" s="1" t="str">
        <f aca="false">RIGHT(("0"&amp;C881),2)&amp;RIGHT(("0"&amp;D881),2)&amp;RIGHT(("0"&amp;E881),2)&amp;RIGHT(("0"&amp;F881),2)&amp;RIGHT(("0"&amp;G881),2)&amp;RIGHT(("0"&amp;H881),2)</f>
        <v>253037464951</v>
      </c>
      <c r="J881" s="1" t="n">
        <f aca="false">COUNTIF(I:I,I881)</f>
        <v>1</v>
      </c>
      <c r="K881" s="1" t="n">
        <v>0</v>
      </c>
      <c r="M881" s="1" t="s">
        <v>23</v>
      </c>
      <c r="N881" s="1" t="n">
        <v>46</v>
      </c>
      <c r="O881" s="1" t="s">
        <v>4238</v>
      </c>
      <c r="P881" s="1" t="n">
        <v>4314</v>
      </c>
      <c r="Q881" s="1" t="s">
        <v>4239</v>
      </c>
      <c r="R881" s="1" t="s">
        <v>4240</v>
      </c>
      <c r="S881" s="1" t="s">
        <v>23</v>
      </c>
      <c r="T881" s="1" t="s">
        <v>4241</v>
      </c>
      <c r="U881" s="1" t="s">
        <v>23</v>
      </c>
    </row>
    <row r="882" customFormat="false" ht="13.8" hidden="false" customHeight="false" outlineLevel="0" collapsed="false">
      <c r="A882" s="1" t="n">
        <v>881</v>
      </c>
      <c r="B882" s="2" t="s">
        <v>4242</v>
      </c>
      <c r="C882" s="1" t="n">
        <v>4</v>
      </c>
      <c r="D882" s="1" t="n">
        <v>18</v>
      </c>
      <c r="E882" s="1" t="n">
        <v>24</v>
      </c>
      <c r="F882" s="1" t="n">
        <v>43</v>
      </c>
      <c r="G882" s="1" t="n">
        <v>51</v>
      </c>
      <c r="H882" s="1" t="n">
        <v>56</v>
      </c>
      <c r="I882" s="1" t="str">
        <f aca="false">RIGHT(("0"&amp;C882),2)&amp;RIGHT(("0"&amp;D882),2)&amp;RIGHT(("0"&amp;E882),2)&amp;RIGHT(("0"&amp;F882),2)&amp;RIGHT(("0"&amp;G882),2)&amp;RIGHT(("0"&amp;H882),2)</f>
        <v>041824435156</v>
      </c>
      <c r="J882" s="1" t="n">
        <f aca="false">COUNTIF(I:I,I882)</f>
        <v>1</v>
      </c>
      <c r="K882" s="1" t="n">
        <v>0</v>
      </c>
      <c r="M882" s="1" t="s">
        <v>23</v>
      </c>
      <c r="N882" s="1" t="n">
        <v>99</v>
      </c>
      <c r="O882" s="1" t="s">
        <v>4243</v>
      </c>
      <c r="P882" s="1" t="n">
        <v>6959</v>
      </c>
      <c r="Q882" s="1" t="s">
        <v>4244</v>
      </c>
      <c r="R882" s="1" t="s">
        <v>4245</v>
      </c>
      <c r="S882" s="1" t="s">
        <v>23</v>
      </c>
      <c r="T882" s="1" t="s">
        <v>4246</v>
      </c>
      <c r="U882" s="1" t="s">
        <v>23</v>
      </c>
    </row>
    <row r="883" customFormat="false" ht="13.8" hidden="false" customHeight="false" outlineLevel="0" collapsed="false">
      <c r="A883" s="1" t="n">
        <v>882</v>
      </c>
      <c r="B883" s="2" t="s">
        <v>4247</v>
      </c>
      <c r="C883" s="1" t="n">
        <v>17</v>
      </c>
      <c r="D883" s="1" t="n">
        <v>41</v>
      </c>
      <c r="E883" s="1" t="n">
        <v>42</v>
      </c>
      <c r="F883" s="1" t="n">
        <v>44</v>
      </c>
      <c r="G883" s="1" t="n">
        <v>45</v>
      </c>
      <c r="H883" s="1" t="n">
        <v>60</v>
      </c>
      <c r="I883" s="1" t="str">
        <f aca="false">RIGHT(("0"&amp;C883),2)&amp;RIGHT(("0"&amp;D883),2)&amp;RIGHT(("0"&amp;E883),2)&amp;RIGHT(("0"&amp;F883),2)&amp;RIGHT(("0"&amp;G883),2)&amp;RIGHT(("0"&amp;H883),2)</f>
        <v>174142444560</v>
      </c>
      <c r="J883" s="1" t="n">
        <f aca="false">COUNTIF(I:I,I883)</f>
        <v>1</v>
      </c>
      <c r="K883" s="1" t="n">
        <v>1</v>
      </c>
      <c r="L883" s="1" t="s">
        <v>1722</v>
      </c>
      <c r="M883" s="1" t="s">
        <v>4248</v>
      </c>
      <c r="N883" s="1" t="n">
        <v>81</v>
      </c>
      <c r="O883" s="1" t="s">
        <v>4249</v>
      </c>
      <c r="P883" s="1" t="n">
        <v>6642</v>
      </c>
      <c r="Q883" s="1" t="s">
        <v>4250</v>
      </c>
      <c r="R883" s="1" t="s">
        <v>23</v>
      </c>
      <c r="S883" s="1" t="s">
        <v>23</v>
      </c>
      <c r="T883" s="1" t="s">
        <v>4251</v>
      </c>
      <c r="U883" s="1" t="s">
        <v>23</v>
      </c>
    </row>
    <row r="884" customFormat="false" ht="13.8" hidden="false" customHeight="false" outlineLevel="0" collapsed="false">
      <c r="A884" s="1" t="n">
        <v>883</v>
      </c>
      <c r="B884" s="2" t="s">
        <v>4252</v>
      </c>
      <c r="C884" s="1" t="n">
        <v>21</v>
      </c>
      <c r="D884" s="1" t="n">
        <v>32</v>
      </c>
      <c r="E884" s="1" t="n">
        <v>37</v>
      </c>
      <c r="F884" s="1" t="n">
        <v>52</v>
      </c>
      <c r="G884" s="1" t="n">
        <v>53</v>
      </c>
      <c r="H884" s="1" t="n">
        <v>60</v>
      </c>
      <c r="I884" s="1" t="str">
        <f aca="false">RIGHT(("0"&amp;C884),2)&amp;RIGHT(("0"&amp;D884),2)&amp;RIGHT(("0"&amp;E884),2)&amp;RIGHT(("0"&amp;F884),2)&amp;RIGHT(("0"&amp;G884),2)&amp;RIGHT(("0"&amp;H884),2)</f>
        <v>213237525360</v>
      </c>
      <c r="J884" s="1" t="n">
        <f aca="false">COUNTIF(I:I,I884)</f>
        <v>1</v>
      </c>
      <c r="K884" s="1" t="n">
        <v>0</v>
      </c>
      <c r="M884" s="1" t="s">
        <v>23</v>
      </c>
      <c r="N884" s="1" t="n">
        <v>13</v>
      </c>
      <c r="O884" s="1" t="s">
        <v>4253</v>
      </c>
      <c r="P884" s="1" t="n">
        <v>1494</v>
      </c>
      <c r="Q884" s="1" t="s">
        <v>4254</v>
      </c>
      <c r="R884" s="1" t="s">
        <v>4255</v>
      </c>
      <c r="S884" s="1" t="s">
        <v>23</v>
      </c>
      <c r="T884" s="1" t="s">
        <v>4256</v>
      </c>
      <c r="U884" s="1" t="s">
        <v>23</v>
      </c>
    </row>
    <row r="885" customFormat="false" ht="13.8" hidden="false" customHeight="false" outlineLevel="0" collapsed="false">
      <c r="A885" s="1" t="n">
        <v>884</v>
      </c>
      <c r="B885" s="2" t="s">
        <v>4257</v>
      </c>
      <c r="C885" s="1" t="n">
        <v>2</v>
      </c>
      <c r="D885" s="1" t="n">
        <v>11</v>
      </c>
      <c r="E885" s="1" t="n">
        <v>12</v>
      </c>
      <c r="F885" s="1" t="n">
        <v>14</v>
      </c>
      <c r="G885" s="1" t="n">
        <v>22</v>
      </c>
      <c r="H885" s="1" t="n">
        <v>39</v>
      </c>
      <c r="I885" s="1" t="str">
        <f aca="false">RIGHT(("0"&amp;C885),2)&amp;RIGHT(("0"&amp;D885),2)&amp;RIGHT(("0"&amp;E885),2)&amp;RIGHT(("0"&amp;F885),2)&amp;RIGHT(("0"&amp;G885),2)&amp;RIGHT(("0"&amp;H885),2)</f>
        <v>021112142239</v>
      </c>
      <c r="J885" s="1" t="n">
        <f aca="false">COUNTIF(I:I,I885)</f>
        <v>1</v>
      </c>
      <c r="K885" s="1" t="n">
        <v>0</v>
      </c>
      <c r="M885" s="1" t="s">
        <v>23</v>
      </c>
      <c r="N885" s="1" t="n">
        <v>56</v>
      </c>
      <c r="O885" s="1" t="s">
        <v>4258</v>
      </c>
      <c r="P885" s="1" t="n">
        <v>4752</v>
      </c>
      <c r="Q885" s="1" t="s">
        <v>4259</v>
      </c>
      <c r="R885" s="1" t="s">
        <v>4260</v>
      </c>
      <c r="S885" s="1" t="s">
        <v>23</v>
      </c>
      <c r="T885" s="1" t="s">
        <v>3727</v>
      </c>
      <c r="U885" s="1" t="s">
        <v>23</v>
      </c>
    </row>
    <row r="886" customFormat="false" ht="13.8" hidden="false" customHeight="false" outlineLevel="0" collapsed="false">
      <c r="A886" s="1" t="n">
        <v>885</v>
      </c>
      <c r="B886" s="2" t="s">
        <v>4261</v>
      </c>
      <c r="C886" s="1" t="n">
        <v>4</v>
      </c>
      <c r="D886" s="1" t="n">
        <v>13</v>
      </c>
      <c r="E886" s="1" t="n">
        <v>31</v>
      </c>
      <c r="F886" s="1" t="n">
        <v>33</v>
      </c>
      <c r="G886" s="1" t="n">
        <v>47</v>
      </c>
      <c r="H886" s="1" t="n">
        <v>51</v>
      </c>
      <c r="I886" s="1" t="str">
        <f aca="false">RIGHT(("0"&amp;C886),2)&amp;RIGHT(("0"&amp;D886),2)&amp;RIGHT(("0"&amp;E886),2)&amp;RIGHT(("0"&amp;F886),2)&amp;RIGHT(("0"&amp;G886),2)&amp;RIGHT(("0"&amp;H886),2)</f>
        <v>041331334751</v>
      </c>
      <c r="J886" s="1" t="n">
        <f aca="false">COUNTIF(I:I,I886)</f>
        <v>1</v>
      </c>
      <c r="K886" s="1" t="n">
        <v>0</v>
      </c>
      <c r="M886" s="1" t="s">
        <v>23</v>
      </c>
      <c r="N886" s="1" t="n">
        <v>114</v>
      </c>
      <c r="O886" s="1" t="s">
        <v>4262</v>
      </c>
      <c r="P886" s="1" t="n">
        <v>6503</v>
      </c>
      <c r="Q886" s="1" t="s">
        <v>4263</v>
      </c>
      <c r="R886" s="1" t="s">
        <v>4264</v>
      </c>
      <c r="S886" s="1" t="s">
        <v>23</v>
      </c>
      <c r="T886" s="1" t="s">
        <v>4203</v>
      </c>
      <c r="U886" s="1" t="s">
        <v>23</v>
      </c>
    </row>
    <row r="887" customFormat="false" ht="13.8" hidden="false" customHeight="false" outlineLevel="0" collapsed="false">
      <c r="A887" s="1" t="n">
        <v>886</v>
      </c>
      <c r="B887" s="2" t="s">
        <v>4265</v>
      </c>
      <c r="C887" s="1" t="n">
        <v>17</v>
      </c>
      <c r="D887" s="1" t="n">
        <v>33</v>
      </c>
      <c r="E887" s="1" t="n">
        <v>37</v>
      </c>
      <c r="F887" s="1" t="n">
        <v>50</v>
      </c>
      <c r="G887" s="1" t="n">
        <v>55</v>
      </c>
      <c r="H887" s="1" t="n">
        <v>59</v>
      </c>
      <c r="I887" s="1" t="str">
        <f aca="false">RIGHT(("0"&amp;C887),2)&amp;RIGHT(("0"&amp;D887),2)&amp;RIGHT(("0"&amp;E887),2)&amp;RIGHT(("0"&amp;F887),2)&amp;RIGHT(("0"&amp;G887),2)&amp;RIGHT(("0"&amp;H887),2)</f>
        <v>173337505559</v>
      </c>
      <c r="J887" s="1" t="n">
        <f aca="false">COUNTIF(I:I,I887)</f>
        <v>1</v>
      </c>
      <c r="K887" s="1" t="n">
        <v>0</v>
      </c>
      <c r="M887" s="1" t="s">
        <v>23</v>
      </c>
      <c r="N887" s="1" t="n">
        <v>100</v>
      </c>
      <c r="O887" s="1" t="s">
        <v>4266</v>
      </c>
      <c r="P887" s="1" t="n">
        <v>5764</v>
      </c>
      <c r="Q887" s="1" t="s">
        <v>4267</v>
      </c>
      <c r="R887" s="1" t="s">
        <v>4268</v>
      </c>
      <c r="S887" s="1" t="s">
        <v>23</v>
      </c>
      <c r="T887" s="1" t="s">
        <v>4208</v>
      </c>
      <c r="U887" s="1" t="s">
        <v>23</v>
      </c>
    </row>
    <row r="888" customFormat="false" ht="13.8" hidden="false" customHeight="false" outlineLevel="0" collapsed="false">
      <c r="A888" s="1" t="n">
        <v>887</v>
      </c>
      <c r="B888" s="2" t="s">
        <v>4269</v>
      </c>
      <c r="C888" s="1" t="n">
        <v>1</v>
      </c>
      <c r="D888" s="1" t="n">
        <v>12</v>
      </c>
      <c r="E888" s="1" t="n">
        <v>21</v>
      </c>
      <c r="F888" s="1" t="n">
        <v>32</v>
      </c>
      <c r="G888" s="1" t="n">
        <v>34</v>
      </c>
      <c r="H888" s="1" t="n">
        <v>44</v>
      </c>
      <c r="I888" s="1" t="str">
        <f aca="false">RIGHT(("0"&amp;C888),2)&amp;RIGHT(("0"&amp;D888),2)&amp;RIGHT(("0"&amp;E888),2)&amp;RIGHT(("0"&amp;F888),2)&amp;RIGHT(("0"&amp;G888),2)&amp;RIGHT(("0"&amp;H888),2)</f>
        <v>011221323444</v>
      </c>
      <c r="J888" s="1" t="n">
        <f aca="false">COUNTIF(I:I,I888)</f>
        <v>1</v>
      </c>
      <c r="K888" s="1" t="n">
        <v>0</v>
      </c>
      <c r="M888" s="1" t="s">
        <v>23</v>
      </c>
      <c r="N888" s="1" t="n">
        <v>79</v>
      </c>
      <c r="O888" s="1" t="s">
        <v>4270</v>
      </c>
      <c r="P888" s="1" t="n">
        <v>4885</v>
      </c>
      <c r="Q888" s="1" t="s">
        <v>4271</v>
      </c>
      <c r="R888" s="1" t="s">
        <v>4272</v>
      </c>
      <c r="S888" s="1" t="s">
        <v>23</v>
      </c>
      <c r="T888" s="1" t="s">
        <v>4273</v>
      </c>
      <c r="U888" s="1" t="s">
        <v>23</v>
      </c>
    </row>
    <row r="889" customFormat="false" ht="13.8" hidden="false" customHeight="false" outlineLevel="0" collapsed="false">
      <c r="A889" s="1" t="n">
        <v>888</v>
      </c>
      <c r="B889" s="2" t="s">
        <v>4274</v>
      </c>
      <c r="C889" s="1" t="n">
        <v>24</v>
      </c>
      <c r="D889" s="1" t="n">
        <v>40</v>
      </c>
      <c r="E889" s="1" t="n">
        <v>50</v>
      </c>
      <c r="F889" s="1" t="n">
        <v>52</v>
      </c>
      <c r="G889" s="1" t="n">
        <v>54</v>
      </c>
      <c r="H889" s="1" t="n">
        <v>60</v>
      </c>
      <c r="I889" s="1" t="str">
        <f aca="false">RIGHT(("0"&amp;C889),2)&amp;RIGHT(("0"&amp;D889),2)&amp;RIGHT(("0"&amp;E889),2)&amp;RIGHT(("0"&amp;F889),2)&amp;RIGHT(("0"&amp;G889),2)&amp;RIGHT(("0"&amp;H889),2)</f>
        <v>244050525460</v>
      </c>
      <c r="J889" s="1" t="n">
        <f aca="false">COUNTIF(I:I,I889)</f>
        <v>1</v>
      </c>
      <c r="K889" s="1" t="n">
        <v>1</v>
      </c>
      <c r="L889" s="1" t="s">
        <v>1872</v>
      </c>
      <c r="M889" s="1" t="s">
        <v>4275</v>
      </c>
      <c r="N889" s="1" t="n">
        <v>50</v>
      </c>
      <c r="O889" s="1" t="s">
        <v>4276</v>
      </c>
      <c r="P889" s="1" t="n">
        <v>3672</v>
      </c>
      <c r="Q889" s="1" t="s">
        <v>4277</v>
      </c>
      <c r="R889" s="1" t="s">
        <v>23</v>
      </c>
      <c r="S889" s="1" t="s">
        <v>23</v>
      </c>
      <c r="T889" s="1" t="s">
        <v>4278</v>
      </c>
      <c r="U889" s="1" t="s">
        <v>23</v>
      </c>
    </row>
    <row r="890" customFormat="false" ht="13.8" hidden="false" customHeight="false" outlineLevel="0" collapsed="false">
      <c r="A890" s="1" t="n">
        <v>889</v>
      </c>
      <c r="B890" s="2" t="s">
        <v>4279</v>
      </c>
      <c r="C890" s="1" t="n">
        <v>20</v>
      </c>
      <c r="D890" s="1" t="n">
        <v>24</v>
      </c>
      <c r="E890" s="1" t="n">
        <v>34</v>
      </c>
      <c r="F890" s="1" t="n">
        <v>39</v>
      </c>
      <c r="G890" s="1" t="n">
        <v>54</v>
      </c>
      <c r="H890" s="1" t="n">
        <v>60</v>
      </c>
      <c r="I890" s="1" t="str">
        <f aca="false">RIGHT(("0"&amp;C890),2)&amp;RIGHT(("0"&amp;D890),2)&amp;RIGHT(("0"&amp;E890),2)&amp;RIGHT(("0"&amp;F890),2)&amp;RIGHT(("0"&amp;G890),2)&amp;RIGHT(("0"&amp;H890),2)</f>
        <v>202434395460</v>
      </c>
      <c r="J890" s="1" t="n">
        <f aca="false">COUNTIF(I:I,I890)</f>
        <v>1</v>
      </c>
      <c r="K890" s="1" t="n">
        <v>0</v>
      </c>
      <c r="M890" s="1" t="s">
        <v>23</v>
      </c>
      <c r="N890" s="1" t="n">
        <v>21</v>
      </c>
      <c r="O890" s="1" t="s">
        <v>4280</v>
      </c>
      <c r="P890" s="1" t="n">
        <v>1733</v>
      </c>
      <c r="Q890" s="1" t="s">
        <v>4281</v>
      </c>
      <c r="R890" s="1" t="s">
        <v>4282</v>
      </c>
      <c r="S890" s="1" t="s">
        <v>23</v>
      </c>
      <c r="T890" s="1" t="s">
        <v>4195</v>
      </c>
      <c r="U890" s="1" t="s">
        <v>23</v>
      </c>
    </row>
    <row r="891" customFormat="false" ht="13.8" hidden="false" customHeight="false" outlineLevel="0" collapsed="false">
      <c r="A891" s="1" t="n">
        <v>890</v>
      </c>
      <c r="B891" s="2" t="s">
        <v>4283</v>
      </c>
      <c r="C891" s="1" t="n">
        <v>7</v>
      </c>
      <c r="D891" s="1" t="n">
        <v>9</v>
      </c>
      <c r="E891" s="1" t="n">
        <v>17</v>
      </c>
      <c r="F891" s="1" t="n">
        <v>21</v>
      </c>
      <c r="G891" s="1" t="n">
        <v>22</v>
      </c>
      <c r="H891" s="1" t="n">
        <v>54</v>
      </c>
      <c r="I891" s="1" t="str">
        <f aca="false">RIGHT(("0"&amp;C891),2)&amp;RIGHT(("0"&amp;D891),2)&amp;RIGHT(("0"&amp;E891),2)&amp;RIGHT(("0"&amp;F891),2)&amp;RIGHT(("0"&amp;G891),2)&amp;RIGHT(("0"&amp;H891),2)</f>
        <v>070917212254</v>
      </c>
      <c r="J891" s="1" t="n">
        <f aca="false">COUNTIF(I:I,I891)</f>
        <v>1</v>
      </c>
      <c r="K891" s="1" t="n">
        <v>0</v>
      </c>
      <c r="M891" s="1" t="s">
        <v>23</v>
      </c>
      <c r="N891" s="1" t="n">
        <v>105</v>
      </c>
      <c r="O891" s="1" t="s">
        <v>4284</v>
      </c>
      <c r="P891" s="1" t="n">
        <v>6983</v>
      </c>
      <c r="Q891" s="1" t="s">
        <v>4285</v>
      </c>
      <c r="R891" s="1" t="s">
        <v>4286</v>
      </c>
      <c r="S891" s="1" t="s">
        <v>23</v>
      </c>
      <c r="T891" s="1" t="s">
        <v>3727</v>
      </c>
      <c r="U891" s="1" t="s">
        <v>23</v>
      </c>
    </row>
    <row r="892" customFormat="false" ht="13.8" hidden="false" customHeight="false" outlineLevel="0" collapsed="false">
      <c r="A892" s="1" t="n">
        <v>891</v>
      </c>
      <c r="B892" s="2" t="s">
        <v>4287</v>
      </c>
      <c r="C892" s="1" t="n">
        <v>15</v>
      </c>
      <c r="D892" s="1" t="n">
        <v>16</v>
      </c>
      <c r="E892" s="1" t="n">
        <v>19</v>
      </c>
      <c r="F892" s="1" t="n">
        <v>22</v>
      </c>
      <c r="G892" s="1" t="n">
        <v>34</v>
      </c>
      <c r="H892" s="1" t="n">
        <v>35</v>
      </c>
      <c r="I892" s="1" t="str">
        <f aca="false">RIGHT(("0"&amp;C892),2)&amp;RIGHT(("0"&amp;D892),2)&amp;RIGHT(("0"&amp;E892),2)&amp;RIGHT(("0"&amp;F892),2)&amp;RIGHT(("0"&amp;G892),2)&amp;RIGHT(("0"&amp;H892),2)</f>
        <v>151619223435</v>
      </c>
      <c r="J892" s="1" t="n">
        <f aca="false">COUNTIF(I:I,I892)</f>
        <v>1</v>
      </c>
      <c r="K892" s="1" t="n">
        <v>0</v>
      </c>
      <c r="M892" s="1" t="s">
        <v>23</v>
      </c>
      <c r="N892" s="1" t="n">
        <v>92</v>
      </c>
      <c r="O892" s="1" t="s">
        <v>4288</v>
      </c>
      <c r="P892" s="1" t="n">
        <v>6400</v>
      </c>
      <c r="Q892" s="1" t="s">
        <v>4289</v>
      </c>
      <c r="R892" s="1" t="s">
        <v>4290</v>
      </c>
      <c r="S892" s="1" t="s">
        <v>23</v>
      </c>
      <c r="T892" s="1" t="s">
        <v>3602</v>
      </c>
      <c r="U892" s="1" t="s">
        <v>23</v>
      </c>
    </row>
    <row r="893" customFormat="false" ht="13.8" hidden="false" customHeight="false" outlineLevel="0" collapsed="false">
      <c r="A893" s="1" t="n">
        <v>892</v>
      </c>
      <c r="B893" s="2" t="s">
        <v>4291</v>
      </c>
      <c r="C893" s="1" t="n">
        <v>1</v>
      </c>
      <c r="D893" s="1" t="n">
        <v>19</v>
      </c>
      <c r="E893" s="1" t="n">
        <v>42</v>
      </c>
      <c r="F893" s="1" t="n">
        <v>44</v>
      </c>
      <c r="G893" s="1" t="n">
        <v>49</v>
      </c>
      <c r="H893" s="1" t="n">
        <v>52</v>
      </c>
      <c r="I893" s="1" t="str">
        <f aca="false">RIGHT(("0"&amp;C893),2)&amp;RIGHT(("0"&amp;D893),2)&amp;RIGHT(("0"&amp;E893),2)&amp;RIGHT(("0"&amp;F893),2)&amp;RIGHT(("0"&amp;G893),2)&amp;RIGHT(("0"&amp;H893),2)</f>
        <v>011942444952</v>
      </c>
      <c r="J893" s="1" t="n">
        <f aca="false">COUNTIF(I:I,I893)</f>
        <v>1</v>
      </c>
      <c r="K893" s="1" t="n">
        <v>0</v>
      </c>
      <c r="M893" s="1" t="s">
        <v>23</v>
      </c>
      <c r="N893" s="1" t="n">
        <v>54</v>
      </c>
      <c r="O893" s="1" t="s">
        <v>4292</v>
      </c>
      <c r="P893" s="1" t="n">
        <v>4782</v>
      </c>
      <c r="Q893" s="1" t="s">
        <v>4293</v>
      </c>
      <c r="R893" s="1" t="s">
        <v>4294</v>
      </c>
      <c r="S893" s="1" t="s">
        <v>23</v>
      </c>
      <c r="T893" s="1" t="s">
        <v>4241</v>
      </c>
      <c r="U893" s="1" t="s">
        <v>23</v>
      </c>
    </row>
    <row r="894" customFormat="false" ht="13.8" hidden="false" customHeight="false" outlineLevel="0" collapsed="false">
      <c r="A894" s="1" t="n">
        <v>893</v>
      </c>
      <c r="B894" s="2" t="s">
        <v>4295</v>
      </c>
      <c r="C894" s="1" t="n">
        <v>3</v>
      </c>
      <c r="D894" s="1" t="n">
        <v>18</v>
      </c>
      <c r="E894" s="1" t="n">
        <v>26</v>
      </c>
      <c r="F894" s="1" t="n">
        <v>51</v>
      </c>
      <c r="G894" s="1" t="n">
        <v>53</v>
      </c>
      <c r="H894" s="1" t="n">
        <v>56</v>
      </c>
      <c r="I894" s="1" t="str">
        <f aca="false">RIGHT(("0"&amp;C894),2)&amp;RIGHT(("0"&amp;D894),2)&amp;RIGHT(("0"&amp;E894),2)&amp;RIGHT(("0"&amp;F894),2)&amp;RIGHT(("0"&amp;G894),2)&amp;RIGHT(("0"&amp;H894),2)</f>
        <v>031826515356</v>
      </c>
      <c r="J894" s="1" t="n">
        <f aca="false">COUNTIF(I:I,I894)</f>
        <v>1</v>
      </c>
      <c r="K894" s="1" t="n">
        <v>0</v>
      </c>
      <c r="M894" s="1" t="s">
        <v>23</v>
      </c>
      <c r="N894" s="1" t="n">
        <v>105</v>
      </c>
      <c r="O894" s="1" t="s">
        <v>4296</v>
      </c>
      <c r="P894" s="1" t="n">
        <v>6595</v>
      </c>
      <c r="Q894" s="1" t="s">
        <v>4297</v>
      </c>
      <c r="R894" s="1" t="s">
        <v>4298</v>
      </c>
      <c r="S894" s="1" t="s">
        <v>23</v>
      </c>
      <c r="T894" s="1" t="s">
        <v>4299</v>
      </c>
      <c r="U894" s="1" t="s">
        <v>23</v>
      </c>
    </row>
    <row r="895" customFormat="false" ht="13.8" hidden="false" customHeight="false" outlineLevel="0" collapsed="false">
      <c r="A895" s="1" t="n">
        <v>894</v>
      </c>
      <c r="B895" s="2" t="s">
        <v>4300</v>
      </c>
      <c r="C895" s="1" t="n">
        <v>20</v>
      </c>
      <c r="D895" s="1" t="n">
        <v>24</v>
      </c>
      <c r="E895" s="1" t="n">
        <v>28</v>
      </c>
      <c r="F895" s="1" t="n">
        <v>37</v>
      </c>
      <c r="G895" s="1" t="n">
        <v>41</v>
      </c>
      <c r="H895" s="1" t="n">
        <v>44</v>
      </c>
      <c r="I895" s="1" t="str">
        <f aca="false">RIGHT(("0"&amp;C895),2)&amp;RIGHT(("0"&amp;D895),2)&amp;RIGHT(("0"&amp;E895),2)&amp;RIGHT(("0"&amp;F895),2)&amp;RIGHT(("0"&amp;G895),2)&amp;RIGHT(("0"&amp;H895),2)</f>
        <v>202428374144</v>
      </c>
      <c r="J895" s="1" t="n">
        <f aca="false">COUNTIF(I:I,I895)</f>
        <v>1</v>
      </c>
      <c r="K895" s="1" t="n">
        <v>0</v>
      </c>
      <c r="M895" s="1" t="s">
        <v>23</v>
      </c>
      <c r="N895" s="1" t="n">
        <v>59</v>
      </c>
      <c r="O895" s="1" t="s">
        <v>4301</v>
      </c>
      <c r="P895" s="1" t="n">
        <v>6653</v>
      </c>
      <c r="Q895" s="1" t="s">
        <v>4302</v>
      </c>
      <c r="R895" s="1" t="s">
        <v>4303</v>
      </c>
      <c r="S895" s="1" t="s">
        <v>23</v>
      </c>
      <c r="T895" s="1" t="s">
        <v>4304</v>
      </c>
      <c r="U895" s="1" t="s">
        <v>23</v>
      </c>
    </row>
    <row r="896" customFormat="false" ht="13.8" hidden="false" customHeight="false" outlineLevel="0" collapsed="false">
      <c r="A896" s="1" t="n">
        <v>895</v>
      </c>
      <c r="B896" s="2" t="s">
        <v>4305</v>
      </c>
      <c r="C896" s="1" t="n">
        <v>2</v>
      </c>
      <c r="D896" s="1" t="n">
        <v>41</v>
      </c>
      <c r="E896" s="1" t="n">
        <v>43</v>
      </c>
      <c r="F896" s="1" t="n">
        <v>55</v>
      </c>
      <c r="G896" s="1" t="n">
        <v>57</v>
      </c>
      <c r="H896" s="1" t="n">
        <v>58</v>
      </c>
      <c r="I896" s="1" t="str">
        <f aca="false">RIGHT(("0"&amp;C896),2)&amp;RIGHT(("0"&amp;D896),2)&amp;RIGHT(("0"&amp;E896),2)&amp;RIGHT(("0"&amp;F896),2)&amp;RIGHT(("0"&amp;G896),2)&amp;RIGHT(("0"&amp;H896),2)</f>
        <v>024143555758</v>
      </c>
      <c r="J896" s="1" t="n">
        <f aca="false">COUNTIF(I:I,I896)</f>
        <v>1</v>
      </c>
      <c r="K896" s="1" t="n">
        <v>0</v>
      </c>
      <c r="M896" s="1" t="s">
        <v>23</v>
      </c>
      <c r="N896" s="1" t="n">
        <v>82</v>
      </c>
      <c r="O896" s="1" t="s">
        <v>4306</v>
      </c>
      <c r="P896" s="1" t="n">
        <v>6473</v>
      </c>
      <c r="Q896" s="1" t="s">
        <v>4307</v>
      </c>
      <c r="R896" s="1" t="s">
        <v>4308</v>
      </c>
      <c r="S896" s="1" t="s">
        <v>23</v>
      </c>
      <c r="T896" s="1" t="s">
        <v>4309</v>
      </c>
      <c r="U896" s="1" t="s">
        <v>23</v>
      </c>
    </row>
    <row r="897" customFormat="false" ht="13.8" hidden="false" customHeight="false" outlineLevel="0" collapsed="false">
      <c r="A897" s="1" t="n">
        <v>896</v>
      </c>
      <c r="B897" s="2" t="s">
        <v>4310</v>
      </c>
      <c r="C897" s="1" t="n">
        <v>5</v>
      </c>
      <c r="D897" s="1" t="n">
        <v>11</v>
      </c>
      <c r="E897" s="1" t="n">
        <v>22</v>
      </c>
      <c r="F897" s="1" t="n">
        <v>31</v>
      </c>
      <c r="G897" s="1" t="n">
        <v>35</v>
      </c>
      <c r="H897" s="1" t="n">
        <v>41</v>
      </c>
      <c r="I897" s="1" t="str">
        <f aca="false">RIGHT(("0"&amp;C897),2)&amp;RIGHT(("0"&amp;D897),2)&amp;RIGHT(("0"&amp;E897),2)&amp;RIGHT(("0"&amp;F897),2)&amp;RIGHT(("0"&amp;G897),2)&amp;RIGHT(("0"&amp;H897),2)</f>
        <v>051122313541</v>
      </c>
      <c r="J897" s="1" t="n">
        <f aca="false">COUNTIF(I:I,I897)</f>
        <v>1</v>
      </c>
      <c r="K897" s="1" t="n">
        <v>0</v>
      </c>
      <c r="M897" s="1" t="s">
        <v>23</v>
      </c>
      <c r="N897" s="1" t="n">
        <v>98</v>
      </c>
      <c r="O897" s="1" t="s">
        <v>4311</v>
      </c>
      <c r="P897" s="1" t="n">
        <v>10769</v>
      </c>
      <c r="Q897" s="1" t="s">
        <v>4312</v>
      </c>
      <c r="R897" s="1" t="s">
        <v>4313</v>
      </c>
      <c r="S897" s="1" t="s">
        <v>23</v>
      </c>
      <c r="T897" s="1" t="s">
        <v>4314</v>
      </c>
      <c r="U897" s="1" t="s">
        <v>23</v>
      </c>
    </row>
    <row r="898" customFormat="false" ht="13.8" hidden="false" customHeight="false" outlineLevel="0" collapsed="false">
      <c r="A898" s="1" t="n">
        <v>897</v>
      </c>
      <c r="B898" s="2" t="s">
        <v>4315</v>
      </c>
      <c r="C898" s="1" t="n">
        <v>7</v>
      </c>
      <c r="D898" s="1" t="n">
        <v>21</v>
      </c>
      <c r="E898" s="1" t="n">
        <v>22</v>
      </c>
      <c r="F898" s="1" t="n">
        <v>43</v>
      </c>
      <c r="G898" s="1" t="n">
        <v>46</v>
      </c>
      <c r="H898" s="1" t="n">
        <v>57</v>
      </c>
      <c r="I898" s="1" t="str">
        <f aca="false">RIGHT(("0"&amp;C898),2)&amp;RIGHT(("0"&amp;D898),2)&amp;RIGHT(("0"&amp;E898),2)&amp;RIGHT(("0"&amp;F898),2)&amp;RIGHT(("0"&amp;G898),2)&amp;RIGHT(("0"&amp;H898),2)</f>
        <v>072122434657</v>
      </c>
      <c r="J898" s="1" t="n">
        <f aca="false">COUNTIF(I:I,I898)</f>
        <v>1</v>
      </c>
      <c r="K898" s="1" t="n">
        <v>0</v>
      </c>
      <c r="M898" s="1" t="s">
        <v>23</v>
      </c>
      <c r="N898" s="1" t="n">
        <v>212</v>
      </c>
      <c r="O898" s="1" t="s">
        <v>4316</v>
      </c>
      <c r="P898" s="1" t="n">
        <v>16644</v>
      </c>
      <c r="Q898" s="1" t="s">
        <v>4317</v>
      </c>
      <c r="R898" s="1" t="s">
        <v>4318</v>
      </c>
      <c r="S898" s="1" t="s">
        <v>23</v>
      </c>
      <c r="T898" s="1" t="s">
        <v>4319</v>
      </c>
      <c r="U898" s="1" t="s">
        <v>23</v>
      </c>
    </row>
    <row r="899" customFormat="false" ht="13.8" hidden="false" customHeight="false" outlineLevel="0" collapsed="false">
      <c r="A899" s="1" t="n">
        <v>898</v>
      </c>
      <c r="B899" s="2" t="s">
        <v>4320</v>
      </c>
      <c r="C899" s="1" t="n">
        <v>3</v>
      </c>
      <c r="D899" s="1" t="n">
        <v>4</v>
      </c>
      <c r="E899" s="1" t="n">
        <v>8</v>
      </c>
      <c r="F899" s="1" t="n">
        <v>30</v>
      </c>
      <c r="G899" s="1" t="n">
        <v>45</v>
      </c>
      <c r="H899" s="1" t="n">
        <v>54</v>
      </c>
      <c r="I899" s="1" t="str">
        <f aca="false">RIGHT(("0"&amp;C899),2)&amp;RIGHT(("0"&amp;D899),2)&amp;RIGHT(("0"&amp;E899),2)&amp;RIGHT(("0"&amp;F899),2)&amp;RIGHT(("0"&amp;G899),2)&amp;RIGHT(("0"&amp;H899),2)</f>
        <v>030408304554</v>
      </c>
      <c r="J899" s="1" t="n">
        <f aca="false">COUNTIF(I:I,I899)</f>
        <v>1</v>
      </c>
      <c r="K899" s="1" t="n">
        <v>2</v>
      </c>
      <c r="L899" s="1" t="s">
        <v>4321</v>
      </c>
      <c r="M899" s="1" t="s">
        <v>4322</v>
      </c>
      <c r="N899" s="1" t="n">
        <v>596</v>
      </c>
      <c r="O899" s="1" t="s">
        <v>4323</v>
      </c>
      <c r="P899" s="1" t="n">
        <v>27120</v>
      </c>
      <c r="Q899" s="1" t="s">
        <v>3707</v>
      </c>
      <c r="R899" s="1" t="s">
        <v>23</v>
      </c>
      <c r="S899" s="1" t="s">
        <v>23</v>
      </c>
      <c r="T899" s="1" t="s">
        <v>4218</v>
      </c>
      <c r="U899" s="1" t="s">
        <v>23</v>
      </c>
    </row>
    <row r="900" customFormat="false" ht="13.8" hidden="false" customHeight="false" outlineLevel="0" collapsed="false">
      <c r="A900" s="1" t="n">
        <v>899</v>
      </c>
      <c r="B900" s="2" t="s">
        <v>4324</v>
      </c>
      <c r="C900" s="1" t="n">
        <v>18</v>
      </c>
      <c r="D900" s="1" t="n">
        <v>20</v>
      </c>
      <c r="E900" s="1" t="n">
        <v>36</v>
      </c>
      <c r="F900" s="1" t="n">
        <v>53</v>
      </c>
      <c r="G900" s="1" t="n">
        <v>54</v>
      </c>
      <c r="H900" s="1" t="n">
        <v>58</v>
      </c>
      <c r="I900" s="1" t="str">
        <f aca="false">RIGHT(("0"&amp;C900),2)&amp;RIGHT(("0"&amp;D900),2)&amp;RIGHT(("0"&amp;E900),2)&amp;RIGHT(("0"&amp;F900),2)&amp;RIGHT(("0"&amp;G900),2)&amp;RIGHT(("0"&amp;H900),2)</f>
        <v>182036535458</v>
      </c>
      <c r="J900" s="1" t="n">
        <f aca="false">COUNTIF(I:I,I900)</f>
        <v>1</v>
      </c>
      <c r="K900" s="1" t="n">
        <v>0</v>
      </c>
      <c r="M900" s="1" t="s">
        <v>23</v>
      </c>
      <c r="N900" s="1" t="n">
        <v>948</v>
      </c>
      <c r="O900" s="1" t="s">
        <v>4325</v>
      </c>
      <c r="P900" s="1" t="n">
        <v>3559</v>
      </c>
      <c r="Q900" s="1" t="s">
        <v>4326</v>
      </c>
      <c r="R900" s="1" t="s">
        <v>4327</v>
      </c>
      <c r="S900" s="1" t="s">
        <v>23</v>
      </c>
      <c r="T900" s="1" t="s">
        <v>4328</v>
      </c>
      <c r="U900" s="1" t="s">
        <v>23</v>
      </c>
    </row>
    <row r="901" customFormat="false" ht="13.8" hidden="false" customHeight="false" outlineLevel="0" collapsed="false">
      <c r="A901" s="1" t="n">
        <v>900</v>
      </c>
      <c r="B901" s="2" t="s">
        <v>4329</v>
      </c>
      <c r="C901" s="1" t="n">
        <v>4</v>
      </c>
      <c r="D901" s="1" t="n">
        <v>18</v>
      </c>
      <c r="E901" s="1" t="n">
        <v>21</v>
      </c>
      <c r="F901" s="1" t="n">
        <v>34</v>
      </c>
      <c r="G901" s="1" t="n">
        <v>38</v>
      </c>
      <c r="H901" s="1" t="n">
        <v>59</v>
      </c>
      <c r="I901" s="1" t="str">
        <f aca="false">RIGHT(("0"&amp;C901),2)&amp;RIGHT(("0"&amp;D901),2)&amp;RIGHT(("0"&amp;E901),2)&amp;RIGHT(("0"&amp;F901),2)&amp;RIGHT(("0"&amp;G901),2)&amp;RIGHT(("0"&amp;H901),2)</f>
        <v>041821343859</v>
      </c>
      <c r="J901" s="1" t="n">
        <f aca="false">COUNTIF(I:I,I901)</f>
        <v>1</v>
      </c>
      <c r="K901" s="1" t="n">
        <v>1</v>
      </c>
      <c r="L901" s="1" t="s">
        <v>1872</v>
      </c>
      <c r="M901" s="1" t="s">
        <v>4330</v>
      </c>
      <c r="N901" s="1" t="n">
        <v>89</v>
      </c>
      <c r="O901" s="1" t="s">
        <v>4331</v>
      </c>
      <c r="P901" s="1" t="n">
        <v>6184</v>
      </c>
      <c r="Q901" s="1" t="s">
        <v>4332</v>
      </c>
      <c r="R901" s="1" t="s">
        <v>23</v>
      </c>
      <c r="S901" s="1" t="s">
        <v>23</v>
      </c>
      <c r="T901" s="1" t="s">
        <v>4218</v>
      </c>
      <c r="U901" s="1" t="s">
        <v>23</v>
      </c>
    </row>
    <row r="902" customFormat="false" ht="13.8" hidden="false" customHeight="false" outlineLevel="0" collapsed="false">
      <c r="A902" s="1" t="n">
        <v>901</v>
      </c>
      <c r="B902" s="2" t="s">
        <v>4333</v>
      </c>
      <c r="C902" s="1" t="n">
        <v>13</v>
      </c>
      <c r="D902" s="1" t="n">
        <v>16</v>
      </c>
      <c r="E902" s="1" t="n">
        <v>32</v>
      </c>
      <c r="F902" s="1" t="n">
        <v>33</v>
      </c>
      <c r="G902" s="1" t="n">
        <v>34</v>
      </c>
      <c r="H902" s="1" t="n">
        <v>56</v>
      </c>
      <c r="I902" s="1" t="str">
        <f aca="false">RIGHT(("0"&amp;C902),2)&amp;RIGHT(("0"&amp;D902),2)&amp;RIGHT(("0"&amp;E902),2)&amp;RIGHT(("0"&amp;F902),2)&amp;RIGHT(("0"&amp;G902),2)&amp;RIGHT(("0"&amp;H902),2)</f>
        <v>131632333456</v>
      </c>
      <c r="J902" s="1" t="n">
        <f aca="false">COUNTIF(I:I,I902)</f>
        <v>1</v>
      </c>
      <c r="K902" s="1" t="n">
        <v>0</v>
      </c>
      <c r="M902" s="1" t="s">
        <v>23</v>
      </c>
      <c r="N902" s="1" t="n">
        <v>100</v>
      </c>
      <c r="O902" s="1" t="s">
        <v>4334</v>
      </c>
      <c r="P902" s="1" t="n">
        <v>5617</v>
      </c>
      <c r="Q902" s="1" t="s">
        <v>4335</v>
      </c>
      <c r="R902" s="1" t="s">
        <v>4336</v>
      </c>
      <c r="S902" s="1" t="s">
        <v>23</v>
      </c>
      <c r="T902" s="1" t="s">
        <v>4337</v>
      </c>
      <c r="U902" s="1" t="s">
        <v>23</v>
      </c>
    </row>
    <row r="903" customFormat="false" ht="13.8" hidden="false" customHeight="false" outlineLevel="0" collapsed="false">
      <c r="A903" s="1" t="n">
        <v>902</v>
      </c>
      <c r="B903" s="2" t="s">
        <v>4338</v>
      </c>
      <c r="C903" s="1" t="n">
        <v>18</v>
      </c>
      <c r="D903" s="1" t="n">
        <v>23</v>
      </c>
      <c r="E903" s="1" t="n">
        <v>50</v>
      </c>
      <c r="F903" s="1" t="n">
        <v>52</v>
      </c>
      <c r="G903" s="1" t="n">
        <v>55</v>
      </c>
      <c r="H903" s="1" t="n">
        <v>58</v>
      </c>
      <c r="I903" s="1" t="str">
        <f aca="false">RIGHT(("0"&amp;C903),2)&amp;RIGHT(("0"&amp;D903),2)&amp;RIGHT(("0"&amp;E903),2)&amp;RIGHT(("0"&amp;F903),2)&amp;RIGHT(("0"&amp;G903),2)&amp;RIGHT(("0"&amp;H903),2)</f>
        <v>182350525558</v>
      </c>
      <c r="J903" s="1" t="n">
        <f aca="false">COUNTIF(I:I,I903)</f>
        <v>1</v>
      </c>
      <c r="K903" s="1" t="n">
        <v>0</v>
      </c>
      <c r="M903" s="1" t="s">
        <v>23</v>
      </c>
      <c r="N903" s="1" t="n">
        <v>68</v>
      </c>
      <c r="O903" s="1" t="s">
        <v>4339</v>
      </c>
      <c r="P903" s="1" t="n">
        <v>3490</v>
      </c>
      <c r="Q903" s="1" t="s">
        <v>4340</v>
      </c>
      <c r="R903" s="1" t="s">
        <v>4341</v>
      </c>
      <c r="S903" s="1" t="s">
        <v>23</v>
      </c>
      <c r="T903" s="1" t="s">
        <v>4342</v>
      </c>
      <c r="U903" s="1" t="s">
        <v>23</v>
      </c>
    </row>
    <row r="904" customFormat="false" ht="13.8" hidden="false" customHeight="false" outlineLevel="0" collapsed="false">
      <c r="A904" s="1" t="n">
        <v>903</v>
      </c>
      <c r="B904" s="2" t="s">
        <v>4343</v>
      </c>
      <c r="C904" s="1" t="n">
        <v>5</v>
      </c>
      <c r="D904" s="1" t="n">
        <v>17</v>
      </c>
      <c r="E904" s="1" t="n">
        <v>20</v>
      </c>
      <c r="F904" s="1" t="n">
        <v>32</v>
      </c>
      <c r="G904" s="1" t="n">
        <v>41</v>
      </c>
      <c r="H904" s="1" t="n">
        <v>55</v>
      </c>
      <c r="I904" s="1" t="str">
        <f aca="false">RIGHT(("0"&amp;C904),2)&amp;RIGHT(("0"&amp;D904),2)&amp;RIGHT(("0"&amp;E904),2)&amp;RIGHT(("0"&amp;F904),2)&amp;RIGHT(("0"&amp;G904),2)&amp;RIGHT(("0"&amp;H904),2)</f>
        <v>051720324155</v>
      </c>
      <c r="J904" s="1" t="n">
        <f aca="false">COUNTIF(I:I,I904)</f>
        <v>1</v>
      </c>
      <c r="K904" s="1" t="n">
        <v>0</v>
      </c>
      <c r="M904" s="1" t="s">
        <v>23</v>
      </c>
      <c r="N904" s="1" t="n">
        <v>62</v>
      </c>
      <c r="O904" s="1" t="s">
        <v>4344</v>
      </c>
      <c r="P904" s="1" t="n">
        <v>4688</v>
      </c>
      <c r="Q904" s="1" t="s">
        <v>4345</v>
      </c>
      <c r="R904" s="1" t="s">
        <v>4346</v>
      </c>
      <c r="S904" s="1" t="s">
        <v>23</v>
      </c>
      <c r="T904" s="1" t="s">
        <v>4347</v>
      </c>
      <c r="U904" s="1" t="s">
        <v>23</v>
      </c>
    </row>
    <row r="905" customFormat="false" ht="13.8" hidden="false" customHeight="false" outlineLevel="0" collapsed="false">
      <c r="A905" s="1" t="n">
        <v>904</v>
      </c>
      <c r="B905" s="2" t="s">
        <v>4348</v>
      </c>
      <c r="C905" s="1" t="n">
        <v>32</v>
      </c>
      <c r="D905" s="1" t="n">
        <v>44</v>
      </c>
      <c r="E905" s="1" t="n">
        <v>48</v>
      </c>
      <c r="F905" s="1" t="n">
        <v>51</v>
      </c>
      <c r="G905" s="1" t="n">
        <v>53</v>
      </c>
      <c r="H905" s="1" t="n">
        <v>59</v>
      </c>
      <c r="I905" s="1" t="str">
        <f aca="false">RIGHT(("0"&amp;C905),2)&amp;RIGHT(("0"&amp;D905),2)&amp;RIGHT(("0"&amp;E905),2)&amp;RIGHT(("0"&amp;F905),2)&amp;RIGHT(("0"&amp;G905),2)&amp;RIGHT(("0"&amp;H905),2)</f>
        <v>324448515359</v>
      </c>
      <c r="J905" s="1" t="n">
        <f aca="false">COUNTIF(I:I,I905)</f>
        <v>1</v>
      </c>
      <c r="K905" s="1" t="n">
        <v>0</v>
      </c>
      <c r="M905" s="1" t="s">
        <v>23</v>
      </c>
      <c r="N905" s="1" t="n">
        <v>72</v>
      </c>
      <c r="O905" s="1" t="s">
        <v>4349</v>
      </c>
      <c r="P905" s="1" t="n">
        <v>4007</v>
      </c>
      <c r="Q905" s="1" t="s">
        <v>4350</v>
      </c>
      <c r="R905" s="1" t="s">
        <v>4351</v>
      </c>
      <c r="S905" s="1" t="s">
        <v>23</v>
      </c>
      <c r="T905" s="1" t="s">
        <v>4241</v>
      </c>
      <c r="U905" s="1" t="s">
        <v>23</v>
      </c>
    </row>
    <row r="906" customFormat="false" ht="13.8" hidden="false" customHeight="false" outlineLevel="0" collapsed="false">
      <c r="A906" s="1" t="n">
        <v>905</v>
      </c>
      <c r="B906" s="2" t="s">
        <v>4352</v>
      </c>
      <c r="C906" s="1" t="n">
        <v>2</v>
      </c>
      <c r="D906" s="1" t="n">
        <v>4</v>
      </c>
      <c r="E906" s="1" t="n">
        <v>15</v>
      </c>
      <c r="F906" s="1" t="n">
        <v>16</v>
      </c>
      <c r="G906" s="1" t="n">
        <v>55</v>
      </c>
      <c r="H906" s="1" t="n">
        <v>57</v>
      </c>
      <c r="I906" s="1" t="str">
        <f aca="false">RIGHT(("0"&amp;C906),2)&amp;RIGHT(("0"&amp;D906),2)&amp;RIGHT(("0"&amp;E906),2)&amp;RIGHT(("0"&amp;F906),2)&amp;RIGHT(("0"&amp;G906),2)&amp;RIGHT(("0"&amp;H906),2)</f>
        <v>020415165557</v>
      </c>
      <c r="J906" s="1" t="n">
        <f aca="false">COUNTIF(I:I,I906)</f>
        <v>1</v>
      </c>
      <c r="K906" s="1" t="n">
        <v>1</v>
      </c>
      <c r="L906" s="1" t="s">
        <v>66</v>
      </c>
      <c r="M906" s="1" t="s">
        <v>4353</v>
      </c>
      <c r="N906" s="1" t="n">
        <v>89</v>
      </c>
      <c r="O906" s="1" t="s">
        <v>4354</v>
      </c>
      <c r="P906" s="1" t="n">
        <v>6223</v>
      </c>
      <c r="Q906" s="1" t="s">
        <v>4048</v>
      </c>
      <c r="R906" s="1" t="s">
        <v>23</v>
      </c>
      <c r="S906" s="1" t="s">
        <v>23</v>
      </c>
      <c r="T906" s="1" t="s">
        <v>4218</v>
      </c>
      <c r="U906" s="1" t="s">
        <v>23</v>
      </c>
      <c r="V906" s="1" t="s">
        <v>4355</v>
      </c>
    </row>
    <row r="907" customFormat="false" ht="13.8" hidden="false" customHeight="false" outlineLevel="0" collapsed="false">
      <c r="A907" s="1" t="n">
        <v>906</v>
      </c>
      <c r="B907" s="2" t="s">
        <v>4356</v>
      </c>
      <c r="C907" s="1" t="n">
        <v>7</v>
      </c>
      <c r="D907" s="1" t="n">
        <v>14</v>
      </c>
      <c r="E907" s="1" t="n">
        <v>24</v>
      </c>
      <c r="F907" s="1" t="n">
        <v>29</v>
      </c>
      <c r="G907" s="1" t="n">
        <v>35</v>
      </c>
      <c r="H907" s="1" t="n">
        <v>39</v>
      </c>
      <c r="I907" s="1" t="str">
        <f aca="false">RIGHT(("0"&amp;C907),2)&amp;RIGHT(("0"&amp;D907),2)&amp;RIGHT(("0"&amp;E907),2)&amp;RIGHT(("0"&amp;F907),2)&amp;RIGHT(("0"&amp;G907),2)&amp;RIGHT(("0"&amp;H907),2)</f>
        <v>071424293539</v>
      </c>
      <c r="J907" s="1" t="n">
        <f aca="false">COUNTIF(I:I,I907)</f>
        <v>1</v>
      </c>
      <c r="K907" s="1" t="n">
        <v>1</v>
      </c>
      <c r="L907" s="1" t="s">
        <v>2538</v>
      </c>
      <c r="M907" s="1" t="s">
        <v>4357</v>
      </c>
      <c r="N907" s="1" t="n">
        <v>49</v>
      </c>
      <c r="O907" s="1" t="s">
        <v>4358</v>
      </c>
      <c r="P907" s="1" t="n">
        <v>4239</v>
      </c>
      <c r="Q907" s="1" t="s">
        <v>4359</v>
      </c>
      <c r="R907" s="1" t="s">
        <v>23</v>
      </c>
      <c r="S907" s="1" t="s">
        <v>23</v>
      </c>
      <c r="T907" s="1" t="s">
        <v>4218</v>
      </c>
      <c r="U907" s="1" t="s">
        <v>23</v>
      </c>
      <c r="V907" s="1" t="s">
        <v>4360</v>
      </c>
    </row>
    <row r="908" customFormat="false" ht="13.8" hidden="false" customHeight="false" outlineLevel="0" collapsed="false">
      <c r="A908" s="1" t="n">
        <v>907</v>
      </c>
      <c r="B908" s="2" t="s">
        <v>4361</v>
      </c>
      <c r="C908" s="1" t="n">
        <v>9</v>
      </c>
      <c r="D908" s="1" t="n">
        <v>36</v>
      </c>
      <c r="E908" s="1" t="n">
        <v>37</v>
      </c>
      <c r="F908" s="1" t="n">
        <v>41</v>
      </c>
      <c r="G908" s="1" t="n">
        <v>51</v>
      </c>
      <c r="H908" s="1" t="n">
        <v>53</v>
      </c>
      <c r="I908" s="1" t="str">
        <f aca="false">RIGHT(("0"&amp;C908),2)&amp;RIGHT(("0"&amp;D908),2)&amp;RIGHT(("0"&amp;E908),2)&amp;RIGHT(("0"&amp;F908),2)&amp;RIGHT(("0"&amp;G908),2)&amp;RIGHT(("0"&amp;H908),2)</f>
        <v>093637415153</v>
      </c>
      <c r="J908" s="1" t="n">
        <f aca="false">COUNTIF(I:I,I908)</f>
        <v>1</v>
      </c>
      <c r="K908" s="1" t="n">
        <v>0</v>
      </c>
      <c r="M908" s="1" t="s">
        <v>23</v>
      </c>
      <c r="N908" s="1" t="n">
        <v>25</v>
      </c>
      <c r="O908" s="1" t="s">
        <v>4362</v>
      </c>
      <c r="P908" s="1" t="n">
        <v>2244</v>
      </c>
      <c r="Q908" s="1" t="s">
        <v>4363</v>
      </c>
      <c r="R908" s="1" t="s">
        <v>4364</v>
      </c>
      <c r="S908" s="1" t="s">
        <v>23</v>
      </c>
      <c r="T908" s="1" t="s">
        <v>473</v>
      </c>
      <c r="U908" s="1" t="s">
        <v>23</v>
      </c>
    </row>
    <row r="909" customFormat="false" ht="13.8" hidden="false" customHeight="false" outlineLevel="0" collapsed="false">
      <c r="A909" s="1" t="n">
        <v>908</v>
      </c>
      <c r="B909" s="2" t="s">
        <v>4365</v>
      </c>
      <c r="C909" s="1" t="n">
        <v>1</v>
      </c>
      <c r="D909" s="1" t="n">
        <v>9</v>
      </c>
      <c r="E909" s="1" t="n">
        <v>19</v>
      </c>
      <c r="F909" s="1" t="n">
        <v>25</v>
      </c>
      <c r="G909" s="1" t="n">
        <v>50</v>
      </c>
      <c r="H909" s="1" t="n">
        <v>52</v>
      </c>
      <c r="I909" s="1" t="str">
        <f aca="false">RIGHT(("0"&amp;C909),2)&amp;RIGHT(("0"&amp;D909),2)&amp;RIGHT(("0"&amp;E909),2)&amp;RIGHT(("0"&amp;F909),2)&amp;RIGHT(("0"&amp;G909),2)&amp;RIGHT(("0"&amp;H909),2)</f>
        <v>010919255052</v>
      </c>
      <c r="J909" s="1" t="n">
        <f aca="false">COUNTIF(I:I,I909)</f>
        <v>1</v>
      </c>
      <c r="K909" s="1" t="n">
        <v>0</v>
      </c>
      <c r="M909" s="1" t="s">
        <v>23</v>
      </c>
      <c r="N909" s="1" t="n">
        <v>120</v>
      </c>
      <c r="O909" s="1" t="s">
        <v>4366</v>
      </c>
      <c r="P909" s="1" t="n">
        <v>6205</v>
      </c>
      <c r="Q909" s="1" t="s">
        <v>4367</v>
      </c>
      <c r="R909" s="1" t="s">
        <v>4368</v>
      </c>
      <c r="S909" s="1" t="s">
        <v>23</v>
      </c>
      <c r="T909" s="1" t="s">
        <v>4227</v>
      </c>
      <c r="U909" s="1" t="s">
        <v>23</v>
      </c>
    </row>
    <row r="910" customFormat="false" ht="13.8" hidden="false" customHeight="false" outlineLevel="0" collapsed="false">
      <c r="A910" s="1" t="n">
        <v>909</v>
      </c>
      <c r="B910" s="2" t="s">
        <v>4369</v>
      </c>
      <c r="C910" s="1" t="n">
        <v>17</v>
      </c>
      <c r="D910" s="1" t="n">
        <v>22</v>
      </c>
      <c r="E910" s="1" t="n">
        <v>26</v>
      </c>
      <c r="F910" s="1" t="n">
        <v>28</v>
      </c>
      <c r="G910" s="1" t="n">
        <v>38</v>
      </c>
      <c r="H910" s="1" t="n">
        <v>42</v>
      </c>
      <c r="I910" s="1" t="str">
        <f aca="false">RIGHT(("0"&amp;C910),2)&amp;RIGHT(("0"&amp;D910),2)&amp;RIGHT(("0"&amp;E910),2)&amp;RIGHT(("0"&amp;F910),2)&amp;RIGHT(("0"&amp;G910),2)&amp;RIGHT(("0"&amp;H910),2)</f>
        <v>172226283842</v>
      </c>
      <c r="J910" s="1" t="n">
        <f aca="false">COUNTIF(I:I,I910)</f>
        <v>1</v>
      </c>
      <c r="K910" s="1" t="n">
        <v>0</v>
      </c>
      <c r="M910" s="1" t="s">
        <v>23</v>
      </c>
      <c r="N910" s="1" t="n">
        <v>48</v>
      </c>
      <c r="O910" s="1" t="s">
        <v>4370</v>
      </c>
      <c r="P910" s="1" t="n">
        <v>4586</v>
      </c>
      <c r="Q910" s="1" t="s">
        <v>4371</v>
      </c>
      <c r="R910" s="1" t="s">
        <v>4372</v>
      </c>
      <c r="S910" s="1" t="s">
        <v>23</v>
      </c>
      <c r="T910" s="1" t="s">
        <v>4203</v>
      </c>
      <c r="U910" s="1" t="s">
        <v>23</v>
      </c>
    </row>
    <row r="911" customFormat="false" ht="13.8" hidden="false" customHeight="false" outlineLevel="0" collapsed="false">
      <c r="A911" s="1" t="n">
        <v>910</v>
      </c>
      <c r="B911" s="2" t="s">
        <v>4373</v>
      </c>
      <c r="C911" s="1" t="n">
        <v>3</v>
      </c>
      <c r="D911" s="1" t="n">
        <v>15</v>
      </c>
      <c r="E911" s="1" t="n">
        <v>27</v>
      </c>
      <c r="F911" s="1" t="n">
        <v>29</v>
      </c>
      <c r="G911" s="1" t="n">
        <v>36</v>
      </c>
      <c r="H911" s="1" t="n">
        <v>53</v>
      </c>
      <c r="I911" s="1" t="str">
        <f aca="false">RIGHT(("0"&amp;C911),2)&amp;RIGHT(("0"&amp;D911),2)&amp;RIGHT(("0"&amp;E911),2)&amp;RIGHT(("0"&amp;F911),2)&amp;RIGHT(("0"&amp;G911),2)&amp;RIGHT(("0"&amp;H911),2)</f>
        <v>031527293653</v>
      </c>
      <c r="J911" s="1" t="n">
        <f aca="false">COUNTIF(I:I,I911)</f>
        <v>1</v>
      </c>
      <c r="K911" s="1" t="n">
        <v>0</v>
      </c>
      <c r="M911" s="1" t="s">
        <v>23</v>
      </c>
      <c r="N911" s="1" t="n">
        <v>107</v>
      </c>
      <c r="O911" s="1" t="s">
        <v>4374</v>
      </c>
      <c r="P911" s="1" t="n">
        <v>6512</v>
      </c>
      <c r="Q911" s="1" t="s">
        <v>4375</v>
      </c>
      <c r="R911" s="1" t="s">
        <v>4376</v>
      </c>
      <c r="S911" s="1" t="s">
        <v>23</v>
      </c>
      <c r="T911" s="1" t="s">
        <v>3928</v>
      </c>
      <c r="U911" s="1" t="s">
        <v>23</v>
      </c>
    </row>
    <row r="912" customFormat="false" ht="13.8" hidden="false" customHeight="false" outlineLevel="0" collapsed="false">
      <c r="A912" s="1" t="n">
        <v>911</v>
      </c>
      <c r="B912" s="2" t="s">
        <v>4377</v>
      </c>
      <c r="C912" s="1" t="n">
        <v>1</v>
      </c>
      <c r="D912" s="1" t="n">
        <v>6</v>
      </c>
      <c r="E912" s="1" t="n">
        <v>28</v>
      </c>
      <c r="F912" s="1" t="n">
        <v>29</v>
      </c>
      <c r="G912" s="1" t="n">
        <v>46</v>
      </c>
      <c r="H912" s="1" t="n">
        <v>49</v>
      </c>
      <c r="I912" s="1" t="str">
        <f aca="false">RIGHT(("0"&amp;C912),2)&amp;RIGHT(("0"&amp;D912),2)&amp;RIGHT(("0"&amp;E912),2)&amp;RIGHT(("0"&amp;F912),2)&amp;RIGHT(("0"&amp;G912),2)&amp;RIGHT(("0"&amp;H912),2)</f>
        <v>010628294649</v>
      </c>
      <c r="J912" s="1" t="n">
        <f aca="false">COUNTIF(I:I,I912)</f>
        <v>1</v>
      </c>
      <c r="K912" s="1" t="n">
        <v>1</v>
      </c>
      <c r="L912" s="1" t="s">
        <v>2538</v>
      </c>
      <c r="M912" s="1" t="s">
        <v>4378</v>
      </c>
      <c r="N912" s="1" t="n">
        <v>63</v>
      </c>
      <c r="O912" s="1" t="s">
        <v>4379</v>
      </c>
      <c r="P912" s="1" t="n">
        <v>5376</v>
      </c>
      <c r="Q912" s="1" t="s">
        <v>4380</v>
      </c>
      <c r="R912" s="1" t="s">
        <v>23</v>
      </c>
      <c r="S912" s="1" t="s">
        <v>23</v>
      </c>
      <c r="T912" s="1" t="s">
        <v>4218</v>
      </c>
      <c r="U912" s="1" t="s">
        <v>23</v>
      </c>
      <c r="V912" s="1" t="s">
        <v>4381</v>
      </c>
    </row>
    <row r="913" customFormat="false" ht="13.8" hidden="false" customHeight="false" outlineLevel="0" collapsed="false">
      <c r="A913" s="1" t="n">
        <v>912</v>
      </c>
      <c r="B913" s="2" t="s">
        <v>4382</v>
      </c>
      <c r="C913" s="1" t="n">
        <v>4</v>
      </c>
      <c r="D913" s="1" t="n">
        <v>19</v>
      </c>
      <c r="E913" s="1" t="n">
        <v>21</v>
      </c>
      <c r="F913" s="1" t="n">
        <v>26</v>
      </c>
      <c r="G913" s="1" t="n">
        <v>29</v>
      </c>
      <c r="H913" s="1" t="n">
        <v>54</v>
      </c>
      <c r="I913" s="1" t="str">
        <f aca="false">RIGHT(("0"&amp;C913),2)&amp;RIGHT(("0"&amp;D913),2)&amp;RIGHT(("0"&amp;E913),2)&amp;RIGHT(("0"&amp;F913),2)&amp;RIGHT(("0"&amp;G913),2)&amp;RIGHT(("0"&amp;H913),2)</f>
        <v>041921262954</v>
      </c>
      <c r="J913" s="1" t="n">
        <f aca="false">COUNTIF(I:I,I913)</f>
        <v>1</v>
      </c>
      <c r="K913" s="1" t="n">
        <v>0</v>
      </c>
      <c r="M913" s="1" t="s">
        <v>23</v>
      </c>
      <c r="N913" s="1" t="n">
        <v>62</v>
      </c>
      <c r="O913" s="1" t="s">
        <v>4383</v>
      </c>
      <c r="P913" s="1" t="n">
        <v>4474</v>
      </c>
      <c r="Q913" s="1" t="s">
        <v>4384</v>
      </c>
      <c r="R913" s="1" t="s">
        <v>4385</v>
      </c>
      <c r="S913" s="1" t="s">
        <v>23</v>
      </c>
      <c r="T913" s="1" t="s">
        <v>473</v>
      </c>
      <c r="U913" s="1" t="s">
        <v>23</v>
      </c>
    </row>
    <row r="914" customFormat="false" ht="13.8" hidden="false" customHeight="false" outlineLevel="0" collapsed="false">
      <c r="A914" s="1" t="n">
        <v>913</v>
      </c>
      <c r="B914" s="2" t="s">
        <v>4386</v>
      </c>
      <c r="C914" s="1" t="n">
        <v>14</v>
      </c>
      <c r="D914" s="1" t="n">
        <v>30</v>
      </c>
      <c r="E914" s="1" t="n">
        <v>36</v>
      </c>
      <c r="F914" s="1" t="n">
        <v>38</v>
      </c>
      <c r="G914" s="1" t="n">
        <v>46</v>
      </c>
      <c r="H914" s="1" t="n">
        <v>59</v>
      </c>
      <c r="I914" s="1" t="str">
        <f aca="false">RIGHT(("0"&amp;C914),2)&amp;RIGHT(("0"&amp;D914),2)&amp;RIGHT(("0"&amp;E914),2)&amp;RIGHT(("0"&amp;F914),2)&amp;RIGHT(("0"&amp;G914),2)&amp;RIGHT(("0"&amp;H914),2)</f>
        <v>143036384659</v>
      </c>
      <c r="J914" s="1" t="n">
        <f aca="false">COUNTIF(I:I,I914)</f>
        <v>1</v>
      </c>
      <c r="K914" s="1" t="n">
        <v>1</v>
      </c>
      <c r="L914" s="1" t="s">
        <v>1872</v>
      </c>
      <c r="M914" s="1" t="s">
        <v>4387</v>
      </c>
      <c r="N914" s="1" t="n">
        <v>27</v>
      </c>
      <c r="O914" s="1" t="s">
        <v>4388</v>
      </c>
      <c r="P914" s="1" t="n">
        <v>2683</v>
      </c>
      <c r="Q914" s="1" t="s">
        <v>4389</v>
      </c>
      <c r="R914" s="1" t="s">
        <v>23</v>
      </c>
      <c r="S914" s="1" t="s">
        <v>23</v>
      </c>
      <c r="T914" s="1" t="s">
        <v>4390</v>
      </c>
      <c r="U914" s="1" t="s">
        <v>23</v>
      </c>
      <c r="V914" s="1" t="s">
        <v>4391</v>
      </c>
    </row>
    <row r="915" customFormat="false" ht="13.8" hidden="false" customHeight="false" outlineLevel="0" collapsed="false">
      <c r="A915" s="1" t="n">
        <v>914</v>
      </c>
      <c r="B915" s="2" t="s">
        <v>4392</v>
      </c>
      <c r="C915" s="1" t="n">
        <v>9</v>
      </c>
      <c r="D915" s="1" t="n">
        <v>12</v>
      </c>
      <c r="E915" s="1" t="n">
        <v>23</v>
      </c>
      <c r="F915" s="1" t="n">
        <v>33</v>
      </c>
      <c r="G915" s="1" t="n">
        <v>45</v>
      </c>
      <c r="H915" s="1" t="n">
        <v>51</v>
      </c>
      <c r="I915" s="1" t="str">
        <f aca="false">RIGHT(("0"&amp;C915),2)&amp;RIGHT(("0"&amp;D915),2)&amp;RIGHT(("0"&amp;E915),2)&amp;RIGHT(("0"&amp;F915),2)&amp;RIGHT(("0"&amp;G915),2)&amp;RIGHT(("0"&amp;H915),2)</f>
        <v>091223334551</v>
      </c>
      <c r="J915" s="1" t="n">
        <f aca="false">COUNTIF(I:I,I915)</f>
        <v>1</v>
      </c>
      <c r="K915" s="1" t="n">
        <v>0</v>
      </c>
      <c r="M915" s="1" t="s">
        <v>23</v>
      </c>
      <c r="N915" s="1" t="n">
        <v>64</v>
      </c>
      <c r="O915" s="1" t="s">
        <v>4393</v>
      </c>
      <c r="P915" s="1" t="n">
        <v>4731</v>
      </c>
      <c r="Q915" s="1" t="s">
        <v>4394</v>
      </c>
      <c r="R915" s="1" t="s">
        <v>4395</v>
      </c>
      <c r="S915" s="1" t="s">
        <v>23</v>
      </c>
      <c r="T915" s="1" t="s">
        <v>4195</v>
      </c>
      <c r="U915" s="1" t="s">
        <v>23</v>
      </c>
    </row>
    <row r="916" customFormat="false" ht="13.8" hidden="false" customHeight="false" outlineLevel="0" collapsed="false">
      <c r="A916" s="1" t="n">
        <v>915</v>
      </c>
      <c r="B916" s="2" t="s">
        <v>4396</v>
      </c>
      <c r="C916" s="1" t="n">
        <v>17</v>
      </c>
      <c r="D916" s="1" t="n">
        <v>20</v>
      </c>
      <c r="E916" s="1" t="n">
        <v>26</v>
      </c>
      <c r="F916" s="1" t="n">
        <v>28</v>
      </c>
      <c r="G916" s="1" t="n">
        <v>48</v>
      </c>
      <c r="H916" s="1" t="n">
        <v>49</v>
      </c>
      <c r="I916" s="1" t="str">
        <f aca="false">RIGHT(("0"&amp;C916),2)&amp;RIGHT(("0"&amp;D916),2)&amp;RIGHT(("0"&amp;E916),2)&amp;RIGHT(("0"&amp;F916),2)&amp;RIGHT(("0"&amp;G916),2)&amp;RIGHT(("0"&amp;H916),2)</f>
        <v>172026284849</v>
      </c>
      <c r="J916" s="1" t="n">
        <f aca="false">COUNTIF(I:I,I916)</f>
        <v>1</v>
      </c>
      <c r="K916" s="1" t="n">
        <v>1</v>
      </c>
      <c r="L916" s="1" t="s">
        <v>4001</v>
      </c>
      <c r="M916" s="1" t="s">
        <v>4397</v>
      </c>
      <c r="N916" s="1" t="n">
        <v>44</v>
      </c>
      <c r="O916" s="1" t="s">
        <v>4398</v>
      </c>
      <c r="P916" s="1" t="n">
        <v>3580</v>
      </c>
      <c r="Q916" s="1" t="s">
        <v>4399</v>
      </c>
      <c r="R916" s="1" t="s">
        <v>23</v>
      </c>
      <c r="S916" s="1" t="s">
        <v>23</v>
      </c>
      <c r="T916" s="1" t="s">
        <v>4218</v>
      </c>
      <c r="U916" s="1" t="s">
        <v>23</v>
      </c>
      <c r="V916" s="1" t="s">
        <v>4400</v>
      </c>
    </row>
    <row r="917" customFormat="false" ht="13.8" hidden="false" customHeight="false" outlineLevel="0" collapsed="false">
      <c r="A917" s="1" t="n">
        <v>916</v>
      </c>
      <c r="B917" s="2" t="s">
        <v>4401</v>
      </c>
      <c r="C917" s="1" t="n">
        <v>5</v>
      </c>
      <c r="D917" s="1" t="n">
        <v>28</v>
      </c>
      <c r="E917" s="1" t="n">
        <v>33</v>
      </c>
      <c r="F917" s="1" t="n">
        <v>36</v>
      </c>
      <c r="G917" s="1" t="n">
        <v>37</v>
      </c>
      <c r="H917" s="1" t="n">
        <v>38</v>
      </c>
      <c r="I917" s="1" t="str">
        <f aca="false">RIGHT(("0"&amp;C917),2)&amp;RIGHT(("0"&amp;D917),2)&amp;RIGHT(("0"&amp;E917),2)&amp;RIGHT(("0"&amp;F917),2)&amp;RIGHT(("0"&amp;G917),2)&amp;RIGHT(("0"&amp;H917),2)</f>
        <v>052833363738</v>
      </c>
      <c r="J917" s="1" t="n">
        <f aca="false">COUNTIF(I:I,I917)</f>
        <v>1</v>
      </c>
      <c r="K917" s="1" t="n">
        <v>0</v>
      </c>
      <c r="M917" s="1" t="s">
        <v>23</v>
      </c>
      <c r="N917" s="1" t="n">
        <v>144</v>
      </c>
      <c r="O917" s="1" t="s">
        <v>4402</v>
      </c>
      <c r="P917" s="1" t="n">
        <v>3220</v>
      </c>
      <c r="Q917" s="1" t="s">
        <v>4403</v>
      </c>
      <c r="R917" s="1" t="s">
        <v>4404</v>
      </c>
      <c r="S917" s="1" t="s">
        <v>23</v>
      </c>
      <c r="T917" s="1" t="s">
        <v>4256</v>
      </c>
      <c r="U917" s="1" t="s">
        <v>23</v>
      </c>
    </row>
    <row r="918" customFormat="false" ht="13.8" hidden="false" customHeight="false" outlineLevel="0" collapsed="false">
      <c r="A918" s="1" t="n">
        <v>917</v>
      </c>
      <c r="B918" s="2" t="s">
        <v>4405</v>
      </c>
      <c r="C918" s="1" t="n">
        <v>23</v>
      </c>
      <c r="D918" s="1" t="n">
        <v>25</v>
      </c>
      <c r="E918" s="1" t="n">
        <v>30</v>
      </c>
      <c r="F918" s="1" t="n">
        <v>46</v>
      </c>
      <c r="G918" s="1" t="n">
        <v>47</v>
      </c>
      <c r="H918" s="1" t="n">
        <v>59</v>
      </c>
      <c r="I918" s="1" t="str">
        <f aca="false">RIGHT(("0"&amp;C918),2)&amp;RIGHT(("0"&amp;D918),2)&amp;RIGHT(("0"&amp;E918),2)&amp;RIGHT(("0"&amp;F918),2)&amp;RIGHT(("0"&amp;G918),2)&amp;RIGHT(("0"&amp;H918),2)</f>
        <v>232530464759</v>
      </c>
      <c r="J918" s="1" t="n">
        <f aca="false">COUNTIF(I:I,I918)</f>
        <v>1</v>
      </c>
      <c r="K918" s="1" t="n">
        <v>0</v>
      </c>
      <c r="M918" s="1" t="s">
        <v>23</v>
      </c>
      <c r="N918" s="1" t="n">
        <v>61</v>
      </c>
      <c r="O918" s="1" t="s">
        <v>4406</v>
      </c>
      <c r="P918" s="1" t="n">
        <v>3491</v>
      </c>
      <c r="Q918" s="1" t="s">
        <v>4407</v>
      </c>
      <c r="R918" s="1" t="s">
        <v>4408</v>
      </c>
      <c r="S918" s="1" t="s">
        <v>23</v>
      </c>
      <c r="T918" s="1" t="s">
        <v>4409</v>
      </c>
      <c r="U918" s="1" t="s">
        <v>23</v>
      </c>
    </row>
    <row r="919" customFormat="false" ht="13.8" hidden="false" customHeight="false" outlineLevel="0" collapsed="false">
      <c r="A919" s="1" t="n">
        <v>918</v>
      </c>
      <c r="B919" s="2" t="s">
        <v>4410</v>
      </c>
      <c r="C919" s="1" t="n">
        <v>4</v>
      </c>
      <c r="D919" s="1" t="n">
        <v>8</v>
      </c>
      <c r="E919" s="1" t="n">
        <v>12</v>
      </c>
      <c r="F919" s="1" t="n">
        <v>38</v>
      </c>
      <c r="G919" s="1" t="n">
        <v>44</v>
      </c>
      <c r="H919" s="1" t="n">
        <v>52</v>
      </c>
      <c r="I919" s="1" t="str">
        <f aca="false">RIGHT(("0"&amp;C919),2)&amp;RIGHT(("0"&amp;D919),2)&amp;RIGHT(("0"&amp;E919),2)&amp;RIGHT(("0"&amp;F919),2)&amp;RIGHT(("0"&amp;G919),2)&amp;RIGHT(("0"&amp;H919),2)</f>
        <v>040812384452</v>
      </c>
      <c r="J919" s="1" t="n">
        <f aca="false">COUNTIF(I:I,I919)</f>
        <v>1</v>
      </c>
      <c r="K919" s="1" t="n">
        <v>0</v>
      </c>
      <c r="M919" s="1" t="s">
        <v>23</v>
      </c>
      <c r="N919" s="1" t="n">
        <v>135</v>
      </c>
      <c r="O919" s="1" t="s">
        <v>4411</v>
      </c>
      <c r="P919" s="1" t="n">
        <v>6883</v>
      </c>
      <c r="Q919" s="1" t="s">
        <v>4412</v>
      </c>
      <c r="R919" s="1" t="s">
        <v>4413</v>
      </c>
      <c r="S919" s="1" t="s">
        <v>23</v>
      </c>
      <c r="T919" s="1" t="s">
        <v>4342</v>
      </c>
      <c r="U919" s="1" t="s">
        <v>23</v>
      </c>
    </row>
    <row r="920" customFormat="false" ht="13.8" hidden="false" customHeight="false" outlineLevel="0" collapsed="false">
      <c r="A920" s="1" t="n">
        <v>919</v>
      </c>
      <c r="B920" s="2" t="s">
        <v>4414</v>
      </c>
      <c r="C920" s="1" t="n">
        <v>3</v>
      </c>
      <c r="D920" s="1" t="n">
        <v>25</v>
      </c>
      <c r="E920" s="1" t="n">
        <v>31</v>
      </c>
      <c r="F920" s="1" t="n">
        <v>41</v>
      </c>
      <c r="G920" s="1" t="n">
        <v>43</v>
      </c>
      <c r="H920" s="1" t="n">
        <v>60</v>
      </c>
      <c r="I920" s="1" t="str">
        <f aca="false">RIGHT(("0"&amp;C920),2)&amp;RIGHT(("0"&amp;D920),2)&amp;RIGHT(("0"&amp;E920),2)&amp;RIGHT(("0"&amp;F920),2)&amp;RIGHT(("0"&amp;G920),2)&amp;RIGHT(("0"&amp;H920),2)</f>
        <v>032531414360</v>
      </c>
      <c r="J920" s="1" t="n">
        <f aca="false">COUNTIF(I:I,I920)</f>
        <v>1</v>
      </c>
      <c r="K920" s="1" t="n">
        <v>0</v>
      </c>
      <c r="M920" s="1" t="s">
        <v>23</v>
      </c>
      <c r="N920" s="1" t="n">
        <v>37</v>
      </c>
      <c r="O920" s="1" t="s">
        <v>4415</v>
      </c>
      <c r="P920" s="1" t="n">
        <v>3505</v>
      </c>
      <c r="Q920" s="1" t="s">
        <v>4416</v>
      </c>
      <c r="R920" s="1" t="s">
        <v>4417</v>
      </c>
      <c r="S920" s="1" t="s">
        <v>23</v>
      </c>
      <c r="T920" s="1" t="s">
        <v>4203</v>
      </c>
      <c r="U920" s="1" t="s">
        <v>23</v>
      </c>
    </row>
    <row r="921" customFormat="false" ht="13.8" hidden="false" customHeight="false" outlineLevel="0" collapsed="false">
      <c r="A921" s="1" t="n">
        <v>920</v>
      </c>
      <c r="B921" s="2" t="s">
        <v>4418</v>
      </c>
      <c r="C921" s="1" t="n">
        <v>5</v>
      </c>
      <c r="D921" s="1" t="n">
        <v>17</v>
      </c>
      <c r="E921" s="1" t="n">
        <v>24</v>
      </c>
      <c r="F921" s="1" t="n">
        <v>52</v>
      </c>
      <c r="G921" s="1" t="n">
        <v>55</v>
      </c>
      <c r="H921" s="1" t="n">
        <v>57</v>
      </c>
      <c r="I921" s="1" t="str">
        <f aca="false">RIGHT(("0"&amp;C921),2)&amp;RIGHT(("0"&amp;D921),2)&amp;RIGHT(("0"&amp;E921),2)&amp;RIGHT(("0"&amp;F921),2)&amp;RIGHT(("0"&amp;G921),2)&amp;RIGHT(("0"&amp;H921),2)</f>
        <v>051724525557</v>
      </c>
      <c r="J921" s="1" t="n">
        <f aca="false">COUNTIF(I:I,I921)</f>
        <v>1</v>
      </c>
      <c r="K921" s="1" t="n">
        <v>0</v>
      </c>
      <c r="M921" s="1" t="s">
        <v>23</v>
      </c>
      <c r="N921" s="1" t="n">
        <v>94</v>
      </c>
      <c r="O921" s="1" t="s">
        <v>4419</v>
      </c>
      <c r="P921" s="1" t="n">
        <v>6584</v>
      </c>
      <c r="Q921" s="1" t="s">
        <v>4420</v>
      </c>
      <c r="R921" s="1" t="s">
        <v>4421</v>
      </c>
      <c r="S921" s="1" t="s">
        <v>23</v>
      </c>
      <c r="T921" s="1" t="s">
        <v>3928</v>
      </c>
      <c r="U921" s="1" t="s">
        <v>23</v>
      </c>
    </row>
    <row r="922" customFormat="false" ht="13.8" hidden="false" customHeight="false" outlineLevel="0" collapsed="false">
      <c r="A922" s="1" t="n">
        <v>921</v>
      </c>
      <c r="B922" s="2" t="s">
        <v>4422</v>
      </c>
      <c r="C922" s="1" t="n">
        <v>1</v>
      </c>
      <c r="D922" s="1" t="n">
        <v>9</v>
      </c>
      <c r="E922" s="1" t="n">
        <v>35</v>
      </c>
      <c r="F922" s="1" t="n">
        <v>41</v>
      </c>
      <c r="G922" s="1" t="n">
        <v>48</v>
      </c>
      <c r="H922" s="1" t="n">
        <v>57</v>
      </c>
      <c r="I922" s="1" t="str">
        <f aca="false">RIGHT(("0"&amp;C922),2)&amp;RIGHT(("0"&amp;D922),2)&amp;RIGHT(("0"&amp;E922),2)&amp;RIGHT(("0"&amp;F922),2)&amp;RIGHT(("0"&amp;G922),2)&amp;RIGHT(("0"&amp;H922),2)</f>
        <v>010935414857</v>
      </c>
      <c r="J922" s="1" t="n">
        <f aca="false">COUNTIF(I:I,I922)</f>
        <v>1</v>
      </c>
      <c r="K922" s="1" t="n">
        <v>0</v>
      </c>
      <c r="M922" s="1" t="s">
        <v>23</v>
      </c>
      <c r="N922" s="1" t="n">
        <v>62</v>
      </c>
      <c r="O922" s="1" t="s">
        <v>4423</v>
      </c>
      <c r="P922" s="1" t="n">
        <v>4365</v>
      </c>
      <c r="Q922" s="1" t="s">
        <v>4424</v>
      </c>
      <c r="R922" s="1" t="s">
        <v>4425</v>
      </c>
      <c r="S922" s="1" t="s">
        <v>23</v>
      </c>
      <c r="T922" s="1" t="s">
        <v>4273</v>
      </c>
      <c r="U922" s="1" t="s">
        <v>23</v>
      </c>
    </row>
    <row r="923" customFormat="false" ht="13.8" hidden="false" customHeight="false" outlineLevel="0" collapsed="false">
      <c r="A923" s="1" t="n">
        <v>922</v>
      </c>
      <c r="B923" s="2" t="s">
        <v>4426</v>
      </c>
      <c r="C923" s="1" t="n">
        <v>12</v>
      </c>
      <c r="D923" s="1" t="n">
        <v>13</v>
      </c>
      <c r="E923" s="1" t="n">
        <v>19</v>
      </c>
      <c r="F923" s="1" t="n">
        <v>41</v>
      </c>
      <c r="G923" s="1" t="n">
        <v>45</v>
      </c>
      <c r="H923" s="1" t="n">
        <v>49</v>
      </c>
      <c r="I923" s="1" t="str">
        <f aca="false">RIGHT(("0"&amp;C923),2)&amp;RIGHT(("0"&amp;D923),2)&amp;RIGHT(("0"&amp;E923),2)&amp;RIGHT(("0"&amp;F923),2)&amp;RIGHT(("0"&amp;G923),2)&amp;RIGHT(("0"&amp;H923),2)</f>
        <v>121319414549</v>
      </c>
      <c r="J923" s="1" t="n">
        <f aca="false">COUNTIF(I:I,I923)</f>
        <v>1</v>
      </c>
      <c r="K923" s="1" t="n">
        <v>0</v>
      </c>
      <c r="M923" s="1" t="s">
        <v>23</v>
      </c>
      <c r="N923" s="1" t="n">
        <v>136</v>
      </c>
      <c r="O923" s="1" t="s">
        <v>4427</v>
      </c>
      <c r="P923" s="1" t="n">
        <v>8735</v>
      </c>
      <c r="Q923" s="1" t="s">
        <v>4428</v>
      </c>
      <c r="R923" s="1" t="s">
        <v>4429</v>
      </c>
      <c r="S923" s="1" t="s">
        <v>23</v>
      </c>
      <c r="T923" s="1" t="s">
        <v>4246</v>
      </c>
      <c r="U923" s="1" t="s">
        <v>23</v>
      </c>
    </row>
    <row r="924" customFormat="false" ht="13.8" hidden="false" customHeight="false" outlineLevel="0" collapsed="false">
      <c r="A924" s="1" t="n">
        <v>923</v>
      </c>
      <c r="B924" s="2" t="s">
        <v>4430</v>
      </c>
      <c r="C924" s="1" t="n">
        <v>2</v>
      </c>
      <c r="D924" s="1" t="n">
        <v>15</v>
      </c>
      <c r="E924" s="1" t="n">
        <v>39</v>
      </c>
      <c r="F924" s="1" t="n">
        <v>50</v>
      </c>
      <c r="G924" s="1" t="n">
        <v>53</v>
      </c>
      <c r="H924" s="1" t="n">
        <v>57</v>
      </c>
      <c r="I924" s="1" t="str">
        <f aca="false">RIGHT(("0"&amp;C924),2)&amp;RIGHT(("0"&amp;D924),2)&amp;RIGHT(("0"&amp;E924),2)&amp;RIGHT(("0"&amp;F924),2)&amp;RIGHT(("0"&amp;G924),2)&amp;RIGHT(("0"&amp;H924),2)</f>
        <v>021539505357</v>
      </c>
      <c r="J924" s="1" t="n">
        <f aca="false">COUNTIF(I:I,I924)</f>
        <v>1</v>
      </c>
      <c r="K924" s="1" t="n">
        <v>0</v>
      </c>
      <c r="M924" s="1" t="s">
        <v>23</v>
      </c>
      <c r="N924" s="1" t="n">
        <v>90</v>
      </c>
      <c r="O924" s="1" t="s">
        <v>4431</v>
      </c>
      <c r="P924" s="1" t="n">
        <v>6122</v>
      </c>
      <c r="Q924" s="1" t="s">
        <v>4432</v>
      </c>
      <c r="R924" s="1" t="s">
        <v>4433</v>
      </c>
      <c r="S924" s="1" t="s">
        <v>23</v>
      </c>
      <c r="T924" s="1" t="s">
        <v>4213</v>
      </c>
      <c r="U924" s="1" t="s">
        <v>23</v>
      </c>
    </row>
    <row r="925" customFormat="false" ht="13.8" hidden="false" customHeight="false" outlineLevel="0" collapsed="false">
      <c r="A925" s="1" t="n">
        <v>924</v>
      </c>
      <c r="B925" s="2" t="s">
        <v>4434</v>
      </c>
      <c r="C925" s="1" t="n">
        <v>2</v>
      </c>
      <c r="D925" s="1" t="n">
        <v>20</v>
      </c>
      <c r="E925" s="1" t="n">
        <v>21</v>
      </c>
      <c r="F925" s="1" t="n">
        <v>27</v>
      </c>
      <c r="G925" s="1" t="n">
        <v>51</v>
      </c>
      <c r="H925" s="1" t="n">
        <v>60</v>
      </c>
      <c r="I925" s="1" t="str">
        <f aca="false">RIGHT(("0"&amp;C925),2)&amp;RIGHT(("0"&amp;D925),2)&amp;RIGHT(("0"&amp;E925),2)&amp;RIGHT(("0"&amp;F925),2)&amp;RIGHT(("0"&amp;G925),2)&amp;RIGHT(("0"&amp;H925),2)</f>
        <v>022021275160</v>
      </c>
      <c r="J925" s="1" t="n">
        <f aca="false">COUNTIF(I:I,I925)</f>
        <v>1</v>
      </c>
      <c r="K925" s="1" t="n">
        <v>0</v>
      </c>
      <c r="M925" s="1" t="s">
        <v>23</v>
      </c>
      <c r="N925" s="1" t="n">
        <v>90</v>
      </c>
      <c r="O925" s="1" t="s">
        <v>4435</v>
      </c>
      <c r="P925" s="1" t="n">
        <v>7236</v>
      </c>
      <c r="Q925" s="1" t="s">
        <v>4436</v>
      </c>
      <c r="R925" s="1" t="s">
        <v>4437</v>
      </c>
      <c r="S925" s="1" t="s">
        <v>23</v>
      </c>
      <c r="T925" s="1" t="s">
        <v>4309</v>
      </c>
      <c r="U925" s="1" t="s">
        <v>23</v>
      </c>
    </row>
    <row r="926" customFormat="false" ht="13.8" hidden="false" customHeight="false" outlineLevel="0" collapsed="false">
      <c r="A926" s="1" t="n">
        <v>925</v>
      </c>
      <c r="B926" s="2" t="s">
        <v>4438</v>
      </c>
      <c r="C926" s="1" t="n">
        <v>8</v>
      </c>
      <c r="D926" s="1" t="n">
        <v>22</v>
      </c>
      <c r="E926" s="1" t="n">
        <v>36</v>
      </c>
      <c r="F926" s="1" t="n">
        <v>37</v>
      </c>
      <c r="G926" s="1" t="n">
        <v>46</v>
      </c>
      <c r="H926" s="1" t="n">
        <v>52</v>
      </c>
      <c r="I926" s="1" t="str">
        <f aca="false">RIGHT(("0"&amp;C926),2)&amp;RIGHT(("0"&amp;D926),2)&amp;RIGHT(("0"&amp;E926),2)&amp;RIGHT(("0"&amp;F926),2)&amp;RIGHT(("0"&amp;G926),2)&amp;RIGHT(("0"&amp;H926),2)</f>
        <v>082236374652</v>
      </c>
      <c r="J926" s="1" t="n">
        <f aca="false">COUNTIF(I:I,I926)</f>
        <v>1</v>
      </c>
      <c r="K926" s="1" t="n">
        <v>1</v>
      </c>
      <c r="L926" s="1" t="s">
        <v>91</v>
      </c>
      <c r="M926" s="1" t="s">
        <v>4439</v>
      </c>
      <c r="N926" s="1" t="n">
        <v>132</v>
      </c>
      <c r="O926" s="1" t="s">
        <v>4440</v>
      </c>
      <c r="P926" s="1" t="n">
        <v>10214</v>
      </c>
      <c r="Q926" s="1" t="s">
        <v>4441</v>
      </c>
      <c r="R926" s="1" t="s">
        <v>23</v>
      </c>
      <c r="S926" s="1" t="s">
        <v>23</v>
      </c>
      <c r="T926" s="1" t="s">
        <v>4390</v>
      </c>
      <c r="U926" s="1" t="s">
        <v>23</v>
      </c>
      <c r="V926" s="1" t="s">
        <v>4442</v>
      </c>
    </row>
    <row r="927" customFormat="false" ht="13.8" hidden="false" customHeight="false" outlineLevel="0" collapsed="false">
      <c r="A927" s="1" t="n">
        <v>926</v>
      </c>
      <c r="B927" s="2" t="s">
        <v>4443</v>
      </c>
      <c r="C927" s="1" t="n">
        <v>21</v>
      </c>
      <c r="D927" s="1" t="n">
        <v>33</v>
      </c>
      <c r="E927" s="1" t="n">
        <v>34</v>
      </c>
      <c r="F927" s="1" t="n">
        <v>40</v>
      </c>
      <c r="G927" s="1" t="n">
        <v>41</v>
      </c>
      <c r="H927" s="1" t="n">
        <v>59</v>
      </c>
      <c r="I927" s="1" t="str">
        <f aca="false">RIGHT(("0"&amp;C927),2)&amp;RIGHT(("0"&amp;D927),2)&amp;RIGHT(("0"&amp;E927),2)&amp;RIGHT(("0"&amp;F927),2)&amp;RIGHT(("0"&amp;G927),2)&amp;RIGHT(("0"&amp;H927),2)</f>
        <v>213334404159</v>
      </c>
      <c r="J927" s="1" t="n">
        <f aca="false">COUNTIF(I:I,I927)</f>
        <v>1</v>
      </c>
      <c r="K927" s="1" t="n">
        <v>0</v>
      </c>
      <c r="M927" s="1" t="s">
        <v>23</v>
      </c>
      <c r="N927" s="1" t="n">
        <v>24</v>
      </c>
      <c r="O927" s="1" t="s">
        <v>4444</v>
      </c>
      <c r="P927" s="1" t="n">
        <v>2019</v>
      </c>
      <c r="Q927" s="1" t="s">
        <v>4445</v>
      </c>
      <c r="R927" s="1" t="s">
        <v>4446</v>
      </c>
      <c r="S927" s="1" t="s">
        <v>23</v>
      </c>
      <c r="T927" s="1" t="s">
        <v>473</v>
      </c>
      <c r="U927" s="1" t="s">
        <v>23</v>
      </c>
    </row>
    <row r="928" customFormat="false" ht="13.8" hidden="false" customHeight="false" outlineLevel="0" collapsed="false">
      <c r="A928" s="1" t="n">
        <v>927</v>
      </c>
      <c r="B928" s="2" t="s">
        <v>4447</v>
      </c>
      <c r="C928" s="1" t="n">
        <v>19</v>
      </c>
      <c r="D928" s="1" t="n">
        <v>23</v>
      </c>
      <c r="E928" s="1" t="n">
        <v>26</v>
      </c>
      <c r="F928" s="1" t="n">
        <v>31</v>
      </c>
      <c r="G928" s="1" t="n">
        <v>33</v>
      </c>
      <c r="H928" s="1" t="n">
        <v>36</v>
      </c>
      <c r="I928" s="1" t="str">
        <f aca="false">RIGHT(("0"&amp;C928),2)&amp;RIGHT(("0"&amp;D928),2)&amp;RIGHT(("0"&amp;E928),2)&amp;RIGHT(("0"&amp;F928),2)&amp;RIGHT(("0"&amp;G928),2)&amp;RIGHT(("0"&amp;H928),2)</f>
        <v>192326313336</v>
      </c>
      <c r="J928" s="1" t="n">
        <f aca="false">COUNTIF(I:I,I928)</f>
        <v>1</v>
      </c>
      <c r="K928" s="1" t="n">
        <v>0</v>
      </c>
      <c r="M928" s="1" t="s">
        <v>23</v>
      </c>
      <c r="N928" s="1" t="n">
        <v>45</v>
      </c>
      <c r="O928" s="1" t="s">
        <v>4448</v>
      </c>
      <c r="P928" s="1" t="n">
        <v>3499</v>
      </c>
      <c r="Q928" s="1" t="s">
        <v>4449</v>
      </c>
      <c r="R928" s="1" t="s">
        <v>4450</v>
      </c>
      <c r="S928" s="1" t="s">
        <v>23</v>
      </c>
      <c r="T928" s="1" t="s">
        <v>4227</v>
      </c>
      <c r="U928" s="1" t="s">
        <v>23</v>
      </c>
    </row>
    <row r="929" customFormat="false" ht="13.8" hidden="false" customHeight="false" outlineLevel="0" collapsed="false">
      <c r="A929" s="1" t="n">
        <v>928</v>
      </c>
      <c r="B929" s="2" t="s">
        <v>4451</v>
      </c>
      <c r="C929" s="1" t="n">
        <v>4</v>
      </c>
      <c r="D929" s="1" t="n">
        <v>10</v>
      </c>
      <c r="E929" s="1" t="n">
        <v>32</v>
      </c>
      <c r="F929" s="1" t="n">
        <v>33</v>
      </c>
      <c r="G929" s="1" t="n">
        <v>49</v>
      </c>
      <c r="H929" s="1" t="n">
        <v>60</v>
      </c>
      <c r="I929" s="1" t="str">
        <f aca="false">RIGHT(("0"&amp;C929),2)&amp;RIGHT(("0"&amp;D929),2)&amp;RIGHT(("0"&amp;E929),2)&amp;RIGHT(("0"&amp;F929),2)&amp;RIGHT(("0"&amp;G929),2)&amp;RIGHT(("0"&amp;H929),2)</f>
        <v>041032334960</v>
      </c>
      <c r="J929" s="1" t="n">
        <f aca="false">COUNTIF(I:I,I929)</f>
        <v>1</v>
      </c>
      <c r="K929" s="1" t="n">
        <v>1</v>
      </c>
      <c r="L929" s="1" t="s">
        <v>1722</v>
      </c>
      <c r="M929" s="1" t="s">
        <v>4452</v>
      </c>
      <c r="N929" s="1" t="n">
        <v>43</v>
      </c>
      <c r="O929" s="1" t="s">
        <v>4453</v>
      </c>
      <c r="P929" s="1" t="n">
        <v>4246</v>
      </c>
      <c r="Q929" s="1" t="s">
        <v>4454</v>
      </c>
      <c r="R929" s="1" t="s">
        <v>23</v>
      </c>
      <c r="S929" s="1" t="s">
        <v>4455</v>
      </c>
      <c r="T929" s="1" t="s">
        <v>4278</v>
      </c>
      <c r="U929" s="1" t="s">
        <v>23</v>
      </c>
      <c r="V929" s="1" t="s">
        <v>4456</v>
      </c>
    </row>
    <row r="930" customFormat="false" ht="13.8" hidden="false" customHeight="false" outlineLevel="0" collapsed="false">
      <c r="A930" s="1" t="n">
        <v>929</v>
      </c>
      <c r="B930" s="2" t="s">
        <v>4457</v>
      </c>
      <c r="C930" s="1" t="n">
        <v>16</v>
      </c>
      <c r="D930" s="1" t="n">
        <v>27</v>
      </c>
      <c r="E930" s="1" t="n">
        <v>35</v>
      </c>
      <c r="F930" s="1" t="n">
        <v>39</v>
      </c>
      <c r="G930" s="1" t="n">
        <v>49</v>
      </c>
      <c r="H930" s="1" t="n">
        <v>57</v>
      </c>
      <c r="I930" s="1" t="str">
        <f aca="false">RIGHT(("0"&amp;C930),2)&amp;RIGHT(("0"&amp;D930),2)&amp;RIGHT(("0"&amp;E930),2)&amp;RIGHT(("0"&amp;F930),2)&amp;RIGHT(("0"&amp;G930),2)&amp;RIGHT(("0"&amp;H930),2)</f>
        <v>162735394957</v>
      </c>
      <c r="J930" s="1" t="n">
        <f aca="false">COUNTIF(I:I,I930)</f>
        <v>1</v>
      </c>
      <c r="K930" s="1" t="n">
        <v>0</v>
      </c>
      <c r="M930" s="1" t="s">
        <v>23</v>
      </c>
      <c r="N930" s="1" t="n">
        <v>42</v>
      </c>
      <c r="O930" s="1" t="s">
        <v>4458</v>
      </c>
      <c r="P930" s="1" t="n">
        <v>3095</v>
      </c>
      <c r="Q930" s="1" t="s">
        <v>4459</v>
      </c>
      <c r="R930" s="1" t="s">
        <v>4460</v>
      </c>
      <c r="S930" s="1" t="s">
        <v>23</v>
      </c>
      <c r="T930" s="1" t="s">
        <v>4461</v>
      </c>
      <c r="U930" s="1" t="s">
        <v>23</v>
      </c>
    </row>
    <row r="931" customFormat="false" ht="13.8" hidden="false" customHeight="false" outlineLevel="0" collapsed="false">
      <c r="A931" s="1" t="n">
        <v>930</v>
      </c>
      <c r="B931" s="2" t="s">
        <v>4462</v>
      </c>
      <c r="C931" s="1" t="n">
        <v>20</v>
      </c>
      <c r="D931" s="1" t="n">
        <v>28</v>
      </c>
      <c r="E931" s="1" t="n">
        <v>37</v>
      </c>
      <c r="F931" s="1" t="n">
        <v>46</v>
      </c>
      <c r="G931" s="1" t="n">
        <v>49</v>
      </c>
      <c r="H931" s="1" t="n">
        <v>55</v>
      </c>
      <c r="I931" s="1" t="str">
        <f aca="false">RIGHT(("0"&amp;C931),2)&amp;RIGHT(("0"&amp;D931),2)&amp;RIGHT(("0"&amp;E931),2)&amp;RIGHT(("0"&amp;F931),2)&amp;RIGHT(("0"&amp;G931),2)&amp;RIGHT(("0"&amp;H931),2)</f>
        <v>202837464955</v>
      </c>
      <c r="J931" s="1" t="n">
        <f aca="false">COUNTIF(I:I,I931)</f>
        <v>1</v>
      </c>
      <c r="K931" s="1" t="n">
        <v>0</v>
      </c>
      <c r="M931" s="1" t="s">
        <v>23</v>
      </c>
      <c r="N931" s="1" t="n">
        <v>73</v>
      </c>
      <c r="O931" s="1" t="s">
        <v>4463</v>
      </c>
      <c r="P931" s="1" t="n">
        <v>5481</v>
      </c>
      <c r="Q931" s="1" t="s">
        <v>4464</v>
      </c>
      <c r="R931" s="1" t="s">
        <v>4465</v>
      </c>
      <c r="S931" s="1" t="s">
        <v>23</v>
      </c>
      <c r="T931" s="1" t="s">
        <v>3928</v>
      </c>
      <c r="U931" s="1" t="s">
        <v>23</v>
      </c>
    </row>
    <row r="932" customFormat="false" ht="13.8" hidden="false" customHeight="false" outlineLevel="0" collapsed="false">
      <c r="A932" s="1" t="n">
        <v>931</v>
      </c>
      <c r="B932" s="2" t="s">
        <v>4466</v>
      </c>
      <c r="C932" s="1" t="n">
        <v>7</v>
      </c>
      <c r="D932" s="1" t="n">
        <v>17</v>
      </c>
      <c r="E932" s="1" t="n">
        <v>19</v>
      </c>
      <c r="F932" s="1" t="n">
        <v>34</v>
      </c>
      <c r="G932" s="1" t="n">
        <v>36</v>
      </c>
      <c r="H932" s="1" t="n">
        <v>39</v>
      </c>
      <c r="I932" s="1" t="str">
        <f aca="false">RIGHT(("0"&amp;C932),2)&amp;RIGHT(("0"&amp;D932),2)&amp;RIGHT(("0"&amp;E932),2)&amp;RIGHT(("0"&amp;F932),2)&amp;RIGHT(("0"&amp;G932),2)&amp;RIGHT(("0"&amp;H932),2)</f>
        <v>071719343639</v>
      </c>
      <c r="J932" s="1" t="n">
        <f aca="false">COUNTIF(I:I,I932)</f>
        <v>1</v>
      </c>
      <c r="K932" s="1" t="n">
        <v>0</v>
      </c>
      <c r="M932" s="1" t="s">
        <v>23</v>
      </c>
      <c r="N932" s="1" t="n">
        <v>245</v>
      </c>
      <c r="O932" s="1" t="s">
        <v>4467</v>
      </c>
      <c r="P932" s="1" t="n">
        <v>14573</v>
      </c>
      <c r="Q932" s="1" t="s">
        <v>4468</v>
      </c>
      <c r="R932" s="1" t="s">
        <v>4469</v>
      </c>
      <c r="S932" s="1" t="s">
        <v>23</v>
      </c>
      <c r="T932" s="1" t="s">
        <v>4273</v>
      </c>
      <c r="U932" s="1" t="s">
        <v>23</v>
      </c>
    </row>
    <row r="933" customFormat="false" ht="13.8" hidden="false" customHeight="false" outlineLevel="0" collapsed="false">
      <c r="A933" s="1" t="n">
        <v>932</v>
      </c>
      <c r="B933" s="2" t="s">
        <v>4470</v>
      </c>
      <c r="C933" s="1" t="n">
        <v>2</v>
      </c>
      <c r="D933" s="1" t="n">
        <v>17</v>
      </c>
      <c r="E933" s="1" t="n">
        <v>21</v>
      </c>
      <c r="F933" s="1" t="n">
        <v>36</v>
      </c>
      <c r="G933" s="1" t="n">
        <v>42</v>
      </c>
      <c r="H933" s="1" t="n">
        <v>53</v>
      </c>
      <c r="I933" s="1" t="str">
        <f aca="false">RIGHT(("0"&amp;C933),2)&amp;RIGHT(("0"&amp;D933),2)&amp;RIGHT(("0"&amp;E933),2)&amp;RIGHT(("0"&amp;F933),2)&amp;RIGHT(("0"&amp;G933),2)&amp;RIGHT(("0"&amp;H933),2)</f>
        <v>021721364253</v>
      </c>
      <c r="J933" s="1" t="n">
        <f aca="false">COUNTIF(I:I,I933)</f>
        <v>1</v>
      </c>
      <c r="K933" s="1" t="n">
        <v>1</v>
      </c>
      <c r="L933" s="1" t="s">
        <v>914</v>
      </c>
      <c r="M933" s="1" t="s">
        <v>4471</v>
      </c>
      <c r="N933" s="1" t="n">
        <v>196</v>
      </c>
      <c r="O933" s="1" t="s">
        <v>4472</v>
      </c>
      <c r="P933" s="1" t="n">
        <v>10515</v>
      </c>
      <c r="Q933" s="1" t="s">
        <v>4473</v>
      </c>
      <c r="R933" s="1" t="s">
        <v>23</v>
      </c>
      <c r="S933" s="1" t="s">
        <v>23</v>
      </c>
      <c r="T933" s="1" t="s">
        <v>4251</v>
      </c>
      <c r="U933" s="1" t="s">
        <v>23</v>
      </c>
      <c r="V933" s="1" t="s">
        <v>4474</v>
      </c>
    </row>
    <row r="934" customFormat="false" ht="13.8" hidden="false" customHeight="false" outlineLevel="0" collapsed="false">
      <c r="A934" s="1" t="n">
        <v>933</v>
      </c>
      <c r="B934" s="2" t="s">
        <v>4475</v>
      </c>
      <c r="C934" s="1" t="n">
        <v>8</v>
      </c>
      <c r="D934" s="1" t="n">
        <v>14</v>
      </c>
      <c r="E934" s="1" t="n">
        <v>25</v>
      </c>
      <c r="F934" s="1" t="n">
        <v>39</v>
      </c>
      <c r="G934" s="1" t="n">
        <v>45</v>
      </c>
      <c r="H934" s="1" t="n">
        <v>51</v>
      </c>
      <c r="I934" s="1" t="str">
        <f aca="false">RIGHT(("0"&amp;C934),2)&amp;RIGHT(("0"&amp;D934),2)&amp;RIGHT(("0"&amp;E934),2)&amp;RIGHT(("0"&amp;F934),2)&amp;RIGHT(("0"&amp;G934),2)&amp;RIGHT(("0"&amp;H934),2)</f>
        <v>081425394551</v>
      </c>
      <c r="J934" s="1" t="n">
        <f aca="false">COUNTIF(I:I,I934)</f>
        <v>1</v>
      </c>
      <c r="K934" s="1" t="n">
        <v>0</v>
      </c>
      <c r="M934" s="1" t="s">
        <v>23</v>
      </c>
      <c r="N934" s="1" t="n">
        <v>66</v>
      </c>
      <c r="O934" s="1" t="s">
        <v>4476</v>
      </c>
      <c r="P934" s="1" t="n">
        <v>3308</v>
      </c>
      <c r="Q934" s="1" t="s">
        <v>3409</v>
      </c>
      <c r="R934" s="1" t="s">
        <v>4477</v>
      </c>
      <c r="S934" s="1" t="s">
        <v>23</v>
      </c>
      <c r="T934" s="1" t="s">
        <v>473</v>
      </c>
      <c r="U934" s="1" t="s">
        <v>23</v>
      </c>
    </row>
    <row r="935" customFormat="false" ht="13.8" hidden="false" customHeight="false" outlineLevel="0" collapsed="false">
      <c r="A935" s="1" t="n">
        <v>934</v>
      </c>
      <c r="B935" s="2" t="s">
        <v>4478</v>
      </c>
      <c r="C935" s="1" t="n">
        <v>1</v>
      </c>
      <c r="D935" s="1" t="n">
        <v>3</v>
      </c>
      <c r="E935" s="1" t="n">
        <v>21</v>
      </c>
      <c r="F935" s="1" t="n">
        <v>25</v>
      </c>
      <c r="G935" s="1" t="n">
        <v>44</v>
      </c>
      <c r="H935" s="1" t="n">
        <v>48</v>
      </c>
      <c r="I935" s="1" t="str">
        <f aca="false">RIGHT(("0"&amp;C935),2)&amp;RIGHT(("0"&amp;D935),2)&amp;RIGHT(("0"&amp;E935),2)&amp;RIGHT(("0"&amp;F935),2)&amp;RIGHT(("0"&amp;G935),2)&amp;RIGHT(("0"&amp;H935),2)</f>
        <v>010321254448</v>
      </c>
      <c r="J935" s="1" t="n">
        <f aca="false">COUNTIF(I:I,I935)</f>
        <v>1</v>
      </c>
      <c r="K935" s="1" t="n">
        <v>0</v>
      </c>
      <c r="M935" s="1" t="s">
        <v>23</v>
      </c>
      <c r="N935" s="1" t="n">
        <v>55</v>
      </c>
      <c r="O935" s="1" t="s">
        <v>4479</v>
      </c>
      <c r="P935" s="1" t="n">
        <v>5101</v>
      </c>
      <c r="Q935" s="1" t="s">
        <v>4480</v>
      </c>
      <c r="R935" s="1" t="s">
        <v>4481</v>
      </c>
      <c r="S935" s="1" t="s">
        <v>23</v>
      </c>
      <c r="T935" s="1" t="s">
        <v>3602</v>
      </c>
      <c r="U935" s="1" t="s">
        <v>23</v>
      </c>
    </row>
    <row r="936" customFormat="false" ht="13.8" hidden="false" customHeight="false" outlineLevel="0" collapsed="false">
      <c r="A936" s="1" t="n">
        <v>935</v>
      </c>
      <c r="B936" s="2" t="s">
        <v>4482</v>
      </c>
      <c r="C936" s="1" t="n">
        <v>7</v>
      </c>
      <c r="D936" s="1" t="n">
        <v>13</v>
      </c>
      <c r="E936" s="1" t="n">
        <v>18</v>
      </c>
      <c r="F936" s="1" t="n">
        <v>29</v>
      </c>
      <c r="G936" s="1" t="n">
        <v>31</v>
      </c>
      <c r="H936" s="1" t="n">
        <v>45</v>
      </c>
      <c r="I936" s="1" t="str">
        <f aca="false">RIGHT(("0"&amp;C936),2)&amp;RIGHT(("0"&amp;D936),2)&amp;RIGHT(("0"&amp;E936),2)&amp;RIGHT(("0"&amp;F936),2)&amp;RIGHT(("0"&amp;G936),2)&amp;RIGHT(("0"&amp;H936),2)</f>
        <v>071318293145</v>
      </c>
      <c r="J936" s="1" t="n">
        <f aca="false">COUNTIF(I:I,I936)</f>
        <v>1</v>
      </c>
      <c r="K936" s="1" t="n">
        <v>0</v>
      </c>
      <c r="M936" s="1" t="s">
        <v>23</v>
      </c>
      <c r="N936" s="1" t="n">
        <v>243</v>
      </c>
      <c r="O936" s="1" t="s">
        <v>4483</v>
      </c>
      <c r="P936" s="1" t="n">
        <v>10898</v>
      </c>
      <c r="Q936" s="1" t="s">
        <v>4484</v>
      </c>
      <c r="R936" s="1" t="s">
        <v>4485</v>
      </c>
      <c r="S936" s="1" t="s">
        <v>23</v>
      </c>
      <c r="T936" s="1" t="s">
        <v>4208</v>
      </c>
      <c r="U936" s="1" t="s">
        <v>23</v>
      </c>
    </row>
    <row r="937" customFormat="false" ht="13.8" hidden="false" customHeight="false" outlineLevel="0" collapsed="false">
      <c r="A937" s="1" t="n">
        <v>936</v>
      </c>
      <c r="B937" s="2" t="s">
        <v>4486</v>
      </c>
      <c r="C937" s="1" t="n">
        <v>5</v>
      </c>
      <c r="D937" s="1" t="n">
        <v>14</v>
      </c>
      <c r="E937" s="1" t="n">
        <v>22</v>
      </c>
      <c r="F937" s="1" t="n">
        <v>29</v>
      </c>
      <c r="G937" s="1" t="n">
        <v>33</v>
      </c>
      <c r="H937" s="1" t="n">
        <v>44</v>
      </c>
      <c r="I937" s="1" t="str">
        <f aca="false">RIGHT(("0"&amp;C937),2)&amp;RIGHT(("0"&amp;D937),2)&amp;RIGHT(("0"&amp;E937),2)&amp;RIGHT(("0"&amp;F937),2)&amp;RIGHT(("0"&amp;G937),2)&amp;RIGHT(("0"&amp;H937),2)</f>
        <v>051422293344</v>
      </c>
      <c r="J937" s="1" t="n">
        <f aca="false">COUNTIF(I:I,I937)</f>
        <v>1</v>
      </c>
      <c r="K937" s="1" t="n">
        <v>2</v>
      </c>
      <c r="L937" s="1" t="s">
        <v>4487</v>
      </c>
      <c r="M937" s="1" t="s">
        <v>4488</v>
      </c>
      <c r="N937" s="1" t="n">
        <v>144</v>
      </c>
      <c r="O937" s="1" t="s">
        <v>4489</v>
      </c>
      <c r="P937" s="1" t="n">
        <v>9280</v>
      </c>
      <c r="Q937" s="1" t="s">
        <v>4490</v>
      </c>
      <c r="R937" s="1" t="s">
        <v>23</v>
      </c>
      <c r="S937" s="1" t="s">
        <v>23</v>
      </c>
      <c r="T937" s="1" t="s">
        <v>4390</v>
      </c>
      <c r="U937" s="1" t="s">
        <v>23</v>
      </c>
      <c r="V937" s="1" t="s">
        <v>4491</v>
      </c>
    </row>
    <row r="938" customFormat="false" ht="13.8" hidden="false" customHeight="false" outlineLevel="0" collapsed="false">
      <c r="A938" s="1" t="n">
        <v>937</v>
      </c>
      <c r="B938" s="2" t="s">
        <v>4492</v>
      </c>
      <c r="C938" s="1" t="n">
        <v>2</v>
      </c>
      <c r="D938" s="1" t="n">
        <v>21</v>
      </c>
      <c r="E938" s="1" t="n">
        <v>22</v>
      </c>
      <c r="F938" s="1" t="n">
        <v>30</v>
      </c>
      <c r="G938" s="1" t="n">
        <v>41</v>
      </c>
      <c r="H938" s="1" t="n">
        <v>52</v>
      </c>
      <c r="I938" s="1" t="str">
        <f aca="false">RIGHT(("0"&amp;C938),2)&amp;RIGHT(("0"&amp;D938),2)&amp;RIGHT(("0"&amp;E938),2)&amp;RIGHT(("0"&amp;F938),2)&amp;RIGHT(("0"&amp;G938),2)&amp;RIGHT(("0"&amp;H938),2)</f>
        <v>022122304152</v>
      </c>
      <c r="J938" s="1" t="n">
        <f aca="false">COUNTIF(I:I,I938)</f>
        <v>1</v>
      </c>
      <c r="K938" s="1" t="n">
        <v>0</v>
      </c>
      <c r="M938" s="1" t="s">
        <v>23</v>
      </c>
      <c r="N938" s="1" t="n">
        <v>20</v>
      </c>
      <c r="O938" s="1" t="s">
        <v>4493</v>
      </c>
      <c r="P938" s="1" t="n">
        <v>1763</v>
      </c>
      <c r="Q938" s="1" t="s">
        <v>4494</v>
      </c>
      <c r="R938" s="1" t="s">
        <v>4495</v>
      </c>
      <c r="S938" s="1" t="s">
        <v>23</v>
      </c>
      <c r="T938" s="1" t="s">
        <v>473</v>
      </c>
      <c r="U938" s="1" t="s">
        <v>23</v>
      </c>
    </row>
    <row r="939" customFormat="false" ht="13.8" hidden="false" customHeight="false" outlineLevel="0" collapsed="false">
      <c r="A939" s="1" t="n">
        <v>938</v>
      </c>
      <c r="B939" s="2" t="s">
        <v>4496</v>
      </c>
      <c r="C939" s="1" t="n">
        <v>15</v>
      </c>
      <c r="D939" s="1" t="n">
        <v>27</v>
      </c>
      <c r="E939" s="1" t="n">
        <v>35</v>
      </c>
      <c r="F939" s="1" t="n">
        <v>50</v>
      </c>
      <c r="G939" s="1" t="n">
        <v>57</v>
      </c>
      <c r="H939" s="1" t="n">
        <v>59</v>
      </c>
      <c r="I939" s="1" t="str">
        <f aca="false">RIGHT(("0"&amp;C939),2)&amp;RIGHT(("0"&amp;D939),2)&amp;RIGHT(("0"&amp;E939),2)&amp;RIGHT(("0"&amp;F939),2)&amp;RIGHT(("0"&amp;G939),2)&amp;RIGHT(("0"&amp;H939),2)</f>
        <v>152735505759</v>
      </c>
      <c r="J939" s="1" t="n">
        <f aca="false">COUNTIF(I:I,I939)</f>
        <v>1</v>
      </c>
      <c r="K939" s="1" t="n">
        <v>0</v>
      </c>
      <c r="M939" s="1" t="s">
        <v>23</v>
      </c>
      <c r="N939" s="1" t="n">
        <v>39</v>
      </c>
      <c r="O939" s="1" t="s">
        <v>4497</v>
      </c>
      <c r="P939" s="1" t="n">
        <v>3235</v>
      </c>
      <c r="Q939" s="1" t="s">
        <v>4498</v>
      </c>
      <c r="R939" s="1" t="s">
        <v>4499</v>
      </c>
      <c r="S939" s="1" t="s">
        <v>23</v>
      </c>
      <c r="T939" s="1" t="s">
        <v>4227</v>
      </c>
      <c r="U939" s="1" t="s">
        <v>23</v>
      </c>
    </row>
    <row r="940" customFormat="false" ht="13.8" hidden="false" customHeight="false" outlineLevel="0" collapsed="false">
      <c r="A940" s="1" t="n">
        <v>939</v>
      </c>
      <c r="B940" s="2" t="s">
        <v>4500</v>
      </c>
      <c r="C940" s="1" t="n">
        <v>6</v>
      </c>
      <c r="D940" s="1" t="n">
        <v>19</v>
      </c>
      <c r="E940" s="1" t="n">
        <v>23</v>
      </c>
      <c r="F940" s="1" t="n">
        <v>37</v>
      </c>
      <c r="G940" s="1" t="n">
        <v>49</v>
      </c>
      <c r="H940" s="1" t="n">
        <v>50</v>
      </c>
      <c r="I940" s="1" t="str">
        <f aca="false">RIGHT(("0"&amp;C940),2)&amp;RIGHT(("0"&amp;D940),2)&amp;RIGHT(("0"&amp;E940),2)&amp;RIGHT(("0"&amp;F940),2)&amp;RIGHT(("0"&amp;G940),2)&amp;RIGHT(("0"&amp;H940),2)</f>
        <v>061923374950</v>
      </c>
      <c r="J940" s="1" t="n">
        <f aca="false">COUNTIF(I:I,I940)</f>
        <v>1</v>
      </c>
      <c r="K940" s="1" t="n">
        <v>0</v>
      </c>
      <c r="M940" s="1" t="s">
        <v>23</v>
      </c>
      <c r="N940" s="1" t="n">
        <v>103</v>
      </c>
      <c r="O940" s="1" t="s">
        <v>4501</v>
      </c>
      <c r="P940" s="1" t="n">
        <v>5670</v>
      </c>
      <c r="Q940" s="1" t="s">
        <v>4502</v>
      </c>
      <c r="R940" s="1" t="s">
        <v>4503</v>
      </c>
      <c r="S940" s="1" t="s">
        <v>23</v>
      </c>
      <c r="T940" s="1" t="s">
        <v>4504</v>
      </c>
      <c r="U940" s="1" t="s">
        <v>23</v>
      </c>
    </row>
    <row r="941" customFormat="false" ht="13.8" hidden="false" customHeight="false" outlineLevel="0" collapsed="false">
      <c r="A941" s="1" t="n">
        <v>940</v>
      </c>
      <c r="B941" s="2" t="s">
        <v>4505</v>
      </c>
      <c r="C941" s="1" t="n">
        <v>5</v>
      </c>
      <c r="D941" s="1" t="n">
        <v>25</v>
      </c>
      <c r="E941" s="1" t="n">
        <v>31</v>
      </c>
      <c r="F941" s="1" t="n">
        <v>33</v>
      </c>
      <c r="G941" s="1" t="n">
        <v>37</v>
      </c>
      <c r="H941" s="1" t="n">
        <v>51</v>
      </c>
      <c r="I941" s="1" t="str">
        <f aca="false">RIGHT(("0"&amp;C941),2)&amp;RIGHT(("0"&amp;D941),2)&amp;RIGHT(("0"&amp;E941),2)&amp;RIGHT(("0"&amp;F941),2)&amp;RIGHT(("0"&amp;G941),2)&amp;RIGHT(("0"&amp;H941),2)</f>
        <v>052531333751</v>
      </c>
      <c r="J941" s="1" t="n">
        <f aca="false">COUNTIF(I:I,I941)</f>
        <v>1</v>
      </c>
      <c r="K941" s="1" t="n">
        <v>0</v>
      </c>
      <c r="M941" s="1" t="s">
        <v>23</v>
      </c>
      <c r="N941" s="1" t="n">
        <v>109</v>
      </c>
      <c r="O941" s="1" t="s">
        <v>4506</v>
      </c>
      <c r="P941" s="1" t="n">
        <v>6936</v>
      </c>
      <c r="Q941" s="1" t="s">
        <v>4507</v>
      </c>
      <c r="R941" s="1" t="s">
        <v>4508</v>
      </c>
      <c r="S941" s="1" t="s">
        <v>23</v>
      </c>
      <c r="T941" s="1" t="s">
        <v>3602</v>
      </c>
      <c r="U941" s="1" t="s">
        <v>23</v>
      </c>
    </row>
    <row r="942" customFormat="false" ht="13.8" hidden="false" customHeight="false" outlineLevel="0" collapsed="false">
      <c r="A942" s="1" t="n">
        <v>941</v>
      </c>
      <c r="B942" s="2" t="s">
        <v>4509</v>
      </c>
      <c r="C942" s="1" t="n">
        <v>10</v>
      </c>
      <c r="D942" s="1" t="n">
        <v>11</v>
      </c>
      <c r="E942" s="1" t="n">
        <v>15</v>
      </c>
      <c r="F942" s="1" t="n">
        <v>27</v>
      </c>
      <c r="G942" s="1" t="n">
        <v>53</v>
      </c>
      <c r="H942" s="1" t="n">
        <v>60</v>
      </c>
      <c r="I942" s="1" t="str">
        <f aca="false">RIGHT(("0"&amp;C942),2)&amp;RIGHT(("0"&amp;D942),2)&amp;RIGHT(("0"&amp;E942),2)&amp;RIGHT(("0"&amp;F942),2)&amp;RIGHT(("0"&amp;G942),2)&amp;RIGHT(("0"&amp;H942),2)</f>
        <v>101115275360</v>
      </c>
      <c r="J942" s="1" t="n">
        <f aca="false">COUNTIF(I:I,I942)</f>
        <v>1</v>
      </c>
      <c r="K942" s="1" t="n">
        <v>0</v>
      </c>
      <c r="M942" s="1" t="s">
        <v>23</v>
      </c>
      <c r="N942" s="1" t="n">
        <v>37</v>
      </c>
      <c r="O942" s="1" t="s">
        <v>4510</v>
      </c>
      <c r="P942" s="1" t="n">
        <v>3406</v>
      </c>
      <c r="Q942" s="1" t="s">
        <v>4511</v>
      </c>
      <c r="R942" s="1" t="s">
        <v>4512</v>
      </c>
      <c r="S942" s="1" t="s">
        <v>23</v>
      </c>
      <c r="T942" s="1" t="s">
        <v>3928</v>
      </c>
      <c r="U942" s="1" t="s">
        <v>23</v>
      </c>
    </row>
    <row r="943" customFormat="false" ht="13.8" hidden="false" customHeight="false" outlineLevel="0" collapsed="false">
      <c r="A943" s="1" t="n">
        <v>942</v>
      </c>
      <c r="B943" s="2" t="s">
        <v>4513</v>
      </c>
      <c r="C943" s="1" t="n">
        <v>5</v>
      </c>
      <c r="D943" s="1" t="n">
        <v>8</v>
      </c>
      <c r="E943" s="1" t="n">
        <v>18</v>
      </c>
      <c r="F943" s="1" t="n">
        <v>42</v>
      </c>
      <c r="G943" s="1" t="n">
        <v>52</v>
      </c>
      <c r="H943" s="1" t="n">
        <v>59</v>
      </c>
      <c r="I943" s="1" t="str">
        <f aca="false">RIGHT(("0"&amp;C943),2)&amp;RIGHT(("0"&amp;D943),2)&amp;RIGHT(("0"&amp;E943),2)&amp;RIGHT(("0"&amp;F943),2)&amp;RIGHT(("0"&amp;G943),2)&amp;RIGHT(("0"&amp;H943),2)</f>
        <v>050818425259</v>
      </c>
      <c r="J943" s="1" t="n">
        <f aca="false">COUNTIF(I:I,I943)</f>
        <v>1</v>
      </c>
      <c r="K943" s="1" t="n">
        <v>0</v>
      </c>
      <c r="M943" s="1" t="s">
        <v>23</v>
      </c>
      <c r="N943" s="1" t="n">
        <v>73</v>
      </c>
      <c r="O943" s="1" t="s">
        <v>4514</v>
      </c>
      <c r="P943" s="1" t="n">
        <v>5310</v>
      </c>
      <c r="Q943" s="1" t="s">
        <v>4515</v>
      </c>
      <c r="R943" s="1" t="s">
        <v>4516</v>
      </c>
      <c r="S943" s="1" t="s">
        <v>23</v>
      </c>
      <c r="T943" s="1" t="s">
        <v>4273</v>
      </c>
      <c r="U943" s="1" t="s">
        <v>23</v>
      </c>
    </row>
    <row r="944" customFormat="false" ht="13.8" hidden="false" customHeight="false" outlineLevel="0" collapsed="false">
      <c r="A944" s="1" t="n">
        <v>943</v>
      </c>
      <c r="B944" s="2" t="s">
        <v>4517</v>
      </c>
      <c r="C944" s="1" t="n">
        <v>3</v>
      </c>
      <c r="D944" s="1" t="n">
        <v>12</v>
      </c>
      <c r="E944" s="1" t="n">
        <v>23</v>
      </c>
      <c r="F944" s="1" t="n">
        <v>41</v>
      </c>
      <c r="G944" s="1" t="n">
        <v>47</v>
      </c>
      <c r="H944" s="1" t="n">
        <v>58</v>
      </c>
      <c r="I944" s="1" t="str">
        <f aca="false">RIGHT(("0"&amp;C944),2)&amp;RIGHT(("0"&amp;D944),2)&amp;RIGHT(("0"&amp;E944),2)&amp;RIGHT(("0"&amp;F944),2)&amp;RIGHT(("0"&amp;G944),2)&amp;RIGHT(("0"&amp;H944),2)</f>
        <v>031223414758</v>
      </c>
      <c r="J944" s="1" t="n">
        <f aca="false">COUNTIF(I:I,I944)</f>
        <v>1</v>
      </c>
      <c r="K944" s="1" t="n">
        <v>1</v>
      </c>
      <c r="L944" s="1" t="s">
        <v>140</v>
      </c>
      <c r="M944" s="1" t="s">
        <v>4518</v>
      </c>
      <c r="N944" s="1" t="n">
        <v>116</v>
      </c>
      <c r="O944" s="1" t="s">
        <v>4519</v>
      </c>
      <c r="P944" s="1" t="n">
        <v>7783</v>
      </c>
      <c r="Q944" s="1" t="s">
        <v>4520</v>
      </c>
      <c r="R944" s="1" t="s">
        <v>23</v>
      </c>
      <c r="S944" s="1" t="s">
        <v>23</v>
      </c>
      <c r="T944" s="1" t="s">
        <v>4521</v>
      </c>
      <c r="U944" s="1" t="s">
        <v>23</v>
      </c>
      <c r="V944" s="1" t="s">
        <v>4522</v>
      </c>
    </row>
    <row r="945" customFormat="false" ht="13.8" hidden="false" customHeight="false" outlineLevel="0" collapsed="false">
      <c r="A945" s="1" t="n">
        <v>944</v>
      </c>
      <c r="B945" s="2" t="s">
        <v>4523</v>
      </c>
      <c r="C945" s="1" t="n">
        <v>16</v>
      </c>
      <c r="D945" s="1" t="n">
        <v>37</v>
      </c>
      <c r="E945" s="1" t="n">
        <v>43</v>
      </c>
      <c r="F945" s="1" t="n">
        <v>52</v>
      </c>
      <c r="G945" s="1" t="n">
        <v>58</v>
      </c>
      <c r="H945" s="1" t="n">
        <v>59</v>
      </c>
      <c r="I945" s="1" t="str">
        <f aca="false">RIGHT(("0"&amp;C945),2)&amp;RIGHT(("0"&amp;D945),2)&amp;RIGHT(("0"&amp;E945),2)&amp;RIGHT(("0"&amp;F945),2)&amp;RIGHT(("0"&amp;G945),2)&amp;RIGHT(("0"&amp;H945),2)</f>
        <v>163743525859</v>
      </c>
      <c r="J945" s="1" t="n">
        <f aca="false">COUNTIF(I:I,I945)</f>
        <v>1</v>
      </c>
      <c r="K945" s="1" t="n">
        <v>0</v>
      </c>
      <c r="M945" s="1" t="s">
        <v>23</v>
      </c>
      <c r="N945" s="1" t="n">
        <v>21</v>
      </c>
      <c r="O945" s="1" t="s">
        <v>4524</v>
      </c>
      <c r="P945" s="1" t="n">
        <v>2669</v>
      </c>
      <c r="Q945" s="1" t="s">
        <v>4525</v>
      </c>
      <c r="R945" s="1" t="s">
        <v>4526</v>
      </c>
      <c r="S945" s="1" t="s">
        <v>23</v>
      </c>
      <c r="T945" s="1" t="s">
        <v>4461</v>
      </c>
      <c r="U945" s="1" t="s">
        <v>23</v>
      </c>
    </row>
    <row r="946" customFormat="false" ht="13.8" hidden="false" customHeight="false" outlineLevel="0" collapsed="false">
      <c r="A946" s="1" t="n">
        <v>945</v>
      </c>
      <c r="B946" s="2" t="s">
        <v>4527</v>
      </c>
      <c r="C946" s="1" t="n">
        <v>4</v>
      </c>
      <c r="D946" s="1" t="n">
        <v>8</v>
      </c>
      <c r="E946" s="1" t="n">
        <v>27</v>
      </c>
      <c r="F946" s="1" t="n">
        <v>44</v>
      </c>
      <c r="G946" s="1" t="n">
        <v>54</v>
      </c>
      <c r="H946" s="1" t="n">
        <v>59</v>
      </c>
      <c r="I946" s="1" t="str">
        <f aca="false">RIGHT(("0"&amp;C946),2)&amp;RIGHT(("0"&amp;D946),2)&amp;RIGHT(("0"&amp;E946),2)&amp;RIGHT(("0"&amp;F946),2)&amp;RIGHT(("0"&amp;G946),2)&amp;RIGHT(("0"&amp;H946),2)</f>
        <v>040827445459</v>
      </c>
      <c r="J946" s="1" t="n">
        <f aca="false">COUNTIF(I:I,I946)</f>
        <v>1</v>
      </c>
      <c r="K946" s="1" t="n">
        <v>0</v>
      </c>
      <c r="M946" s="1" t="s">
        <v>23</v>
      </c>
      <c r="N946" s="1" t="n">
        <v>118</v>
      </c>
      <c r="O946" s="1" t="s">
        <v>4528</v>
      </c>
      <c r="P946" s="1" t="n">
        <v>6615</v>
      </c>
      <c r="Q946" s="1" t="s">
        <v>4529</v>
      </c>
      <c r="R946" s="1" t="s">
        <v>4530</v>
      </c>
      <c r="S946" s="1" t="s">
        <v>23</v>
      </c>
      <c r="T946" s="1" t="s">
        <v>4531</v>
      </c>
      <c r="U946" s="1" t="s">
        <v>23</v>
      </c>
    </row>
    <row r="947" customFormat="false" ht="13.8" hidden="false" customHeight="false" outlineLevel="0" collapsed="false">
      <c r="A947" s="1" t="n">
        <v>946</v>
      </c>
      <c r="B947" s="2" t="s">
        <v>4532</v>
      </c>
      <c r="C947" s="1" t="n">
        <v>1</v>
      </c>
      <c r="D947" s="1" t="n">
        <v>5</v>
      </c>
      <c r="E947" s="1" t="n">
        <v>12</v>
      </c>
      <c r="F947" s="1" t="n">
        <v>47</v>
      </c>
      <c r="G947" s="1" t="n">
        <v>52</v>
      </c>
      <c r="H947" s="1" t="n">
        <v>59</v>
      </c>
      <c r="I947" s="1" t="str">
        <f aca="false">RIGHT(("0"&amp;C947),2)&amp;RIGHT(("0"&amp;D947),2)&amp;RIGHT(("0"&amp;E947),2)&amp;RIGHT(("0"&amp;F947),2)&amp;RIGHT(("0"&amp;G947),2)&amp;RIGHT(("0"&amp;H947),2)</f>
        <v>010512475259</v>
      </c>
      <c r="J947" s="1" t="n">
        <f aca="false">COUNTIF(I:I,I947)</f>
        <v>1</v>
      </c>
      <c r="K947" s="1" t="n">
        <v>0</v>
      </c>
      <c r="M947" s="1" t="s">
        <v>23</v>
      </c>
      <c r="N947" s="1" t="n">
        <v>92</v>
      </c>
      <c r="O947" s="1" t="s">
        <v>4533</v>
      </c>
      <c r="P947" s="1" t="n">
        <v>6373</v>
      </c>
      <c r="Q947" s="1" t="s">
        <v>4534</v>
      </c>
      <c r="R947" s="1" t="s">
        <v>4535</v>
      </c>
      <c r="S947" s="1" t="s">
        <v>23</v>
      </c>
      <c r="T947" s="1" t="s">
        <v>3928</v>
      </c>
      <c r="U947" s="1" t="s">
        <v>23</v>
      </c>
    </row>
    <row r="948" customFormat="false" ht="13.8" hidden="false" customHeight="false" outlineLevel="0" collapsed="false">
      <c r="A948" s="1" t="n">
        <v>947</v>
      </c>
      <c r="B948" s="2" t="s">
        <v>4536</v>
      </c>
      <c r="C948" s="1" t="n">
        <v>3</v>
      </c>
      <c r="D948" s="1" t="n">
        <v>5</v>
      </c>
      <c r="E948" s="1" t="n">
        <v>11</v>
      </c>
      <c r="F948" s="1" t="n">
        <v>14</v>
      </c>
      <c r="G948" s="1" t="n">
        <v>33</v>
      </c>
      <c r="H948" s="1" t="n">
        <v>58</v>
      </c>
      <c r="I948" s="1" t="str">
        <f aca="false">RIGHT(("0"&amp;C948),2)&amp;RIGHT(("0"&amp;D948),2)&amp;RIGHT(("0"&amp;E948),2)&amp;RIGHT(("0"&amp;F948),2)&amp;RIGHT(("0"&amp;G948),2)&amp;RIGHT(("0"&amp;H948),2)</f>
        <v>030511143358</v>
      </c>
      <c r="J948" s="1" t="n">
        <f aca="false">COUNTIF(I:I,I948)</f>
        <v>1</v>
      </c>
      <c r="K948" s="1" t="n">
        <v>1</v>
      </c>
      <c r="L948" s="1" t="s">
        <v>91</v>
      </c>
      <c r="M948" s="1" t="s">
        <v>4537</v>
      </c>
      <c r="N948" s="1" t="n">
        <v>95</v>
      </c>
      <c r="O948" s="1" t="s">
        <v>4538</v>
      </c>
      <c r="P948" s="1" t="n">
        <v>8955</v>
      </c>
      <c r="Q948" s="1" t="s">
        <v>4539</v>
      </c>
      <c r="R948" s="1" t="s">
        <v>23</v>
      </c>
      <c r="S948" s="1" t="s">
        <v>23</v>
      </c>
      <c r="T948" s="1" t="s">
        <v>4218</v>
      </c>
      <c r="U948" s="1" t="s">
        <v>23</v>
      </c>
      <c r="V948" s="1" t="s">
        <v>4540</v>
      </c>
    </row>
    <row r="949" customFormat="false" ht="13.8" hidden="false" customHeight="false" outlineLevel="0" collapsed="false">
      <c r="A949" s="1" t="n">
        <v>948</v>
      </c>
      <c r="B949" s="2" t="s">
        <v>4541</v>
      </c>
      <c r="C949" s="1" t="n">
        <v>22</v>
      </c>
      <c r="D949" s="1" t="n">
        <v>41</v>
      </c>
      <c r="E949" s="1" t="n">
        <v>44</v>
      </c>
      <c r="F949" s="1" t="n">
        <v>46</v>
      </c>
      <c r="G949" s="1" t="n">
        <v>52</v>
      </c>
      <c r="H949" s="1" t="n">
        <v>54</v>
      </c>
      <c r="I949" s="1" t="str">
        <f aca="false">RIGHT(("0"&amp;C949),2)&amp;RIGHT(("0"&amp;D949),2)&amp;RIGHT(("0"&amp;E949),2)&amp;RIGHT(("0"&amp;F949),2)&amp;RIGHT(("0"&amp;G949),2)&amp;RIGHT(("0"&amp;H949),2)</f>
        <v>224144465254</v>
      </c>
      <c r="J949" s="1" t="n">
        <f aca="false">COUNTIF(I:I,I949)</f>
        <v>1</v>
      </c>
      <c r="K949" s="1" t="n">
        <v>0</v>
      </c>
      <c r="M949" s="1" t="s">
        <v>23</v>
      </c>
      <c r="N949" s="1" t="n">
        <v>30</v>
      </c>
      <c r="O949" s="1" t="s">
        <v>4542</v>
      </c>
      <c r="P949" s="1" t="n">
        <v>2141</v>
      </c>
      <c r="Q949" s="1" t="s">
        <v>4543</v>
      </c>
      <c r="R949" s="1" t="s">
        <v>4544</v>
      </c>
      <c r="S949" s="1" t="s">
        <v>23</v>
      </c>
      <c r="T949" s="1" t="s">
        <v>473</v>
      </c>
      <c r="U949" s="1" t="s">
        <v>23</v>
      </c>
    </row>
    <row r="950" customFormat="false" ht="13.8" hidden="false" customHeight="false" outlineLevel="0" collapsed="false">
      <c r="A950" s="1" t="n">
        <v>949</v>
      </c>
      <c r="B950" s="2" t="s">
        <v>4545</v>
      </c>
      <c r="C950" s="1" t="n">
        <v>1</v>
      </c>
      <c r="D950" s="1" t="n">
        <v>23</v>
      </c>
      <c r="E950" s="1" t="n">
        <v>41</v>
      </c>
      <c r="F950" s="1" t="n">
        <v>44</v>
      </c>
      <c r="G950" s="1" t="n">
        <v>51</v>
      </c>
      <c r="H950" s="1" t="n">
        <v>52</v>
      </c>
      <c r="I950" s="1" t="str">
        <f aca="false">RIGHT(("0"&amp;C950),2)&amp;RIGHT(("0"&amp;D950),2)&amp;RIGHT(("0"&amp;E950),2)&amp;RIGHT(("0"&amp;F950),2)&amp;RIGHT(("0"&amp;G950),2)&amp;RIGHT(("0"&amp;H950),2)</f>
        <v>012341445152</v>
      </c>
      <c r="J950" s="1" t="n">
        <f aca="false">COUNTIF(I:I,I950)</f>
        <v>1</v>
      </c>
      <c r="K950" s="1" t="n">
        <v>0</v>
      </c>
      <c r="M950" s="1" t="s">
        <v>23</v>
      </c>
      <c r="N950" s="1" t="n">
        <v>28</v>
      </c>
      <c r="O950" s="1" t="s">
        <v>4546</v>
      </c>
      <c r="P950" s="1" t="n">
        <v>2679</v>
      </c>
      <c r="Q950" s="1" t="s">
        <v>4547</v>
      </c>
      <c r="R950" s="1" t="s">
        <v>4548</v>
      </c>
      <c r="S950" s="1" t="s">
        <v>23</v>
      </c>
      <c r="T950" s="1" t="s">
        <v>3727</v>
      </c>
      <c r="U950" s="1" t="s">
        <v>23</v>
      </c>
    </row>
    <row r="951" customFormat="false" ht="13.8" hidden="false" customHeight="false" outlineLevel="0" collapsed="false">
      <c r="A951" s="1" t="n">
        <v>950</v>
      </c>
      <c r="B951" s="2" t="s">
        <v>4549</v>
      </c>
      <c r="C951" s="1" t="n">
        <v>23</v>
      </c>
      <c r="D951" s="1" t="n">
        <v>41</v>
      </c>
      <c r="E951" s="1" t="n">
        <v>42</v>
      </c>
      <c r="F951" s="1" t="n">
        <v>48</v>
      </c>
      <c r="G951" s="1" t="n">
        <v>49</v>
      </c>
      <c r="H951" s="1" t="n">
        <v>59</v>
      </c>
      <c r="I951" s="1" t="str">
        <f aca="false">RIGHT(("0"&amp;C951),2)&amp;RIGHT(("0"&amp;D951),2)&amp;RIGHT(("0"&amp;E951),2)&amp;RIGHT(("0"&amp;F951),2)&amp;RIGHT(("0"&amp;G951),2)&amp;RIGHT(("0"&amp;H951),2)</f>
        <v>234142484959</v>
      </c>
      <c r="J951" s="1" t="n">
        <f aca="false">COUNTIF(I:I,I951)</f>
        <v>1</v>
      </c>
      <c r="K951" s="1" t="n">
        <v>0</v>
      </c>
      <c r="M951" s="1" t="s">
        <v>23</v>
      </c>
      <c r="N951" s="1" t="n">
        <v>43</v>
      </c>
      <c r="O951" s="1" t="s">
        <v>4550</v>
      </c>
      <c r="P951" s="1" t="n">
        <v>3953</v>
      </c>
      <c r="Q951" s="1" t="s">
        <v>4551</v>
      </c>
      <c r="R951" s="1" t="s">
        <v>4552</v>
      </c>
      <c r="S951" s="1" t="s">
        <v>23</v>
      </c>
      <c r="T951" s="1" t="s">
        <v>3602</v>
      </c>
      <c r="U951" s="1" t="s">
        <v>23</v>
      </c>
    </row>
    <row r="952" customFormat="false" ht="13.8" hidden="false" customHeight="false" outlineLevel="0" collapsed="false">
      <c r="A952" s="1" t="n">
        <v>951</v>
      </c>
      <c r="B952" s="2" t="s">
        <v>4553</v>
      </c>
      <c r="C952" s="1" t="n">
        <v>14</v>
      </c>
      <c r="D952" s="1" t="n">
        <v>24</v>
      </c>
      <c r="E952" s="1" t="n">
        <v>34</v>
      </c>
      <c r="F952" s="1" t="n">
        <v>39</v>
      </c>
      <c r="G952" s="1" t="n">
        <v>49</v>
      </c>
      <c r="H952" s="1" t="n">
        <v>55</v>
      </c>
      <c r="I952" s="1" t="str">
        <f aca="false">RIGHT(("0"&amp;C952),2)&amp;RIGHT(("0"&amp;D952),2)&amp;RIGHT(("0"&amp;E952),2)&amp;RIGHT(("0"&amp;F952),2)&amp;RIGHT(("0"&amp;G952),2)&amp;RIGHT(("0"&amp;H952),2)</f>
        <v>142434394955</v>
      </c>
      <c r="J952" s="1" t="n">
        <f aca="false">COUNTIF(I:I,I952)</f>
        <v>1</v>
      </c>
      <c r="K952" s="1" t="n">
        <v>0</v>
      </c>
      <c r="M952" s="1" t="s">
        <v>23</v>
      </c>
      <c r="N952" s="1" t="n">
        <v>41</v>
      </c>
      <c r="O952" s="1" t="s">
        <v>4554</v>
      </c>
      <c r="P952" s="1" t="n">
        <v>3894</v>
      </c>
      <c r="Q952" s="1" t="s">
        <v>4555</v>
      </c>
      <c r="R952" s="1" t="s">
        <v>4556</v>
      </c>
      <c r="S952" s="1" t="s">
        <v>23</v>
      </c>
      <c r="T952" s="1" t="s">
        <v>4208</v>
      </c>
      <c r="U952" s="1" t="s">
        <v>23</v>
      </c>
    </row>
    <row r="953" customFormat="false" ht="13.8" hidden="false" customHeight="false" outlineLevel="0" collapsed="false">
      <c r="A953" s="1" t="n">
        <v>952</v>
      </c>
      <c r="B953" s="2" t="s">
        <v>4557</v>
      </c>
      <c r="C953" s="1" t="n">
        <v>2</v>
      </c>
      <c r="D953" s="1" t="n">
        <v>11</v>
      </c>
      <c r="E953" s="1" t="n">
        <v>18</v>
      </c>
      <c r="F953" s="1" t="n">
        <v>27</v>
      </c>
      <c r="G953" s="1" t="n">
        <v>30</v>
      </c>
      <c r="H953" s="1" t="n">
        <v>54</v>
      </c>
      <c r="I953" s="1" t="str">
        <f aca="false">RIGHT(("0"&amp;C953),2)&amp;RIGHT(("0"&amp;D953),2)&amp;RIGHT(("0"&amp;E953),2)&amp;RIGHT(("0"&amp;F953),2)&amp;RIGHT(("0"&amp;G953),2)&amp;RIGHT(("0"&amp;H953),2)</f>
        <v>021118273054</v>
      </c>
      <c r="J953" s="1" t="n">
        <f aca="false">COUNTIF(I:I,I953)</f>
        <v>1</v>
      </c>
      <c r="K953" s="1" t="n">
        <v>0</v>
      </c>
      <c r="M953" s="1" t="s">
        <v>23</v>
      </c>
      <c r="N953" s="1" t="n">
        <v>132</v>
      </c>
      <c r="O953" s="1" t="s">
        <v>4558</v>
      </c>
      <c r="P953" s="1" t="n">
        <v>7126</v>
      </c>
      <c r="Q953" s="1" t="s">
        <v>4559</v>
      </c>
      <c r="R953" s="1" t="s">
        <v>4560</v>
      </c>
      <c r="S953" s="1" t="s">
        <v>23</v>
      </c>
      <c r="T953" s="1" t="s">
        <v>4273</v>
      </c>
      <c r="U953" s="1" t="s">
        <v>23</v>
      </c>
    </row>
    <row r="954" customFormat="false" ht="13.8" hidden="false" customHeight="false" outlineLevel="0" collapsed="false">
      <c r="A954" s="1" t="n">
        <v>953</v>
      </c>
      <c r="B954" s="2" t="s">
        <v>4561</v>
      </c>
      <c r="C954" s="1" t="n">
        <v>1</v>
      </c>
      <c r="D954" s="1" t="n">
        <v>16</v>
      </c>
      <c r="E954" s="1" t="n">
        <v>39</v>
      </c>
      <c r="F954" s="1" t="n">
        <v>42</v>
      </c>
      <c r="G954" s="1" t="n">
        <v>48</v>
      </c>
      <c r="H954" s="1" t="n">
        <v>55</v>
      </c>
      <c r="I954" s="1" t="str">
        <f aca="false">RIGHT(("0"&amp;C954),2)&amp;RIGHT(("0"&amp;D954),2)&amp;RIGHT(("0"&amp;E954),2)&amp;RIGHT(("0"&amp;F954),2)&amp;RIGHT(("0"&amp;G954),2)&amp;RIGHT(("0"&amp;H954),2)</f>
        <v>011639424855</v>
      </c>
      <c r="J954" s="1" t="n">
        <f aca="false">COUNTIF(I:I,I954)</f>
        <v>1</v>
      </c>
      <c r="K954" s="1" t="n">
        <v>1</v>
      </c>
      <c r="L954" s="1" t="s">
        <v>157</v>
      </c>
      <c r="M954" s="1" t="s">
        <v>4562</v>
      </c>
      <c r="N954" s="1" t="n">
        <v>71</v>
      </c>
      <c r="O954" s="1" t="s">
        <v>4563</v>
      </c>
      <c r="P954" s="1" t="n">
        <v>5055</v>
      </c>
      <c r="Q954" s="1" t="s">
        <v>4564</v>
      </c>
      <c r="R954" s="1" t="s">
        <v>23</v>
      </c>
      <c r="S954" s="1" t="s">
        <v>23</v>
      </c>
      <c r="T954" s="1" t="s">
        <v>4390</v>
      </c>
      <c r="U954" s="1" t="s">
        <v>23</v>
      </c>
      <c r="V954" s="1" t="s">
        <v>4565</v>
      </c>
    </row>
    <row r="955" customFormat="false" ht="13.8" hidden="false" customHeight="false" outlineLevel="0" collapsed="false">
      <c r="A955" s="1" t="n">
        <v>954</v>
      </c>
      <c r="B955" s="2" t="s">
        <v>4566</v>
      </c>
      <c r="C955" s="1" t="n">
        <v>5</v>
      </c>
      <c r="D955" s="1" t="n">
        <v>8</v>
      </c>
      <c r="E955" s="1" t="n">
        <v>18</v>
      </c>
      <c r="F955" s="1" t="n">
        <v>24</v>
      </c>
      <c r="G955" s="1" t="n">
        <v>33</v>
      </c>
      <c r="H955" s="1" t="n">
        <v>57</v>
      </c>
      <c r="I955" s="1" t="str">
        <f aca="false">RIGHT(("0"&amp;C955),2)&amp;RIGHT(("0"&amp;D955),2)&amp;RIGHT(("0"&amp;E955),2)&amp;RIGHT(("0"&amp;F955),2)&amp;RIGHT(("0"&amp;G955),2)&amp;RIGHT(("0"&amp;H955),2)</f>
        <v>050818243357</v>
      </c>
      <c r="J955" s="1" t="n">
        <f aca="false">COUNTIF(I:I,I955)</f>
        <v>1</v>
      </c>
      <c r="K955" s="1" t="n">
        <v>0</v>
      </c>
      <c r="M955" s="1" t="s">
        <v>23</v>
      </c>
      <c r="N955" s="1" t="n">
        <v>81</v>
      </c>
      <c r="O955" s="1" t="s">
        <v>4567</v>
      </c>
      <c r="P955" s="1" t="n">
        <v>5213</v>
      </c>
      <c r="Q955" s="1" t="s">
        <v>4568</v>
      </c>
      <c r="R955" s="1" t="s">
        <v>4569</v>
      </c>
      <c r="S955" s="1" t="s">
        <v>23</v>
      </c>
      <c r="T955" s="1" t="s">
        <v>4461</v>
      </c>
      <c r="U955" s="1" t="s">
        <v>23</v>
      </c>
    </row>
    <row r="956" customFormat="false" ht="13.8" hidden="false" customHeight="false" outlineLevel="0" collapsed="false">
      <c r="A956" s="1" t="n">
        <v>955</v>
      </c>
      <c r="B956" s="2" t="s">
        <v>4570</v>
      </c>
      <c r="C956" s="1" t="n">
        <v>5</v>
      </c>
      <c r="D956" s="1" t="n">
        <v>12</v>
      </c>
      <c r="E956" s="1" t="n">
        <v>21</v>
      </c>
      <c r="F956" s="1" t="n">
        <v>32</v>
      </c>
      <c r="G956" s="1" t="n">
        <v>33</v>
      </c>
      <c r="H956" s="1" t="n">
        <v>35</v>
      </c>
      <c r="I956" s="1" t="str">
        <f aca="false">RIGHT(("0"&amp;C956),2)&amp;RIGHT(("0"&amp;D956),2)&amp;RIGHT(("0"&amp;E956),2)&amp;RIGHT(("0"&amp;F956),2)&amp;RIGHT(("0"&amp;G956),2)&amp;RIGHT(("0"&amp;H956),2)</f>
        <v>051221323335</v>
      </c>
      <c r="J956" s="1" t="n">
        <f aca="false">COUNTIF(I:I,I956)</f>
        <v>1</v>
      </c>
      <c r="K956" s="1" t="n">
        <v>2</v>
      </c>
      <c r="L956" s="1" t="s">
        <v>2407</v>
      </c>
      <c r="M956" s="1" t="s">
        <v>4571</v>
      </c>
      <c r="N956" s="1" t="n">
        <v>90</v>
      </c>
      <c r="O956" s="1" t="s">
        <v>4572</v>
      </c>
      <c r="P956" s="1" t="n">
        <v>6180</v>
      </c>
      <c r="Q956" s="1" t="s">
        <v>4573</v>
      </c>
      <c r="R956" s="1" t="s">
        <v>23</v>
      </c>
      <c r="S956" s="1" t="s">
        <v>23</v>
      </c>
      <c r="T956" s="1" t="s">
        <v>4390</v>
      </c>
      <c r="U956" s="1" t="s">
        <v>23</v>
      </c>
      <c r="V956" s="1" t="s">
        <v>4574</v>
      </c>
    </row>
    <row r="957" customFormat="false" ht="13.8" hidden="false" customHeight="false" outlineLevel="0" collapsed="false">
      <c r="A957" s="1" t="n">
        <v>956</v>
      </c>
      <c r="B957" s="2" t="s">
        <v>4575</v>
      </c>
      <c r="C957" s="1" t="n">
        <v>46</v>
      </c>
      <c r="D957" s="1" t="n">
        <v>47</v>
      </c>
      <c r="E957" s="1" t="n">
        <v>51</v>
      </c>
      <c r="F957" s="1" t="n">
        <v>54</v>
      </c>
      <c r="G957" s="1" t="n">
        <v>57</v>
      </c>
      <c r="H957" s="1" t="n">
        <v>59</v>
      </c>
      <c r="I957" s="1" t="str">
        <f aca="false">RIGHT(("0"&amp;C957),2)&amp;RIGHT(("0"&amp;D957),2)&amp;RIGHT(("0"&amp;E957),2)&amp;RIGHT(("0"&amp;F957),2)&amp;RIGHT(("0"&amp;G957),2)&amp;RIGHT(("0"&amp;H957),2)</f>
        <v>464751545759</v>
      </c>
      <c r="J957" s="1" t="n">
        <f aca="false">COUNTIF(I:I,I957)</f>
        <v>1</v>
      </c>
      <c r="K957" s="1" t="n">
        <v>1</v>
      </c>
      <c r="L957" s="1" t="s">
        <v>91</v>
      </c>
      <c r="M957" s="1" t="s">
        <v>4576</v>
      </c>
      <c r="N957" s="1" t="n">
        <v>38</v>
      </c>
      <c r="O957" s="1" t="s">
        <v>4577</v>
      </c>
      <c r="P957" s="1" t="n">
        <v>2468</v>
      </c>
      <c r="Q957" s="1" t="s">
        <v>4578</v>
      </c>
      <c r="R957" s="1" t="s">
        <v>23</v>
      </c>
      <c r="S957" s="1" t="s">
        <v>23</v>
      </c>
      <c r="T957" s="1" t="s">
        <v>4251</v>
      </c>
      <c r="U957" s="1" t="s">
        <v>23</v>
      </c>
      <c r="V957" s="1" t="s">
        <v>4579</v>
      </c>
    </row>
    <row r="958" customFormat="false" ht="13.8" hidden="false" customHeight="false" outlineLevel="0" collapsed="false">
      <c r="A958" s="1" t="n">
        <v>957</v>
      </c>
      <c r="B958" s="2" t="s">
        <v>4580</v>
      </c>
      <c r="C958" s="1" t="n">
        <v>24</v>
      </c>
      <c r="D958" s="1" t="n">
        <v>25</v>
      </c>
      <c r="E958" s="1" t="n">
        <v>32</v>
      </c>
      <c r="F958" s="1" t="n">
        <v>34</v>
      </c>
      <c r="G958" s="1" t="n">
        <v>50</v>
      </c>
      <c r="H958" s="1" t="n">
        <v>57</v>
      </c>
      <c r="I958" s="1" t="str">
        <f aca="false">RIGHT(("0"&amp;C958),2)&amp;RIGHT(("0"&amp;D958),2)&amp;RIGHT(("0"&amp;E958),2)&amp;RIGHT(("0"&amp;F958),2)&amp;RIGHT(("0"&amp;G958),2)&amp;RIGHT(("0"&amp;H958),2)</f>
        <v>242532345057</v>
      </c>
      <c r="J958" s="1" t="n">
        <f aca="false">COUNTIF(I:I,I958)</f>
        <v>1</v>
      </c>
      <c r="K958" s="1" t="n">
        <v>0</v>
      </c>
      <c r="M958" s="1" t="s">
        <v>23</v>
      </c>
      <c r="N958" s="1" t="n">
        <v>24</v>
      </c>
      <c r="O958" s="1" t="s">
        <v>4581</v>
      </c>
      <c r="P958" s="1" t="n">
        <v>2210</v>
      </c>
      <c r="Q958" s="1" t="s">
        <v>4582</v>
      </c>
      <c r="R958" s="1" t="s">
        <v>4583</v>
      </c>
      <c r="S958" s="1" t="s">
        <v>23</v>
      </c>
      <c r="T958" s="1" t="s">
        <v>4256</v>
      </c>
      <c r="U958" s="1" t="s">
        <v>23</v>
      </c>
    </row>
    <row r="959" customFormat="false" ht="13.8" hidden="false" customHeight="false" outlineLevel="0" collapsed="false">
      <c r="A959" s="1" t="n">
        <v>958</v>
      </c>
      <c r="B959" s="2" t="s">
        <v>4584</v>
      </c>
      <c r="C959" s="1" t="n">
        <v>7</v>
      </c>
      <c r="D959" s="1" t="n">
        <v>13</v>
      </c>
      <c r="E959" s="1" t="n">
        <v>22</v>
      </c>
      <c r="F959" s="1" t="n">
        <v>33</v>
      </c>
      <c r="G959" s="1" t="n">
        <v>48</v>
      </c>
      <c r="H959" s="1" t="n">
        <v>51</v>
      </c>
      <c r="I959" s="1" t="str">
        <f aca="false">RIGHT(("0"&amp;C959),2)&amp;RIGHT(("0"&amp;D959),2)&amp;RIGHT(("0"&amp;E959),2)&amp;RIGHT(("0"&amp;F959),2)&amp;RIGHT(("0"&amp;G959),2)&amp;RIGHT(("0"&amp;H959),2)</f>
        <v>071322334851</v>
      </c>
      <c r="J959" s="1" t="n">
        <f aca="false">COUNTIF(I:I,I959)</f>
        <v>1</v>
      </c>
      <c r="K959" s="1" t="n">
        <v>3</v>
      </c>
      <c r="L959" s="1" t="s">
        <v>4585</v>
      </c>
      <c r="M959" s="1" t="s">
        <v>4586</v>
      </c>
      <c r="N959" s="1" t="n">
        <v>269</v>
      </c>
      <c r="O959" s="1" t="s">
        <v>4587</v>
      </c>
      <c r="P959" s="1" t="n">
        <v>8718</v>
      </c>
      <c r="Q959" s="1" t="s">
        <v>4588</v>
      </c>
      <c r="R959" s="1" t="s">
        <v>23</v>
      </c>
      <c r="S959" s="1" t="s">
        <v>23</v>
      </c>
      <c r="T959" s="1" t="s">
        <v>4251</v>
      </c>
      <c r="U959" s="1" t="s">
        <v>23</v>
      </c>
      <c r="V959" s="1" t="s">
        <v>4589</v>
      </c>
    </row>
    <row r="960" customFormat="false" ht="13.8" hidden="false" customHeight="false" outlineLevel="0" collapsed="false">
      <c r="A960" s="1" t="n">
        <v>959</v>
      </c>
      <c r="B960" s="2" t="s">
        <v>4590</v>
      </c>
      <c r="C960" s="1" t="n">
        <v>3</v>
      </c>
      <c r="D960" s="1" t="n">
        <v>5</v>
      </c>
      <c r="E960" s="1" t="n">
        <v>11</v>
      </c>
      <c r="F960" s="1" t="n">
        <v>33</v>
      </c>
      <c r="G960" s="1" t="n">
        <v>39</v>
      </c>
      <c r="H960" s="1" t="n">
        <v>57</v>
      </c>
      <c r="I960" s="1" t="str">
        <f aca="false">RIGHT(("0"&amp;C960),2)&amp;RIGHT(("0"&amp;D960),2)&amp;RIGHT(("0"&amp;E960),2)&amp;RIGHT(("0"&amp;F960),2)&amp;RIGHT(("0"&amp;G960),2)&amp;RIGHT(("0"&amp;H960),2)</f>
        <v>030511333957</v>
      </c>
      <c r="J960" s="1" t="n">
        <f aca="false">COUNTIF(I:I,I960)</f>
        <v>1</v>
      </c>
      <c r="K960" s="1" t="n">
        <v>0</v>
      </c>
      <c r="M960" s="1" t="s">
        <v>23</v>
      </c>
      <c r="N960" s="1" t="n">
        <v>138</v>
      </c>
      <c r="O960" s="1" t="s">
        <v>4591</v>
      </c>
      <c r="P960" s="1" t="n">
        <v>7139</v>
      </c>
      <c r="Q960" s="1" t="s">
        <v>4592</v>
      </c>
      <c r="R960" s="1" t="s">
        <v>4593</v>
      </c>
      <c r="S960" s="1" t="s">
        <v>23</v>
      </c>
      <c r="T960" s="1" t="s">
        <v>4594</v>
      </c>
      <c r="U960" s="1" t="s">
        <v>23</v>
      </c>
    </row>
    <row r="961" customFormat="false" ht="13.8" hidden="false" customHeight="false" outlineLevel="0" collapsed="false">
      <c r="A961" s="1" t="n">
        <v>960</v>
      </c>
      <c r="B961" s="2" t="s">
        <v>4595</v>
      </c>
      <c r="C961" s="1" t="n">
        <v>6</v>
      </c>
      <c r="D961" s="1" t="n">
        <v>18</v>
      </c>
      <c r="E961" s="1" t="n">
        <v>19</v>
      </c>
      <c r="F961" s="1" t="n">
        <v>33</v>
      </c>
      <c r="G961" s="1" t="n">
        <v>34</v>
      </c>
      <c r="H961" s="1" t="n">
        <v>53</v>
      </c>
      <c r="I961" s="1" t="str">
        <f aca="false">RIGHT(("0"&amp;C961),2)&amp;RIGHT(("0"&amp;D961),2)&amp;RIGHT(("0"&amp;E961),2)&amp;RIGHT(("0"&amp;F961),2)&amp;RIGHT(("0"&amp;G961),2)&amp;RIGHT(("0"&amp;H961),2)</f>
        <v>061819333453</v>
      </c>
      <c r="J961" s="1" t="n">
        <f aca="false">COUNTIF(I:I,I961)</f>
        <v>1</v>
      </c>
      <c r="K961" s="1" t="n">
        <v>0</v>
      </c>
      <c r="M961" s="1" t="s">
        <v>23</v>
      </c>
      <c r="N961" s="1" t="n">
        <v>73</v>
      </c>
      <c r="O961" s="1" t="s">
        <v>4596</v>
      </c>
      <c r="P961" s="1" t="n">
        <v>4852</v>
      </c>
      <c r="Q961" s="1" t="s">
        <v>4597</v>
      </c>
      <c r="R961" s="1" t="s">
        <v>4598</v>
      </c>
      <c r="S961" s="1" t="s">
        <v>23</v>
      </c>
      <c r="T961" s="1" t="s">
        <v>4461</v>
      </c>
      <c r="U961" s="1" t="s">
        <v>23</v>
      </c>
    </row>
    <row r="962" customFormat="false" ht="13.8" hidden="false" customHeight="false" outlineLevel="0" collapsed="false">
      <c r="A962" s="1" t="n">
        <v>961</v>
      </c>
      <c r="B962" s="2" t="s">
        <v>4599</v>
      </c>
      <c r="C962" s="1" t="n">
        <v>2</v>
      </c>
      <c r="D962" s="1" t="n">
        <v>4</v>
      </c>
      <c r="E962" s="1" t="n">
        <v>16</v>
      </c>
      <c r="F962" s="1" t="n">
        <v>21</v>
      </c>
      <c r="G962" s="1" t="n">
        <v>36</v>
      </c>
      <c r="H962" s="1" t="n">
        <v>53</v>
      </c>
      <c r="I962" s="1" t="str">
        <f aca="false">RIGHT(("0"&amp;C962),2)&amp;RIGHT(("0"&amp;D962),2)&amp;RIGHT(("0"&amp;E962),2)&amp;RIGHT(("0"&amp;F962),2)&amp;RIGHT(("0"&amp;G962),2)&amp;RIGHT(("0"&amp;H962),2)</f>
        <v>020416213653</v>
      </c>
      <c r="J962" s="1" t="n">
        <f aca="false">COUNTIF(I:I,I962)</f>
        <v>1</v>
      </c>
      <c r="K962" s="1" t="n">
        <v>0</v>
      </c>
      <c r="M962" s="1" t="s">
        <v>23</v>
      </c>
      <c r="N962" s="1" t="n">
        <v>81</v>
      </c>
      <c r="O962" s="1" t="s">
        <v>4600</v>
      </c>
      <c r="P962" s="1" t="n">
        <v>7193</v>
      </c>
      <c r="Q962" s="1" t="s">
        <v>4601</v>
      </c>
      <c r="R962" s="1" t="s">
        <v>4602</v>
      </c>
      <c r="S962" s="1" t="s">
        <v>23</v>
      </c>
      <c r="T962" s="1" t="s">
        <v>4531</v>
      </c>
      <c r="U962" s="1" t="s">
        <v>23</v>
      </c>
    </row>
    <row r="963" customFormat="false" ht="13.8" hidden="false" customHeight="false" outlineLevel="0" collapsed="false">
      <c r="A963" s="1" t="n">
        <v>962</v>
      </c>
      <c r="B963" s="2" t="s">
        <v>4603</v>
      </c>
      <c r="C963" s="1" t="n">
        <v>2</v>
      </c>
      <c r="D963" s="1" t="n">
        <v>11</v>
      </c>
      <c r="E963" s="1" t="n">
        <v>40</v>
      </c>
      <c r="F963" s="1" t="n">
        <v>48</v>
      </c>
      <c r="G963" s="1" t="n">
        <v>49</v>
      </c>
      <c r="H963" s="1" t="n">
        <v>55</v>
      </c>
      <c r="I963" s="1" t="str">
        <f aca="false">RIGHT(("0"&amp;C963),2)&amp;RIGHT(("0"&amp;D963),2)&amp;RIGHT(("0"&amp;E963),2)&amp;RIGHT(("0"&amp;F963),2)&amp;RIGHT(("0"&amp;G963),2)&amp;RIGHT(("0"&amp;H963),2)</f>
        <v>021140484955</v>
      </c>
      <c r="J963" s="1" t="n">
        <f aca="false">COUNTIF(I:I,I963)</f>
        <v>1</v>
      </c>
      <c r="K963" s="1" t="n">
        <v>1</v>
      </c>
      <c r="L963" s="1" t="s">
        <v>140</v>
      </c>
      <c r="M963" s="1" t="s">
        <v>4604</v>
      </c>
      <c r="N963" s="1" t="n">
        <v>41</v>
      </c>
      <c r="O963" s="1" t="s">
        <v>4605</v>
      </c>
      <c r="P963" s="1" t="n">
        <v>3554</v>
      </c>
      <c r="Q963" s="1" t="s">
        <v>4606</v>
      </c>
      <c r="R963" s="1" t="s">
        <v>23</v>
      </c>
      <c r="S963" s="1" t="s">
        <v>23</v>
      </c>
      <c r="T963" s="1" t="s">
        <v>4390</v>
      </c>
      <c r="U963" s="1" t="s">
        <v>23</v>
      </c>
      <c r="V963" s="1" t="s">
        <v>4607</v>
      </c>
    </row>
    <row r="964" customFormat="false" ht="13.8" hidden="false" customHeight="false" outlineLevel="0" collapsed="false">
      <c r="A964" s="1" t="n">
        <v>963</v>
      </c>
      <c r="B964" s="2" t="s">
        <v>4608</v>
      </c>
      <c r="C964" s="1" t="n">
        <v>15</v>
      </c>
      <c r="D964" s="1" t="n">
        <v>17</v>
      </c>
      <c r="E964" s="1" t="n">
        <v>37</v>
      </c>
      <c r="F964" s="1" t="n">
        <v>48</v>
      </c>
      <c r="G964" s="1" t="n">
        <v>50</v>
      </c>
      <c r="H964" s="1" t="n">
        <v>59</v>
      </c>
      <c r="I964" s="1" t="str">
        <f aca="false">RIGHT(("0"&amp;C964),2)&amp;RIGHT(("0"&amp;D964),2)&amp;RIGHT(("0"&amp;E964),2)&amp;RIGHT(("0"&amp;F964),2)&amp;RIGHT(("0"&amp;G964),2)&amp;RIGHT(("0"&amp;H964),2)</f>
        <v>151737485059</v>
      </c>
      <c r="J964" s="1" t="n">
        <f aca="false">COUNTIF(I:I,I964)</f>
        <v>1</v>
      </c>
      <c r="K964" s="1" t="n">
        <v>0</v>
      </c>
      <c r="M964" s="1" t="s">
        <v>23</v>
      </c>
      <c r="N964" s="1" t="n">
        <v>30</v>
      </c>
      <c r="O964" s="1" t="s">
        <v>4609</v>
      </c>
      <c r="P964" s="1" t="n">
        <v>2644</v>
      </c>
      <c r="Q964" s="1" t="s">
        <v>4610</v>
      </c>
      <c r="R964" s="1" t="s">
        <v>4611</v>
      </c>
      <c r="S964" s="1" t="s">
        <v>23</v>
      </c>
      <c r="T964" s="1" t="s">
        <v>4612</v>
      </c>
      <c r="U964" s="1" t="s">
        <v>23</v>
      </c>
    </row>
    <row r="965" customFormat="false" ht="13.8" hidden="false" customHeight="false" outlineLevel="0" collapsed="false">
      <c r="A965" s="1" t="n">
        <v>964</v>
      </c>
      <c r="B965" s="2" t="s">
        <v>4613</v>
      </c>
      <c r="C965" s="1" t="n">
        <v>8</v>
      </c>
      <c r="D965" s="1" t="n">
        <v>13</v>
      </c>
      <c r="E965" s="1" t="n">
        <v>20</v>
      </c>
      <c r="F965" s="1" t="n">
        <v>26</v>
      </c>
      <c r="G965" s="1" t="n">
        <v>33</v>
      </c>
      <c r="H965" s="1" t="n">
        <v>42</v>
      </c>
      <c r="I965" s="1" t="str">
        <f aca="false">RIGHT(("0"&amp;C965),2)&amp;RIGHT(("0"&amp;D965),2)&amp;RIGHT(("0"&amp;E965),2)&amp;RIGHT(("0"&amp;F965),2)&amp;RIGHT(("0"&amp;G965),2)&amp;RIGHT(("0"&amp;H965),2)</f>
        <v>081320263342</v>
      </c>
      <c r="J965" s="1" t="n">
        <f aca="false">COUNTIF(I:I,I965)</f>
        <v>1</v>
      </c>
      <c r="K965" s="1" t="n">
        <v>0</v>
      </c>
      <c r="M965" s="1" t="s">
        <v>23</v>
      </c>
      <c r="N965" s="1" t="n">
        <v>125</v>
      </c>
      <c r="O965" s="1" t="s">
        <v>4614</v>
      </c>
      <c r="P965" s="1" t="n">
        <v>6128</v>
      </c>
      <c r="Q965" s="1" t="s">
        <v>4615</v>
      </c>
      <c r="R965" s="1" t="s">
        <v>4616</v>
      </c>
      <c r="S965" s="1" t="s">
        <v>23</v>
      </c>
      <c r="T965" s="1" t="s">
        <v>4461</v>
      </c>
      <c r="U965" s="1" t="s">
        <v>23</v>
      </c>
    </row>
    <row r="966" customFormat="false" ht="13.8" hidden="false" customHeight="false" outlineLevel="0" collapsed="false">
      <c r="A966" s="1" t="n">
        <v>965</v>
      </c>
      <c r="B966" s="2" t="s">
        <v>4617</v>
      </c>
      <c r="C966" s="1" t="n">
        <v>5</v>
      </c>
      <c r="D966" s="1" t="n">
        <v>30</v>
      </c>
      <c r="E966" s="1" t="n">
        <v>36</v>
      </c>
      <c r="F966" s="1" t="n">
        <v>39</v>
      </c>
      <c r="G966" s="1" t="n">
        <v>57</v>
      </c>
      <c r="H966" s="1" t="n">
        <v>58</v>
      </c>
      <c r="I966" s="1" t="str">
        <f aca="false">RIGHT(("0"&amp;C966),2)&amp;RIGHT(("0"&amp;D966),2)&amp;RIGHT(("0"&amp;E966),2)&amp;RIGHT(("0"&amp;F966),2)&amp;RIGHT(("0"&amp;G966),2)&amp;RIGHT(("0"&amp;H966),2)</f>
        <v>053036395758</v>
      </c>
      <c r="J966" s="1" t="n">
        <f aca="false">COUNTIF(I:I,I966)</f>
        <v>1</v>
      </c>
      <c r="K966" s="1" t="n">
        <v>0</v>
      </c>
      <c r="M966" s="1" t="s">
        <v>23</v>
      </c>
      <c r="N966" s="1" t="n">
        <v>61</v>
      </c>
      <c r="O966" s="1" t="s">
        <v>4618</v>
      </c>
      <c r="P966" s="1" t="n">
        <v>3934</v>
      </c>
      <c r="Q966" s="1" t="s">
        <v>4619</v>
      </c>
      <c r="R966" s="1" t="s">
        <v>4620</v>
      </c>
      <c r="S966" s="1" t="s">
        <v>23</v>
      </c>
      <c r="T966" s="1" t="s">
        <v>4531</v>
      </c>
      <c r="U966" s="1" t="s">
        <v>23</v>
      </c>
    </row>
    <row r="967" customFormat="false" ht="13.8" hidden="false" customHeight="false" outlineLevel="0" collapsed="false">
      <c r="A967" s="1" t="n">
        <v>966</v>
      </c>
      <c r="B967" s="2" t="s">
        <v>4621</v>
      </c>
      <c r="C967" s="1" t="n">
        <v>1</v>
      </c>
      <c r="D967" s="1" t="n">
        <v>4</v>
      </c>
      <c r="E967" s="1" t="n">
        <v>26</v>
      </c>
      <c r="F967" s="1" t="n">
        <v>28</v>
      </c>
      <c r="G967" s="1" t="n">
        <v>41</v>
      </c>
      <c r="H967" s="1" t="n">
        <v>58</v>
      </c>
      <c r="I967" s="1" t="str">
        <f aca="false">RIGHT(("0"&amp;C967),2)&amp;RIGHT(("0"&amp;D967),2)&amp;RIGHT(("0"&amp;E967),2)&amp;RIGHT(("0"&amp;F967),2)&amp;RIGHT(("0"&amp;G967),2)&amp;RIGHT(("0"&amp;H967),2)</f>
        <v>010426284158</v>
      </c>
      <c r="J967" s="1" t="n">
        <f aca="false">COUNTIF(I:I,I967)</f>
        <v>1</v>
      </c>
      <c r="K967" s="1" t="n">
        <v>0</v>
      </c>
      <c r="M967" s="1" t="s">
        <v>23</v>
      </c>
      <c r="N967" s="1" t="n">
        <v>55</v>
      </c>
      <c r="O967" s="1" t="s">
        <v>4622</v>
      </c>
      <c r="P967" s="1" t="n">
        <v>4397</v>
      </c>
      <c r="Q967" s="1" t="s">
        <v>4623</v>
      </c>
      <c r="R967" s="1" t="s">
        <v>4624</v>
      </c>
      <c r="S967" s="1" t="s">
        <v>23</v>
      </c>
      <c r="T967" s="1" t="s">
        <v>3602</v>
      </c>
      <c r="U967" s="1" t="s">
        <v>23</v>
      </c>
    </row>
    <row r="968" customFormat="false" ht="13.8" hidden="false" customHeight="false" outlineLevel="0" collapsed="false">
      <c r="A968" s="1" t="n">
        <v>967</v>
      </c>
      <c r="B968" s="2" t="s">
        <v>4625</v>
      </c>
      <c r="C968" s="1" t="n">
        <v>5</v>
      </c>
      <c r="D968" s="1" t="n">
        <v>13</v>
      </c>
      <c r="E968" s="1" t="n">
        <v>14</v>
      </c>
      <c r="F968" s="1" t="n">
        <v>18</v>
      </c>
      <c r="G968" s="1" t="n">
        <v>30</v>
      </c>
      <c r="H968" s="1" t="n">
        <v>57</v>
      </c>
      <c r="I968" s="1" t="str">
        <f aca="false">RIGHT(("0"&amp;C968),2)&amp;RIGHT(("0"&amp;D968),2)&amp;RIGHT(("0"&amp;E968),2)&amp;RIGHT(("0"&amp;F968),2)&amp;RIGHT(("0"&amp;G968),2)&amp;RIGHT(("0"&amp;H968),2)</f>
        <v>051314183057</v>
      </c>
      <c r="J968" s="1" t="n">
        <f aca="false">COUNTIF(I:I,I968)</f>
        <v>1</v>
      </c>
      <c r="K968" s="1" t="n">
        <v>0</v>
      </c>
      <c r="M968" s="1" t="s">
        <v>23</v>
      </c>
      <c r="N968" s="1" t="n">
        <v>91</v>
      </c>
      <c r="O968" s="1" t="s">
        <v>4626</v>
      </c>
      <c r="P968" s="1" t="n">
        <v>7445</v>
      </c>
      <c r="Q968" s="1" t="s">
        <v>4627</v>
      </c>
      <c r="R968" s="1" t="s">
        <v>4628</v>
      </c>
      <c r="S968" s="1" t="s">
        <v>23</v>
      </c>
      <c r="T968" s="1" t="s">
        <v>4241</v>
      </c>
      <c r="U968" s="1" t="s">
        <v>23</v>
      </c>
    </row>
    <row r="969" customFormat="false" ht="13.8" hidden="false" customHeight="false" outlineLevel="0" collapsed="false">
      <c r="A969" s="1" t="n">
        <v>968</v>
      </c>
      <c r="B969" s="2" t="s">
        <v>4629</v>
      </c>
      <c r="C969" s="1" t="n">
        <v>1</v>
      </c>
      <c r="D969" s="1" t="n">
        <v>4</v>
      </c>
      <c r="E969" s="1" t="n">
        <v>13</v>
      </c>
      <c r="F969" s="1" t="n">
        <v>30</v>
      </c>
      <c r="G969" s="1" t="n">
        <v>51</v>
      </c>
      <c r="H969" s="1" t="n">
        <v>60</v>
      </c>
      <c r="I969" s="1" t="str">
        <f aca="false">RIGHT(("0"&amp;C969),2)&amp;RIGHT(("0"&amp;D969),2)&amp;RIGHT(("0"&amp;E969),2)&amp;RIGHT(("0"&amp;F969),2)&amp;RIGHT(("0"&amp;G969),2)&amp;RIGHT(("0"&amp;H969),2)</f>
        <v>010413305160</v>
      </c>
      <c r="J969" s="1" t="n">
        <f aca="false">COUNTIF(I:I,I969)</f>
        <v>1</v>
      </c>
      <c r="K969" s="1" t="n">
        <v>0</v>
      </c>
      <c r="M969" s="1" t="s">
        <v>23</v>
      </c>
      <c r="N969" s="1" t="n">
        <v>124</v>
      </c>
      <c r="O969" s="1" t="s">
        <v>4630</v>
      </c>
      <c r="P969" s="1" t="n">
        <v>9572</v>
      </c>
      <c r="Q969" s="1" t="s">
        <v>4631</v>
      </c>
      <c r="R969" s="1" t="s">
        <v>4632</v>
      </c>
      <c r="S969" s="1" t="s">
        <v>23</v>
      </c>
      <c r="T969" s="1" t="s">
        <v>4246</v>
      </c>
      <c r="U969" s="1" t="s">
        <v>23</v>
      </c>
    </row>
    <row r="970" customFormat="false" ht="13.8" hidden="false" customHeight="false" outlineLevel="0" collapsed="false">
      <c r="A970" s="1" t="n">
        <v>969</v>
      </c>
      <c r="B970" s="2" t="s">
        <v>4633</v>
      </c>
      <c r="C970" s="1" t="n">
        <v>13</v>
      </c>
      <c r="D970" s="1" t="n">
        <v>25</v>
      </c>
      <c r="E970" s="1" t="n">
        <v>35</v>
      </c>
      <c r="F970" s="1" t="n">
        <v>41</v>
      </c>
      <c r="G970" s="1" t="n">
        <v>50</v>
      </c>
      <c r="H970" s="1" t="n">
        <v>56</v>
      </c>
      <c r="I970" s="1" t="str">
        <f aca="false">RIGHT(("0"&amp;C970),2)&amp;RIGHT(("0"&amp;D970),2)&amp;RIGHT(("0"&amp;E970),2)&amp;RIGHT(("0"&amp;F970),2)&amp;RIGHT(("0"&amp;G970),2)&amp;RIGHT(("0"&amp;H970),2)</f>
        <v>132535415056</v>
      </c>
      <c r="J970" s="1" t="n">
        <f aca="false">COUNTIF(I:I,I970)</f>
        <v>1</v>
      </c>
      <c r="K970" s="1" t="n">
        <v>1</v>
      </c>
      <c r="L970" s="1" t="s">
        <v>1267</v>
      </c>
      <c r="M970" s="1" t="s">
        <v>4634</v>
      </c>
      <c r="N970" s="1" t="n">
        <v>82</v>
      </c>
      <c r="O970" s="1" t="s">
        <v>4635</v>
      </c>
      <c r="P970" s="1" t="n">
        <v>6898</v>
      </c>
      <c r="Q970" s="1" t="s">
        <v>4636</v>
      </c>
      <c r="R970" s="1" t="s">
        <v>23</v>
      </c>
      <c r="S970" s="1" t="s">
        <v>23</v>
      </c>
      <c r="T970" s="1" t="s">
        <v>4461</v>
      </c>
      <c r="U970" s="1" t="s">
        <v>23</v>
      </c>
      <c r="V970" s="1" t="s">
        <v>4637</v>
      </c>
    </row>
    <row r="971" customFormat="false" ht="13.8" hidden="false" customHeight="false" outlineLevel="0" collapsed="false">
      <c r="A971" s="1" t="n">
        <v>970</v>
      </c>
      <c r="B971" s="2" t="s">
        <v>4638</v>
      </c>
      <c r="C971" s="1" t="n">
        <v>5</v>
      </c>
      <c r="D971" s="1" t="n">
        <v>21</v>
      </c>
      <c r="E971" s="1" t="n">
        <v>28</v>
      </c>
      <c r="F971" s="1" t="n">
        <v>34</v>
      </c>
      <c r="G971" s="1" t="n">
        <v>54</v>
      </c>
      <c r="H971" s="1" t="n">
        <v>57</v>
      </c>
      <c r="I971" s="1" t="str">
        <f aca="false">RIGHT(("0"&amp;C971),2)&amp;RIGHT(("0"&amp;D971),2)&amp;RIGHT(("0"&amp;E971),2)&amp;RIGHT(("0"&amp;F971),2)&amp;RIGHT(("0"&amp;G971),2)&amp;RIGHT(("0"&amp;H971),2)</f>
        <v>052128345457</v>
      </c>
      <c r="J971" s="1" t="n">
        <f aca="false">COUNTIF(I:I,I971)</f>
        <v>1</v>
      </c>
      <c r="K971" s="1" t="n">
        <v>3</v>
      </c>
      <c r="L971" s="1" t="s">
        <v>4639</v>
      </c>
      <c r="M971" s="1" t="s">
        <v>4640</v>
      </c>
      <c r="N971" s="1" t="n">
        <v>108</v>
      </c>
      <c r="O971" s="1" t="s">
        <v>4641</v>
      </c>
      <c r="P971" s="1" t="n">
        <v>6144</v>
      </c>
      <c r="Q971" s="1" t="s">
        <v>4642</v>
      </c>
      <c r="R971" s="1" t="s">
        <v>23</v>
      </c>
      <c r="S971" s="1" t="s">
        <v>23</v>
      </c>
      <c r="T971" s="1" t="s">
        <v>4251</v>
      </c>
      <c r="U971" s="1" t="s">
        <v>23</v>
      </c>
      <c r="V971" s="1" t="s">
        <v>4643</v>
      </c>
    </row>
    <row r="972" customFormat="false" ht="13.8" hidden="false" customHeight="false" outlineLevel="0" collapsed="false">
      <c r="A972" s="1" t="n">
        <v>971</v>
      </c>
      <c r="B972" s="2" t="s">
        <v>4644</v>
      </c>
      <c r="C972" s="1" t="n">
        <v>4</v>
      </c>
      <c r="D972" s="1" t="n">
        <v>11</v>
      </c>
      <c r="E972" s="1" t="n">
        <v>14</v>
      </c>
      <c r="F972" s="1" t="n">
        <v>33</v>
      </c>
      <c r="G972" s="1" t="n">
        <v>44</v>
      </c>
      <c r="H972" s="1" t="n">
        <v>45</v>
      </c>
      <c r="I972" s="1" t="str">
        <f aca="false">RIGHT(("0"&amp;C972),2)&amp;RIGHT(("0"&amp;D972),2)&amp;RIGHT(("0"&amp;E972),2)&amp;RIGHT(("0"&amp;F972),2)&amp;RIGHT(("0"&amp;G972),2)&amp;RIGHT(("0"&amp;H972),2)</f>
        <v>041114334445</v>
      </c>
      <c r="J972" s="1" t="n">
        <f aca="false">COUNTIF(I:I,I972)</f>
        <v>1</v>
      </c>
      <c r="K972" s="1" t="n">
        <v>0</v>
      </c>
      <c r="M972" s="1" t="s">
        <v>23</v>
      </c>
      <c r="N972" s="1" t="n">
        <v>66</v>
      </c>
      <c r="O972" s="1" t="s">
        <v>4645</v>
      </c>
      <c r="P972" s="1" t="n">
        <v>4390</v>
      </c>
      <c r="Q972" s="1" t="s">
        <v>4646</v>
      </c>
      <c r="R972" s="1" t="s">
        <v>4647</v>
      </c>
      <c r="S972" s="1" t="s">
        <v>23</v>
      </c>
      <c r="T972" s="1" t="s">
        <v>4648</v>
      </c>
      <c r="U972" s="1" t="s">
        <v>23</v>
      </c>
    </row>
    <row r="973" customFormat="false" ht="13.8" hidden="false" customHeight="false" outlineLevel="0" collapsed="false">
      <c r="A973" s="1" t="n">
        <v>972</v>
      </c>
      <c r="B973" s="2" t="s">
        <v>4649</v>
      </c>
      <c r="C973" s="1" t="n">
        <v>15</v>
      </c>
      <c r="D973" s="1" t="n">
        <v>18</v>
      </c>
      <c r="E973" s="1" t="n">
        <v>31</v>
      </c>
      <c r="F973" s="1" t="n">
        <v>33</v>
      </c>
      <c r="G973" s="1" t="n">
        <v>34</v>
      </c>
      <c r="H973" s="1" t="n">
        <v>56</v>
      </c>
      <c r="I973" s="1" t="str">
        <f aca="false">RIGHT(("0"&amp;C973),2)&amp;RIGHT(("0"&amp;D973),2)&amp;RIGHT(("0"&amp;E973),2)&amp;RIGHT(("0"&amp;F973),2)&amp;RIGHT(("0"&amp;G973),2)&amp;RIGHT(("0"&amp;H973),2)</f>
        <v>151831333456</v>
      </c>
      <c r="J973" s="1" t="n">
        <f aca="false">COUNTIF(I:I,I973)</f>
        <v>1</v>
      </c>
      <c r="K973" s="1" t="n">
        <v>3</v>
      </c>
      <c r="L973" s="1" t="s">
        <v>4650</v>
      </c>
      <c r="M973" s="1" t="s">
        <v>4651</v>
      </c>
      <c r="N973" s="1" t="n">
        <v>723</v>
      </c>
      <c r="O973" s="1" t="s">
        <v>4652</v>
      </c>
      <c r="P973" s="1" t="n">
        <v>4082</v>
      </c>
      <c r="Q973" s="1" t="s">
        <v>4653</v>
      </c>
      <c r="R973" s="1" t="s">
        <v>23</v>
      </c>
      <c r="S973" s="1" t="s">
        <v>23</v>
      </c>
      <c r="T973" s="1" t="s">
        <v>4390</v>
      </c>
      <c r="U973" s="1" t="s">
        <v>23</v>
      </c>
      <c r="V973" s="1" t="s">
        <v>4654</v>
      </c>
    </row>
    <row r="974" customFormat="false" ht="13.8" hidden="false" customHeight="false" outlineLevel="0" collapsed="false">
      <c r="A974" s="1" t="n">
        <v>973</v>
      </c>
      <c r="B974" s="2" t="s">
        <v>4655</v>
      </c>
      <c r="C974" s="1" t="n">
        <v>1</v>
      </c>
      <c r="D974" s="1" t="n">
        <v>8</v>
      </c>
      <c r="E974" s="1" t="n">
        <v>30</v>
      </c>
      <c r="F974" s="1" t="n">
        <v>36</v>
      </c>
      <c r="G974" s="1" t="n">
        <v>47</v>
      </c>
      <c r="H974" s="1" t="n">
        <v>53</v>
      </c>
      <c r="I974" s="1" t="str">
        <f aca="false">RIGHT(("0"&amp;C974),2)&amp;RIGHT(("0"&amp;D974),2)&amp;RIGHT(("0"&amp;E974),2)&amp;RIGHT(("0"&amp;F974),2)&amp;RIGHT(("0"&amp;G974),2)&amp;RIGHT(("0"&amp;H974),2)</f>
        <v>010830364753</v>
      </c>
      <c r="J974" s="1" t="n">
        <f aca="false">COUNTIF(I:I,I974)</f>
        <v>1</v>
      </c>
      <c r="K974" s="1" t="n">
        <v>0</v>
      </c>
      <c r="M974" s="1" t="s">
        <v>23</v>
      </c>
      <c r="N974" s="1" t="n">
        <v>36</v>
      </c>
      <c r="O974" s="1" t="s">
        <v>4656</v>
      </c>
      <c r="P974" s="1" t="n">
        <v>2274</v>
      </c>
      <c r="Q974" s="1" t="s">
        <v>4657</v>
      </c>
      <c r="R974" s="1" t="s">
        <v>4658</v>
      </c>
      <c r="S974" s="1" t="s">
        <v>23</v>
      </c>
      <c r="T974" s="1" t="s">
        <v>4256</v>
      </c>
      <c r="U974" s="1" t="s">
        <v>23</v>
      </c>
    </row>
    <row r="975" customFormat="false" ht="13.8" hidden="false" customHeight="false" outlineLevel="0" collapsed="false">
      <c r="A975" s="1" t="n">
        <v>974</v>
      </c>
      <c r="B975" s="2" t="s">
        <v>4659</v>
      </c>
      <c r="C975" s="1" t="n">
        <v>12</v>
      </c>
      <c r="D975" s="1" t="n">
        <v>16</v>
      </c>
      <c r="E975" s="1" t="n">
        <v>20</v>
      </c>
      <c r="F975" s="1" t="n">
        <v>31</v>
      </c>
      <c r="G975" s="1" t="n">
        <v>38</v>
      </c>
      <c r="H975" s="1" t="n">
        <v>45</v>
      </c>
      <c r="I975" s="1" t="str">
        <f aca="false">RIGHT(("0"&amp;C975),2)&amp;RIGHT(("0"&amp;D975),2)&amp;RIGHT(("0"&amp;E975),2)&amp;RIGHT(("0"&amp;F975),2)&amp;RIGHT(("0"&amp;G975),2)&amp;RIGHT(("0"&amp;H975),2)</f>
        <v>121620313845</v>
      </c>
      <c r="J975" s="1" t="n">
        <f aca="false">COUNTIF(I:I,I975)</f>
        <v>1</v>
      </c>
      <c r="K975" s="1" t="n">
        <v>0</v>
      </c>
      <c r="M975" s="1" t="s">
        <v>23</v>
      </c>
      <c r="N975" s="1" t="n">
        <v>93</v>
      </c>
      <c r="O975" s="1" t="s">
        <v>4660</v>
      </c>
      <c r="P975" s="1" t="n">
        <v>4213</v>
      </c>
      <c r="Q975" s="1" t="s">
        <v>3698</v>
      </c>
      <c r="R975" s="1" t="s">
        <v>4661</v>
      </c>
      <c r="S975" s="1" t="s">
        <v>23</v>
      </c>
      <c r="T975" s="1" t="s">
        <v>4461</v>
      </c>
      <c r="U975" s="1" t="s">
        <v>23</v>
      </c>
    </row>
    <row r="976" customFormat="false" ht="13.8" hidden="false" customHeight="false" outlineLevel="0" collapsed="false">
      <c r="A976" s="1" t="n">
        <v>975</v>
      </c>
      <c r="B976" s="2" t="s">
        <v>4662</v>
      </c>
      <c r="C976" s="1" t="n">
        <v>9</v>
      </c>
      <c r="D976" s="1" t="n">
        <v>30</v>
      </c>
      <c r="E976" s="1" t="n">
        <v>33</v>
      </c>
      <c r="F976" s="1" t="n">
        <v>37</v>
      </c>
      <c r="G976" s="1" t="n">
        <v>40</v>
      </c>
      <c r="H976" s="1" t="n">
        <v>41</v>
      </c>
      <c r="I976" s="1" t="str">
        <f aca="false">RIGHT(("0"&amp;C976),2)&amp;RIGHT(("0"&amp;D976),2)&amp;RIGHT(("0"&amp;E976),2)&amp;RIGHT(("0"&amp;F976),2)&amp;RIGHT(("0"&amp;G976),2)&amp;RIGHT(("0"&amp;H976),2)</f>
        <v>093033374041</v>
      </c>
      <c r="J976" s="1" t="n">
        <f aca="false">COUNTIF(I:I,I976)</f>
        <v>1</v>
      </c>
      <c r="K976" s="1" t="n">
        <v>0</v>
      </c>
      <c r="M976" s="1" t="s">
        <v>23</v>
      </c>
      <c r="N976" s="1" t="n">
        <v>55</v>
      </c>
      <c r="O976" s="1" t="s">
        <v>4663</v>
      </c>
      <c r="P976" s="1" t="n">
        <v>4524</v>
      </c>
      <c r="Q976" s="1" t="s">
        <v>4664</v>
      </c>
      <c r="R976" s="1" t="s">
        <v>4665</v>
      </c>
      <c r="S976" s="1" t="s">
        <v>23</v>
      </c>
      <c r="T976" s="1" t="s">
        <v>4504</v>
      </c>
      <c r="U976" s="1" t="s">
        <v>23</v>
      </c>
    </row>
    <row r="977" customFormat="false" ht="13.8" hidden="false" customHeight="false" outlineLevel="0" collapsed="false">
      <c r="A977" s="1" t="n">
        <v>976</v>
      </c>
      <c r="B977" s="2" t="s">
        <v>4666</v>
      </c>
      <c r="C977" s="1" t="n">
        <v>14</v>
      </c>
      <c r="D977" s="1" t="n">
        <v>23</v>
      </c>
      <c r="E977" s="1" t="n">
        <v>25</v>
      </c>
      <c r="F977" s="1" t="n">
        <v>28</v>
      </c>
      <c r="G977" s="1" t="n">
        <v>38</v>
      </c>
      <c r="H977" s="1" t="n">
        <v>53</v>
      </c>
      <c r="I977" s="1" t="str">
        <f aca="false">RIGHT(("0"&amp;C977),2)&amp;RIGHT(("0"&amp;D977),2)&amp;RIGHT(("0"&amp;E977),2)&amp;RIGHT(("0"&amp;F977),2)&amp;RIGHT(("0"&amp;G977),2)&amp;RIGHT(("0"&amp;H977),2)</f>
        <v>142325283853</v>
      </c>
      <c r="J977" s="1" t="n">
        <f aca="false">COUNTIF(I:I,I977)</f>
        <v>1</v>
      </c>
      <c r="K977" s="1" t="n">
        <v>0</v>
      </c>
      <c r="M977" s="1" t="s">
        <v>23</v>
      </c>
      <c r="N977" s="1" t="n">
        <v>74</v>
      </c>
      <c r="O977" s="1" t="s">
        <v>4667</v>
      </c>
      <c r="P977" s="1" t="n">
        <v>6395</v>
      </c>
      <c r="Q977" s="1" t="s">
        <v>4668</v>
      </c>
      <c r="R977" s="1" t="s">
        <v>4669</v>
      </c>
      <c r="S977" s="1" t="s">
        <v>23</v>
      </c>
      <c r="T977" s="1" t="s">
        <v>3928</v>
      </c>
      <c r="U977" s="1" t="s">
        <v>23</v>
      </c>
    </row>
    <row r="978" customFormat="false" ht="13.8" hidden="false" customHeight="false" outlineLevel="0" collapsed="false">
      <c r="A978" s="1" t="n">
        <v>977</v>
      </c>
      <c r="B978" s="2" t="s">
        <v>4670</v>
      </c>
      <c r="C978" s="1" t="n">
        <v>3</v>
      </c>
      <c r="D978" s="1" t="n">
        <v>5</v>
      </c>
      <c r="E978" s="1" t="n">
        <v>7</v>
      </c>
      <c r="F978" s="1" t="n">
        <v>9</v>
      </c>
      <c r="G978" s="1" t="n">
        <v>17</v>
      </c>
      <c r="H978" s="1" t="n">
        <v>32</v>
      </c>
      <c r="I978" s="1" t="str">
        <f aca="false">RIGHT(("0"&amp;C978),2)&amp;RIGHT(("0"&amp;D978),2)&amp;RIGHT(("0"&amp;E978),2)&amp;RIGHT(("0"&amp;F978),2)&amp;RIGHT(("0"&amp;G978),2)&amp;RIGHT(("0"&amp;H978),2)</f>
        <v>030507091732</v>
      </c>
      <c r="J978" s="1" t="n">
        <f aca="false">COUNTIF(I:I,I978)</f>
        <v>1</v>
      </c>
      <c r="K978" s="1" t="n">
        <v>1</v>
      </c>
      <c r="L978" s="1" t="s">
        <v>91</v>
      </c>
      <c r="M978" s="1" t="s">
        <v>4671</v>
      </c>
      <c r="N978" s="1" t="n">
        <v>452</v>
      </c>
      <c r="O978" s="1" t="s">
        <v>4672</v>
      </c>
      <c r="P978" s="1" t="n">
        <v>24482</v>
      </c>
      <c r="Q978" s="1" t="s">
        <v>4673</v>
      </c>
      <c r="R978" s="1" t="s">
        <v>23</v>
      </c>
      <c r="S978" s="1" t="s">
        <v>23</v>
      </c>
      <c r="T978" s="1" t="s">
        <v>4251</v>
      </c>
      <c r="U978" s="1" t="s">
        <v>23</v>
      </c>
      <c r="V978" s="1" t="s">
        <v>4674</v>
      </c>
    </row>
    <row r="979" customFormat="false" ht="13.8" hidden="false" customHeight="false" outlineLevel="0" collapsed="false">
      <c r="A979" s="1" t="n">
        <v>978</v>
      </c>
      <c r="B979" s="2" t="s">
        <v>4675</v>
      </c>
      <c r="C979" s="1" t="n">
        <v>12</v>
      </c>
      <c r="D979" s="1" t="n">
        <v>16</v>
      </c>
      <c r="E979" s="1" t="n">
        <v>18</v>
      </c>
      <c r="F979" s="1" t="n">
        <v>27</v>
      </c>
      <c r="G979" s="1" t="n">
        <v>42</v>
      </c>
      <c r="H979" s="1" t="n">
        <v>58</v>
      </c>
      <c r="I979" s="1" t="str">
        <f aca="false">RIGHT(("0"&amp;C979),2)&amp;RIGHT(("0"&amp;D979),2)&amp;RIGHT(("0"&amp;E979),2)&amp;RIGHT(("0"&amp;F979),2)&amp;RIGHT(("0"&amp;G979),2)&amp;RIGHT(("0"&amp;H979),2)</f>
        <v>121618274258</v>
      </c>
      <c r="J979" s="1" t="n">
        <f aca="false">COUNTIF(I:I,I979)</f>
        <v>1</v>
      </c>
      <c r="K979" s="1" t="n">
        <v>0</v>
      </c>
      <c r="M979" s="1" t="s">
        <v>23</v>
      </c>
      <c r="N979" s="1" t="n">
        <v>69</v>
      </c>
      <c r="O979" s="1" t="s">
        <v>4676</v>
      </c>
      <c r="P979" s="1" t="n">
        <v>4616</v>
      </c>
      <c r="Q979" s="1" t="s">
        <v>4677</v>
      </c>
      <c r="R979" s="1" t="s">
        <v>4678</v>
      </c>
      <c r="S979" s="1" t="s">
        <v>23</v>
      </c>
      <c r="T979" s="1" t="s">
        <v>4337</v>
      </c>
      <c r="U979" s="1" t="s">
        <v>23</v>
      </c>
    </row>
    <row r="980" customFormat="false" ht="13.8" hidden="false" customHeight="false" outlineLevel="0" collapsed="false">
      <c r="A980" s="1" t="n">
        <v>979</v>
      </c>
      <c r="B980" s="2" t="s">
        <v>4679</v>
      </c>
      <c r="C980" s="1" t="n">
        <v>3</v>
      </c>
      <c r="D980" s="1" t="n">
        <v>15</v>
      </c>
      <c r="E980" s="1" t="n">
        <v>28</v>
      </c>
      <c r="F980" s="1" t="n">
        <v>31</v>
      </c>
      <c r="G980" s="1" t="n">
        <v>39</v>
      </c>
      <c r="H980" s="1" t="n">
        <v>51</v>
      </c>
      <c r="I980" s="1" t="str">
        <f aca="false">RIGHT(("0"&amp;C980),2)&amp;RIGHT(("0"&amp;D980),2)&amp;RIGHT(("0"&amp;E980),2)&amp;RIGHT(("0"&amp;F980),2)&amp;RIGHT(("0"&amp;G980),2)&amp;RIGHT(("0"&amp;H980),2)</f>
        <v>031528313951</v>
      </c>
      <c r="J980" s="1" t="n">
        <f aca="false">COUNTIF(I:I,I980)</f>
        <v>1</v>
      </c>
      <c r="K980" s="1" t="n">
        <v>0</v>
      </c>
      <c r="M980" s="1" t="s">
        <v>23</v>
      </c>
      <c r="N980" s="1" t="n">
        <v>42</v>
      </c>
      <c r="O980" s="1" t="s">
        <v>4680</v>
      </c>
      <c r="P980" s="1" t="n">
        <v>3714</v>
      </c>
      <c r="Q980" s="1" t="s">
        <v>4681</v>
      </c>
      <c r="R980" s="1" t="s">
        <v>4682</v>
      </c>
      <c r="S980" s="1" t="s">
        <v>23</v>
      </c>
      <c r="T980" s="1" t="s">
        <v>4531</v>
      </c>
      <c r="U980" s="1" t="s">
        <v>23</v>
      </c>
    </row>
    <row r="981" customFormat="false" ht="13.8" hidden="false" customHeight="false" outlineLevel="0" collapsed="false">
      <c r="A981" s="1" t="n">
        <v>980</v>
      </c>
      <c r="B981" s="2" t="s">
        <v>4683</v>
      </c>
      <c r="C981" s="1" t="n">
        <v>15</v>
      </c>
      <c r="D981" s="1" t="n">
        <v>17</v>
      </c>
      <c r="E981" s="1" t="n">
        <v>29</v>
      </c>
      <c r="F981" s="1" t="n">
        <v>35</v>
      </c>
      <c r="G981" s="1" t="n">
        <v>36</v>
      </c>
      <c r="H981" s="1" t="n">
        <v>59</v>
      </c>
      <c r="I981" s="1" t="str">
        <f aca="false">RIGHT(("0"&amp;C981),2)&amp;RIGHT(("0"&amp;D981),2)&amp;RIGHT(("0"&amp;E981),2)&amp;RIGHT(("0"&amp;F981),2)&amp;RIGHT(("0"&amp;G981),2)&amp;RIGHT(("0"&amp;H981),2)</f>
        <v>151729353659</v>
      </c>
      <c r="J981" s="1" t="n">
        <f aca="false">COUNTIF(I:I,I981)</f>
        <v>1</v>
      </c>
      <c r="K981" s="1" t="n">
        <v>0</v>
      </c>
      <c r="M981" s="1" t="s">
        <v>23</v>
      </c>
      <c r="N981" s="1" t="n">
        <v>88</v>
      </c>
      <c r="O981" s="1" t="s">
        <v>4684</v>
      </c>
      <c r="P981" s="1" t="n">
        <v>6837</v>
      </c>
      <c r="Q981" s="1" t="s">
        <v>4685</v>
      </c>
      <c r="R981" s="1" t="s">
        <v>4686</v>
      </c>
      <c r="S981" s="1" t="s">
        <v>23</v>
      </c>
      <c r="T981" s="1" t="s">
        <v>3928</v>
      </c>
      <c r="U981" s="1" t="s">
        <v>23</v>
      </c>
    </row>
    <row r="982" customFormat="false" ht="13.8" hidden="false" customHeight="false" outlineLevel="0" collapsed="false">
      <c r="A982" s="1" t="n">
        <v>981</v>
      </c>
      <c r="B982" s="2" t="s">
        <v>4687</v>
      </c>
      <c r="C982" s="1" t="n">
        <v>1</v>
      </c>
      <c r="D982" s="1" t="n">
        <v>8</v>
      </c>
      <c r="E982" s="1" t="n">
        <v>34</v>
      </c>
      <c r="F982" s="1" t="n">
        <v>41</v>
      </c>
      <c r="G982" s="1" t="n">
        <v>53</v>
      </c>
      <c r="H982" s="1" t="n">
        <v>58</v>
      </c>
      <c r="I982" s="1" t="str">
        <f aca="false">RIGHT(("0"&amp;C982),2)&amp;RIGHT(("0"&amp;D982),2)&amp;RIGHT(("0"&amp;E982),2)&amp;RIGHT(("0"&amp;F982),2)&amp;RIGHT(("0"&amp;G982),2)&amp;RIGHT(("0"&amp;H982),2)</f>
        <v>010834415358</v>
      </c>
      <c r="J982" s="1" t="n">
        <f aca="false">COUNTIF(I:I,I982)</f>
        <v>1</v>
      </c>
      <c r="K982" s="1" t="n">
        <v>0</v>
      </c>
      <c r="M982" s="1" t="s">
        <v>23</v>
      </c>
      <c r="N982" s="1" t="n">
        <v>74</v>
      </c>
      <c r="O982" s="1" t="s">
        <v>4688</v>
      </c>
      <c r="P982" s="1" t="n">
        <v>4974</v>
      </c>
      <c r="Q982" s="1" t="s">
        <v>4689</v>
      </c>
      <c r="R982" s="1" t="s">
        <v>4690</v>
      </c>
      <c r="S982" s="1" t="s">
        <v>23</v>
      </c>
      <c r="T982" s="1" t="s">
        <v>4691</v>
      </c>
      <c r="U982" s="1" t="s">
        <v>23</v>
      </c>
    </row>
    <row r="983" customFormat="false" ht="13.8" hidden="false" customHeight="false" outlineLevel="0" collapsed="false">
      <c r="A983" s="1" t="n">
        <v>982</v>
      </c>
      <c r="B983" s="2" t="s">
        <v>4692</v>
      </c>
      <c r="C983" s="1" t="n">
        <v>8</v>
      </c>
      <c r="D983" s="1" t="n">
        <v>12</v>
      </c>
      <c r="E983" s="1" t="n">
        <v>24</v>
      </c>
      <c r="F983" s="1" t="n">
        <v>40</v>
      </c>
      <c r="G983" s="1" t="n">
        <v>43</v>
      </c>
      <c r="H983" s="1" t="n">
        <v>49</v>
      </c>
      <c r="I983" s="1" t="str">
        <f aca="false">RIGHT(("0"&amp;C983),2)&amp;RIGHT(("0"&amp;D983),2)&amp;RIGHT(("0"&amp;E983),2)&amp;RIGHT(("0"&amp;F983),2)&amp;RIGHT(("0"&amp;G983),2)&amp;RIGHT(("0"&amp;H983),2)</f>
        <v>081224404349</v>
      </c>
      <c r="J983" s="1" t="n">
        <f aca="false">COUNTIF(I:I,I983)</f>
        <v>1</v>
      </c>
      <c r="K983" s="1" t="n">
        <v>0</v>
      </c>
      <c r="M983" s="1" t="s">
        <v>23</v>
      </c>
      <c r="N983" s="1" t="n">
        <v>125</v>
      </c>
      <c r="O983" s="1" t="s">
        <v>4693</v>
      </c>
      <c r="P983" s="1" t="n">
        <v>8510</v>
      </c>
      <c r="Q983" s="1" t="s">
        <v>4694</v>
      </c>
      <c r="R983" s="1" t="s">
        <v>4695</v>
      </c>
      <c r="S983" s="1" t="s">
        <v>23</v>
      </c>
      <c r="T983" s="1" t="s">
        <v>4696</v>
      </c>
      <c r="U983" s="1" t="s">
        <v>23</v>
      </c>
    </row>
    <row r="984" customFormat="false" ht="13.8" hidden="false" customHeight="false" outlineLevel="0" collapsed="false">
      <c r="A984" s="1" t="n">
        <v>983</v>
      </c>
      <c r="B984" s="2" t="s">
        <v>4697</v>
      </c>
      <c r="C984" s="1" t="n">
        <v>16</v>
      </c>
      <c r="D984" s="1" t="n">
        <v>22</v>
      </c>
      <c r="E984" s="1" t="n">
        <v>32</v>
      </c>
      <c r="F984" s="1" t="n">
        <v>38</v>
      </c>
      <c r="G984" s="1" t="n">
        <v>40</v>
      </c>
      <c r="H984" s="1" t="n">
        <v>45</v>
      </c>
      <c r="I984" s="1" t="str">
        <f aca="false">RIGHT(("0"&amp;C984),2)&amp;RIGHT(("0"&amp;D984),2)&amp;RIGHT(("0"&amp;E984),2)&amp;RIGHT(("0"&amp;F984),2)&amp;RIGHT(("0"&amp;G984),2)&amp;RIGHT(("0"&amp;H984),2)</f>
        <v>162232384045</v>
      </c>
      <c r="J984" s="1" t="n">
        <f aca="false">COUNTIF(I:I,I984)</f>
        <v>1</v>
      </c>
      <c r="K984" s="1" t="n">
        <v>1</v>
      </c>
      <c r="L984" s="1" t="s">
        <v>1722</v>
      </c>
      <c r="M984" s="1" t="s">
        <v>4698</v>
      </c>
      <c r="N984" s="1" t="n">
        <v>244</v>
      </c>
      <c r="O984" s="1" t="s">
        <v>4699</v>
      </c>
      <c r="P984" s="1" t="n">
        <v>9930</v>
      </c>
      <c r="Q984" s="1" t="s">
        <v>4700</v>
      </c>
      <c r="R984" s="1" t="s">
        <v>23</v>
      </c>
      <c r="S984" s="1" t="s">
        <v>23</v>
      </c>
      <c r="T984" s="1" t="s">
        <v>4218</v>
      </c>
      <c r="U984" s="1" t="s">
        <v>23</v>
      </c>
      <c r="V984" s="1" t="s">
        <v>4701</v>
      </c>
    </row>
    <row r="985" customFormat="false" ht="13.8" hidden="false" customHeight="false" outlineLevel="0" collapsed="false">
      <c r="A985" s="1" t="n">
        <v>984</v>
      </c>
      <c r="B985" s="2" t="s">
        <v>4702</v>
      </c>
      <c r="C985" s="1" t="n">
        <v>4</v>
      </c>
      <c r="D985" s="1" t="n">
        <v>10</v>
      </c>
      <c r="E985" s="1" t="n">
        <v>20</v>
      </c>
      <c r="F985" s="1" t="n">
        <v>43</v>
      </c>
      <c r="G985" s="1" t="n">
        <v>46</v>
      </c>
      <c r="H985" s="1" t="n">
        <v>47</v>
      </c>
      <c r="I985" s="1" t="str">
        <f aca="false">RIGHT(("0"&amp;C985),2)&amp;RIGHT(("0"&amp;D985),2)&amp;RIGHT(("0"&amp;E985),2)&amp;RIGHT(("0"&amp;F985),2)&amp;RIGHT(("0"&amp;G985),2)&amp;RIGHT(("0"&amp;H985),2)</f>
        <v>041020434647</v>
      </c>
      <c r="J985" s="1" t="n">
        <f aca="false">COUNTIF(I:I,I985)</f>
        <v>1</v>
      </c>
      <c r="K985" s="1" t="n">
        <v>0</v>
      </c>
      <c r="M985" s="1" t="s">
        <v>23</v>
      </c>
      <c r="N985" s="1" t="n">
        <v>38</v>
      </c>
      <c r="O985" s="1" t="s">
        <v>4703</v>
      </c>
      <c r="P985" s="1" t="n">
        <v>2643</v>
      </c>
      <c r="Q985" s="1" t="s">
        <v>4704</v>
      </c>
      <c r="R985" s="1" t="s">
        <v>4705</v>
      </c>
      <c r="S985" s="1" t="s">
        <v>23</v>
      </c>
      <c r="T985" s="1" t="s">
        <v>3602</v>
      </c>
      <c r="U985" s="1" t="s">
        <v>23</v>
      </c>
    </row>
    <row r="986" customFormat="false" ht="13.8" hidden="false" customHeight="false" outlineLevel="0" collapsed="false">
      <c r="A986" s="1" t="n">
        <v>985</v>
      </c>
      <c r="B986" s="2" t="s">
        <v>4706</v>
      </c>
      <c r="C986" s="1" t="n">
        <v>4</v>
      </c>
      <c r="D986" s="1" t="n">
        <v>16</v>
      </c>
      <c r="E986" s="1" t="n">
        <v>18</v>
      </c>
      <c r="F986" s="1" t="n">
        <v>46</v>
      </c>
      <c r="G986" s="1" t="n">
        <v>56</v>
      </c>
      <c r="H986" s="1" t="n">
        <v>59</v>
      </c>
      <c r="I986" s="1" t="str">
        <f aca="false">RIGHT(("0"&amp;C986),2)&amp;RIGHT(("0"&amp;D986),2)&amp;RIGHT(("0"&amp;E986),2)&amp;RIGHT(("0"&amp;F986),2)&amp;RIGHT(("0"&amp;G986),2)&amp;RIGHT(("0"&amp;H986),2)</f>
        <v>041618465659</v>
      </c>
      <c r="J986" s="1" t="n">
        <f aca="false">COUNTIF(I:I,I986)</f>
        <v>1</v>
      </c>
      <c r="K986" s="1" t="n">
        <v>0</v>
      </c>
      <c r="M986" s="1" t="s">
        <v>23</v>
      </c>
      <c r="N986" s="1" t="n">
        <v>55</v>
      </c>
      <c r="O986" s="1" t="s">
        <v>4707</v>
      </c>
      <c r="P986" s="1" t="n">
        <v>4846</v>
      </c>
      <c r="Q986" s="1" t="s">
        <v>4708</v>
      </c>
      <c r="R986" s="1" t="s">
        <v>4709</v>
      </c>
      <c r="S986" s="1" t="s">
        <v>23</v>
      </c>
      <c r="T986" s="1" t="s">
        <v>4208</v>
      </c>
      <c r="U986" s="1" t="s">
        <v>23</v>
      </c>
    </row>
    <row r="987" customFormat="false" ht="13.8" hidden="false" customHeight="false" outlineLevel="0" collapsed="false">
      <c r="A987" s="1" t="n">
        <v>986</v>
      </c>
      <c r="B987" s="2" t="s">
        <v>4710</v>
      </c>
      <c r="C987" s="1" t="n">
        <v>6</v>
      </c>
      <c r="D987" s="1" t="n">
        <v>15</v>
      </c>
      <c r="E987" s="1" t="n">
        <v>19</v>
      </c>
      <c r="F987" s="1" t="n">
        <v>24</v>
      </c>
      <c r="G987" s="1" t="n">
        <v>31</v>
      </c>
      <c r="H987" s="1" t="n">
        <v>32</v>
      </c>
      <c r="I987" s="1" t="str">
        <f aca="false">RIGHT(("0"&amp;C987),2)&amp;RIGHT(("0"&amp;D987),2)&amp;RIGHT(("0"&amp;E987),2)&amp;RIGHT(("0"&amp;F987),2)&amp;RIGHT(("0"&amp;G987),2)&amp;RIGHT(("0"&amp;H987),2)</f>
        <v>061519243132</v>
      </c>
      <c r="J987" s="1" t="n">
        <f aca="false">COUNTIF(I:I,I987)</f>
        <v>1</v>
      </c>
      <c r="K987" s="1" t="n">
        <v>0</v>
      </c>
      <c r="M987" s="1" t="s">
        <v>23</v>
      </c>
      <c r="N987" s="1" t="n">
        <v>120</v>
      </c>
      <c r="O987" s="1" t="s">
        <v>4711</v>
      </c>
      <c r="P987" s="1" t="n">
        <v>7953</v>
      </c>
      <c r="Q987" s="1" t="s">
        <v>4712</v>
      </c>
      <c r="R987" s="1" t="s">
        <v>4713</v>
      </c>
      <c r="S987" s="1" t="s">
        <v>23</v>
      </c>
      <c r="T987" s="1" t="s">
        <v>4299</v>
      </c>
      <c r="U987" s="1" t="s">
        <v>23</v>
      </c>
    </row>
    <row r="988" customFormat="false" ht="13.8" hidden="false" customHeight="false" outlineLevel="0" collapsed="false">
      <c r="A988" s="1" t="n">
        <v>987</v>
      </c>
      <c r="B988" s="2" t="s">
        <v>4714</v>
      </c>
      <c r="C988" s="1" t="n">
        <v>13</v>
      </c>
      <c r="D988" s="1" t="n">
        <v>27</v>
      </c>
      <c r="E988" s="1" t="n">
        <v>31</v>
      </c>
      <c r="F988" s="1" t="n">
        <v>34</v>
      </c>
      <c r="G988" s="1" t="n">
        <v>47</v>
      </c>
      <c r="H988" s="1" t="n">
        <v>58</v>
      </c>
      <c r="I988" s="1" t="str">
        <f aca="false">RIGHT(("0"&amp;C988),2)&amp;RIGHT(("0"&amp;D988),2)&amp;RIGHT(("0"&amp;E988),2)&amp;RIGHT(("0"&amp;F988),2)&amp;RIGHT(("0"&amp;G988),2)&amp;RIGHT(("0"&amp;H988),2)</f>
        <v>132731344758</v>
      </c>
      <c r="J988" s="1" t="n">
        <f aca="false">COUNTIF(I:I,I988)</f>
        <v>1</v>
      </c>
      <c r="K988" s="1" t="n">
        <v>0</v>
      </c>
      <c r="M988" s="1" t="s">
        <v>23</v>
      </c>
      <c r="N988" s="1" t="n">
        <v>193</v>
      </c>
      <c r="O988" s="1" t="s">
        <v>4715</v>
      </c>
      <c r="P988" s="1" t="n">
        <v>10923</v>
      </c>
      <c r="Q988" s="1" t="s">
        <v>4716</v>
      </c>
      <c r="R988" s="1" t="s">
        <v>4717</v>
      </c>
      <c r="S988" s="1" t="s">
        <v>23</v>
      </c>
      <c r="T988" s="1" t="s">
        <v>4718</v>
      </c>
      <c r="U988" s="1" t="s">
        <v>23</v>
      </c>
    </row>
    <row r="989" customFormat="false" ht="13.8" hidden="false" customHeight="false" outlineLevel="0" collapsed="false">
      <c r="A989" s="1" t="n">
        <v>988</v>
      </c>
      <c r="B989" s="2" t="s">
        <v>4719</v>
      </c>
      <c r="C989" s="1" t="n">
        <v>8</v>
      </c>
      <c r="D989" s="1" t="n">
        <v>17</v>
      </c>
      <c r="E989" s="1" t="n">
        <v>46</v>
      </c>
      <c r="F989" s="1" t="n">
        <v>48</v>
      </c>
      <c r="G989" s="1" t="n">
        <v>56</v>
      </c>
      <c r="H989" s="1" t="n">
        <v>60</v>
      </c>
      <c r="I989" s="1" t="str">
        <f aca="false">RIGHT(("0"&amp;C989),2)&amp;RIGHT(("0"&amp;D989),2)&amp;RIGHT(("0"&amp;E989),2)&amp;RIGHT(("0"&amp;F989),2)&amp;RIGHT(("0"&amp;G989),2)&amp;RIGHT(("0"&amp;H989),2)</f>
        <v>081746485660</v>
      </c>
      <c r="J989" s="1" t="n">
        <f aca="false">COUNTIF(I:I,I989)</f>
        <v>1</v>
      </c>
      <c r="K989" s="1" t="n">
        <v>0</v>
      </c>
      <c r="M989" s="1" t="s">
        <v>23</v>
      </c>
      <c r="N989" s="1" t="n">
        <v>73</v>
      </c>
      <c r="O989" s="1" t="s">
        <v>4720</v>
      </c>
      <c r="P989" s="1" t="n">
        <v>6874</v>
      </c>
      <c r="Q989" s="1" t="s">
        <v>4721</v>
      </c>
      <c r="R989" s="1" t="s">
        <v>4722</v>
      </c>
      <c r="S989" s="1" t="s">
        <v>23</v>
      </c>
      <c r="T989" s="1" t="s">
        <v>3892</v>
      </c>
      <c r="U989" s="1" t="s">
        <v>23</v>
      </c>
    </row>
    <row r="990" customFormat="false" ht="13.8" hidden="false" customHeight="false" outlineLevel="0" collapsed="false">
      <c r="A990" s="1" t="n">
        <v>989</v>
      </c>
      <c r="B990" s="2" t="s">
        <v>4723</v>
      </c>
      <c r="C990" s="1" t="n">
        <v>2</v>
      </c>
      <c r="D990" s="1" t="n">
        <v>21</v>
      </c>
      <c r="E990" s="1" t="n">
        <v>27</v>
      </c>
      <c r="F990" s="1" t="n">
        <v>29</v>
      </c>
      <c r="G990" s="1" t="n">
        <v>32</v>
      </c>
      <c r="H990" s="1" t="n">
        <v>38</v>
      </c>
      <c r="I990" s="1" t="str">
        <f aca="false">RIGHT(("0"&amp;C990),2)&amp;RIGHT(("0"&amp;D990),2)&amp;RIGHT(("0"&amp;E990),2)&amp;RIGHT(("0"&amp;F990),2)&amp;RIGHT(("0"&amp;G990),2)&amp;RIGHT(("0"&amp;H990),2)</f>
        <v>022127293238</v>
      </c>
      <c r="J990" s="1" t="n">
        <f aca="false">COUNTIF(I:I,I990)</f>
        <v>1</v>
      </c>
      <c r="K990" s="1" t="n">
        <v>0</v>
      </c>
      <c r="M990" s="1" t="s">
        <v>23</v>
      </c>
      <c r="N990" s="1" t="n">
        <v>130</v>
      </c>
      <c r="O990" s="1" t="s">
        <v>4724</v>
      </c>
      <c r="P990" s="1" t="n">
        <v>10296</v>
      </c>
      <c r="Q990" s="1" t="s">
        <v>4725</v>
      </c>
      <c r="R990" s="1" t="s">
        <v>4726</v>
      </c>
      <c r="S990" s="1" t="s">
        <v>23</v>
      </c>
      <c r="T990" s="1" t="s">
        <v>4727</v>
      </c>
      <c r="U990" s="1" t="s">
        <v>23</v>
      </c>
    </row>
    <row r="991" customFormat="false" ht="13.8" hidden="false" customHeight="false" outlineLevel="0" collapsed="false">
      <c r="A991" s="1" t="n">
        <v>990</v>
      </c>
      <c r="B991" s="2" t="s">
        <v>4728</v>
      </c>
      <c r="C991" s="1" t="n">
        <v>2</v>
      </c>
      <c r="D991" s="1" t="n">
        <v>10</v>
      </c>
      <c r="E991" s="1" t="n">
        <v>15</v>
      </c>
      <c r="F991" s="1" t="n">
        <v>18</v>
      </c>
      <c r="G991" s="1" t="n">
        <v>29</v>
      </c>
      <c r="H991" s="1" t="n">
        <v>39</v>
      </c>
      <c r="I991" s="1" t="str">
        <f aca="false">RIGHT(("0"&amp;C991),2)&amp;RIGHT(("0"&amp;D991),2)&amp;RIGHT(("0"&amp;E991),2)&amp;RIGHT(("0"&amp;F991),2)&amp;RIGHT(("0"&amp;G991),2)&amp;RIGHT(("0"&amp;H991),2)</f>
        <v>021015182939</v>
      </c>
      <c r="J991" s="1" t="n">
        <f aca="false">COUNTIF(I:I,I991)</f>
        <v>1</v>
      </c>
      <c r="K991" s="1" t="n">
        <v>2</v>
      </c>
      <c r="L991" s="1" t="s">
        <v>3378</v>
      </c>
      <c r="M991" s="1" t="s">
        <v>4729</v>
      </c>
      <c r="N991" s="1" t="n">
        <v>290</v>
      </c>
      <c r="O991" s="1" t="s">
        <v>4730</v>
      </c>
      <c r="P991" s="1" t="n">
        <v>20863</v>
      </c>
      <c r="Q991" s="1" t="s">
        <v>4731</v>
      </c>
      <c r="R991" s="1" t="s">
        <v>23</v>
      </c>
      <c r="S991" s="1" t="s">
        <v>23</v>
      </c>
      <c r="T991" s="1" t="s">
        <v>4732</v>
      </c>
      <c r="U991" s="1" t="s">
        <v>23</v>
      </c>
      <c r="V991" s="1" t="s">
        <v>4733</v>
      </c>
    </row>
    <row r="992" customFormat="false" ht="13.8" hidden="false" customHeight="false" outlineLevel="0" collapsed="false">
      <c r="A992" s="1" t="n">
        <v>991</v>
      </c>
      <c r="B992" s="2" t="s">
        <v>4734</v>
      </c>
      <c r="C992" s="1" t="n">
        <v>8</v>
      </c>
      <c r="D992" s="1" t="n">
        <v>9</v>
      </c>
      <c r="E992" s="1" t="n">
        <v>15</v>
      </c>
      <c r="F992" s="1" t="n">
        <v>38</v>
      </c>
      <c r="G992" s="1" t="n">
        <v>41</v>
      </c>
      <c r="H992" s="1" t="n">
        <v>60</v>
      </c>
      <c r="I992" s="1" t="str">
        <f aca="false">RIGHT(("0"&amp;C992),2)&amp;RIGHT(("0"&amp;D992),2)&amp;RIGHT(("0"&amp;E992),2)&amp;RIGHT(("0"&amp;F992),2)&amp;RIGHT(("0"&amp;G992),2)&amp;RIGHT(("0"&amp;H992),2)</f>
        <v>080915384160</v>
      </c>
      <c r="J992" s="1" t="n">
        <f aca="false">COUNTIF(I:I,I992)</f>
        <v>1</v>
      </c>
      <c r="K992" s="1" t="n">
        <v>0</v>
      </c>
      <c r="M992" s="1" t="s">
        <v>23</v>
      </c>
      <c r="N992" s="1" t="n">
        <v>36</v>
      </c>
      <c r="O992" s="1" t="s">
        <v>4735</v>
      </c>
      <c r="P992" s="1" t="n">
        <v>3028</v>
      </c>
      <c r="Q992" s="1" t="s">
        <v>4736</v>
      </c>
      <c r="R992" s="1" t="s">
        <v>4737</v>
      </c>
      <c r="S992" s="1" t="s">
        <v>23</v>
      </c>
      <c r="T992" s="1" t="s">
        <v>4409</v>
      </c>
      <c r="U992" s="1" t="s">
        <v>23</v>
      </c>
    </row>
    <row r="993" customFormat="false" ht="13.8" hidden="false" customHeight="false" outlineLevel="0" collapsed="false">
      <c r="A993" s="1" t="n">
        <v>992</v>
      </c>
      <c r="B993" s="2" t="s">
        <v>4738</v>
      </c>
      <c r="C993" s="1" t="n">
        <v>1</v>
      </c>
      <c r="D993" s="1" t="n">
        <v>4</v>
      </c>
      <c r="E993" s="1" t="n">
        <v>6</v>
      </c>
      <c r="F993" s="1" t="n">
        <v>8</v>
      </c>
      <c r="G993" s="1" t="n">
        <v>25</v>
      </c>
      <c r="H993" s="1" t="n">
        <v>28</v>
      </c>
      <c r="I993" s="1" t="str">
        <f aca="false">RIGHT(("0"&amp;C993),2)&amp;RIGHT(("0"&amp;D993),2)&amp;RIGHT(("0"&amp;E993),2)&amp;RIGHT(("0"&amp;F993),2)&amp;RIGHT(("0"&amp;G993),2)&amp;RIGHT(("0"&amp;H993),2)</f>
        <v>010406082528</v>
      </c>
      <c r="J993" s="1" t="n">
        <f aca="false">COUNTIF(I:I,I993)</f>
        <v>1</v>
      </c>
      <c r="K993" s="1" t="n">
        <v>0</v>
      </c>
      <c r="M993" s="1" t="s">
        <v>23</v>
      </c>
      <c r="N993" s="1" t="n">
        <v>330</v>
      </c>
      <c r="O993" s="1" t="s">
        <v>4739</v>
      </c>
      <c r="P993" s="1" t="n">
        <v>13216</v>
      </c>
      <c r="Q993" s="1" t="s">
        <v>4740</v>
      </c>
      <c r="R993" s="1" t="s">
        <v>4741</v>
      </c>
      <c r="S993" s="1" t="s">
        <v>23</v>
      </c>
      <c r="T993" s="1" t="s">
        <v>4342</v>
      </c>
      <c r="U993" s="1" t="s">
        <v>23</v>
      </c>
    </row>
    <row r="994" customFormat="false" ht="13.8" hidden="false" customHeight="false" outlineLevel="0" collapsed="false">
      <c r="A994" s="1" t="n">
        <v>993</v>
      </c>
      <c r="B994" s="2" t="s">
        <v>4742</v>
      </c>
      <c r="C994" s="1" t="n">
        <v>5</v>
      </c>
      <c r="D994" s="1" t="n">
        <v>24</v>
      </c>
      <c r="E994" s="1" t="n">
        <v>25</v>
      </c>
      <c r="F994" s="1" t="n">
        <v>26</v>
      </c>
      <c r="G994" s="1" t="n">
        <v>42</v>
      </c>
      <c r="H994" s="1" t="n">
        <v>60</v>
      </c>
      <c r="I994" s="1" t="str">
        <f aca="false">RIGHT(("0"&amp;C994),2)&amp;RIGHT(("0"&amp;D994),2)&amp;RIGHT(("0"&amp;E994),2)&amp;RIGHT(("0"&amp;F994),2)&amp;RIGHT(("0"&amp;G994),2)&amp;RIGHT(("0"&amp;H994),2)</f>
        <v>052425264260</v>
      </c>
      <c r="J994" s="1" t="n">
        <f aca="false">COUNTIF(I:I,I994)</f>
        <v>1</v>
      </c>
      <c r="K994" s="1" t="n">
        <v>0</v>
      </c>
      <c r="M994" s="1" t="s">
        <v>23</v>
      </c>
      <c r="N994" s="1" t="n">
        <v>68</v>
      </c>
      <c r="O994" s="1" t="s">
        <v>4743</v>
      </c>
      <c r="P994" s="1" t="n">
        <v>5121</v>
      </c>
      <c r="Q994" s="1" t="s">
        <v>4744</v>
      </c>
      <c r="R994" s="1" t="s">
        <v>4745</v>
      </c>
      <c r="S994" s="1" t="s">
        <v>23</v>
      </c>
      <c r="T994" s="1" t="s">
        <v>4594</v>
      </c>
      <c r="U994" s="1" t="s">
        <v>4746</v>
      </c>
    </row>
    <row r="995" customFormat="false" ht="13.8" hidden="false" customHeight="false" outlineLevel="0" collapsed="false">
      <c r="A995" s="1" t="n">
        <v>994</v>
      </c>
      <c r="B995" s="2" t="s">
        <v>4747</v>
      </c>
      <c r="C995" s="1" t="n">
        <v>3</v>
      </c>
      <c r="D995" s="1" t="n">
        <v>20</v>
      </c>
      <c r="E995" s="1" t="n">
        <v>29</v>
      </c>
      <c r="F995" s="1" t="n">
        <v>40</v>
      </c>
      <c r="G995" s="1" t="n">
        <v>44</v>
      </c>
      <c r="H995" s="1" t="n">
        <v>58</v>
      </c>
      <c r="I995" s="1" t="str">
        <f aca="false">RIGHT(("0"&amp;C995),2)&amp;RIGHT(("0"&amp;D995),2)&amp;RIGHT(("0"&amp;E995),2)&amp;RIGHT(("0"&amp;F995),2)&amp;RIGHT(("0"&amp;G995),2)&amp;RIGHT(("0"&amp;H995),2)</f>
        <v>032029404458</v>
      </c>
      <c r="J995" s="1" t="n">
        <f aca="false">COUNTIF(I:I,I995)</f>
        <v>1</v>
      </c>
      <c r="K995" s="1" t="n">
        <v>0</v>
      </c>
      <c r="M995" s="1" t="s">
        <v>23</v>
      </c>
      <c r="N995" s="1" t="n">
        <v>47</v>
      </c>
      <c r="O995" s="1" t="s">
        <v>4748</v>
      </c>
      <c r="P995" s="1" t="n">
        <v>3838</v>
      </c>
      <c r="Q995" s="1" t="s">
        <v>4749</v>
      </c>
      <c r="R995" s="1" t="s">
        <v>4750</v>
      </c>
      <c r="S995" s="1" t="s">
        <v>4751</v>
      </c>
      <c r="T995" s="1" t="s">
        <v>4718</v>
      </c>
      <c r="U995" s="1" t="s">
        <v>4752</v>
      </c>
    </row>
    <row r="996" customFormat="false" ht="13.8" hidden="false" customHeight="false" outlineLevel="0" collapsed="false">
      <c r="A996" s="1" t="n">
        <v>995</v>
      </c>
      <c r="B996" s="2" t="s">
        <v>4753</v>
      </c>
      <c r="C996" s="1" t="n">
        <v>4</v>
      </c>
      <c r="D996" s="1" t="n">
        <v>16</v>
      </c>
      <c r="E996" s="1" t="n">
        <v>31</v>
      </c>
      <c r="F996" s="1" t="n">
        <v>36</v>
      </c>
      <c r="G996" s="1" t="n">
        <v>54</v>
      </c>
      <c r="H996" s="1" t="n">
        <v>55</v>
      </c>
      <c r="I996" s="1" t="str">
        <f aca="false">RIGHT(("0"&amp;C996),2)&amp;RIGHT(("0"&amp;D996),2)&amp;RIGHT(("0"&amp;E996),2)&amp;RIGHT(("0"&amp;F996),2)&amp;RIGHT(("0"&amp;G996),2)&amp;RIGHT(("0"&amp;H996),2)</f>
        <v>041631365455</v>
      </c>
      <c r="J996" s="1" t="n">
        <f aca="false">COUNTIF(I:I,I996)</f>
        <v>1</v>
      </c>
      <c r="K996" s="1" t="n">
        <v>0</v>
      </c>
      <c r="M996" s="1" t="s">
        <v>23</v>
      </c>
      <c r="N996" s="1" t="n">
        <v>76</v>
      </c>
      <c r="O996" s="1" t="s">
        <v>4754</v>
      </c>
      <c r="P996" s="1" t="n">
        <v>6790</v>
      </c>
      <c r="Q996" s="1" t="s">
        <v>4755</v>
      </c>
      <c r="R996" s="1" t="s">
        <v>4756</v>
      </c>
      <c r="S996" s="1" t="s">
        <v>23</v>
      </c>
      <c r="T996" s="1" t="s">
        <v>3892</v>
      </c>
      <c r="U996" s="1" t="s">
        <v>4757</v>
      </c>
    </row>
    <row r="997" customFormat="false" ht="13.8" hidden="false" customHeight="false" outlineLevel="0" collapsed="false">
      <c r="A997" s="1" t="n">
        <v>996</v>
      </c>
      <c r="B997" s="2" t="s">
        <v>4758</v>
      </c>
      <c r="C997" s="1" t="n">
        <v>7</v>
      </c>
      <c r="D997" s="1" t="n">
        <v>15</v>
      </c>
      <c r="E997" s="1" t="n">
        <v>20</v>
      </c>
      <c r="F997" s="1" t="n">
        <v>21</v>
      </c>
      <c r="G997" s="1" t="n">
        <v>23</v>
      </c>
      <c r="H997" s="1" t="n">
        <v>29</v>
      </c>
      <c r="I997" s="1" t="str">
        <f aca="false">RIGHT(("0"&amp;C997),2)&amp;RIGHT(("0"&amp;D997),2)&amp;RIGHT(("0"&amp;E997),2)&amp;RIGHT(("0"&amp;F997),2)&amp;RIGHT(("0"&amp;G997),2)&amp;RIGHT(("0"&amp;H997),2)</f>
        <v>071520212329</v>
      </c>
      <c r="J997" s="1" t="n">
        <f aca="false">COUNTIF(I:I,I997)</f>
        <v>1</v>
      </c>
      <c r="K997" s="1" t="n">
        <v>2</v>
      </c>
      <c r="L997" s="1" t="s">
        <v>4759</v>
      </c>
      <c r="M997" s="1" t="s">
        <v>4760</v>
      </c>
      <c r="N997" s="1" t="n">
        <v>165</v>
      </c>
      <c r="O997" s="1" t="s">
        <v>4761</v>
      </c>
      <c r="P997" s="1" t="n">
        <v>11901</v>
      </c>
      <c r="Q997" s="1" t="s">
        <v>4762</v>
      </c>
      <c r="R997" s="1" t="s">
        <v>23</v>
      </c>
      <c r="S997" s="1" t="s">
        <v>23</v>
      </c>
      <c r="T997" s="1" t="s">
        <v>4218</v>
      </c>
      <c r="U997" s="1" t="s">
        <v>4763</v>
      </c>
      <c r="V997" s="1" t="s">
        <v>4764</v>
      </c>
    </row>
    <row r="998" customFormat="false" ht="13.8" hidden="false" customHeight="false" outlineLevel="0" collapsed="false">
      <c r="A998" s="1" t="n">
        <v>997</v>
      </c>
      <c r="B998" s="2" t="s">
        <v>4765</v>
      </c>
      <c r="C998" s="1" t="n">
        <v>9</v>
      </c>
      <c r="D998" s="1" t="n">
        <v>17</v>
      </c>
      <c r="E998" s="1" t="n">
        <v>18</v>
      </c>
      <c r="F998" s="1" t="n">
        <v>32</v>
      </c>
      <c r="G998" s="1" t="n">
        <v>53</v>
      </c>
      <c r="H998" s="1" t="n">
        <v>55</v>
      </c>
      <c r="I998" s="1" t="str">
        <f aca="false">RIGHT(("0"&amp;C998),2)&amp;RIGHT(("0"&amp;D998),2)&amp;RIGHT(("0"&amp;E998),2)&amp;RIGHT(("0"&amp;F998),2)&amp;RIGHT(("0"&amp;G998),2)&amp;RIGHT(("0"&amp;H998),2)</f>
        <v>091718325355</v>
      </c>
      <c r="J998" s="1" t="n">
        <f aca="false">COUNTIF(I:I,I998)</f>
        <v>1</v>
      </c>
      <c r="K998" s="1" t="n">
        <v>0</v>
      </c>
      <c r="M998" s="1" t="s">
        <v>23</v>
      </c>
      <c r="N998" s="1" t="n">
        <v>40</v>
      </c>
      <c r="O998" s="1" t="s">
        <v>4766</v>
      </c>
      <c r="P998" s="1" t="n">
        <v>3203</v>
      </c>
      <c r="Q998" s="1" t="s">
        <v>4767</v>
      </c>
      <c r="R998" s="1" t="s">
        <v>4768</v>
      </c>
      <c r="S998" s="1" t="s">
        <v>23</v>
      </c>
      <c r="T998" s="1" t="s">
        <v>4769</v>
      </c>
      <c r="U998" s="1" t="s">
        <v>4770</v>
      </c>
    </row>
    <row r="999" customFormat="false" ht="13.8" hidden="false" customHeight="false" outlineLevel="0" collapsed="false">
      <c r="A999" s="1" t="n">
        <v>998</v>
      </c>
      <c r="B999" s="2" t="s">
        <v>4771</v>
      </c>
      <c r="C999" s="1" t="n">
        <v>3</v>
      </c>
      <c r="D999" s="1" t="n">
        <v>4</v>
      </c>
      <c r="E999" s="1" t="n">
        <v>21</v>
      </c>
      <c r="F999" s="1" t="n">
        <v>22</v>
      </c>
      <c r="G999" s="1" t="n">
        <v>28</v>
      </c>
      <c r="H999" s="1" t="n">
        <v>32</v>
      </c>
      <c r="I999" s="1" t="str">
        <f aca="false">RIGHT(("0"&amp;C999),2)&amp;RIGHT(("0"&amp;D999),2)&amp;RIGHT(("0"&amp;E999),2)&amp;RIGHT(("0"&amp;F999),2)&amp;RIGHT(("0"&amp;G999),2)&amp;RIGHT(("0"&amp;H999),2)</f>
        <v>030421222832</v>
      </c>
      <c r="J999" s="1" t="n">
        <f aca="false">COUNTIF(I:I,I999)</f>
        <v>1</v>
      </c>
      <c r="K999" s="1" t="n">
        <v>0</v>
      </c>
      <c r="M999" s="1" t="s">
        <v>23</v>
      </c>
      <c r="N999" s="1" t="n">
        <v>40</v>
      </c>
      <c r="O999" s="1" t="s">
        <v>4772</v>
      </c>
      <c r="P999" s="1" t="n">
        <v>4526</v>
      </c>
      <c r="Q999" s="1" t="s">
        <v>4773</v>
      </c>
      <c r="R999" s="1" t="s">
        <v>4774</v>
      </c>
      <c r="S999" s="1" t="s">
        <v>23</v>
      </c>
      <c r="T999" s="1" t="s">
        <v>4342</v>
      </c>
      <c r="U999" s="1" t="s">
        <v>4775</v>
      </c>
    </row>
    <row r="1000" customFormat="false" ht="13.8" hidden="false" customHeight="false" outlineLevel="0" collapsed="false">
      <c r="A1000" s="1" t="n">
        <v>999</v>
      </c>
      <c r="B1000" s="2" t="s">
        <v>4776</v>
      </c>
      <c r="C1000" s="1" t="n">
        <v>18</v>
      </c>
      <c r="D1000" s="1" t="n">
        <v>24</v>
      </c>
      <c r="E1000" s="1" t="n">
        <v>36</v>
      </c>
      <c r="F1000" s="1" t="n">
        <v>44</v>
      </c>
      <c r="G1000" s="1" t="n">
        <v>55</v>
      </c>
      <c r="H1000" s="1" t="n">
        <v>58</v>
      </c>
      <c r="I1000" s="1" t="str">
        <f aca="false">RIGHT(("0"&amp;C1000),2)&amp;RIGHT(("0"&amp;D1000),2)&amp;RIGHT(("0"&amp;E1000),2)&amp;RIGHT(("0"&amp;F1000),2)&amp;RIGHT(("0"&amp;G1000),2)&amp;RIGHT(("0"&amp;H1000),2)</f>
        <v>182436445558</v>
      </c>
      <c r="J1000" s="1" t="n">
        <f aca="false">COUNTIF(I:I,I1000)</f>
        <v>1</v>
      </c>
      <c r="K1000" s="1" t="n">
        <v>0</v>
      </c>
      <c r="M1000" s="1" t="s">
        <v>23</v>
      </c>
      <c r="N1000" s="1" t="n">
        <v>103</v>
      </c>
      <c r="O1000" s="1" t="s">
        <v>4777</v>
      </c>
      <c r="P1000" s="1" t="n">
        <v>6681</v>
      </c>
      <c r="Q1000" s="1" t="s">
        <v>4778</v>
      </c>
      <c r="R1000" s="1" t="s">
        <v>4779</v>
      </c>
      <c r="S1000" s="1" t="s">
        <v>23</v>
      </c>
      <c r="T1000" s="1" t="s">
        <v>4208</v>
      </c>
      <c r="U1000" s="1" t="s">
        <v>4780</v>
      </c>
    </row>
    <row r="1001" customFormat="false" ht="13.8" hidden="false" customHeight="false" outlineLevel="0" collapsed="false">
      <c r="A1001" s="1" t="n">
        <v>1000</v>
      </c>
      <c r="B1001" s="2" t="s">
        <v>4781</v>
      </c>
      <c r="C1001" s="1" t="n">
        <v>29</v>
      </c>
      <c r="D1001" s="1" t="n">
        <v>38</v>
      </c>
      <c r="E1001" s="1" t="n">
        <v>39</v>
      </c>
      <c r="F1001" s="1" t="n">
        <v>49</v>
      </c>
      <c r="G1001" s="1" t="n">
        <v>53</v>
      </c>
      <c r="H1001" s="1" t="n">
        <v>58</v>
      </c>
      <c r="I1001" s="1" t="str">
        <f aca="false">RIGHT(("0"&amp;C1001),2)&amp;RIGHT(("0"&amp;D1001),2)&amp;RIGHT(("0"&amp;E1001),2)&amp;RIGHT(("0"&amp;F1001),2)&amp;RIGHT(("0"&amp;G1001),2)&amp;RIGHT(("0"&amp;H1001),2)</f>
        <v>293839495358</v>
      </c>
      <c r="J1001" s="1" t="n">
        <f aca="false">COUNTIF(I:I,I1001)</f>
        <v>1</v>
      </c>
      <c r="K1001" s="1" t="n">
        <v>0</v>
      </c>
      <c r="M1001" s="1" t="s">
        <v>23</v>
      </c>
      <c r="N1001" s="1" t="n">
        <v>41</v>
      </c>
      <c r="O1001" s="1" t="s">
        <v>4782</v>
      </c>
      <c r="P1001" s="1" t="n">
        <v>3771</v>
      </c>
      <c r="Q1001" s="1" t="s">
        <v>4783</v>
      </c>
      <c r="R1001" s="1" t="s">
        <v>4784</v>
      </c>
      <c r="S1001" s="1" t="s">
        <v>23</v>
      </c>
      <c r="T1001" s="1" t="s">
        <v>4299</v>
      </c>
      <c r="U1001" s="1" t="s">
        <v>4785</v>
      </c>
    </row>
    <row r="1002" customFormat="false" ht="13.8" hidden="false" customHeight="false" outlineLevel="0" collapsed="false">
      <c r="A1002" s="1" t="n">
        <v>1001</v>
      </c>
      <c r="B1002" s="2" t="s">
        <v>4786</v>
      </c>
      <c r="C1002" s="1" t="n">
        <v>12</v>
      </c>
      <c r="D1002" s="1" t="n">
        <v>15</v>
      </c>
      <c r="E1002" s="1" t="n">
        <v>27</v>
      </c>
      <c r="F1002" s="1" t="n">
        <v>37</v>
      </c>
      <c r="G1002" s="1" t="n">
        <v>51</v>
      </c>
      <c r="H1002" s="1" t="n">
        <v>60</v>
      </c>
      <c r="I1002" s="1" t="str">
        <f aca="false">RIGHT(("0"&amp;C1002),2)&amp;RIGHT(("0"&amp;D1002),2)&amp;RIGHT(("0"&amp;E1002),2)&amp;RIGHT(("0"&amp;F1002),2)&amp;RIGHT(("0"&amp;G1002),2)&amp;RIGHT(("0"&amp;H1002),2)</f>
        <v>121527375160</v>
      </c>
      <c r="J1002" s="1" t="n">
        <f aca="false">COUNTIF(I:I,I1002)</f>
        <v>1</v>
      </c>
      <c r="K1002" s="1" t="n">
        <v>0</v>
      </c>
      <c r="M1002" s="1" t="s">
        <v>23</v>
      </c>
      <c r="N1002" s="1" t="n">
        <v>87</v>
      </c>
      <c r="O1002" s="1" t="s">
        <v>4787</v>
      </c>
      <c r="P1002" s="1" t="n">
        <v>7074</v>
      </c>
      <c r="Q1002" s="1" t="s">
        <v>4788</v>
      </c>
      <c r="R1002" s="1" t="s">
        <v>4789</v>
      </c>
      <c r="S1002" s="1" t="s">
        <v>23</v>
      </c>
      <c r="T1002" s="1" t="s">
        <v>4718</v>
      </c>
      <c r="U1002" s="1" t="s">
        <v>4790</v>
      </c>
    </row>
    <row r="1003" customFormat="false" ht="13.8" hidden="false" customHeight="false" outlineLevel="0" collapsed="false">
      <c r="A1003" s="1" t="n">
        <v>1002</v>
      </c>
      <c r="B1003" s="2" t="s">
        <v>4791</v>
      </c>
      <c r="C1003" s="1" t="n">
        <v>3</v>
      </c>
      <c r="D1003" s="1" t="n">
        <v>7</v>
      </c>
      <c r="E1003" s="1" t="n">
        <v>25</v>
      </c>
      <c r="F1003" s="1" t="n">
        <v>31</v>
      </c>
      <c r="G1003" s="1" t="n">
        <v>40</v>
      </c>
      <c r="H1003" s="1" t="n">
        <v>58</v>
      </c>
      <c r="I1003" s="1" t="str">
        <f aca="false">RIGHT(("0"&amp;C1003),2)&amp;RIGHT(("0"&amp;D1003),2)&amp;RIGHT(("0"&amp;E1003),2)&amp;RIGHT(("0"&amp;F1003),2)&amp;RIGHT(("0"&amp;G1003),2)&amp;RIGHT(("0"&amp;H1003),2)</f>
        <v>030725314058</v>
      </c>
      <c r="J1003" s="1" t="n">
        <f aca="false">COUNTIF(I:I,I1003)</f>
        <v>1</v>
      </c>
      <c r="K1003" s="1" t="n">
        <v>1</v>
      </c>
      <c r="L1003" s="1" t="s">
        <v>157</v>
      </c>
      <c r="M1003" s="1" t="s">
        <v>4792</v>
      </c>
      <c r="N1003" s="1" t="n">
        <v>174</v>
      </c>
      <c r="O1003" s="1" t="s">
        <v>4793</v>
      </c>
      <c r="P1003" s="1" t="n">
        <v>10015</v>
      </c>
      <c r="Q1003" s="1" t="s">
        <v>4794</v>
      </c>
      <c r="R1003" s="1" t="s">
        <v>23</v>
      </c>
      <c r="S1003" s="1" t="s">
        <v>23</v>
      </c>
      <c r="T1003" s="1" t="s">
        <v>4218</v>
      </c>
      <c r="U1003" s="1" t="s">
        <v>4795</v>
      </c>
      <c r="V1003" s="1" t="s">
        <v>4796</v>
      </c>
    </row>
    <row r="1004" customFormat="false" ht="13.8" hidden="false" customHeight="false" outlineLevel="0" collapsed="false">
      <c r="A1004" s="1" t="n">
        <v>1003</v>
      </c>
      <c r="B1004" s="2" t="s">
        <v>4797</v>
      </c>
      <c r="C1004" s="1" t="n">
        <v>5</v>
      </c>
      <c r="D1004" s="1" t="n">
        <v>10</v>
      </c>
      <c r="E1004" s="1" t="n">
        <v>16</v>
      </c>
      <c r="F1004" s="1" t="n">
        <v>23</v>
      </c>
      <c r="G1004" s="1" t="n">
        <v>26</v>
      </c>
      <c r="H1004" s="1" t="n">
        <v>27</v>
      </c>
      <c r="I1004" s="1" t="str">
        <f aca="false">RIGHT(("0"&amp;C1004),2)&amp;RIGHT(("0"&amp;D1004),2)&amp;RIGHT(("0"&amp;E1004),2)&amp;RIGHT(("0"&amp;F1004),2)&amp;RIGHT(("0"&amp;G1004),2)&amp;RIGHT(("0"&amp;H1004),2)</f>
        <v>051016232627</v>
      </c>
      <c r="J1004" s="1" t="n">
        <f aca="false">COUNTIF(I:I,I1004)</f>
        <v>1</v>
      </c>
      <c r="K1004" s="1" t="n">
        <v>1</v>
      </c>
      <c r="L1004" s="1" t="s">
        <v>1267</v>
      </c>
      <c r="M1004" s="1" t="s">
        <v>4798</v>
      </c>
      <c r="N1004" s="1" t="n">
        <v>86</v>
      </c>
      <c r="O1004" s="1" t="s">
        <v>4799</v>
      </c>
      <c r="P1004" s="1" t="n">
        <v>5694</v>
      </c>
      <c r="Q1004" s="1" t="s">
        <v>4800</v>
      </c>
      <c r="R1004" s="1" t="s">
        <v>23</v>
      </c>
      <c r="S1004" s="1" t="s">
        <v>23</v>
      </c>
      <c r="T1004" s="1" t="s">
        <v>4218</v>
      </c>
      <c r="U1004" s="1" t="s">
        <v>4801</v>
      </c>
      <c r="V1004" s="1" t="s">
        <v>4802</v>
      </c>
    </row>
    <row r="1005" customFormat="false" ht="13.8" hidden="false" customHeight="false" outlineLevel="0" collapsed="false">
      <c r="A1005" s="1" t="n">
        <v>1004</v>
      </c>
      <c r="B1005" s="2" t="s">
        <v>4803</v>
      </c>
      <c r="C1005" s="1" t="n">
        <v>29</v>
      </c>
      <c r="D1005" s="1" t="n">
        <v>40</v>
      </c>
      <c r="E1005" s="1" t="n">
        <v>43</v>
      </c>
      <c r="F1005" s="1" t="n">
        <v>44</v>
      </c>
      <c r="G1005" s="1" t="n">
        <v>45</v>
      </c>
      <c r="H1005" s="1" t="n">
        <v>47</v>
      </c>
      <c r="I1005" s="1" t="str">
        <f aca="false">RIGHT(("0"&amp;C1005),2)&amp;RIGHT(("0"&amp;D1005),2)&amp;RIGHT(("0"&amp;E1005),2)&amp;RIGHT(("0"&amp;F1005),2)&amp;RIGHT(("0"&amp;G1005),2)&amp;RIGHT(("0"&amp;H1005),2)</f>
        <v>294043444547</v>
      </c>
      <c r="J1005" s="1" t="n">
        <f aca="false">COUNTIF(I:I,I1005)</f>
        <v>1</v>
      </c>
      <c r="K1005" s="1" t="n">
        <v>0</v>
      </c>
      <c r="M1005" s="1" t="s">
        <v>23</v>
      </c>
      <c r="N1005" s="1" t="n">
        <v>34</v>
      </c>
      <c r="O1005" s="1" t="s">
        <v>4804</v>
      </c>
      <c r="P1005" s="1" t="n">
        <v>2419</v>
      </c>
      <c r="Q1005" s="1" t="s">
        <v>4805</v>
      </c>
      <c r="R1005" s="1" t="s">
        <v>4806</v>
      </c>
      <c r="S1005" s="1" t="s">
        <v>23</v>
      </c>
      <c r="T1005" s="1" t="s">
        <v>4531</v>
      </c>
      <c r="U1005" s="1" t="s">
        <v>4807</v>
      </c>
    </row>
    <row r="1006" customFormat="false" ht="13.8" hidden="false" customHeight="false" outlineLevel="0" collapsed="false">
      <c r="A1006" s="1" t="n">
        <v>1005</v>
      </c>
      <c r="B1006" s="2" t="s">
        <v>4808</v>
      </c>
      <c r="C1006" s="1" t="n">
        <v>4</v>
      </c>
      <c r="D1006" s="1" t="n">
        <v>6</v>
      </c>
      <c r="E1006" s="1" t="n">
        <v>12</v>
      </c>
      <c r="F1006" s="1" t="n">
        <v>37</v>
      </c>
      <c r="G1006" s="1" t="n">
        <v>41</v>
      </c>
      <c r="H1006" s="1" t="n">
        <v>42</v>
      </c>
      <c r="I1006" s="1" t="str">
        <f aca="false">RIGHT(("0"&amp;C1006),2)&amp;RIGHT(("0"&amp;D1006),2)&amp;RIGHT(("0"&amp;E1006),2)&amp;RIGHT(("0"&amp;F1006),2)&amp;RIGHT(("0"&amp;G1006),2)&amp;RIGHT(("0"&amp;H1006),2)</f>
        <v>040612374142</v>
      </c>
      <c r="J1006" s="1" t="n">
        <f aca="false">COUNTIF(I:I,I1006)</f>
        <v>1</v>
      </c>
      <c r="K1006" s="1" t="n">
        <v>1</v>
      </c>
      <c r="L1006" s="1" t="s">
        <v>66</v>
      </c>
      <c r="M1006" s="1" t="s">
        <v>4809</v>
      </c>
      <c r="N1006" s="1" t="n">
        <v>67</v>
      </c>
      <c r="O1006" s="1" t="s">
        <v>4810</v>
      </c>
      <c r="P1006" s="1" t="n">
        <v>5871</v>
      </c>
      <c r="Q1006" s="1" t="s">
        <v>4811</v>
      </c>
      <c r="R1006" s="1" t="s">
        <v>23</v>
      </c>
      <c r="S1006" s="1" t="s">
        <v>23</v>
      </c>
      <c r="T1006" s="1" t="s">
        <v>4218</v>
      </c>
      <c r="U1006" s="1" t="s">
        <v>4812</v>
      </c>
      <c r="V1006" s="1" t="s">
        <v>4813</v>
      </c>
    </row>
    <row r="1007" customFormat="false" ht="13.8" hidden="false" customHeight="false" outlineLevel="0" collapsed="false">
      <c r="A1007" s="1" t="n">
        <v>1006</v>
      </c>
      <c r="B1007" s="2" t="s">
        <v>4814</v>
      </c>
      <c r="C1007" s="1" t="n">
        <v>2</v>
      </c>
      <c r="D1007" s="1" t="n">
        <v>4</v>
      </c>
      <c r="E1007" s="1" t="n">
        <v>17</v>
      </c>
      <c r="F1007" s="1" t="n">
        <v>33</v>
      </c>
      <c r="G1007" s="1" t="n">
        <v>48</v>
      </c>
      <c r="H1007" s="1" t="n">
        <v>55</v>
      </c>
      <c r="I1007" s="1" t="str">
        <f aca="false">RIGHT(("0"&amp;C1007),2)&amp;RIGHT(("0"&amp;D1007),2)&amp;RIGHT(("0"&amp;E1007),2)&amp;RIGHT(("0"&amp;F1007),2)&amp;RIGHT(("0"&amp;G1007),2)&amp;RIGHT(("0"&amp;H1007),2)</f>
        <v>020417334855</v>
      </c>
      <c r="J1007" s="1" t="n">
        <f aca="false">COUNTIF(I:I,I1007)</f>
        <v>1</v>
      </c>
      <c r="K1007" s="1" t="n">
        <v>1</v>
      </c>
      <c r="L1007" s="1" t="s">
        <v>157</v>
      </c>
      <c r="M1007" s="1" t="s">
        <v>4815</v>
      </c>
      <c r="N1007" s="1" t="n">
        <v>136</v>
      </c>
      <c r="O1007" s="1" t="s">
        <v>4816</v>
      </c>
      <c r="P1007" s="1" t="n">
        <v>5935</v>
      </c>
      <c r="Q1007" s="1" t="s">
        <v>4817</v>
      </c>
      <c r="R1007" s="1" t="s">
        <v>23</v>
      </c>
      <c r="S1007" s="1" t="s">
        <v>23</v>
      </c>
      <c r="T1007" s="1" t="s">
        <v>4218</v>
      </c>
      <c r="U1007" s="1" t="s">
        <v>4818</v>
      </c>
      <c r="V1007" s="1" t="s">
        <v>4819</v>
      </c>
    </row>
    <row r="1008" customFormat="false" ht="13.8" hidden="false" customHeight="false" outlineLevel="0" collapsed="false">
      <c r="A1008" s="1" t="n">
        <v>1007</v>
      </c>
      <c r="B1008" s="2" t="s">
        <v>4820</v>
      </c>
      <c r="C1008" s="1" t="n">
        <v>4</v>
      </c>
      <c r="D1008" s="1" t="n">
        <v>27</v>
      </c>
      <c r="E1008" s="1" t="n">
        <v>36</v>
      </c>
      <c r="F1008" s="1" t="n">
        <v>37</v>
      </c>
      <c r="G1008" s="1" t="n">
        <v>49</v>
      </c>
      <c r="H1008" s="1" t="n">
        <v>52</v>
      </c>
      <c r="I1008" s="1" t="str">
        <f aca="false">RIGHT(("0"&amp;C1008),2)&amp;RIGHT(("0"&amp;D1008),2)&amp;RIGHT(("0"&amp;E1008),2)&amp;RIGHT(("0"&amp;F1008),2)&amp;RIGHT(("0"&amp;G1008),2)&amp;RIGHT(("0"&amp;H1008),2)</f>
        <v>042736374952</v>
      </c>
      <c r="J1008" s="1" t="n">
        <f aca="false">COUNTIF(I:I,I1008)</f>
        <v>1</v>
      </c>
      <c r="K1008" s="1" t="n">
        <v>0</v>
      </c>
      <c r="M1008" s="1" t="s">
        <v>23</v>
      </c>
      <c r="N1008" s="1" t="n">
        <v>46</v>
      </c>
      <c r="O1008" s="1" t="s">
        <v>4821</v>
      </c>
      <c r="P1008" s="1" t="n">
        <v>2884</v>
      </c>
      <c r="Q1008" s="1" t="s">
        <v>4822</v>
      </c>
      <c r="R1008" s="1" t="s">
        <v>4823</v>
      </c>
      <c r="S1008" s="1" t="s">
        <v>23</v>
      </c>
      <c r="T1008" s="1" t="s">
        <v>4337</v>
      </c>
      <c r="U1008" s="1" t="s">
        <v>4824</v>
      </c>
    </row>
    <row r="1009" customFormat="false" ht="13.8" hidden="false" customHeight="false" outlineLevel="0" collapsed="false">
      <c r="A1009" s="1" t="n">
        <v>1008</v>
      </c>
      <c r="B1009" s="2" t="s">
        <v>4825</v>
      </c>
      <c r="C1009" s="1" t="n">
        <v>7</v>
      </c>
      <c r="D1009" s="1" t="n">
        <v>13</v>
      </c>
      <c r="E1009" s="1" t="n">
        <v>15</v>
      </c>
      <c r="F1009" s="1" t="n">
        <v>34</v>
      </c>
      <c r="G1009" s="1" t="n">
        <v>42</v>
      </c>
      <c r="H1009" s="1" t="n">
        <v>48</v>
      </c>
      <c r="I1009" s="1" t="str">
        <f aca="false">RIGHT(("0"&amp;C1009),2)&amp;RIGHT(("0"&amp;D1009),2)&amp;RIGHT(("0"&amp;E1009),2)&amp;RIGHT(("0"&amp;F1009),2)&amp;RIGHT(("0"&amp;G1009),2)&amp;RIGHT(("0"&amp;H1009),2)</f>
        <v>071315344248</v>
      </c>
      <c r="J1009" s="1" t="n">
        <f aca="false">COUNTIF(I:I,I1009)</f>
        <v>1</v>
      </c>
      <c r="K1009" s="1" t="n">
        <v>0</v>
      </c>
      <c r="M1009" s="1" t="s">
        <v>23</v>
      </c>
      <c r="N1009" s="1" t="n">
        <v>159</v>
      </c>
      <c r="O1009" s="1" t="s">
        <v>4826</v>
      </c>
      <c r="P1009" s="1" t="n">
        <v>8123</v>
      </c>
      <c r="Q1009" s="1" t="s">
        <v>4827</v>
      </c>
      <c r="R1009" s="1" t="s">
        <v>4828</v>
      </c>
      <c r="S1009" s="1" t="s">
        <v>23</v>
      </c>
      <c r="T1009" s="1" t="s">
        <v>4227</v>
      </c>
      <c r="U1009" s="1" t="s">
        <v>4829</v>
      </c>
    </row>
    <row r="1010" customFormat="false" ht="13.8" hidden="false" customHeight="false" outlineLevel="0" collapsed="false">
      <c r="A1010" s="1" t="n">
        <v>1009</v>
      </c>
      <c r="B1010" s="2" t="s">
        <v>4830</v>
      </c>
      <c r="C1010" s="1" t="n">
        <v>1</v>
      </c>
      <c r="D1010" s="1" t="n">
        <v>6</v>
      </c>
      <c r="E1010" s="1" t="n">
        <v>12</v>
      </c>
      <c r="F1010" s="1" t="n">
        <v>29</v>
      </c>
      <c r="G1010" s="1" t="n">
        <v>34</v>
      </c>
      <c r="H1010" s="1" t="n">
        <v>58</v>
      </c>
      <c r="I1010" s="1" t="str">
        <f aca="false">RIGHT(("0"&amp;C1010),2)&amp;RIGHT(("0"&amp;D1010),2)&amp;RIGHT(("0"&amp;E1010),2)&amp;RIGHT(("0"&amp;F1010),2)&amp;RIGHT(("0"&amp;G1010),2)&amp;RIGHT(("0"&amp;H1010),2)</f>
        <v>010612293458</v>
      </c>
      <c r="J1010" s="1" t="n">
        <f aca="false">COUNTIF(I:I,I1010)</f>
        <v>1</v>
      </c>
      <c r="K1010" s="1" t="n">
        <v>2</v>
      </c>
      <c r="L1010" s="1" t="s">
        <v>4831</v>
      </c>
      <c r="M1010" s="1" t="s">
        <v>4832</v>
      </c>
      <c r="N1010" s="1" t="n">
        <v>111</v>
      </c>
      <c r="O1010" s="1" t="s">
        <v>4833</v>
      </c>
      <c r="P1010" s="1" t="n">
        <v>5083</v>
      </c>
      <c r="Q1010" s="1" t="s">
        <v>4834</v>
      </c>
      <c r="R1010" s="1" t="s">
        <v>23</v>
      </c>
      <c r="S1010" s="1" t="s">
        <v>23</v>
      </c>
      <c r="T1010" s="1" t="s">
        <v>4347</v>
      </c>
      <c r="U1010" s="1" t="s">
        <v>4835</v>
      </c>
      <c r="V1010" s="1" t="s">
        <v>4836</v>
      </c>
    </row>
    <row r="1011" customFormat="false" ht="13.8" hidden="false" customHeight="false" outlineLevel="0" collapsed="false">
      <c r="A1011" s="1" t="n">
        <v>1010</v>
      </c>
      <c r="B1011" s="2" t="s">
        <v>4837</v>
      </c>
      <c r="C1011" s="1" t="n">
        <v>2</v>
      </c>
      <c r="D1011" s="1" t="n">
        <v>3</v>
      </c>
      <c r="E1011" s="1" t="n">
        <v>13</v>
      </c>
      <c r="F1011" s="1" t="n">
        <v>37</v>
      </c>
      <c r="G1011" s="1" t="n">
        <v>46</v>
      </c>
      <c r="H1011" s="1" t="n">
        <v>54</v>
      </c>
      <c r="I1011" s="1" t="str">
        <f aca="false">RIGHT(("0"&amp;C1011),2)&amp;RIGHT(("0"&amp;D1011),2)&amp;RIGHT(("0"&amp;E1011),2)&amp;RIGHT(("0"&amp;F1011),2)&amp;RIGHT(("0"&amp;G1011),2)&amp;RIGHT(("0"&amp;H1011),2)</f>
        <v>020313374654</v>
      </c>
      <c r="J1011" s="1" t="n">
        <f aca="false">COUNTIF(I:I,I1011)</f>
        <v>1</v>
      </c>
      <c r="K1011" s="1" t="n">
        <v>0</v>
      </c>
      <c r="M1011" s="1" t="s">
        <v>23</v>
      </c>
      <c r="N1011" s="1" t="n">
        <v>61</v>
      </c>
      <c r="O1011" s="1" t="s">
        <v>4838</v>
      </c>
      <c r="P1011" s="1" t="n">
        <v>4679</v>
      </c>
      <c r="Q1011" s="1" t="s">
        <v>4839</v>
      </c>
      <c r="R1011" s="1" t="s">
        <v>4840</v>
      </c>
      <c r="S1011" s="1" t="s">
        <v>23</v>
      </c>
      <c r="T1011" s="1" t="s">
        <v>4195</v>
      </c>
      <c r="U1011" s="1" t="s">
        <v>4841</v>
      </c>
    </row>
    <row r="1012" customFormat="false" ht="13.8" hidden="false" customHeight="false" outlineLevel="0" collapsed="false">
      <c r="A1012" s="1" t="n">
        <v>1011</v>
      </c>
      <c r="B1012" s="2" t="s">
        <v>4842</v>
      </c>
      <c r="C1012" s="1" t="n">
        <v>2</v>
      </c>
      <c r="D1012" s="1" t="n">
        <v>11</v>
      </c>
      <c r="E1012" s="1" t="n">
        <v>21</v>
      </c>
      <c r="F1012" s="1" t="n">
        <v>30</v>
      </c>
      <c r="G1012" s="1" t="n">
        <v>35</v>
      </c>
      <c r="H1012" s="1" t="n">
        <v>52</v>
      </c>
      <c r="I1012" s="1" t="str">
        <f aca="false">RIGHT(("0"&amp;C1012),2)&amp;RIGHT(("0"&amp;D1012),2)&amp;RIGHT(("0"&amp;E1012),2)&amp;RIGHT(("0"&amp;F1012),2)&amp;RIGHT(("0"&amp;G1012),2)&amp;RIGHT(("0"&amp;H1012),2)</f>
        <v>021121303552</v>
      </c>
      <c r="J1012" s="1" t="n">
        <f aca="false">COUNTIF(I:I,I1012)</f>
        <v>1</v>
      </c>
      <c r="K1012" s="1" t="n">
        <v>0</v>
      </c>
      <c r="M1012" s="1" t="s">
        <v>23</v>
      </c>
      <c r="N1012" s="1" t="n">
        <v>113</v>
      </c>
      <c r="O1012" s="1" t="s">
        <v>4843</v>
      </c>
      <c r="P1012" s="1" t="n">
        <v>3889</v>
      </c>
      <c r="Q1012" s="1" t="s">
        <v>4844</v>
      </c>
      <c r="R1012" s="1" t="s">
        <v>4845</v>
      </c>
      <c r="S1012" s="1" t="s">
        <v>23</v>
      </c>
      <c r="T1012" s="1" t="s">
        <v>4846</v>
      </c>
      <c r="U1012" s="1" t="s">
        <v>4847</v>
      </c>
    </row>
    <row r="1013" customFormat="false" ht="13.8" hidden="false" customHeight="false" outlineLevel="0" collapsed="false">
      <c r="A1013" s="1" t="n">
        <v>1012</v>
      </c>
      <c r="B1013" s="2" t="s">
        <v>4848</v>
      </c>
      <c r="C1013" s="1" t="n">
        <v>14</v>
      </c>
      <c r="D1013" s="1" t="n">
        <v>19</v>
      </c>
      <c r="E1013" s="1" t="n">
        <v>40</v>
      </c>
      <c r="F1013" s="1" t="n">
        <v>47</v>
      </c>
      <c r="G1013" s="1" t="n">
        <v>55</v>
      </c>
      <c r="H1013" s="1" t="n">
        <v>58</v>
      </c>
      <c r="I1013" s="1" t="str">
        <f aca="false">RIGHT(("0"&amp;C1013),2)&amp;RIGHT(("0"&amp;D1013),2)&amp;RIGHT(("0"&amp;E1013),2)&amp;RIGHT(("0"&amp;F1013),2)&amp;RIGHT(("0"&amp;G1013),2)&amp;RIGHT(("0"&amp;H1013),2)</f>
        <v>141940475558</v>
      </c>
      <c r="J1013" s="1" t="n">
        <f aca="false">COUNTIF(I:I,I1013)</f>
        <v>1</v>
      </c>
      <c r="K1013" s="1" t="n">
        <v>0</v>
      </c>
      <c r="M1013" s="1" t="s">
        <v>23</v>
      </c>
      <c r="N1013" s="1" t="n">
        <v>43</v>
      </c>
      <c r="O1013" s="1" t="s">
        <v>4849</v>
      </c>
      <c r="P1013" s="1" t="n">
        <v>3755</v>
      </c>
      <c r="Q1013" s="1" t="s">
        <v>4850</v>
      </c>
      <c r="R1013" s="1" t="s">
        <v>4851</v>
      </c>
      <c r="S1013" s="1" t="s">
        <v>23</v>
      </c>
      <c r="T1013" s="1" t="s">
        <v>3928</v>
      </c>
      <c r="U1013" s="1" t="s">
        <v>4852</v>
      </c>
    </row>
    <row r="1014" customFormat="false" ht="13.8" hidden="false" customHeight="false" outlineLevel="0" collapsed="false">
      <c r="A1014" s="1" t="n">
        <v>1013</v>
      </c>
      <c r="B1014" s="2" t="s">
        <v>4853</v>
      </c>
      <c r="C1014" s="1" t="n">
        <v>7</v>
      </c>
      <c r="D1014" s="1" t="n">
        <v>9</v>
      </c>
      <c r="E1014" s="1" t="n">
        <v>12</v>
      </c>
      <c r="F1014" s="1" t="n">
        <v>19</v>
      </c>
      <c r="G1014" s="1" t="n">
        <v>20</v>
      </c>
      <c r="H1014" s="1" t="n">
        <v>41</v>
      </c>
      <c r="I1014" s="1" t="str">
        <f aca="false">RIGHT(("0"&amp;C1014),2)&amp;RIGHT(("0"&amp;D1014),2)&amp;RIGHT(("0"&amp;E1014),2)&amp;RIGHT(("0"&amp;F1014),2)&amp;RIGHT(("0"&amp;G1014),2)&amp;RIGHT(("0"&amp;H1014),2)</f>
        <v>070912192041</v>
      </c>
      <c r="J1014" s="1" t="n">
        <f aca="false">COUNTIF(I:I,I1014)</f>
        <v>1</v>
      </c>
      <c r="K1014" s="1" t="n">
        <v>1</v>
      </c>
      <c r="L1014" s="1" t="s">
        <v>91</v>
      </c>
      <c r="M1014" s="1" t="s">
        <v>4854</v>
      </c>
      <c r="N1014" s="1" t="n">
        <v>178</v>
      </c>
      <c r="O1014" s="1" t="s">
        <v>4855</v>
      </c>
      <c r="P1014" s="1" t="n">
        <v>10125</v>
      </c>
      <c r="Q1014" s="1" t="s">
        <v>4856</v>
      </c>
      <c r="R1014" s="1" t="s">
        <v>23</v>
      </c>
      <c r="S1014" s="1" t="s">
        <v>23</v>
      </c>
      <c r="T1014" s="1" t="s">
        <v>4857</v>
      </c>
      <c r="U1014" s="1" t="s">
        <v>4858</v>
      </c>
      <c r="V1014" s="1" t="s">
        <v>4859</v>
      </c>
    </row>
    <row r="1015" customFormat="false" ht="13.8" hidden="false" customHeight="false" outlineLevel="0" collapsed="false">
      <c r="A1015" s="1" t="n">
        <v>1014</v>
      </c>
      <c r="B1015" s="2" t="s">
        <v>4860</v>
      </c>
      <c r="C1015" s="1" t="n">
        <v>8</v>
      </c>
      <c r="D1015" s="1" t="n">
        <v>9</v>
      </c>
      <c r="E1015" s="1" t="n">
        <v>25</v>
      </c>
      <c r="F1015" s="1" t="n">
        <v>41</v>
      </c>
      <c r="G1015" s="1" t="n">
        <v>57</v>
      </c>
      <c r="H1015" s="1" t="n">
        <v>60</v>
      </c>
      <c r="I1015" s="1" t="str">
        <f aca="false">RIGHT(("0"&amp;C1015),2)&amp;RIGHT(("0"&amp;D1015),2)&amp;RIGHT(("0"&amp;E1015),2)&amp;RIGHT(("0"&amp;F1015),2)&amp;RIGHT(("0"&amp;G1015),2)&amp;RIGHT(("0"&amp;H1015),2)</f>
        <v>080925415760</v>
      </c>
      <c r="J1015" s="1" t="n">
        <f aca="false">COUNTIF(I:I,I1015)</f>
        <v>1</v>
      </c>
      <c r="K1015" s="1" t="n">
        <v>0</v>
      </c>
      <c r="M1015" s="1" t="s">
        <v>23</v>
      </c>
      <c r="N1015" s="1" t="n">
        <v>65</v>
      </c>
      <c r="O1015" s="1" t="s">
        <v>4861</v>
      </c>
      <c r="P1015" s="1" t="n">
        <v>3861</v>
      </c>
      <c r="Q1015" s="1" t="s">
        <v>844</v>
      </c>
      <c r="R1015" s="1" t="s">
        <v>4862</v>
      </c>
      <c r="S1015" s="1" t="s">
        <v>23</v>
      </c>
      <c r="T1015" s="1" t="s">
        <v>4461</v>
      </c>
      <c r="U1015" s="1" t="s">
        <v>4863</v>
      </c>
    </row>
    <row r="1016" customFormat="false" ht="13.8" hidden="false" customHeight="false" outlineLevel="0" collapsed="false">
      <c r="A1016" s="1" t="n">
        <v>1015</v>
      </c>
      <c r="B1016" s="2" t="s">
        <v>4864</v>
      </c>
      <c r="C1016" s="1" t="n">
        <v>3</v>
      </c>
      <c r="D1016" s="1" t="n">
        <v>8</v>
      </c>
      <c r="E1016" s="1" t="n">
        <v>17</v>
      </c>
      <c r="F1016" s="1" t="n">
        <v>26</v>
      </c>
      <c r="G1016" s="1" t="n">
        <v>28</v>
      </c>
      <c r="H1016" s="1" t="n">
        <v>49</v>
      </c>
      <c r="I1016" s="1" t="str">
        <f aca="false">RIGHT(("0"&amp;C1016),2)&amp;RIGHT(("0"&amp;D1016),2)&amp;RIGHT(("0"&amp;E1016),2)&amp;RIGHT(("0"&amp;F1016),2)&amp;RIGHT(("0"&amp;G1016),2)&amp;RIGHT(("0"&amp;H1016),2)</f>
        <v>030817262849</v>
      </c>
      <c r="J1016" s="1" t="n">
        <f aca="false">COUNTIF(I:I,I1016)</f>
        <v>1</v>
      </c>
      <c r="K1016" s="1" t="n">
        <v>0</v>
      </c>
      <c r="M1016" s="1" t="s">
        <v>23</v>
      </c>
      <c r="N1016" s="1" t="n">
        <v>110</v>
      </c>
      <c r="O1016" s="1" t="s">
        <v>4865</v>
      </c>
      <c r="P1016" s="1" t="n">
        <v>8105</v>
      </c>
      <c r="Q1016" s="1" t="s">
        <v>4866</v>
      </c>
      <c r="R1016" s="1" t="s">
        <v>4867</v>
      </c>
      <c r="S1016" s="1" t="s">
        <v>23</v>
      </c>
      <c r="T1016" s="1" t="s">
        <v>4203</v>
      </c>
      <c r="U1016" s="1" t="s">
        <v>4868</v>
      </c>
    </row>
    <row r="1017" customFormat="false" ht="13.8" hidden="false" customHeight="false" outlineLevel="0" collapsed="false">
      <c r="A1017" s="1" t="n">
        <v>1016</v>
      </c>
      <c r="B1017" s="2" t="s">
        <v>4869</v>
      </c>
      <c r="C1017" s="1" t="n">
        <v>5</v>
      </c>
      <c r="D1017" s="1" t="n">
        <v>9</v>
      </c>
      <c r="E1017" s="1" t="n">
        <v>11</v>
      </c>
      <c r="F1017" s="1" t="n">
        <v>20</v>
      </c>
      <c r="G1017" s="1" t="n">
        <v>25</v>
      </c>
      <c r="H1017" s="1" t="n">
        <v>60</v>
      </c>
      <c r="I1017" s="1" t="str">
        <f aca="false">RIGHT(("0"&amp;C1017),2)&amp;RIGHT(("0"&amp;D1017),2)&amp;RIGHT(("0"&amp;E1017),2)&amp;RIGHT(("0"&amp;F1017),2)&amp;RIGHT(("0"&amp;G1017),2)&amp;RIGHT(("0"&amp;H1017),2)</f>
        <v>050911202560</v>
      </c>
      <c r="J1017" s="1" t="n">
        <f aca="false">COUNTIF(I:I,I1017)</f>
        <v>1</v>
      </c>
      <c r="K1017" s="1" t="n">
        <v>1</v>
      </c>
      <c r="L1017" s="1" t="s">
        <v>2600</v>
      </c>
      <c r="M1017" s="1" t="s">
        <v>4870</v>
      </c>
      <c r="N1017" s="1" t="n">
        <v>174</v>
      </c>
      <c r="O1017" s="1" t="s">
        <v>4871</v>
      </c>
      <c r="P1017" s="1" t="n">
        <v>9476</v>
      </c>
      <c r="Q1017" s="1" t="s">
        <v>4872</v>
      </c>
      <c r="R1017" s="1" t="s">
        <v>23</v>
      </c>
      <c r="S1017" s="1" t="s">
        <v>23</v>
      </c>
      <c r="T1017" s="1" t="s">
        <v>4857</v>
      </c>
      <c r="U1017" s="1" t="s">
        <v>4873</v>
      </c>
      <c r="V1017" s="1" t="s">
        <v>4874</v>
      </c>
    </row>
    <row r="1018" customFormat="false" ht="13.8" hidden="false" customHeight="false" outlineLevel="0" collapsed="false">
      <c r="A1018" s="1" t="n">
        <v>1017</v>
      </c>
      <c r="B1018" s="2" t="s">
        <v>4875</v>
      </c>
      <c r="C1018" s="1" t="n">
        <v>6</v>
      </c>
      <c r="D1018" s="1" t="n">
        <v>19</v>
      </c>
      <c r="E1018" s="1" t="n">
        <v>31</v>
      </c>
      <c r="F1018" s="1" t="n">
        <v>34</v>
      </c>
      <c r="G1018" s="1" t="n">
        <v>51</v>
      </c>
      <c r="H1018" s="1" t="n">
        <v>56</v>
      </c>
      <c r="I1018" s="1" t="str">
        <f aca="false">RIGHT(("0"&amp;C1018),2)&amp;RIGHT(("0"&amp;D1018),2)&amp;RIGHT(("0"&amp;E1018),2)&amp;RIGHT(("0"&amp;F1018),2)&amp;RIGHT(("0"&amp;G1018),2)&amp;RIGHT(("0"&amp;H1018),2)</f>
        <v>061931345156</v>
      </c>
      <c r="J1018" s="1" t="n">
        <f aca="false">COUNTIF(I:I,I1018)</f>
        <v>1</v>
      </c>
      <c r="K1018" s="1" t="n">
        <v>0</v>
      </c>
      <c r="M1018" s="1" t="s">
        <v>23</v>
      </c>
      <c r="N1018" s="1" t="n">
        <v>36</v>
      </c>
      <c r="O1018" s="1" t="s">
        <v>4876</v>
      </c>
      <c r="P1018" s="1" t="n">
        <v>2885</v>
      </c>
      <c r="Q1018" s="1" t="s">
        <v>4877</v>
      </c>
      <c r="R1018" s="1" t="s">
        <v>4878</v>
      </c>
      <c r="S1018" s="1" t="s">
        <v>23</v>
      </c>
      <c r="T1018" s="1" t="s">
        <v>473</v>
      </c>
      <c r="U1018" s="1" t="s">
        <v>4879</v>
      </c>
    </row>
    <row r="1019" customFormat="false" ht="13.8" hidden="false" customHeight="false" outlineLevel="0" collapsed="false">
      <c r="A1019" s="1" t="n">
        <v>1018</v>
      </c>
      <c r="B1019" s="2" t="s">
        <v>4880</v>
      </c>
      <c r="C1019" s="1" t="n">
        <v>9</v>
      </c>
      <c r="D1019" s="1" t="n">
        <v>24</v>
      </c>
      <c r="E1019" s="1" t="n">
        <v>44</v>
      </c>
      <c r="F1019" s="1" t="n">
        <v>51</v>
      </c>
      <c r="G1019" s="1" t="n">
        <v>55</v>
      </c>
      <c r="H1019" s="1" t="n">
        <v>58</v>
      </c>
      <c r="I1019" s="1" t="str">
        <f aca="false">RIGHT(("0"&amp;C1019),2)&amp;RIGHT(("0"&amp;D1019),2)&amp;RIGHT(("0"&amp;E1019),2)&amp;RIGHT(("0"&amp;F1019),2)&amp;RIGHT(("0"&amp;G1019),2)&amp;RIGHT(("0"&amp;H1019),2)</f>
        <v>092444515558</v>
      </c>
      <c r="J1019" s="1" t="n">
        <f aca="false">COUNTIF(I:I,I1019)</f>
        <v>1</v>
      </c>
      <c r="K1019" s="1" t="n">
        <v>0</v>
      </c>
      <c r="M1019" s="1" t="s">
        <v>23</v>
      </c>
      <c r="N1019" s="1" t="n">
        <v>35</v>
      </c>
      <c r="O1019" s="1" t="s">
        <v>4881</v>
      </c>
      <c r="P1019" s="1" t="n">
        <v>4170</v>
      </c>
      <c r="Q1019" s="1" t="s">
        <v>4882</v>
      </c>
      <c r="R1019" s="1" t="s">
        <v>4883</v>
      </c>
      <c r="S1019" s="1" t="s">
        <v>23</v>
      </c>
      <c r="T1019" s="1" t="s">
        <v>4227</v>
      </c>
      <c r="U1019" s="1" t="s">
        <v>4884</v>
      </c>
    </row>
    <row r="1020" customFormat="false" ht="13.8" hidden="false" customHeight="false" outlineLevel="0" collapsed="false">
      <c r="A1020" s="1" t="n">
        <v>1019</v>
      </c>
      <c r="B1020" s="2" t="s">
        <v>4885</v>
      </c>
      <c r="C1020" s="1" t="n">
        <v>4</v>
      </c>
      <c r="D1020" s="1" t="n">
        <v>13</v>
      </c>
      <c r="E1020" s="1" t="n">
        <v>23</v>
      </c>
      <c r="F1020" s="1" t="n">
        <v>29</v>
      </c>
      <c r="G1020" s="1" t="n">
        <v>46</v>
      </c>
      <c r="H1020" s="1" t="n">
        <v>47</v>
      </c>
      <c r="I1020" s="1" t="str">
        <f aca="false">RIGHT(("0"&amp;C1020),2)&amp;RIGHT(("0"&amp;D1020),2)&amp;RIGHT(("0"&amp;E1020),2)&amp;RIGHT(("0"&amp;F1020),2)&amp;RIGHT(("0"&amp;G1020),2)&amp;RIGHT(("0"&amp;H1020),2)</f>
        <v>041323294647</v>
      </c>
      <c r="J1020" s="1" t="n">
        <f aca="false">COUNTIF(I:I,I1020)</f>
        <v>1</v>
      </c>
      <c r="K1020" s="1" t="n">
        <v>0</v>
      </c>
      <c r="M1020" s="1" t="s">
        <v>23</v>
      </c>
      <c r="N1020" s="1" t="n">
        <v>77</v>
      </c>
      <c r="O1020" s="1" t="s">
        <v>4886</v>
      </c>
      <c r="P1020" s="1" t="n">
        <v>6124</v>
      </c>
      <c r="Q1020" s="1" t="s">
        <v>4887</v>
      </c>
      <c r="R1020" s="1" t="s">
        <v>4888</v>
      </c>
      <c r="S1020" s="1" t="s">
        <v>23</v>
      </c>
      <c r="T1020" s="1" t="s">
        <v>3602</v>
      </c>
      <c r="U1020" s="1" t="s">
        <v>4889</v>
      </c>
    </row>
    <row r="1021" customFormat="false" ht="13.8" hidden="false" customHeight="false" outlineLevel="0" collapsed="false">
      <c r="A1021" s="1" t="n">
        <v>1020</v>
      </c>
      <c r="B1021" s="2" t="s">
        <v>4890</v>
      </c>
      <c r="C1021" s="1" t="n">
        <v>1</v>
      </c>
      <c r="D1021" s="1" t="n">
        <v>2</v>
      </c>
      <c r="E1021" s="1" t="n">
        <v>19</v>
      </c>
      <c r="F1021" s="1" t="n">
        <v>32</v>
      </c>
      <c r="G1021" s="1" t="n">
        <v>39</v>
      </c>
      <c r="H1021" s="1" t="n">
        <v>52</v>
      </c>
      <c r="I1021" s="1" t="str">
        <f aca="false">RIGHT(("0"&amp;C1021),2)&amp;RIGHT(("0"&amp;D1021),2)&amp;RIGHT(("0"&amp;E1021),2)&amp;RIGHT(("0"&amp;F1021),2)&amp;RIGHT(("0"&amp;G1021),2)&amp;RIGHT(("0"&amp;H1021),2)</f>
        <v>010219323952</v>
      </c>
      <c r="J1021" s="1" t="n">
        <f aca="false">COUNTIF(I:I,I1021)</f>
        <v>1</v>
      </c>
      <c r="K1021" s="1" t="n">
        <v>0</v>
      </c>
      <c r="M1021" s="1" t="s">
        <v>23</v>
      </c>
      <c r="N1021" s="1" t="n">
        <v>56</v>
      </c>
      <c r="O1021" s="1" t="s">
        <v>4891</v>
      </c>
      <c r="P1021" s="1" t="n">
        <v>4646</v>
      </c>
      <c r="Q1021" s="1" t="s">
        <v>4892</v>
      </c>
      <c r="R1021" s="1" t="s">
        <v>4893</v>
      </c>
      <c r="S1021" s="1" t="s">
        <v>23</v>
      </c>
      <c r="T1021" s="1" t="s">
        <v>4241</v>
      </c>
      <c r="U1021" s="1" t="s">
        <v>4894</v>
      </c>
    </row>
    <row r="1022" customFormat="false" ht="13.8" hidden="false" customHeight="false" outlineLevel="0" collapsed="false">
      <c r="A1022" s="1" t="n">
        <v>1021</v>
      </c>
      <c r="B1022" s="2" t="s">
        <v>4895</v>
      </c>
      <c r="C1022" s="1" t="n">
        <v>2</v>
      </c>
      <c r="D1022" s="1" t="n">
        <v>33</v>
      </c>
      <c r="E1022" s="1" t="n">
        <v>42</v>
      </c>
      <c r="F1022" s="1" t="n">
        <v>43</v>
      </c>
      <c r="G1022" s="1" t="n">
        <v>51</v>
      </c>
      <c r="H1022" s="1" t="n">
        <v>55</v>
      </c>
      <c r="I1022" s="1" t="str">
        <f aca="false">RIGHT(("0"&amp;C1022),2)&amp;RIGHT(("0"&amp;D1022),2)&amp;RIGHT(("0"&amp;E1022),2)&amp;RIGHT(("0"&amp;F1022),2)&amp;RIGHT(("0"&amp;G1022),2)&amp;RIGHT(("0"&amp;H1022),2)</f>
        <v>023342435155</v>
      </c>
      <c r="J1022" s="1" t="n">
        <f aca="false">COUNTIF(I:I,I1022)</f>
        <v>1</v>
      </c>
      <c r="K1022" s="1" t="n">
        <v>1</v>
      </c>
      <c r="L1022" s="1" t="s">
        <v>157</v>
      </c>
      <c r="M1022" s="1" t="s">
        <v>4896</v>
      </c>
      <c r="N1022" s="1" t="n">
        <v>46</v>
      </c>
      <c r="O1022" s="1" t="s">
        <v>4897</v>
      </c>
      <c r="P1022" s="1" t="n">
        <v>4247</v>
      </c>
      <c r="Q1022" s="1" t="s">
        <v>4898</v>
      </c>
      <c r="R1022" s="1" t="s">
        <v>23</v>
      </c>
      <c r="S1022" s="1" t="s">
        <v>23</v>
      </c>
      <c r="T1022" s="1" t="s">
        <v>4218</v>
      </c>
      <c r="U1022" s="1" t="s">
        <v>4899</v>
      </c>
      <c r="V1022" s="1" t="s">
        <v>4900</v>
      </c>
    </row>
    <row r="1023" customFormat="false" ht="13.8" hidden="false" customHeight="false" outlineLevel="0" collapsed="false">
      <c r="A1023" s="1" t="n">
        <v>1022</v>
      </c>
      <c r="B1023" s="2" t="s">
        <v>4901</v>
      </c>
      <c r="C1023" s="1" t="n">
        <v>5</v>
      </c>
      <c r="D1023" s="1" t="n">
        <v>21</v>
      </c>
      <c r="E1023" s="1" t="n">
        <v>31</v>
      </c>
      <c r="F1023" s="1" t="n">
        <v>39</v>
      </c>
      <c r="G1023" s="1" t="n">
        <v>40</v>
      </c>
      <c r="H1023" s="1" t="n">
        <v>56</v>
      </c>
      <c r="I1023" s="1" t="str">
        <f aca="false">RIGHT(("0"&amp;C1023),2)&amp;RIGHT(("0"&amp;D1023),2)&amp;RIGHT(("0"&amp;E1023),2)&amp;RIGHT(("0"&amp;F1023),2)&amp;RIGHT(("0"&amp;G1023),2)&amp;RIGHT(("0"&amp;H1023),2)</f>
        <v>052131394056</v>
      </c>
      <c r="J1023" s="1" t="n">
        <f aca="false">COUNTIF(I:I,I1023)</f>
        <v>1</v>
      </c>
      <c r="K1023" s="1" t="n">
        <v>0</v>
      </c>
      <c r="M1023" s="1" t="s">
        <v>23</v>
      </c>
      <c r="N1023" s="1" t="n">
        <v>21</v>
      </c>
      <c r="O1023" s="1" t="s">
        <v>4902</v>
      </c>
      <c r="P1023" s="1" t="n">
        <v>1505</v>
      </c>
      <c r="Q1023" s="1" t="s">
        <v>4903</v>
      </c>
      <c r="R1023" s="1" t="s">
        <v>4904</v>
      </c>
      <c r="S1023" s="1" t="s">
        <v>23</v>
      </c>
      <c r="T1023" s="1" t="s">
        <v>473</v>
      </c>
      <c r="U1023" s="1" t="s">
        <v>4905</v>
      </c>
    </row>
    <row r="1024" customFormat="false" ht="13.8" hidden="false" customHeight="false" outlineLevel="0" collapsed="false">
      <c r="A1024" s="1" t="n">
        <v>1023</v>
      </c>
      <c r="B1024" s="2" t="s">
        <v>4906</v>
      </c>
      <c r="C1024" s="1" t="n">
        <v>2</v>
      </c>
      <c r="D1024" s="1" t="n">
        <v>7</v>
      </c>
      <c r="E1024" s="1" t="n">
        <v>8</v>
      </c>
      <c r="F1024" s="1" t="n">
        <v>18</v>
      </c>
      <c r="G1024" s="1" t="n">
        <v>40</v>
      </c>
      <c r="H1024" s="1" t="n">
        <v>45</v>
      </c>
      <c r="I1024" s="1" t="str">
        <f aca="false">RIGHT(("0"&amp;C1024),2)&amp;RIGHT(("0"&amp;D1024),2)&amp;RIGHT(("0"&amp;E1024),2)&amp;RIGHT(("0"&amp;F1024),2)&amp;RIGHT(("0"&amp;G1024),2)&amp;RIGHT(("0"&amp;H1024),2)</f>
        <v>020708184045</v>
      </c>
      <c r="J1024" s="1" t="n">
        <f aca="false">COUNTIF(I:I,I1024)</f>
        <v>1</v>
      </c>
      <c r="K1024" s="1" t="n">
        <v>0</v>
      </c>
      <c r="M1024" s="1" t="s">
        <v>23</v>
      </c>
      <c r="N1024" s="1" t="n">
        <v>65</v>
      </c>
      <c r="O1024" s="1" t="s">
        <v>4907</v>
      </c>
      <c r="P1024" s="1" t="n">
        <v>4937</v>
      </c>
      <c r="Q1024" s="1" t="s">
        <v>4908</v>
      </c>
      <c r="R1024" s="1" t="s">
        <v>4909</v>
      </c>
      <c r="S1024" s="1" t="s">
        <v>23</v>
      </c>
      <c r="T1024" s="1" t="s">
        <v>4227</v>
      </c>
      <c r="U1024" s="1" t="s">
        <v>4910</v>
      </c>
    </row>
    <row r="1025" customFormat="false" ht="13.8" hidden="false" customHeight="false" outlineLevel="0" collapsed="false">
      <c r="A1025" s="1" t="n">
        <v>1024</v>
      </c>
      <c r="B1025" s="2" t="s">
        <v>4911</v>
      </c>
      <c r="C1025" s="1" t="n">
        <v>18</v>
      </c>
      <c r="D1025" s="1" t="n">
        <v>22</v>
      </c>
      <c r="E1025" s="1" t="n">
        <v>28</v>
      </c>
      <c r="F1025" s="1" t="n">
        <v>29</v>
      </c>
      <c r="G1025" s="1" t="n">
        <v>39</v>
      </c>
      <c r="H1025" s="1" t="n">
        <v>53</v>
      </c>
      <c r="I1025" s="1" t="str">
        <f aca="false">RIGHT(("0"&amp;C1025),2)&amp;RIGHT(("0"&amp;D1025),2)&amp;RIGHT(("0"&amp;E1025),2)&amp;RIGHT(("0"&amp;F1025),2)&amp;RIGHT(("0"&amp;G1025),2)&amp;RIGHT(("0"&amp;H1025),2)</f>
        <v>182228293953</v>
      </c>
      <c r="J1025" s="1" t="n">
        <f aca="false">COUNTIF(I:I,I1025)</f>
        <v>1</v>
      </c>
      <c r="K1025" s="1" t="n">
        <v>0</v>
      </c>
      <c r="M1025" s="1" t="s">
        <v>23</v>
      </c>
      <c r="N1025" s="1" t="n">
        <v>23</v>
      </c>
      <c r="O1025" s="1" t="s">
        <v>4912</v>
      </c>
      <c r="P1025" s="1" t="n">
        <v>2722</v>
      </c>
      <c r="Q1025" s="1" t="s">
        <v>4913</v>
      </c>
      <c r="R1025" s="1" t="s">
        <v>4914</v>
      </c>
      <c r="S1025" s="1" t="s">
        <v>23</v>
      </c>
      <c r="T1025" s="1" t="s">
        <v>3602</v>
      </c>
      <c r="U1025" s="1" t="s">
        <v>4915</v>
      </c>
    </row>
    <row r="1026" customFormat="false" ht="13.8" hidden="false" customHeight="false" outlineLevel="0" collapsed="false">
      <c r="A1026" s="1" t="n">
        <v>1025</v>
      </c>
      <c r="B1026" s="2" t="s">
        <v>4916</v>
      </c>
      <c r="C1026" s="1" t="n">
        <v>10</v>
      </c>
      <c r="D1026" s="1" t="n">
        <v>27</v>
      </c>
      <c r="E1026" s="1" t="n">
        <v>28</v>
      </c>
      <c r="F1026" s="1" t="n">
        <v>29</v>
      </c>
      <c r="G1026" s="1" t="n">
        <v>40</v>
      </c>
      <c r="H1026" s="1" t="n">
        <v>52</v>
      </c>
      <c r="I1026" s="1" t="str">
        <f aca="false">RIGHT(("0"&amp;C1026),2)&amp;RIGHT(("0"&amp;D1026),2)&amp;RIGHT(("0"&amp;E1026),2)&amp;RIGHT(("0"&amp;F1026),2)&amp;RIGHT(("0"&amp;G1026),2)&amp;RIGHT(("0"&amp;H1026),2)</f>
        <v>102728294052</v>
      </c>
      <c r="J1026" s="1" t="n">
        <f aca="false">COUNTIF(I:I,I1026)</f>
        <v>1</v>
      </c>
      <c r="K1026" s="1" t="n">
        <v>0</v>
      </c>
      <c r="M1026" s="1" t="s">
        <v>23</v>
      </c>
      <c r="N1026" s="1" t="n">
        <v>34</v>
      </c>
      <c r="O1026" s="1" t="s">
        <v>4917</v>
      </c>
      <c r="P1026" s="1" t="n">
        <v>3705</v>
      </c>
      <c r="Q1026" s="1" t="s">
        <v>4918</v>
      </c>
      <c r="R1026" s="1" t="s">
        <v>4919</v>
      </c>
      <c r="S1026" s="1" t="s">
        <v>23</v>
      </c>
      <c r="T1026" s="1" t="s">
        <v>4241</v>
      </c>
      <c r="U1026" s="1" t="s">
        <v>4920</v>
      </c>
    </row>
    <row r="1027" customFormat="false" ht="13.8" hidden="false" customHeight="false" outlineLevel="0" collapsed="false">
      <c r="A1027" s="1" t="n">
        <v>1026</v>
      </c>
      <c r="B1027" s="2" t="s">
        <v>4921</v>
      </c>
      <c r="C1027" s="1" t="n">
        <v>6</v>
      </c>
      <c r="D1027" s="1" t="n">
        <v>10</v>
      </c>
      <c r="E1027" s="1" t="n">
        <v>17</v>
      </c>
      <c r="F1027" s="1" t="n">
        <v>33</v>
      </c>
      <c r="G1027" s="1" t="n">
        <v>51</v>
      </c>
      <c r="H1027" s="1" t="n">
        <v>53</v>
      </c>
      <c r="I1027" s="1" t="str">
        <f aca="false">RIGHT(("0"&amp;C1027),2)&amp;RIGHT(("0"&amp;D1027),2)&amp;RIGHT(("0"&amp;E1027),2)&amp;RIGHT(("0"&amp;F1027),2)&amp;RIGHT(("0"&amp;G1027),2)&amp;RIGHT(("0"&amp;H1027),2)</f>
        <v>061017335153</v>
      </c>
      <c r="J1027" s="1" t="n">
        <f aca="false">COUNTIF(I:I,I1027)</f>
        <v>1</v>
      </c>
      <c r="K1027" s="1" t="n">
        <v>0</v>
      </c>
      <c r="M1027" s="1" t="s">
        <v>23</v>
      </c>
      <c r="N1027" s="1" t="n">
        <v>92</v>
      </c>
      <c r="O1027" s="1" t="s">
        <v>4922</v>
      </c>
      <c r="P1027" s="1" t="n">
        <v>7192</v>
      </c>
      <c r="Q1027" s="1" t="s">
        <v>4923</v>
      </c>
      <c r="R1027" s="1" t="s">
        <v>4924</v>
      </c>
      <c r="S1027" s="1" t="s">
        <v>23</v>
      </c>
      <c r="T1027" s="1" t="s">
        <v>4246</v>
      </c>
      <c r="U1027" s="1" t="s">
        <v>4925</v>
      </c>
    </row>
    <row r="1028" customFormat="false" ht="13.8" hidden="false" customHeight="false" outlineLevel="0" collapsed="false">
      <c r="A1028" s="1" t="n">
        <v>1027</v>
      </c>
      <c r="B1028" s="2" t="s">
        <v>4926</v>
      </c>
      <c r="C1028" s="1" t="n">
        <v>18</v>
      </c>
      <c r="D1028" s="1" t="n">
        <v>20</v>
      </c>
      <c r="E1028" s="1" t="n">
        <v>33</v>
      </c>
      <c r="F1028" s="1" t="n">
        <v>44</v>
      </c>
      <c r="G1028" s="1" t="n">
        <v>47</v>
      </c>
      <c r="H1028" s="1" t="n">
        <v>60</v>
      </c>
      <c r="I1028" s="1" t="str">
        <f aca="false">RIGHT(("0"&amp;C1028),2)&amp;RIGHT(("0"&amp;D1028),2)&amp;RIGHT(("0"&amp;E1028),2)&amp;RIGHT(("0"&amp;F1028),2)&amp;RIGHT(("0"&amp;G1028),2)&amp;RIGHT(("0"&amp;H1028),2)</f>
        <v>182033444760</v>
      </c>
      <c r="J1028" s="1" t="n">
        <f aca="false">COUNTIF(I:I,I1028)</f>
        <v>1</v>
      </c>
      <c r="K1028" s="1" t="n">
        <v>0</v>
      </c>
      <c r="M1028" s="1" t="s">
        <v>23</v>
      </c>
      <c r="N1028" s="1" t="n">
        <v>112</v>
      </c>
      <c r="O1028" s="1" t="s">
        <v>4927</v>
      </c>
      <c r="P1028" s="1" t="n">
        <v>6992</v>
      </c>
      <c r="Q1028" s="1" t="s">
        <v>4928</v>
      </c>
      <c r="R1028" s="1" t="s">
        <v>4929</v>
      </c>
      <c r="S1028" s="1" t="s">
        <v>23</v>
      </c>
      <c r="T1028" s="1" t="s">
        <v>4213</v>
      </c>
      <c r="U1028" s="1" t="s">
        <v>4930</v>
      </c>
    </row>
    <row r="1029" customFormat="false" ht="13.8" hidden="false" customHeight="false" outlineLevel="0" collapsed="false">
      <c r="A1029" s="1" t="n">
        <v>1028</v>
      </c>
      <c r="B1029" s="2" t="s">
        <v>4931</v>
      </c>
      <c r="C1029" s="1" t="n">
        <v>20</v>
      </c>
      <c r="D1029" s="1" t="n">
        <v>26</v>
      </c>
      <c r="E1029" s="1" t="n">
        <v>34</v>
      </c>
      <c r="F1029" s="1" t="n">
        <v>51</v>
      </c>
      <c r="G1029" s="1" t="n">
        <v>52</v>
      </c>
      <c r="H1029" s="1" t="n">
        <v>54</v>
      </c>
      <c r="I1029" s="1" t="str">
        <f aca="false">RIGHT(("0"&amp;C1029),2)&amp;RIGHT(("0"&amp;D1029),2)&amp;RIGHT(("0"&amp;E1029),2)&amp;RIGHT(("0"&amp;F1029),2)&amp;RIGHT(("0"&amp;G1029),2)&amp;RIGHT(("0"&amp;H1029),2)</f>
        <v>202634515254</v>
      </c>
      <c r="J1029" s="1" t="n">
        <f aca="false">COUNTIF(I:I,I1029)</f>
        <v>1</v>
      </c>
      <c r="K1029" s="1" t="n">
        <v>0</v>
      </c>
      <c r="M1029" s="1" t="s">
        <v>23</v>
      </c>
      <c r="N1029" s="1" t="n">
        <v>66</v>
      </c>
      <c r="O1029" s="1" t="s">
        <v>4932</v>
      </c>
      <c r="P1029" s="1" t="n">
        <v>5453</v>
      </c>
      <c r="Q1029" s="1" t="s">
        <v>4933</v>
      </c>
      <c r="R1029" s="1" t="s">
        <v>4934</v>
      </c>
      <c r="S1029" s="1" t="s">
        <v>23</v>
      </c>
      <c r="T1029" s="1" t="s">
        <v>4935</v>
      </c>
      <c r="U1029" s="1" t="s">
        <v>4936</v>
      </c>
    </row>
    <row r="1030" customFormat="false" ht="13.8" hidden="false" customHeight="false" outlineLevel="0" collapsed="false">
      <c r="A1030" s="1" t="n">
        <v>1029</v>
      </c>
      <c r="B1030" s="2" t="s">
        <v>4937</v>
      </c>
      <c r="C1030" s="1" t="n">
        <v>5</v>
      </c>
      <c r="D1030" s="1" t="n">
        <v>16</v>
      </c>
      <c r="E1030" s="1" t="n">
        <v>17</v>
      </c>
      <c r="F1030" s="1" t="n">
        <v>20</v>
      </c>
      <c r="G1030" s="1" t="n">
        <v>24</v>
      </c>
      <c r="H1030" s="1" t="n">
        <v>32</v>
      </c>
      <c r="I1030" s="1" t="str">
        <f aca="false">RIGHT(("0"&amp;C1030),2)&amp;RIGHT(("0"&amp;D1030),2)&amp;RIGHT(("0"&amp;E1030),2)&amp;RIGHT(("0"&amp;F1030),2)&amp;RIGHT(("0"&amp;G1030),2)&amp;RIGHT(("0"&amp;H1030),2)</f>
        <v>051617202432</v>
      </c>
      <c r="J1030" s="1" t="n">
        <f aca="false">COUNTIF(I:I,I1030)</f>
        <v>1</v>
      </c>
      <c r="K1030" s="1" t="n">
        <v>1</v>
      </c>
      <c r="L1030" s="1" t="s">
        <v>66</v>
      </c>
      <c r="M1030" s="1" t="s">
        <v>4938</v>
      </c>
      <c r="N1030" s="1" t="n">
        <v>262</v>
      </c>
      <c r="O1030" s="1" t="s">
        <v>4939</v>
      </c>
      <c r="P1030" s="1" t="n">
        <v>17979</v>
      </c>
      <c r="Q1030" s="1" t="s">
        <v>4940</v>
      </c>
      <c r="R1030" s="1" t="s">
        <v>23</v>
      </c>
      <c r="S1030" s="1" t="s">
        <v>23</v>
      </c>
      <c r="T1030" s="1" t="s">
        <v>3602</v>
      </c>
      <c r="U1030" s="1" t="s">
        <v>4941</v>
      </c>
      <c r="V1030" s="1" t="s">
        <v>4942</v>
      </c>
    </row>
    <row r="1031" customFormat="false" ht="13.8" hidden="false" customHeight="false" outlineLevel="0" collapsed="false">
      <c r="A1031" s="1" t="n">
        <v>1030</v>
      </c>
      <c r="B1031" s="2" t="s">
        <v>4943</v>
      </c>
      <c r="C1031" s="1" t="n">
        <v>1</v>
      </c>
      <c r="D1031" s="1" t="n">
        <v>8</v>
      </c>
      <c r="E1031" s="1" t="n">
        <v>23</v>
      </c>
      <c r="F1031" s="1" t="n">
        <v>37</v>
      </c>
      <c r="G1031" s="1" t="n">
        <v>54</v>
      </c>
      <c r="H1031" s="1" t="n">
        <v>57</v>
      </c>
      <c r="I1031" s="1" t="str">
        <f aca="false">RIGHT(("0"&amp;C1031),2)&amp;RIGHT(("0"&amp;D1031),2)&amp;RIGHT(("0"&amp;E1031),2)&amp;RIGHT(("0"&amp;F1031),2)&amp;RIGHT(("0"&amp;G1031),2)&amp;RIGHT(("0"&amp;H1031),2)</f>
        <v>010823375457</v>
      </c>
      <c r="J1031" s="1" t="n">
        <f aca="false">COUNTIF(I:I,I1031)</f>
        <v>1</v>
      </c>
      <c r="K1031" s="1" t="n">
        <v>0</v>
      </c>
      <c r="M1031" s="1" t="s">
        <v>23</v>
      </c>
      <c r="N1031" s="1" t="n">
        <v>123</v>
      </c>
      <c r="O1031" s="1" t="s">
        <v>4944</v>
      </c>
      <c r="P1031" s="1" t="n">
        <v>7495</v>
      </c>
      <c r="Q1031" s="1" t="s">
        <v>4945</v>
      </c>
      <c r="R1031" s="1" t="s">
        <v>4946</v>
      </c>
      <c r="S1031" s="1" t="s">
        <v>23</v>
      </c>
      <c r="T1031" s="1" t="s">
        <v>4691</v>
      </c>
      <c r="U1031" s="1" t="s">
        <v>4947</v>
      </c>
    </row>
    <row r="1032" customFormat="false" ht="13.8" hidden="false" customHeight="false" outlineLevel="0" collapsed="false">
      <c r="A1032" s="1" t="n">
        <v>1031</v>
      </c>
      <c r="B1032" s="2" t="s">
        <v>4948</v>
      </c>
      <c r="C1032" s="1" t="n">
        <v>24</v>
      </c>
      <c r="D1032" s="1" t="n">
        <v>33</v>
      </c>
      <c r="E1032" s="1" t="n">
        <v>40</v>
      </c>
      <c r="F1032" s="1" t="n">
        <v>43</v>
      </c>
      <c r="G1032" s="1" t="n">
        <v>46</v>
      </c>
      <c r="H1032" s="1" t="n">
        <v>49</v>
      </c>
      <c r="I1032" s="1" t="str">
        <f aca="false">RIGHT(("0"&amp;C1032),2)&amp;RIGHT(("0"&amp;D1032),2)&amp;RIGHT(("0"&amp;E1032),2)&amp;RIGHT(("0"&amp;F1032),2)&amp;RIGHT(("0"&amp;G1032),2)&amp;RIGHT(("0"&amp;H1032),2)</f>
        <v>243340434649</v>
      </c>
      <c r="J1032" s="1" t="n">
        <f aca="false">COUNTIF(I:I,I1032)</f>
        <v>1</v>
      </c>
      <c r="K1032" s="1" t="n">
        <v>1</v>
      </c>
      <c r="L1032" s="1" t="s">
        <v>91</v>
      </c>
      <c r="M1032" s="1" t="s">
        <v>4949</v>
      </c>
      <c r="N1032" s="1" t="n">
        <v>59</v>
      </c>
      <c r="O1032" s="1" t="s">
        <v>4950</v>
      </c>
      <c r="P1032" s="1" t="n">
        <v>5508</v>
      </c>
      <c r="Q1032" s="1" t="s">
        <v>4951</v>
      </c>
      <c r="R1032" s="1" t="s">
        <v>23</v>
      </c>
      <c r="S1032" s="1" t="s">
        <v>23</v>
      </c>
      <c r="T1032" s="1" t="s">
        <v>4857</v>
      </c>
      <c r="U1032" s="1" t="s">
        <v>4952</v>
      </c>
      <c r="V1032" s="1" t="s">
        <v>4953</v>
      </c>
    </row>
    <row r="1033" customFormat="false" ht="13.8" hidden="false" customHeight="false" outlineLevel="0" collapsed="false">
      <c r="A1033" s="1" t="n">
        <v>1032</v>
      </c>
      <c r="B1033" s="2" t="s">
        <v>4954</v>
      </c>
      <c r="C1033" s="1" t="n">
        <v>15</v>
      </c>
      <c r="D1033" s="1" t="n">
        <v>16</v>
      </c>
      <c r="E1033" s="1" t="n">
        <v>26</v>
      </c>
      <c r="F1033" s="1" t="n">
        <v>29</v>
      </c>
      <c r="G1033" s="1" t="n">
        <v>43</v>
      </c>
      <c r="H1033" s="1" t="n">
        <v>57</v>
      </c>
      <c r="I1033" s="1" t="str">
        <f aca="false">RIGHT(("0"&amp;C1033),2)&amp;RIGHT(("0"&amp;D1033),2)&amp;RIGHT(("0"&amp;E1033),2)&amp;RIGHT(("0"&amp;F1033),2)&amp;RIGHT(("0"&amp;G1033),2)&amp;RIGHT(("0"&amp;H1033),2)</f>
        <v>151626294357</v>
      </c>
      <c r="J1033" s="1" t="n">
        <f aca="false">COUNTIF(I:I,I1033)</f>
        <v>1</v>
      </c>
      <c r="K1033" s="1" t="n">
        <v>0</v>
      </c>
      <c r="M1033" s="1" t="s">
        <v>23</v>
      </c>
      <c r="N1033" s="1" t="n">
        <v>49</v>
      </c>
      <c r="O1033" s="1" t="s">
        <v>4955</v>
      </c>
      <c r="P1033" s="1" t="n">
        <v>3682</v>
      </c>
      <c r="Q1033" s="1" t="s">
        <v>4956</v>
      </c>
      <c r="R1033" s="1" t="s">
        <v>4957</v>
      </c>
      <c r="S1033" s="1" t="s">
        <v>23</v>
      </c>
      <c r="T1033" s="1" t="s">
        <v>4409</v>
      </c>
      <c r="U1033" s="1" t="s">
        <v>4958</v>
      </c>
    </row>
    <row r="1034" customFormat="false" ht="13.8" hidden="false" customHeight="false" outlineLevel="0" collapsed="false">
      <c r="A1034" s="1" t="n">
        <v>1033</v>
      </c>
      <c r="B1034" s="2" t="s">
        <v>4959</v>
      </c>
      <c r="C1034" s="1" t="n">
        <v>5</v>
      </c>
      <c r="D1034" s="1" t="n">
        <v>6</v>
      </c>
      <c r="E1034" s="1" t="n">
        <v>17</v>
      </c>
      <c r="F1034" s="1" t="n">
        <v>33</v>
      </c>
      <c r="G1034" s="1" t="n">
        <v>39</v>
      </c>
      <c r="H1034" s="1" t="n">
        <v>54</v>
      </c>
      <c r="I1034" s="1" t="str">
        <f aca="false">RIGHT(("0"&amp;C1034),2)&amp;RIGHT(("0"&amp;D1034),2)&amp;RIGHT(("0"&amp;E1034),2)&amp;RIGHT(("0"&amp;F1034),2)&amp;RIGHT(("0"&amp;G1034),2)&amp;RIGHT(("0"&amp;H1034),2)</f>
        <v>050617333954</v>
      </c>
      <c r="J1034" s="1" t="n">
        <f aca="false">COUNTIF(I:I,I1034)</f>
        <v>1</v>
      </c>
      <c r="K1034" s="1" t="n">
        <v>0</v>
      </c>
      <c r="M1034" s="1" t="s">
        <v>23</v>
      </c>
      <c r="N1034" s="1" t="n">
        <v>83</v>
      </c>
      <c r="O1034" s="1" t="s">
        <v>4960</v>
      </c>
      <c r="P1034" s="1" t="n">
        <v>6445</v>
      </c>
      <c r="Q1034" s="1" t="s">
        <v>4961</v>
      </c>
      <c r="R1034" s="1" t="s">
        <v>4962</v>
      </c>
      <c r="S1034" s="1" t="s">
        <v>23</v>
      </c>
      <c r="T1034" s="1" t="s">
        <v>4342</v>
      </c>
      <c r="U1034" s="1" t="s">
        <v>4963</v>
      </c>
    </row>
    <row r="1035" customFormat="false" ht="13.8" hidden="false" customHeight="false" outlineLevel="0" collapsed="false">
      <c r="A1035" s="1" t="n">
        <v>1034</v>
      </c>
      <c r="B1035" s="2" t="s">
        <v>4964</v>
      </c>
      <c r="C1035" s="1" t="n">
        <v>1</v>
      </c>
      <c r="D1035" s="1" t="n">
        <v>3</v>
      </c>
      <c r="E1035" s="1" t="n">
        <v>18</v>
      </c>
      <c r="F1035" s="1" t="n">
        <v>20</v>
      </c>
      <c r="G1035" s="1" t="n">
        <v>42</v>
      </c>
      <c r="H1035" s="1" t="n">
        <v>49</v>
      </c>
      <c r="I1035" s="1" t="str">
        <f aca="false">RIGHT(("0"&amp;C1035),2)&amp;RIGHT(("0"&amp;D1035),2)&amp;RIGHT(("0"&amp;E1035),2)&amp;RIGHT(("0"&amp;F1035),2)&amp;RIGHT(("0"&amp;G1035),2)&amp;RIGHT(("0"&amp;H1035),2)</f>
        <v>010318204249</v>
      </c>
      <c r="J1035" s="1" t="n">
        <f aca="false">COUNTIF(I:I,I1035)</f>
        <v>1</v>
      </c>
      <c r="K1035" s="1" t="n">
        <v>0</v>
      </c>
      <c r="M1035" s="1" t="s">
        <v>23</v>
      </c>
      <c r="N1035" s="1" t="n">
        <v>61</v>
      </c>
      <c r="O1035" s="1" t="s">
        <v>4965</v>
      </c>
      <c r="P1035" s="1" t="n">
        <v>4635</v>
      </c>
      <c r="Q1035" s="1" t="s">
        <v>4966</v>
      </c>
      <c r="R1035" s="1" t="s">
        <v>4967</v>
      </c>
      <c r="S1035" s="1" t="s">
        <v>23</v>
      </c>
      <c r="T1035" s="1" t="s">
        <v>4968</v>
      </c>
      <c r="U1035" s="1" t="s">
        <v>4967</v>
      </c>
    </row>
    <row r="1036" customFormat="false" ht="13.8" hidden="false" customHeight="false" outlineLevel="0" collapsed="false">
      <c r="A1036" s="1" t="n">
        <v>1035</v>
      </c>
      <c r="B1036" s="2" t="s">
        <v>4969</v>
      </c>
      <c r="C1036" s="1" t="n">
        <v>1</v>
      </c>
      <c r="D1036" s="1" t="n">
        <v>11</v>
      </c>
      <c r="E1036" s="1" t="n">
        <v>26</v>
      </c>
      <c r="F1036" s="1" t="n">
        <v>51</v>
      </c>
      <c r="G1036" s="1" t="n">
        <v>59</v>
      </c>
      <c r="H1036" s="1" t="n">
        <v>60</v>
      </c>
      <c r="I1036" s="1" t="str">
        <f aca="false">RIGHT(("0"&amp;C1036),2)&amp;RIGHT(("0"&amp;D1036),2)&amp;RIGHT(("0"&amp;E1036),2)&amp;RIGHT(("0"&amp;F1036),2)&amp;RIGHT(("0"&amp;G1036),2)&amp;RIGHT(("0"&amp;H1036),2)</f>
        <v>011126515960</v>
      </c>
      <c r="J1036" s="1" t="n">
        <f aca="false">COUNTIF(I:I,I1036)</f>
        <v>1</v>
      </c>
      <c r="K1036" s="1" t="n">
        <v>0</v>
      </c>
      <c r="M1036" s="1" t="s">
        <v>23</v>
      </c>
      <c r="N1036" s="1" t="n">
        <v>289</v>
      </c>
      <c r="O1036" s="1" t="s">
        <v>4970</v>
      </c>
      <c r="P1036" s="1" t="n">
        <v>19044</v>
      </c>
      <c r="Q1036" s="1" t="s">
        <v>4971</v>
      </c>
      <c r="R1036" s="1" t="s">
        <v>4972</v>
      </c>
      <c r="S1036" s="1" t="s">
        <v>23</v>
      </c>
      <c r="T1036" s="1" t="s">
        <v>4314</v>
      </c>
      <c r="U1036" s="1" t="s">
        <v>4973</v>
      </c>
    </row>
    <row r="1037" customFormat="false" ht="13.8" hidden="false" customHeight="false" outlineLevel="0" collapsed="false">
      <c r="A1037" s="1" t="n">
        <v>1036</v>
      </c>
      <c r="B1037" s="2" t="s">
        <v>4974</v>
      </c>
      <c r="C1037" s="1" t="n">
        <v>10</v>
      </c>
      <c r="D1037" s="1" t="n">
        <v>27</v>
      </c>
      <c r="E1037" s="1" t="n">
        <v>36</v>
      </c>
      <c r="F1037" s="1" t="n">
        <v>39</v>
      </c>
      <c r="G1037" s="1" t="n">
        <v>41</v>
      </c>
      <c r="H1037" s="1" t="n">
        <v>52</v>
      </c>
      <c r="I1037" s="1" t="str">
        <f aca="false">RIGHT(("0"&amp;C1037),2)&amp;RIGHT(("0"&amp;D1037),2)&amp;RIGHT(("0"&amp;E1037),2)&amp;RIGHT(("0"&amp;F1037),2)&amp;RIGHT(("0"&amp;G1037),2)&amp;RIGHT(("0"&amp;H1037),2)</f>
        <v>102736394152</v>
      </c>
      <c r="J1037" s="1" t="n">
        <f aca="false">COUNTIF(I:I,I1037)</f>
        <v>1</v>
      </c>
      <c r="K1037" s="1" t="n">
        <v>1</v>
      </c>
      <c r="L1037" s="1" t="s">
        <v>157</v>
      </c>
      <c r="M1037" s="1" t="s">
        <v>4975</v>
      </c>
      <c r="N1037" s="1" t="n">
        <v>177</v>
      </c>
      <c r="O1037" s="1" t="s">
        <v>4976</v>
      </c>
      <c r="P1037" s="1" t="n">
        <v>11703</v>
      </c>
      <c r="Q1037" s="1" t="s">
        <v>4977</v>
      </c>
      <c r="R1037" s="1" t="s">
        <v>23</v>
      </c>
      <c r="S1037" s="1" t="s">
        <v>23</v>
      </c>
      <c r="T1037" s="1" t="s">
        <v>4732</v>
      </c>
      <c r="U1037" s="1" t="s">
        <v>4978</v>
      </c>
      <c r="V1037" s="1" t="s">
        <v>4979</v>
      </c>
    </row>
    <row r="1038" customFormat="false" ht="13.8" hidden="false" customHeight="false" outlineLevel="0" collapsed="false">
      <c r="A1038" s="1" t="n">
        <v>1037</v>
      </c>
      <c r="B1038" s="2" t="s">
        <v>4980</v>
      </c>
      <c r="C1038" s="1" t="n">
        <v>4</v>
      </c>
      <c r="D1038" s="1" t="n">
        <v>36</v>
      </c>
      <c r="E1038" s="1" t="n">
        <v>44</v>
      </c>
      <c r="F1038" s="1" t="n">
        <v>46</v>
      </c>
      <c r="G1038" s="1" t="n">
        <v>53</v>
      </c>
      <c r="H1038" s="1" t="n">
        <v>56</v>
      </c>
      <c r="I1038" s="1" t="str">
        <f aca="false">RIGHT(("0"&amp;C1038),2)&amp;RIGHT(("0"&amp;D1038),2)&amp;RIGHT(("0"&amp;E1038),2)&amp;RIGHT(("0"&amp;F1038),2)&amp;RIGHT(("0"&amp;G1038),2)&amp;RIGHT(("0"&amp;H1038),2)</f>
        <v>043644465356</v>
      </c>
      <c r="J1038" s="1" t="n">
        <f aca="false">COUNTIF(I:I,I1038)</f>
        <v>1</v>
      </c>
      <c r="K1038" s="1" t="n">
        <v>0</v>
      </c>
      <c r="M1038" s="1" t="s">
        <v>23</v>
      </c>
      <c r="N1038" s="1" t="n">
        <v>27</v>
      </c>
      <c r="O1038" s="1" t="s">
        <v>4981</v>
      </c>
      <c r="P1038" s="1" t="n">
        <v>3108</v>
      </c>
      <c r="Q1038" s="1" t="s">
        <v>4982</v>
      </c>
      <c r="R1038" s="1" t="s">
        <v>4983</v>
      </c>
      <c r="S1038" s="1" t="s">
        <v>4984</v>
      </c>
      <c r="T1038" s="1" t="s">
        <v>4985</v>
      </c>
      <c r="U1038" s="1" t="s">
        <v>4986</v>
      </c>
    </row>
    <row r="1039" customFormat="false" ht="13.8" hidden="false" customHeight="false" outlineLevel="0" collapsed="false">
      <c r="A1039" s="1" t="n">
        <v>1038</v>
      </c>
      <c r="B1039" s="2" t="s">
        <v>4987</v>
      </c>
      <c r="C1039" s="1" t="n">
        <v>6</v>
      </c>
      <c r="D1039" s="1" t="n">
        <v>7</v>
      </c>
      <c r="E1039" s="1" t="n">
        <v>28</v>
      </c>
      <c r="F1039" s="1" t="n">
        <v>35</v>
      </c>
      <c r="G1039" s="1" t="n">
        <v>43</v>
      </c>
      <c r="H1039" s="1" t="n">
        <v>51</v>
      </c>
      <c r="I1039" s="1" t="str">
        <f aca="false">RIGHT(("0"&amp;C1039),2)&amp;RIGHT(("0"&amp;D1039),2)&amp;RIGHT(("0"&amp;E1039),2)&amp;RIGHT(("0"&amp;F1039),2)&amp;RIGHT(("0"&amp;G1039),2)&amp;RIGHT(("0"&amp;H1039),2)</f>
        <v>060728354351</v>
      </c>
      <c r="J1039" s="1" t="n">
        <f aca="false">COUNTIF(I:I,I1039)</f>
        <v>1</v>
      </c>
      <c r="K1039" s="1" t="n">
        <v>0</v>
      </c>
      <c r="M1039" s="1" t="s">
        <v>23</v>
      </c>
      <c r="N1039" s="1" t="n">
        <v>80</v>
      </c>
      <c r="O1039" s="1" t="s">
        <v>4988</v>
      </c>
      <c r="P1039" s="1" t="n">
        <v>5438</v>
      </c>
      <c r="Q1039" s="1" t="s">
        <v>4989</v>
      </c>
      <c r="R1039" s="1" t="s">
        <v>4990</v>
      </c>
      <c r="S1039" s="1" t="s">
        <v>23</v>
      </c>
      <c r="T1039" s="1" t="s">
        <v>4991</v>
      </c>
      <c r="U1039" s="1" t="s">
        <v>4992</v>
      </c>
    </row>
    <row r="1040" customFormat="false" ht="13.8" hidden="false" customHeight="false" outlineLevel="0" collapsed="false">
      <c r="A1040" s="1" t="n">
        <v>1039</v>
      </c>
      <c r="B1040" s="2" t="s">
        <v>4993</v>
      </c>
      <c r="C1040" s="1" t="n">
        <v>2</v>
      </c>
      <c r="D1040" s="1" t="n">
        <v>20</v>
      </c>
      <c r="E1040" s="1" t="n">
        <v>24</v>
      </c>
      <c r="F1040" s="1" t="n">
        <v>27</v>
      </c>
      <c r="G1040" s="1" t="n">
        <v>36</v>
      </c>
      <c r="H1040" s="1" t="n">
        <v>52</v>
      </c>
      <c r="I1040" s="1" t="str">
        <f aca="false">RIGHT(("0"&amp;C1040),2)&amp;RIGHT(("0"&amp;D1040),2)&amp;RIGHT(("0"&amp;E1040),2)&amp;RIGHT(("0"&amp;F1040),2)&amp;RIGHT(("0"&amp;G1040),2)&amp;RIGHT(("0"&amp;H1040),2)</f>
        <v>022024273652</v>
      </c>
      <c r="J1040" s="1" t="n">
        <f aca="false">COUNTIF(I:I,I1040)</f>
        <v>1</v>
      </c>
      <c r="K1040" s="1" t="n">
        <v>0</v>
      </c>
      <c r="M1040" s="1" t="s">
        <v>23</v>
      </c>
      <c r="N1040" s="1" t="n">
        <v>96</v>
      </c>
      <c r="O1040" s="1" t="s">
        <v>4994</v>
      </c>
      <c r="P1040" s="1" t="n">
        <v>6631</v>
      </c>
      <c r="Q1040" s="1" t="s">
        <v>4995</v>
      </c>
      <c r="R1040" s="1" t="s">
        <v>4996</v>
      </c>
      <c r="S1040" s="1" t="s">
        <v>23</v>
      </c>
      <c r="T1040" s="1" t="s">
        <v>4718</v>
      </c>
      <c r="U1040" s="1" t="s">
        <v>4997</v>
      </c>
    </row>
    <row r="1041" customFormat="false" ht="13.8" hidden="false" customHeight="false" outlineLevel="0" collapsed="false">
      <c r="A1041" s="1" t="n">
        <v>1040</v>
      </c>
      <c r="B1041" s="2" t="s">
        <v>4998</v>
      </c>
      <c r="C1041" s="1" t="n">
        <v>1</v>
      </c>
      <c r="D1041" s="1" t="n">
        <v>6</v>
      </c>
      <c r="E1041" s="1" t="n">
        <v>28</v>
      </c>
      <c r="F1041" s="1" t="n">
        <v>39</v>
      </c>
      <c r="G1041" s="1" t="n">
        <v>44</v>
      </c>
      <c r="H1041" s="1" t="n">
        <v>55</v>
      </c>
      <c r="I1041" s="1" t="str">
        <f aca="false">RIGHT(("0"&amp;C1041),2)&amp;RIGHT(("0"&amp;D1041),2)&amp;RIGHT(("0"&amp;E1041),2)&amp;RIGHT(("0"&amp;F1041),2)&amp;RIGHT(("0"&amp;G1041),2)&amp;RIGHT(("0"&amp;H1041),2)</f>
        <v>010628394455</v>
      </c>
      <c r="J1041" s="1" t="n">
        <f aca="false">COUNTIF(I:I,I1041)</f>
        <v>1</v>
      </c>
      <c r="K1041" s="1" t="n">
        <v>0</v>
      </c>
      <c r="M1041" s="1" t="s">
        <v>23</v>
      </c>
      <c r="N1041" s="1" t="n">
        <v>66</v>
      </c>
      <c r="O1041" s="1" t="s">
        <v>4999</v>
      </c>
      <c r="P1041" s="1" t="n">
        <v>6431</v>
      </c>
      <c r="Q1041" s="1" t="s">
        <v>5000</v>
      </c>
      <c r="R1041" s="1" t="s">
        <v>5001</v>
      </c>
      <c r="S1041" s="1" t="s">
        <v>23</v>
      </c>
      <c r="T1041" s="1" t="s">
        <v>3892</v>
      </c>
      <c r="U1041" s="1" t="s">
        <v>5002</v>
      </c>
    </row>
    <row r="1042" customFormat="false" ht="13.8" hidden="false" customHeight="false" outlineLevel="0" collapsed="false">
      <c r="A1042" s="1" t="n">
        <v>1041</v>
      </c>
      <c r="B1042" s="2" t="s">
        <v>5003</v>
      </c>
      <c r="C1042" s="1" t="n">
        <v>10</v>
      </c>
      <c r="D1042" s="1" t="n">
        <v>12</v>
      </c>
      <c r="E1042" s="1" t="n">
        <v>36</v>
      </c>
      <c r="F1042" s="1" t="n">
        <v>44</v>
      </c>
      <c r="G1042" s="1" t="n">
        <v>54</v>
      </c>
      <c r="H1042" s="1" t="n">
        <v>57</v>
      </c>
      <c r="I1042" s="1" t="str">
        <f aca="false">RIGHT(("0"&amp;C1042),2)&amp;RIGHT(("0"&amp;D1042),2)&amp;RIGHT(("0"&amp;E1042),2)&amp;RIGHT(("0"&amp;F1042),2)&amp;RIGHT(("0"&amp;G1042),2)&amp;RIGHT(("0"&amp;H1042),2)</f>
        <v>101236445457</v>
      </c>
      <c r="J1042" s="1" t="n">
        <f aca="false">COUNTIF(I:I,I1042)</f>
        <v>1</v>
      </c>
      <c r="K1042" s="1" t="n">
        <v>1</v>
      </c>
      <c r="L1042" s="1" t="s">
        <v>66</v>
      </c>
      <c r="M1042" s="1" t="s">
        <v>5004</v>
      </c>
      <c r="N1042" s="1" t="n">
        <v>82</v>
      </c>
      <c r="O1042" s="1" t="s">
        <v>5005</v>
      </c>
      <c r="P1042" s="1" t="n">
        <v>8071</v>
      </c>
      <c r="Q1042" s="1" t="s">
        <v>5006</v>
      </c>
      <c r="R1042" s="1" t="s">
        <v>23</v>
      </c>
      <c r="S1042" s="1" t="s">
        <v>23</v>
      </c>
      <c r="T1042" s="1" t="s">
        <v>4218</v>
      </c>
      <c r="U1042" s="1" t="s">
        <v>5007</v>
      </c>
      <c r="V1042" s="1" t="s">
        <v>5008</v>
      </c>
    </row>
    <row r="1043" customFormat="false" ht="13.8" hidden="false" customHeight="false" outlineLevel="0" collapsed="false">
      <c r="A1043" s="1" t="n">
        <v>1042</v>
      </c>
      <c r="B1043" s="2" t="s">
        <v>5009</v>
      </c>
      <c r="C1043" s="1" t="n">
        <v>13</v>
      </c>
      <c r="D1043" s="1" t="n">
        <v>18</v>
      </c>
      <c r="E1043" s="1" t="n">
        <v>25</v>
      </c>
      <c r="F1043" s="1" t="n">
        <v>30</v>
      </c>
      <c r="G1043" s="1" t="n">
        <v>46</v>
      </c>
      <c r="H1043" s="1" t="n">
        <v>51</v>
      </c>
      <c r="I1043" s="1" t="str">
        <f aca="false">RIGHT(("0"&amp;C1043),2)&amp;RIGHT(("0"&amp;D1043),2)&amp;RIGHT(("0"&amp;E1043),2)&amp;RIGHT(("0"&amp;F1043),2)&amp;RIGHT(("0"&amp;G1043),2)&amp;RIGHT(("0"&amp;H1043),2)</f>
        <v>131825304651</v>
      </c>
      <c r="J1043" s="1" t="n">
        <f aca="false">COUNTIF(I:I,I1043)</f>
        <v>1</v>
      </c>
      <c r="K1043" s="1" t="n">
        <v>0</v>
      </c>
      <c r="M1043" s="1" t="s">
        <v>23</v>
      </c>
      <c r="N1043" s="1" t="n">
        <v>79</v>
      </c>
      <c r="O1043" s="1" t="s">
        <v>5010</v>
      </c>
      <c r="P1043" s="1" t="n">
        <v>4761</v>
      </c>
      <c r="Q1043" s="1" t="s">
        <v>5011</v>
      </c>
      <c r="R1043" s="1" t="s">
        <v>5012</v>
      </c>
      <c r="S1043" s="1" t="s">
        <v>23</v>
      </c>
      <c r="T1043" s="1" t="s">
        <v>5013</v>
      </c>
      <c r="U1043" s="1" t="s">
        <v>5014</v>
      </c>
    </row>
    <row r="1044" customFormat="false" ht="13.8" hidden="false" customHeight="false" outlineLevel="0" collapsed="false">
      <c r="A1044" s="1" t="n">
        <v>1043</v>
      </c>
      <c r="B1044" s="2" t="s">
        <v>5015</v>
      </c>
      <c r="C1044" s="1" t="n">
        <v>14</v>
      </c>
      <c r="D1044" s="1" t="n">
        <v>21</v>
      </c>
      <c r="E1044" s="1" t="n">
        <v>25</v>
      </c>
      <c r="F1044" s="1" t="n">
        <v>48</v>
      </c>
      <c r="G1044" s="1" t="n">
        <v>51</v>
      </c>
      <c r="H1044" s="1" t="n">
        <v>60</v>
      </c>
      <c r="I1044" s="1" t="str">
        <f aca="false">RIGHT(("0"&amp;C1044),2)&amp;RIGHT(("0"&amp;D1044),2)&amp;RIGHT(("0"&amp;E1044),2)&amp;RIGHT(("0"&amp;F1044),2)&amp;RIGHT(("0"&amp;G1044),2)&amp;RIGHT(("0"&amp;H1044),2)</f>
        <v>142125485160</v>
      </c>
      <c r="J1044" s="1" t="n">
        <f aca="false">COUNTIF(I:I,I1044)</f>
        <v>1</v>
      </c>
      <c r="K1044" s="1" t="n">
        <v>0</v>
      </c>
      <c r="M1044" s="1" t="s">
        <v>23</v>
      </c>
      <c r="N1044" s="1" t="n">
        <v>35</v>
      </c>
      <c r="O1044" s="1" t="s">
        <v>5016</v>
      </c>
      <c r="P1044" s="1" t="n">
        <v>3197</v>
      </c>
      <c r="Q1044" s="1" t="s">
        <v>5017</v>
      </c>
      <c r="R1044" s="1" t="s">
        <v>5018</v>
      </c>
      <c r="S1044" s="1" t="s">
        <v>23</v>
      </c>
      <c r="T1044" s="1" t="s">
        <v>4232</v>
      </c>
      <c r="U1044" s="1" t="s">
        <v>5019</v>
      </c>
    </row>
    <row r="1045" customFormat="false" ht="13.8" hidden="false" customHeight="false" outlineLevel="0" collapsed="false">
      <c r="A1045" s="1" t="n">
        <v>1044</v>
      </c>
      <c r="B1045" s="2" t="s">
        <v>5020</v>
      </c>
      <c r="C1045" s="1" t="n">
        <v>10</v>
      </c>
      <c r="D1045" s="1" t="n">
        <v>11</v>
      </c>
      <c r="E1045" s="1" t="n">
        <v>13</v>
      </c>
      <c r="F1045" s="1" t="n">
        <v>35</v>
      </c>
      <c r="G1045" s="1" t="n">
        <v>39</v>
      </c>
      <c r="H1045" s="1" t="n">
        <v>58</v>
      </c>
      <c r="I1045" s="1" t="str">
        <f aca="false">RIGHT(("0"&amp;C1045),2)&amp;RIGHT(("0"&amp;D1045),2)&amp;RIGHT(("0"&amp;E1045),2)&amp;RIGHT(("0"&amp;F1045),2)&amp;RIGHT(("0"&amp;G1045),2)&amp;RIGHT(("0"&amp;H1045),2)</f>
        <v>101113353958</v>
      </c>
      <c r="J1045" s="1" t="n">
        <f aca="false">COUNTIF(I:I,I1045)</f>
        <v>1</v>
      </c>
      <c r="K1045" s="1" t="n">
        <v>0</v>
      </c>
      <c r="M1045" s="1" t="s">
        <v>23</v>
      </c>
      <c r="N1045" s="1" t="n">
        <v>79</v>
      </c>
      <c r="O1045" s="1" t="s">
        <v>5021</v>
      </c>
      <c r="P1045" s="1" t="n">
        <v>6346</v>
      </c>
      <c r="Q1045" s="1" t="s">
        <v>5022</v>
      </c>
      <c r="R1045" s="1" t="s">
        <v>5023</v>
      </c>
      <c r="S1045" s="1" t="s">
        <v>23</v>
      </c>
      <c r="T1045" s="1" t="s">
        <v>4273</v>
      </c>
      <c r="U1045" s="1" t="s">
        <v>5024</v>
      </c>
    </row>
    <row r="1046" customFormat="false" ht="13.8" hidden="false" customHeight="false" outlineLevel="0" collapsed="false">
      <c r="A1046" s="1" t="n">
        <v>1045</v>
      </c>
      <c r="B1046" s="2" t="s">
        <v>5025</v>
      </c>
      <c r="C1046" s="1" t="n">
        <v>1</v>
      </c>
      <c r="D1046" s="1" t="n">
        <v>5</v>
      </c>
      <c r="E1046" s="1" t="n">
        <v>6</v>
      </c>
      <c r="F1046" s="1" t="n">
        <v>17</v>
      </c>
      <c r="G1046" s="1" t="n">
        <v>31</v>
      </c>
      <c r="H1046" s="1" t="n">
        <v>50</v>
      </c>
      <c r="I1046" s="1" t="str">
        <f aca="false">RIGHT(("0"&amp;C1046),2)&amp;RIGHT(("0"&amp;D1046),2)&amp;RIGHT(("0"&amp;E1046),2)&amp;RIGHT(("0"&amp;F1046),2)&amp;RIGHT(("0"&amp;G1046),2)&amp;RIGHT(("0"&amp;H1046),2)</f>
        <v>010506173150</v>
      </c>
      <c r="J1046" s="1" t="n">
        <f aca="false">COUNTIF(I:I,I1046)</f>
        <v>1</v>
      </c>
      <c r="K1046" s="1" t="n">
        <v>0</v>
      </c>
      <c r="M1046" s="1" t="s">
        <v>23</v>
      </c>
      <c r="N1046" s="1" t="n">
        <v>102</v>
      </c>
      <c r="O1046" s="1" t="s">
        <v>5026</v>
      </c>
      <c r="P1046" s="1" t="n">
        <v>8623</v>
      </c>
      <c r="Q1046" s="1" t="s">
        <v>5027</v>
      </c>
      <c r="R1046" s="1" t="s">
        <v>5028</v>
      </c>
      <c r="S1046" s="1" t="s">
        <v>23</v>
      </c>
      <c r="T1046" s="1" t="s">
        <v>4696</v>
      </c>
      <c r="U1046" s="1" t="s">
        <v>5029</v>
      </c>
    </row>
    <row r="1047" customFormat="false" ht="13.8" hidden="false" customHeight="false" outlineLevel="0" collapsed="false">
      <c r="A1047" s="1" t="n">
        <v>1046</v>
      </c>
      <c r="B1047" s="2" t="s">
        <v>5030</v>
      </c>
      <c r="C1047" s="1" t="n">
        <v>28</v>
      </c>
      <c r="D1047" s="1" t="n">
        <v>40</v>
      </c>
      <c r="E1047" s="1" t="n">
        <v>42</v>
      </c>
      <c r="F1047" s="1" t="n">
        <v>54</v>
      </c>
      <c r="G1047" s="1" t="n">
        <v>55</v>
      </c>
      <c r="H1047" s="1" t="n">
        <v>57</v>
      </c>
      <c r="I1047" s="1" t="str">
        <f aca="false">RIGHT(("0"&amp;C1047),2)&amp;RIGHT(("0"&amp;D1047),2)&amp;RIGHT(("0"&amp;E1047),2)&amp;RIGHT(("0"&amp;F1047),2)&amp;RIGHT(("0"&amp;G1047),2)&amp;RIGHT(("0"&amp;H1047),2)</f>
        <v>284042545557</v>
      </c>
      <c r="J1047" s="1" t="n">
        <f aca="false">COUNTIF(I:I,I1047)</f>
        <v>1</v>
      </c>
      <c r="K1047" s="1" t="n">
        <v>1</v>
      </c>
      <c r="L1047" s="1" t="s">
        <v>1722</v>
      </c>
      <c r="M1047" s="1" t="s">
        <v>5031</v>
      </c>
      <c r="N1047" s="1" t="n">
        <v>49</v>
      </c>
      <c r="O1047" s="1" t="s">
        <v>5032</v>
      </c>
      <c r="P1047" s="1" t="n">
        <v>4875</v>
      </c>
      <c r="Q1047" s="1" t="s">
        <v>5033</v>
      </c>
      <c r="R1047" s="1" t="s">
        <v>23</v>
      </c>
      <c r="S1047" s="1" t="s">
        <v>5034</v>
      </c>
      <c r="T1047" s="1" t="s">
        <v>4218</v>
      </c>
      <c r="U1047" s="1" t="s">
        <v>5035</v>
      </c>
      <c r="V1047" s="1" t="s">
        <v>5036</v>
      </c>
    </row>
    <row r="1048" customFormat="false" ht="13.8" hidden="false" customHeight="false" outlineLevel="0" collapsed="false">
      <c r="A1048" s="1" t="n">
        <v>1047</v>
      </c>
      <c r="B1048" s="2" t="s">
        <v>5037</v>
      </c>
      <c r="C1048" s="1" t="n">
        <v>1</v>
      </c>
      <c r="D1048" s="1" t="n">
        <v>2</v>
      </c>
      <c r="E1048" s="1" t="n">
        <v>8</v>
      </c>
      <c r="F1048" s="1" t="n">
        <v>10</v>
      </c>
      <c r="G1048" s="1" t="n">
        <v>14</v>
      </c>
      <c r="H1048" s="1" t="n">
        <v>48</v>
      </c>
      <c r="I1048" s="1" t="str">
        <f aca="false">RIGHT(("0"&amp;C1048),2)&amp;RIGHT(("0"&amp;D1048),2)&amp;RIGHT(("0"&amp;E1048),2)&amp;RIGHT(("0"&amp;F1048),2)&amp;RIGHT(("0"&amp;G1048),2)&amp;RIGHT(("0"&amp;H1048),2)</f>
        <v>010208101448</v>
      </c>
      <c r="J1048" s="1" t="n">
        <f aca="false">COUNTIF(I:I,I1048)</f>
        <v>1</v>
      </c>
      <c r="K1048" s="1" t="n">
        <v>0</v>
      </c>
      <c r="M1048" s="1" t="s">
        <v>23</v>
      </c>
      <c r="N1048" s="1" t="n">
        <v>148</v>
      </c>
      <c r="O1048" s="1" t="s">
        <v>5038</v>
      </c>
      <c r="P1048" s="1" t="n">
        <v>8110</v>
      </c>
      <c r="Q1048" s="1" t="s">
        <v>5039</v>
      </c>
      <c r="R1048" s="1" t="s">
        <v>5040</v>
      </c>
      <c r="S1048" s="1" t="s">
        <v>23</v>
      </c>
      <c r="T1048" s="1" t="s">
        <v>4337</v>
      </c>
      <c r="U1048" s="1" t="s">
        <v>5041</v>
      </c>
    </row>
    <row r="1049" customFormat="false" ht="13.8" hidden="false" customHeight="false" outlineLevel="0" collapsed="false">
      <c r="A1049" s="1" t="n">
        <v>1048</v>
      </c>
      <c r="B1049" s="2" t="s">
        <v>5042</v>
      </c>
      <c r="C1049" s="1" t="n">
        <v>3</v>
      </c>
      <c r="D1049" s="1" t="n">
        <v>16</v>
      </c>
      <c r="E1049" s="1" t="n">
        <v>21</v>
      </c>
      <c r="F1049" s="1" t="n">
        <v>28</v>
      </c>
      <c r="G1049" s="1" t="n">
        <v>38</v>
      </c>
      <c r="H1049" s="1" t="n">
        <v>57</v>
      </c>
      <c r="I1049" s="1" t="str">
        <f aca="false">RIGHT(("0"&amp;C1049),2)&amp;RIGHT(("0"&amp;D1049),2)&amp;RIGHT(("0"&amp;E1049),2)&amp;RIGHT(("0"&amp;F1049),2)&amp;RIGHT(("0"&amp;G1049),2)&amp;RIGHT(("0"&amp;H1049),2)</f>
        <v>031621283857</v>
      </c>
      <c r="J1049" s="1" t="n">
        <f aca="false">COUNTIF(I:I,I1049)</f>
        <v>1</v>
      </c>
      <c r="K1049" s="1" t="n">
        <v>1</v>
      </c>
      <c r="L1049" s="1" t="s">
        <v>91</v>
      </c>
      <c r="M1049" s="1" t="s">
        <v>5043</v>
      </c>
      <c r="N1049" s="1" t="n">
        <v>70</v>
      </c>
      <c r="O1049" s="1" t="s">
        <v>5044</v>
      </c>
      <c r="P1049" s="1" t="n">
        <v>4990</v>
      </c>
      <c r="Q1049" s="1" t="s">
        <v>5045</v>
      </c>
      <c r="R1049" s="1" t="s">
        <v>23</v>
      </c>
      <c r="S1049" s="1" t="s">
        <v>23</v>
      </c>
      <c r="T1049" s="1" t="s">
        <v>5046</v>
      </c>
      <c r="U1049" s="1" t="s">
        <v>5047</v>
      </c>
      <c r="V1049" s="1" t="s">
        <v>4579</v>
      </c>
    </row>
    <row r="1050" customFormat="false" ht="13.8" hidden="false" customHeight="false" outlineLevel="0" collapsed="false">
      <c r="A1050" s="1" t="n">
        <v>1049</v>
      </c>
      <c r="B1050" s="2" t="s">
        <v>5048</v>
      </c>
      <c r="C1050" s="1" t="n">
        <v>2</v>
      </c>
      <c r="D1050" s="1" t="n">
        <v>5</v>
      </c>
      <c r="E1050" s="1" t="n">
        <v>17</v>
      </c>
      <c r="F1050" s="1" t="n">
        <v>29</v>
      </c>
      <c r="G1050" s="1" t="n">
        <v>34</v>
      </c>
      <c r="H1050" s="1" t="n">
        <v>52</v>
      </c>
      <c r="I1050" s="1" t="str">
        <f aca="false">RIGHT(("0"&amp;C1050),2)&amp;RIGHT(("0"&amp;D1050),2)&amp;RIGHT(("0"&amp;E1050),2)&amp;RIGHT(("0"&amp;F1050),2)&amp;RIGHT(("0"&amp;G1050),2)&amp;RIGHT(("0"&amp;H1050),2)</f>
        <v>020517293452</v>
      </c>
      <c r="J1050" s="1" t="n">
        <f aca="false">COUNTIF(I:I,I1050)</f>
        <v>1</v>
      </c>
      <c r="K1050" s="1" t="n">
        <v>1</v>
      </c>
      <c r="L1050" s="1" t="s">
        <v>91</v>
      </c>
      <c r="M1050" s="1" t="s">
        <v>5049</v>
      </c>
      <c r="N1050" s="1" t="n">
        <v>143</v>
      </c>
      <c r="O1050" s="1" t="s">
        <v>5050</v>
      </c>
      <c r="P1050" s="1" t="n">
        <v>6295</v>
      </c>
      <c r="Q1050" s="1" t="s">
        <v>5051</v>
      </c>
      <c r="R1050" s="1" t="s">
        <v>23</v>
      </c>
      <c r="S1050" s="1" t="s">
        <v>23</v>
      </c>
      <c r="T1050" s="1" t="s">
        <v>4195</v>
      </c>
      <c r="U1050" s="1" t="s">
        <v>5052</v>
      </c>
      <c r="V1050" s="1" t="s">
        <v>5053</v>
      </c>
    </row>
    <row r="1051" customFormat="false" ht="13.8" hidden="false" customHeight="false" outlineLevel="0" collapsed="false">
      <c r="A1051" s="1" t="n">
        <v>1050</v>
      </c>
      <c r="B1051" s="2" t="s">
        <v>5054</v>
      </c>
      <c r="C1051" s="1" t="n">
        <v>14</v>
      </c>
      <c r="D1051" s="1" t="n">
        <v>24</v>
      </c>
      <c r="E1051" s="1" t="n">
        <v>26</v>
      </c>
      <c r="F1051" s="1" t="n">
        <v>33</v>
      </c>
      <c r="G1051" s="1" t="n">
        <v>45</v>
      </c>
      <c r="H1051" s="1" t="n">
        <v>60</v>
      </c>
      <c r="I1051" s="1" t="str">
        <f aca="false">RIGHT(("0"&amp;C1051),2)&amp;RIGHT(("0"&amp;D1051),2)&amp;RIGHT(("0"&amp;E1051),2)&amp;RIGHT(("0"&amp;F1051),2)&amp;RIGHT(("0"&amp;G1051),2)&amp;RIGHT(("0"&amp;H1051),2)</f>
        <v>142426334560</v>
      </c>
      <c r="J1051" s="1" t="n">
        <f aca="false">COUNTIF(I:I,I1051)</f>
        <v>1</v>
      </c>
      <c r="K1051" s="1" t="n">
        <v>0</v>
      </c>
      <c r="M1051" s="1" t="s">
        <v>23</v>
      </c>
      <c r="N1051" s="1" t="n">
        <v>66</v>
      </c>
      <c r="O1051" s="1" t="s">
        <v>5055</v>
      </c>
      <c r="P1051" s="1" t="n">
        <v>4590</v>
      </c>
      <c r="Q1051" s="1" t="s">
        <v>5056</v>
      </c>
      <c r="R1051" s="1" t="s">
        <v>5057</v>
      </c>
      <c r="S1051" s="1" t="s">
        <v>23</v>
      </c>
      <c r="T1051" s="1" t="s">
        <v>3727</v>
      </c>
      <c r="U1051" s="1" t="s">
        <v>5058</v>
      </c>
    </row>
    <row r="1052" customFormat="false" ht="13.8" hidden="false" customHeight="false" outlineLevel="0" collapsed="false">
      <c r="A1052" s="1" t="n">
        <v>1051</v>
      </c>
      <c r="B1052" s="2" t="s">
        <v>5059</v>
      </c>
      <c r="C1052" s="1" t="n">
        <v>7</v>
      </c>
      <c r="D1052" s="1" t="n">
        <v>10</v>
      </c>
      <c r="E1052" s="1" t="n">
        <v>11</v>
      </c>
      <c r="F1052" s="1" t="n">
        <v>13</v>
      </c>
      <c r="G1052" s="1" t="n">
        <v>43</v>
      </c>
      <c r="H1052" s="1" t="n">
        <v>57</v>
      </c>
      <c r="I1052" s="1" t="str">
        <f aca="false">RIGHT(("0"&amp;C1052),2)&amp;RIGHT(("0"&amp;D1052),2)&amp;RIGHT(("0"&amp;E1052),2)&amp;RIGHT(("0"&amp;F1052),2)&amp;RIGHT(("0"&amp;G1052),2)&amp;RIGHT(("0"&amp;H1052),2)</f>
        <v>071011134357</v>
      </c>
      <c r="J1052" s="1" t="n">
        <f aca="false">COUNTIF(I:I,I1052)</f>
        <v>1</v>
      </c>
      <c r="K1052" s="1" t="n">
        <v>0</v>
      </c>
      <c r="M1052" s="1" t="s">
        <v>23</v>
      </c>
      <c r="N1052" s="1" t="n">
        <v>66</v>
      </c>
      <c r="O1052" s="1" t="s">
        <v>5060</v>
      </c>
      <c r="P1052" s="1" t="n">
        <v>5281</v>
      </c>
      <c r="Q1052" s="1" t="s">
        <v>5061</v>
      </c>
      <c r="R1052" s="1" t="s">
        <v>5062</v>
      </c>
      <c r="S1052" s="1" t="s">
        <v>23</v>
      </c>
      <c r="T1052" s="1" t="s">
        <v>4203</v>
      </c>
      <c r="U1052" s="1" t="s">
        <v>5063</v>
      </c>
    </row>
    <row r="1053" customFormat="false" ht="13.8" hidden="false" customHeight="false" outlineLevel="0" collapsed="false">
      <c r="A1053" s="1" t="n">
        <v>1052</v>
      </c>
      <c r="B1053" s="2" t="s">
        <v>5064</v>
      </c>
      <c r="C1053" s="1" t="n">
        <v>8</v>
      </c>
      <c r="D1053" s="1" t="n">
        <v>11</v>
      </c>
      <c r="E1053" s="1" t="n">
        <v>15</v>
      </c>
      <c r="F1053" s="1" t="n">
        <v>16</v>
      </c>
      <c r="G1053" s="1" t="n">
        <v>52</v>
      </c>
      <c r="H1053" s="1" t="n">
        <v>57</v>
      </c>
      <c r="I1053" s="1" t="str">
        <f aca="false">RIGHT(("0"&amp;C1053),2)&amp;RIGHT(("0"&amp;D1053),2)&amp;RIGHT(("0"&amp;E1053),2)&amp;RIGHT(("0"&amp;F1053),2)&amp;RIGHT(("0"&amp;G1053),2)&amp;RIGHT(("0"&amp;H1053),2)</f>
        <v>081115165257</v>
      </c>
      <c r="J1053" s="1" t="n">
        <f aca="false">COUNTIF(I:I,I1053)</f>
        <v>1</v>
      </c>
      <c r="K1053" s="1" t="n">
        <v>1</v>
      </c>
      <c r="L1053" s="1" t="s">
        <v>66</v>
      </c>
      <c r="M1053" s="1" t="s">
        <v>5065</v>
      </c>
      <c r="N1053" s="1" t="n">
        <v>77</v>
      </c>
      <c r="O1053" s="1" t="s">
        <v>5066</v>
      </c>
      <c r="P1053" s="1" t="n">
        <v>5743</v>
      </c>
      <c r="Q1053" s="1" t="s">
        <v>5067</v>
      </c>
      <c r="R1053" s="1" t="s">
        <v>23</v>
      </c>
      <c r="S1053" s="1" t="s">
        <v>5068</v>
      </c>
      <c r="T1053" s="1" t="s">
        <v>4218</v>
      </c>
      <c r="U1053" s="1" t="s">
        <v>5069</v>
      </c>
      <c r="V1053" s="1" t="s">
        <v>4813</v>
      </c>
    </row>
    <row r="1054" customFormat="false" ht="13.8" hidden="false" customHeight="false" outlineLevel="0" collapsed="false">
      <c r="A1054" s="1" t="n">
        <v>1053</v>
      </c>
      <c r="B1054" s="2" t="s">
        <v>5070</v>
      </c>
      <c r="C1054" s="1" t="n">
        <v>15</v>
      </c>
      <c r="D1054" s="1" t="n">
        <v>27</v>
      </c>
      <c r="E1054" s="1" t="n">
        <v>34</v>
      </c>
      <c r="F1054" s="1" t="n">
        <v>42</v>
      </c>
      <c r="G1054" s="1" t="n">
        <v>49</v>
      </c>
      <c r="H1054" s="1" t="n">
        <v>53</v>
      </c>
      <c r="I1054" s="1" t="str">
        <f aca="false">RIGHT(("0"&amp;C1054),2)&amp;RIGHT(("0"&amp;D1054),2)&amp;RIGHT(("0"&amp;E1054),2)&amp;RIGHT(("0"&amp;F1054),2)&amp;RIGHT(("0"&amp;G1054),2)&amp;RIGHT(("0"&amp;H1054),2)</f>
        <v>152734424953</v>
      </c>
      <c r="J1054" s="1" t="n">
        <f aca="false">COUNTIF(I:I,I1054)</f>
        <v>1</v>
      </c>
      <c r="K1054" s="1" t="n">
        <v>1</v>
      </c>
      <c r="L1054" s="1" t="s">
        <v>140</v>
      </c>
      <c r="M1054" s="1" t="s">
        <v>5071</v>
      </c>
      <c r="N1054" s="1" t="n">
        <v>112</v>
      </c>
      <c r="O1054" s="1" t="s">
        <v>5072</v>
      </c>
      <c r="P1054" s="1" t="n">
        <v>4385</v>
      </c>
      <c r="Q1054" s="1" t="s">
        <v>5073</v>
      </c>
      <c r="R1054" s="1" t="s">
        <v>23</v>
      </c>
      <c r="S1054" s="1" t="s">
        <v>23</v>
      </c>
      <c r="T1054" s="1" t="s">
        <v>4218</v>
      </c>
      <c r="U1054" s="1" t="s">
        <v>5074</v>
      </c>
      <c r="V1054" s="1" t="s">
        <v>5075</v>
      </c>
    </row>
    <row r="1055" customFormat="false" ht="13.8" hidden="false" customHeight="false" outlineLevel="0" collapsed="false">
      <c r="A1055" s="1" t="n">
        <v>1054</v>
      </c>
      <c r="B1055" s="2" t="s">
        <v>5076</v>
      </c>
      <c r="C1055" s="1" t="n">
        <v>13</v>
      </c>
      <c r="D1055" s="1" t="n">
        <v>14</v>
      </c>
      <c r="E1055" s="1" t="n">
        <v>18</v>
      </c>
      <c r="F1055" s="1" t="n">
        <v>27</v>
      </c>
      <c r="G1055" s="1" t="n">
        <v>41</v>
      </c>
      <c r="H1055" s="1" t="n">
        <v>60</v>
      </c>
      <c r="I1055" s="1" t="str">
        <f aca="false">RIGHT(("0"&amp;C1055),2)&amp;RIGHT(("0"&amp;D1055),2)&amp;RIGHT(("0"&amp;E1055),2)&amp;RIGHT(("0"&amp;F1055),2)&amp;RIGHT(("0"&amp;G1055),2)&amp;RIGHT(("0"&amp;H1055),2)</f>
        <v>131418274160</v>
      </c>
      <c r="J1055" s="1" t="n">
        <f aca="false">COUNTIF(I:I,I1055)</f>
        <v>1</v>
      </c>
      <c r="K1055" s="1" t="n">
        <v>0</v>
      </c>
      <c r="M1055" s="1" t="s">
        <v>23</v>
      </c>
      <c r="N1055" s="1" t="n">
        <v>37</v>
      </c>
      <c r="O1055" s="1" t="s">
        <v>5077</v>
      </c>
      <c r="P1055" s="1" t="n">
        <v>3567</v>
      </c>
      <c r="Q1055" s="1" t="s">
        <v>5078</v>
      </c>
      <c r="R1055" s="1" t="s">
        <v>5079</v>
      </c>
      <c r="S1055" s="1" t="s">
        <v>23</v>
      </c>
      <c r="T1055" s="1" t="s">
        <v>4195</v>
      </c>
      <c r="U1055" s="1" t="s">
        <v>5080</v>
      </c>
    </row>
    <row r="1056" customFormat="false" ht="13.8" hidden="false" customHeight="false" outlineLevel="0" collapsed="false">
      <c r="A1056" s="1" t="n">
        <v>1055</v>
      </c>
      <c r="B1056" s="2" t="s">
        <v>5081</v>
      </c>
      <c r="C1056" s="1" t="n">
        <v>12</v>
      </c>
      <c r="D1056" s="1" t="n">
        <v>15</v>
      </c>
      <c r="E1056" s="1" t="n">
        <v>16</v>
      </c>
      <c r="F1056" s="1" t="n">
        <v>20</v>
      </c>
      <c r="G1056" s="1" t="n">
        <v>27</v>
      </c>
      <c r="H1056" s="1" t="n">
        <v>32</v>
      </c>
      <c r="I1056" s="1" t="str">
        <f aca="false">RIGHT(("0"&amp;C1056),2)&amp;RIGHT(("0"&amp;D1056),2)&amp;RIGHT(("0"&amp;E1056),2)&amp;RIGHT(("0"&amp;F1056),2)&amp;RIGHT(("0"&amp;G1056),2)&amp;RIGHT(("0"&amp;H1056),2)</f>
        <v>121516202732</v>
      </c>
      <c r="J1056" s="1" t="n">
        <f aca="false">COUNTIF(I:I,I1056)</f>
        <v>1</v>
      </c>
      <c r="K1056" s="1" t="n">
        <v>2</v>
      </c>
      <c r="L1056" s="1" t="s">
        <v>91</v>
      </c>
      <c r="M1056" s="1" t="s">
        <v>5082</v>
      </c>
      <c r="N1056" s="1" t="n">
        <v>86</v>
      </c>
      <c r="O1056" s="1" t="s">
        <v>5083</v>
      </c>
      <c r="P1056" s="1" t="n">
        <v>6311</v>
      </c>
      <c r="Q1056" s="1" t="s">
        <v>4473</v>
      </c>
      <c r="R1056" s="1" t="s">
        <v>23</v>
      </c>
      <c r="S1056" s="1" t="s">
        <v>23</v>
      </c>
      <c r="T1056" s="1" t="s">
        <v>4218</v>
      </c>
      <c r="U1056" s="1" t="s">
        <v>5084</v>
      </c>
      <c r="V1056" s="1" t="s">
        <v>5085</v>
      </c>
    </row>
    <row r="1057" customFormat="false" ht="13.8" hidden="false" customHeight="false" outlineLevel="0" collapsed="false">
      <c r="A1057" s="1" t="n">
        <v>1056</v>
      </c>
      <c r="B1057" s="2" t="s">
        <v>5086</v>
      </c>
      <c r="C1057" s="1" t="n">
        <v>6</v>
      </c>
      <c r="D1057" s="1" t="n">
        <v>8</v>
      </c>
      <c r="E1057" s="1" t="n">
        <v>38</v>
      </c>
      <c r="F1057" s="1" t="n">
        <v>50</v>
      </c>
      <c r="G1057" s="1" t="n">
        <v>53</v>
      </c>
      <c r="H1057" s="1" t="n">
        <v>59</v>
      </c>
      <c r="I1057" s="1" t="str">
        <f aca="false">RIGHT(("0"&amp;C1057),2)&amp;RIGHT(("0"&amp;D1057),2)&amp;RIGHT(("0"&amp;E1057),2)&amp;RIGHT(("0"&amp;F1057),2)&amp;RIGHT(("0"&amp;G1057),2)&amp;RIGHT(("0"&amp;H1057),2)</f>
        <v>060838505359</v>
      </c>
      <c r="J1057" s="1" t="n">
        <f aca="false">COUNTIF(I:I,I1057)</f>
        <v>1</v>
      </c>
      <c r="K1057" s="1" t="n">
        <v>1</v>
      </c>
      <c r="L1057" s="1" t="s">
        <v>1872</v>
      </c>
      <c r="M1057" s="1" t="s">
        <v>5087</v>
      </c>
      <c r="N1057" s="1" t="n">
        <v>23</v>
      </c>
      <c r="O1057" s="1" t="s">
        <v>5088</v>
      </c>
      <c r="P1057" s="1" t="n">
        <v>2350</v>
      </c>
      <c r="Q1057" s="1" t="s">
        <v>5089</v>
      </c>
      <c r="R1057" s="1" t="s">
        <v>23</v>
      </c>
      <c r="S1057" s="1" t="s">
        <v>23</v>
      </c>
      <c r="T1057" s="1" t="s">
        <v>4857</v>
      </c>
      <c r="U1057" s="1" t="s">
        <v>5090</v>
      </c>
      <c r="V1057" s="1" t="s">
        <v>5091</v>
      </c>
    </row>
    <row r="1058" customFormat="false" ht="13.8" hidden="false" customHeight="false" outlineLevel="0" collapsed="false">
      <c r="A1058" s="1" t="n">
        <v>1057</v>
      </c>
      <c r="B1058" s="2" t="s">
        <v>5092</v>
      </c>
      <c r="C1058" s="1" t="n">
        <v>2</v>
      </c>
      <c r="D1058" s="1" t="n">
        <v>3</v>
      </c>
      <c r="E1058" s="1" t="n">
        <v>4</v>
      </c>
      <c r="F1058" s="1" t="n">
        <v>15</v>
      </c>
      <c r="G1058" s="1" t="n">
        <v>49</v>
      </c>
      <c r="H1058" s="1" t="n">
        <v>59</v>
      </c>
      <c r="I1058" s="1" t="str">
        <f aca="false">RIGHT(("0"&amp;C1058),2)&amp;RIGHT(("0"&amp;D1058),2)&amp;RIGHT(("0"&amp;E1058),2)&amp;RIGHT(("0"&amp;F1058),2)&amp;RIGHT(("0"&amp;G1058),2)&amp;RIGHT(("0"&amp;H1058),2)</f>
        <v>020304154959</v>
      </c>
      <c r="J1058" s="1" t="n">
        <f aca="false">COUNTIF(I:I,I1058)</f>
        <v>1</v>
      </c>
      <c r="K1058" s="1" t="n">
        <v>0</v>
      </c>
      <c r="M1058" s="1" t="s">
        <v>23</v>
      </c>
      <c r="N1058" s="1" t="n">
        <v>46</v>
      </c>
      <c r="O1058" s="1" t="s">
        <v>5093</v>
      </c>
      <c r="P1058" s="1" t="n">
        <v>3923</v>
      </c>
      <c r="Q1058" s="1" t="s">
        <v>5094</v>
      </c>
      <c r="R1058" s="1" t="s">
        <v>5095</v>
      </c>
      <c r="S1058" s="1" t="s">
        <v>23</v>
      </c>
      <c r="T1058" s="1" t="s">
        <v>473</v>
      </c>
      <c r="U1058" s="1" t="s">
        <v>5096</v>
      </c>
    </row>
    <row r="1059" customFormat="false" ht="13.8" hidden="false" customHeight="false" outlineLevel="0" collapsed="false">
      <c r="A1059" s="1" t="n">
        <v>1058</v>
      </c>
      <c r="B1059" s="2" t="s">
        <v>5097</v>
      </c>
      <c r="C1059" s="1" t="n">
        <v>18</v>
      </c>
      <c r="D1059" s="1" t="n">
        <v>20</v>
      </c>
      <c r="E1059" s="1" t="n">
        <v>24</v>
      </c>
      <c r="F1059" s="1" t="n">
        <v>45</v>
      </c>
      <c r="G1059" s="1" t="n">
        <v>51</v>
      </c>
      <c r="H1059" s="1" t="n">
        <v>57</v>
      </c>
      <c r="I1059" s="1" t="str">
        <f aca="false">RIGHT(("0"&amp;C1059),2)&amp;RIGHT(("0"&amp;D1059),2)&amp;RIGHT(("0"&amp;E1059),2)&amp;RIGHT(("0"&amp;F1059),2)&amp;RIGHT(("0"&amp;G1059),2)&amp;RIGHT(("0"&amp;H1059),2)</f>
        <v>182024455157</v>
      </c>
      <c r="J1059" s="1" t="n">
        <f aca="false">COUNTIF(I:I,I1059)</f>
        <v>1</v>
      </c>
      <c r="K1059" s="1" t="n">
        <v>1</v>
      </c>
      <c r="L1059" s="1" t="s">
        <v>190</v>
      </c>
      <c r="M1059" s="1" t="s">
        <v>5098</v>
      </c>
      <c r="N1059" s="1" t="n">
        <v>50</v>
      </c>
      <c r="O1059" s="1" t="s">
        <v>5099</v>
      </c>
      <c r="P1059" s="1" t="n">
        <v>3853</v>
      </c>
      <c r="Q1059" s="1" t="s">
        <v>5100</v>
      </c>
      <c r="R1059" s="1" t="s">
        <v>23</v>
      </c>
      <c r="S1059" s="1" t="s">
        <v>23</v>
      </c>
      <c r="T1059" s="1" t="s">
        <v>5101</v>
      </c>
      <c r="U1059" s="1" t="s">
        <v>5102</v>
      </c>
      <c r="V1059" s="1" t="s">
        <v>5103</v>
      </c>
    </row>
    <row r="1060" customFormat="false" ht="13.8" hidden="false" customHeight="false" outlineLevel="0" collapsed="false">
      <c r="A1060" s="1" t="n">
        <v>1059</v>
      </c>
      <c r="B1060" s="2" t="s">
        <v>5104</v>
      </c>
      <c r="C1060" s="1" t="n">
        <v>1</v>
      </c>
      <c r="D1060" s="1" t="n">
        <v>12</v>
      </c>
      <c r="E1060" s="1" t="n">
        <v>14</v>
      </c>
      <c r="F1060" s="1" t="n">
        <v>16</v>
      </c>
      <c r="G1060" s="1" t="n">
        <v>37</v>
      </c>
      <c r="H1060" s="1" t="n">
        <v>45</v>
      </c>
      <c r="I1060" s="1" t="str">
        <f aca="false">RIGHT(("0"&amp;C1060),2)&amp;RIGHT(("0"&amp;D1060),2)&amp;RIGHT(("0"&amp;E1060),2)&amp;RIGHT(("0"&amp;F1060),2)&amp;RIGHT(("0"&amp;G1060),2)&amp;RIGHT(("0"&amp;H1060),2)</f>
        <v>011214163745</v>
      </c>
      <c r="J1060" s="1" t="n">
        <f aca="false">COUNTIF(I:I,I1060)</f>
        <v>1</v>
      </c>
      <c r="K1060" s="1" t="n">
        <v>1</v>
      </c>
      <c r="L1060" s="1" t="s">
        <v>91</v>
      </c>
      <c r="M1060" s="1" t="s">
        <v>5105</v>
      </c>
      <c r="N1060" s="1" t="n">
        <v>63</v>
      </c>
      <c r="O1060" s="1" t="s">
        <v>5106</v>
      </c>
      <c r="P1060" s="1" t="n">
        <v>4089</v>
      </c>
      <c r="Q1060" s="1" t="s">
        <v>5107</v>
      </c>
      <c r="R1060" s="1" t="s">
        <v>23</v>
      </c>
      <c r="S1060" s="1" t="s">
        <v>23</v>
      </c>
      <c r="T1060" s="1" t="s">
        <v>4347</v>
      </c>
      <c r="U1060" s="1" t="s">
        <v>5108</v>
      </c>
      <c r="V1060" s="1" t="s">
        <v>5109</v>
      </c>
    </row>
    <row r="1061" customFormat="false" ht="13.8" hidden="false" customHeight="false" outlineLevel="0" collapsed="false">
      <c r="A1061" s="1" t="n">
        <v>1060</v>
      </c>
      <c r="B1061" s="2" t="s">
        <v>5110</v>
      </c>
      <c r="C1061" s="1" t="n">
        <v>1</v>
      </c>
      <c r="D1061" s="1" t="n">
        <v>3</v>
      </c>
      <c r="E1061" s="1" t="n">
        <v>16</v>
      </c>
      <c r="F1061" s="1" t="n">
        <v>18</v>
      </c>
      <c r="G1061" s="1" t="n">
        <v>41</v>
      </c>
      <c r="H1061" s="1" t="n">
        <v>42</v>
      </c>
      <c r="I1061" s="1" t="str">
        <f aca="false">RIGHT(("0"&amp;C1061),2)&amp;RIGHT(("0"&amp;D1061),2)&amp;RIGHT(("0"&amp;E1061),2)&amp;RIGHT(("0"&amp;F1061),2)&amp;RIGHT(("0"&amp;G1061),2)&amp;RIGHT(("0"&amp;H1061),2)</f>
        <v>010316184142</v>
      </c>
      <c r="J1061" s="1" t="n">
        <f aca="false">COUNTIF(I:I,I1061)</f>
        <v>1</v>
      </c>
      <c r="K1061" s="1" t="n">
        <v>1</v>
      </c>
      <c r="L1061" s="1" t="s">
        <v>28</v>
      </c>
      <c r="M1061" s="1" t="s">
        <v>5111</v>
      </c>
      <c r="N1061" s="1" t="n">
        <v>60</v>
      </c>
      <c r="O1061" s="1" t="s">
        <v>5112</v>
      </c>
      <c r="P1061" s="1" t="n">
        <v>5220</v>
      </c>
      <c r="Q1061" s="1" t="s">
        <v>2188</v>
      </c>
      <c r="R1061" s="1" t="s">
        <v>23</v>
      </c>
      <c r="S1061" s="1" t="s">
        <v>23</v>
      </c>
      <c r="T1061" s="1" t="s">
        <v>4218</v>
      </c>
      <c r="U1061" s="1" t="s">
        <v>5113</v>
      </c>
      <c r="V1061" s="1" t="s">
        <v>5114</v>
      </c>
    </row>
    <row r="1062" customFormat="false" ht="13.8" hidden="false" customHeight="false" outlineLevel="0" collapsed="false">
      <c r="A1062" s="1" t="n">
        <v>1061</v>
      </c>
      <c r="B1062" s="2" t="s">
        <v>5115</v>
      </c>
      <c r="C1062" s="1" t="n">
        <v>9</v>
      </c>
      <c r="D1062" s="1" t="n">
        <v>21</v>
      </c>
      <c r="E1062" s="1" t="n">
        <v>23</v>
      </c>
      <c r="F1062" s="1" t="n">
        <v>30</v>
      </c>
      <c r="G1062" s="1" t="n">
        <v>41</v>
      </c>
      <c r="H1062" s="1" t="n">
        <v>56</v>
      </c>
      <c r="I1062" s="1" t="str">
        <f aca="false">RIGHT(("0"&amp;C1062),2)&amp;RIGHT(("0"&amp;D1062),2)&amp;RIGHT(("0"&amp;E1062),2)&amp;RIGHT(("0"&amp;F1062),2)&amp;RIGHT(("0"&amp;G1062),2)&amp;RIGHT(("0"&amp;H1062),2)</f>
        <v>092123304156</v>
      </c>
      <c r="J1062" s="1" t="n">
        <f aca="false">COUNTIF(I:I,I1062)</f>
        <v>1</v>
      </c>
      <c r="K1062" s="1" t="n">
        <v>0</v>
      </c>
      <c r="M1062" s="1" t="s">
        <v>23</v>
      </c>
      <c r="N1062" s="1" t="n">
        <v>29</v>
      </c>
      <c r="O1062" s="1" t="s">
        <v>5116</v>
      </c>
      <c r="P1062" s="1" t="n">
        <v>2579</v>
      </c>
      <c r="Q1062" s="1" t="s">
        <v>5117</v>
      </c>
      <c r="R1062" s="1" t="s">
        <v>5118</v>
      </c>
      <c r="S1062" s="1" t="s">
        <v>23</v>
      </c>
      <c r="T1062" s="1" t="s">
        <v>4337</v>
      </c>
      <c r="U1062" s="1" t="s">
        <v>5119</v>
      </c>
    </row>
    <row r="1063" customFormat="false" ht="13.8" hidden="false" customHeight="false" outlineLevel="0" collapsed="false">
      <c r="A1063" s="1" t="n">
        <v>1062</v>
      </c>
      <c r="B1063" s="2" t="s">
        <v>5120</v>
      </c>
      <c r="C1063" s="1" t="n">
        <v>2</v>
      </c>
      <c r="D1063" s="1" t="n">
        <v>8</v>
      </c>
      <c r="E1063" s="1" t="n">
        <v>23</v>
      </c>
      <c r="F1063" s="1" t="n">
        <v>33</v>
      </c>
      <c r="G1063" s="1" t="n">
        <v>37</v>
      </c>
      <c r="H1063" s="1" t="n">
        <v>55</v>
      </c>
      <c r="I1063" s="1" t="str">
        <f aca="false">RIGHT(("0"&amp;C1063),2)&amp;RIGHT(("0"&amp;D1063),2)&amp;RIGHT(("0"&amp;E1063),2)&amp;RIGHT(("0"&amp;F1063),2)&amp;RIGHT(("0"&amp;G1063),2)&amp;RIGHT(("0"&amp;H1063),2)</f>
        <v>020823333755</v>
      </c>
      <c r="J1063" s="1" t="n">
        <f aca="false">COUNTIF(I:I,I1063)</f>
        <v>1</v>
      </c>
      <c r="K1063" s="1" t="n">
        <v>0</v>
      </c>
      <c r="M1063" s="1" t="s">
        <v>23</v>
      </c>
      <c r="N1063" s="1" t="n">
        <v>114</v>
      </c>
      <c r="O1063" s="1" t="s">
        <v>5121</v>
      </c>
      <c r="P1063" s="1" t="n">
        <v>6442</v>
      </c>
      <c r="Q1063" s="1" t="s">
        <v>5122</v>
      </c>
      <c r="R1063" s="1" t="s">
        <v>5123</v>
      </c>
      <c r="S1063" s="1" t="s">
        <v>23</v>
      </c>
      <c r="T1063" s="1" t="s">
        <v>4342</v>
      </c>
      <c r="U1063" s="1" t="s">
        <v>5124</v>
      </c>
    </row>
    <row r="1064" customFormat="false" ht="13.8" hidden="false" customHeight="false" outlineLevel="0" collapsed="false">
      <c r="A1064" s="1" t="n">
        <v>1063</v>
      </c>
      <c r="B1064" s="2" t="s">
        <v>5125</v>
      </c>
      <c r="C1064" s="1" t="n">
        <v>1</v>
      </c>
      <c r="D1064" s="1" t="n">
        <v>22</v>
      </c>
      <c r="E1064" s="1" t="n">
        <v>44</v>
      </c>
      <c r="F1064" s="1" t="n">
        <v>47</v>
      </c>
      <c r="G1064" s="1" t="n">
        <v>49</v>
      </c>
      <c r="H1064" s="1" t="n">
        <v>50</v>
      </c>
      <c r="I1064" s="1" t="str">
        <f aca="false">RIGHT(("0"&amp;C1064),2)&amp;RIGHT(("0"&amp;D1064),2)&amp;RIGHT(("0"&amp;E1064),2)&amp;RIGHT(("0"&amp;F1064),2)&amp;RIGHT(("0"&amp;G1064),2)&amp;RIGHT(("0"&amp;H1064),2)</f>
        <v>012244474950</v>
      </c>
      <c r="J1064" s="1" t="n">
        <f aca="false">COUNTIF(I:I,I1064)</f>
        <v>1</v>
      </c>
      <c r="K1064" s="1" t="n">
        <v>0</v>
      </c>
      <c r="M1064" s="1" t="s">
        <v>23</v>
      </c>
      <c r="N1064" s="1" t="n">
        <v>68</v>
      </c>
      <c r="O1064" s="1" t="s">
        <v>5126</v>
      </c>
      <c r="P1064" s="1" t="n">
        <v>4202</v>
      </c>
      <c r="Q1064" s="1" t="s">
        <v>5127</v>
      </c>
      <c r="R1064" s="1" t="s">
        <v>5128</v>
      </c>
      <c r="S1064" s="1" t="s">
        <v>23</v>
      </c>
      <c r="T1064" s="1" t="s">
        <v>4347</v>
      </c>
      <c r="U1064" s="1" t="s">
        <v>5129</v>
      </c>
    </row>
    <row r="1065" customFormat="false" ht="13.8" hidden="false" customHeight="false" outlineLevel="0" collapsed="false">
      <c r="A1065" s="1" t="n">
        <v>1064</v>
      </c>
      <c r="B1065" s="2" t="s">
        <v>5130</v>
      </c>
      <c r="C1065" s="1" t="n">
        <v>4</v>
      </c>
      <c r="D1065" s="1" t="n">
        <v>16</v>
      </c>
      <c r="E1065" s="1" t="n">
        <v>19</v>
      </c>
      <c r="F1065" s="1" t="n">
        <v>28</v>
      </c>
      <c r="G1065" s="1" t="n">
        <v>29</v>
      </c>
      <c r="H1065" s="1" t="n">
        <v>49</v>
      </c>
      <c r="I1065" s="1" t="str">
        <f aca="false">RIGHT(("0"&amp;C1065),2)&amp;RIGHT(("0"&amp;D1065),2)&amp;RIGHT(("0"&amp;E1065),2)&amp;RIGHT(("0"&amp;F1065),2)&amp;RIGHT(("0"&amp;G1065),2)&amp;RIGHT(("0"&amp;H1065),2)</f>
        <v>041619282949</v>
      </c>
      <c r="J1065" s="1" t="n">
        <f aca="false">COUNTIF(I:I,I1065)</f>
        <v>1</v>
      </c>
      <c r="K1065" s="1" t="n">
        <v>0</v>
      </c>
      <c r="M1065" s="1" t="s">
        <v>23</v>
      </c>
      <c r="N1065" s="1" t="n">
        <v>74</v>
      </c>
      <c r="O1065" s="1" t="s">
        <v>5131</v>
      </c>
      <c r="P1065" s="1" t="n">
        <v>5517</v>
      </c>
      <c r="Q1065" s="1" t="s">
        <v>5132</v>
      </c>
      <c r="R1065" s="1" t="s">
        <v>5133</v>
      </c>
      <c r="S1065" s="1" t="s">
        <v>23</v>
      </c>
      <c r="T1065" s="1" t="s">
        <v>4208</v>
      </c>
      <c r="U1065" s="1" t="s">
        <v>5134</v>
      </c>
    </row>
    <row r="1066" customFormat="false" ht="13.8" hidden="false" customHeight="false" outlineLevel="0" collapsed="false">
      <c r="A1066" s="1" t="n">
        <v>1065</v>
      </c>
      <c r="B1066" s="2" t="s">
        <v>5135</v>
      </c>
      <c r="C1066" s="1" t="n">
        <v>7</v>
      </c>
      <c r="D1066" s="1" t="n">
        <v>19</v>
      </c>
      <c r="E1066" s="1" t="n">
        <v>30</v>
      </c>
      <c r="F1066" s="1" t="n">
        <v>39</v>
      </c>
      <c r="G1066" s="1" t="n">
        <v>43</v>
      </c>
      <c r="H1066" s="1" t="n">
        <v>57</v>
      </c>
      <c r="I1066" s="1" t="str">
        <f aca="false">RIGHT(("0"&amp;C1066),2)&amp;RIGHT(("0"&amp;D1066),2)&amp;RIGHT(("0"&amp;E1066),2)&amp;RIGHT(("0"&amp;F1066),2)&amp;RIGHT(("0"&amp;G1066),2)&amp;RIGHT(("0"&amp;H1066),2)</f>
        <v>071930394357</v>
      </c>
      <c r="J1066" s="1" t="n">
        <f aca="false">COUNTIF(I:I,I1066)</f>
        <v>1</v>
      </c>
      <c r="K1066" s="1" t="n">
        <v>0</v>
      </c>
      <c r="M1066" s="1" t="s">
        <v>23</v>
      </c>
      <c r="N1066" s="1" t="n">
        <v>72</v>
      </c>
      <c r="O1066" s="1" t="s">
        <v>5136</v>
      </c>
      <c r="P1066" s="1" t="n">
        <v>6501</v>
      </c>
      <c r="Q1066" s="1" t="s">
        <v>5137</v>
      </c>
      <c r="R1066" s="1" t="s">
        <v>5138</v>
      </c>
      <c r="S1066" s="1" t="s">
        <v>23</v>
      </c>
      <c r="T1066" s="1" t="s">
        <v>4299</v>
      </c>
      <c r="U1066" s="1" t="s">
        <v>5139</v>
      </c>
    </row>
    <row r="1067" customFormat="false" ht="13.8" hidden="false" customHeight="false" outlineLevel="0" collapsed="false">
      <c r="A1067" s="1" t="n">
        <v>1066</v>
      </c>
      <c r="B1067" s="2" t="s">
        <v>5140</v>
      </c>
      <c r="C1067" s="1" t="n">
        <v>6</v>
      </c>
      <c r="D1067" s="1" t="n">
        <v>10</v>
      </c>
      <c r="E1067" s="1" t="n">
        <v>25</v>
      </c>
      <c r="F1067" s="1" t="n">
        <v>32</v>
      </c>
      <c r="G1067" s="1" t="n">
        <v>43</v>
      </c>
      <c r="H1067" s="1" t="n">
        <v>49</v>
      </c>
      <c r="I1067" s="1" t="str">
        <f aca="false">RIGHT(("0"&amp;C1067),2)&amp;RIGHT(("0"&amp;D1067),2)&amp;RIGHT(("0"&amp;E1067),2)&amp;RIGHT(("0"&amp;F1067),2)&amp;RIGHT(("0"&amp;G1067),2)&amp;RIGHT(("0"&amp;H1067),2)</f>
        <v>061025324349</v>
      </c>
      <c r="J1067" s="1" t="n">
        <f aca="false">COUNTIF(I:I,I1067)</f>
        <v>1</v>
      </c>
      <c r="K1067" s="1" t="n">
        <v>0</v>
      </c>
      <c r="M1067" s="1" t="s">
        <v>23</v>
      </c>
      <c r="N1067" s="1" t="n">
        <v>115</v>
      </c>
      <c r="O1067" s="1" t="s">
        <v>5141</v>
      </c>
      <c r="P1067" s="1" t="n">
        <v>8153</v>
      </c>
      <c r="Q1067" s="1" t="s">
        <v>5142</v>
      </c>
      <c r="R1067" s="1" t="s">
        <v>5143</v>
      </c>
      <c r="S1067" s="1" t="s">
        <v>23</v>
      </c>
      <c r="T1067" s="1" t="s">
        <v>4718</v>
      </c>
      <c r="U1067" s="1" t="s">
        <v>5144</v>
      </c>
    </row>
    <row r="1068" customFormat="false" ht="13.8" hidden="false" customHeight="false" outlineLevel="0" collapsed="false">
      <c r="A1068" s="1" t="n">
        <v>1067</v>
      </c>
      <c r="B1068" s="2" t="s">
        <v>5145</v>
      </c>
      <c r="C1068" s="1" t="n">
        <v>4</v>
      </c>
      <c r="D1068" s="1" t="n">
        <v>10</v>
      </c>
      <c r="E1068" s="1" t="n">
        <v>14</v>
      </c>
      <c r="F1068" s="1" t="n">
        <v>25</v>
      </c>
      <c r="G1068" s="1" t="n">
        <v>28</v>
      </c>
      <c r="H1068" s="1" t="n">
        <v>56</v>
      </c>
      <c r="I1068" s="1" t="str">
        <f aca="false">RIGHT(("0"&amp;C1068),2)&amp;RIGHT(("0"&amp;D1068),2)&amp;RIGHT(("0"&amp;E1068),2)&amp;RIGHT(("0"&amp;F1068),2)&amp;RIGHT(("0"&amp;G1068),2)&amp;RIGHT(("0"&amp;H1068),2)</f>
        <v>041014252856</v>
      </c>
      <c r="J1068" s="1" t="n">
        <f aca="false">COUNTIF(I:I,I1068)</f>
        <v>1</v>
      </c>
      <c r="K1068" s="1" t="n">
        <v>0</v>
      </c>
      <c r="M1068" s="1" t="s">
        <v>23</v>
      </c>
      <c r="N1068" s="1" t="n">
        <v>172</v>
      </c>
      <c r="O1068" s="1" t="s">
        <v>5146</v>
      </c>
      <c r="P1068" s="1" t="n">
        <v>10795</v>
      </c>
      <c r="Q1068" s="1" t="s">
        <v>5147</v>
      </c>
      <c r="R1068" s="1" t="s">
        <v>5148</v>
      </c>
      <c r="S1068" s="1" t="s">
        <v>23</v>
      </c>
      <c r="T1068" s="1" t="s">
        <v>3892</v>
      </c>
      <c r="U1068" s="1" t="s">
        <v>5149</v>
      </c>
    </row>
    <row r="1069" customFormat="false" ht="13.8" hidden="false" customHeight="false" outlineLevel="0" collapsed="false">
      <c r="A1069" s="1" t="n">
        <v>1068</v>
      </c>
      <c r="B1069" s="2" t="s">
        <v>5150</v>
      </c>
      <c r="C1069" s="1" t="n">
        <v>25</v>
      </c>
      <c r="D1069" s="1" t="n">
        <v>27</v>
      </c>
      <c r="E1069" s="1" t="n">
        <v>44</v>
      </c>
      <c r="F1069" s="1" t="n">
        <v>47</v>
      </c>
      <c r="G1069" s="1" t="n">
        <v>48</v>
      </c>
      <c r="H1069" s="1" t="n">
        <v>57</v>
      </c>
      <c r="I1069" s="1" t="str">
        <f aca="false">RIGHT(("0"&amp;C1069),2)&amp;RIGHT(("0"&amp;D1069),2)&amp;RIGHT(("0"&amp;E1069),2)&amp;RIGHT(("0"&amp;F1069),2)&amp;RIGHT(("0"&amp;G1069),2)&amp;RIGHT(("0"&amp;H1069),2)</f>
        <v>252744474857</v>
      </c>
      <c r="J1069" s="1" t="n">
        <f aca="false">COUNTIF(I:I,I1069)</f>
        <v>1</v>
      </c>
      <c r="K1069" s="1" t="n">
        <v>0</v>
      </c>
      <c r="M1069" s="1" t="s">
        <v>23</v>
      </c>
      <c r="N1069" s="1" t="n">
        <v>146</v>
      </c>
      <c r="O1069" s="1" t="s">
        <v>5151</v>
      </c>
      <c r="P1069" s="1" t="n">
        <v>10795</v>
      </c>
      <c r="Q1069" s="1" t="s">
        <v>5152</v>
      </c>
      <c r="R1069" s="1" t="s">
        <v>5153</v>
      </c>
      <c r="S1069" s="1" t="s">
        <v>23</v>
      </c>
      <c r="T1069" s="1" t="s">
        <v>5154</v>
      </c>
      <c r="U1069" s="1" t="s">
        <v>5155</v>
      </c>
    </row>
    <row r="1070" customFormat="false" ht="13.8" hidden="false" customHeight="false" outlineLevel="0" collapsed="false">
      <c r="A1070" s="1" t="n">
        <v>1069</v>
      </c>
      <c r="B1070" s="2" t="s">
        <v>5156</v>
      </c>
      <c r="C1070" s="1" t="n">
        <v>9</v>
      </c>
      <c r="D1070" s="1" t="n">
        <v>17</v>
      </c>
      <c r="E1070" s="1" t="n">
        <v>28</v>
      </c>
      <c r="F1070" s="1" t="n">
        <v>45</v>
      </c>
      <c r="G1070" s="1" t="n">
        <v>49</v>
      </c>
      <c r="H1070" s="1" t="n">
        <v>53</v>
      </c>
      <c r="I1070" s="1" t="str">
        <f aca="false">RIGHT(("0"&amp;C1070),2)&amp;RIGHT(("0"&amp;D1070),2)&amp;RIGHT(("0"&amp;E1070),2)&amp;RIGHT(("0"&amp;F1070),2)&amp;RIGHT(("0"&amp;G1070),2)&amp;RIGHT(("0"&amp;H1070),2)</f>
        <v>091728454953</v>
      </c>
      <c r="J1070" s="1" t="n">
        <f aca="false">COUNTIF(I:I,I1070)</f>
        <v>1</v>
      </c>
      <c r="K1070" s="1" t="n">
        <v>1</v>
      </c>
      <c r="L1070" s="1" t="s">
        <v>66</v>
      </c>
      <c r="M1070" s="1" t="s">
        <v>5157</v>
      </c>
      <c r="N1070" s="1" t="n">
        <v>275</v>
      </c>
      <c r="O1070" s="1" t="s">
        <v>5158</v>
      </c>
      <c r="P1070" s="1" t="n">
        <v>16287</v>
      </c>
      <c r="Q1070" s="1" t="s">
        <v>5159</v>
      </c>
      <c r="R1070" s="1" t="s">
        <v>23</v>
      </c>
      <c r="S1070" s="1" t="s">
        <v>23</v>
      </c>
      <c r="T1070" s="1" t="s">
        <v>4208</v>
      </c>
      <c r="U1070" s="1" t="s">
        <v>5160</v>
      </c>
      <c r="V1070" s="1" t="s">
        <v>5161</v>
      </c>
    </row>
    <row r="1071" customFormat="false" ht="13.8" hidden="false" customHeight="false" outlineLevel="0" collapsed="false">
      <c r="A1071" s="1" t="n">
        <v>1070</v>
      </c>
      <c r="B1071" s="2" t="s">
        <v>5162</v>
      </c>
      <c r="C1071" s="1" t="n">
        <v>5</v>
      </c>
      <c r="D1071" s="1" t="n">
        <v>8</v>
      </c>
      <c r="E1071" s="1" t="n">
        <v>16</v>
      </c>
      <c r="F1071" s="1" t="n">
        <v>23</v>
      </c>
      <c r="G1071" s="1" t="n">
        <v>41</v>
      </c>
      <c r="H1071" s="1" t="n">
        <v>53</v>
      </c>
      <c r="I1071" s="1" t="str">
        <f aca="false">RIGHT(("0"&amp;C1071),2)&amp;RIGHT(("0"&amp;D1071),2)&amp;RIGHT(("0"&amp;E1071),2)&amp;RIGHT(("0"&amp;F1071),2)&amp;RIGHT(("0"&amp;G1071),2)&amp;RIGHT(("0"&amp;H1071),2)</f>
        <v>050816234153</v>
      </c>
      <c r="J1071" s="1" t="n">
        <f aca="false">COUNTIF(I:I,I1071)</f>
        <v>1</v>
      </c>
      <c r="K1071" s="1" t="n">
        <v>2</v>
      </c>
      <c r="L1071" s="1" t="s">
        <v>1070</v>
      </c>
      <c r="M1071" s="1" t="s">
        <v>5163</v>
      </c>
      <c r="N1071" s="1" t="n">
        <v>302</v>
      </c>
      <c r="O1071" s="1" t="s">
        <v>5164</v>
      </c>
      <c r="P1071" s="1" t="n">
        <v>8729</v>
      </c>
      <c r="Q1071" s="1" t="s">
        <v>5165</v>
      </c>
      <c r="R1071" s="1" t="s">
        <v>23</v>
      </c>
      <c r="S1071" s="1" t="s">
        <v>23</v>
      </c>
      <c r="T1071" s="1" t="s">
        <v>4218</v>
      </c>
      <c r="U1071" s="1" t="s">
        <v>5166</v>
      </c>
      <c r="V1071" s="1" t="s">
        <v>5167</v>
      </c>
    </row>
    <row r="1072" customFormat="false" ht="13.8" hidden="false" customHeight="false" outlineLevel="0" collapsed="false">
      <c r="A1072" s="1" t="n">
        <v>1071</v>
      </c>
      <c r="B1072" s="2" t="s">
        <v>5168</v>
      </c>
      <c r="C1072" s="1" t="n">
        <v>5</v>
      </c>
      <c r="D1072" s="1" t="n">
        <v>7</v>
      </c>
      <c r="E1072" s="1" t="n">
        <v>37</v>
      </c>
      <c r="F1072" s="1" t="n">
        <v>43</v>
      </c>
      <c r="G1072" s="1" t="n">
        <v>53</v>
      </c>
      <c r="H1072" s="1" t="n">
        <v>54</v>
      </c>
      <c r="I1072" s="1" t="str">
        <f aca="false">RIGHT(("0"&amp;C1072),2)&amp;RIGHT(("0"&amp;D1072),2)&amp;RIGHT(("0"&amp;E1072),2)&amp;RIGHT(("0"&amp;F1072),2)&amp;RIGHT(("0"&amp;G1072),2)&amp;RIGHT(("0"&amp;H1072),2)</f>
        <v>050737435354</v>
      </c>
      <c r="J1072" s="1" t="n">
        <f aca="false">COUNTIF(I:I,I1072)</f>
        <v>1</v>
      </c>
      <c r="K1072" s="1" t="n">
        <v>0</v>
      </c>
      <c r="M1072" s="1" t="s">
        <v>23</v>
      </c>
      <c r="N1072" s="1" t="n">
        <v>56</v>
      </c>
      <c r="O1072" s="1" t="s">
        <v>5169</v>
      </c>
      <c r="P1072" s="1" t="n">
        <v>3846</v>
      </c>
      <c r="Q1072" s="1" t="s">
        <v>5170</v>
      </c>
      <c r="R1072" s="1" t="s">
        <v>5171</v>
      </c>
      <c r="S1072" s="1" t="s">
        <v>23</v>
      </c>
      <c r="T1072" s="1" t="s">
        <v>4409</v>
      </c>
      <c r="U1072" s="1" t="s">
        <v>5172</v>
      </c>
    </row>
    <row r="1073" customFormat="false" ht="13.8" hidden="false" customHeight="false" outlineLevel="0" collapsed="false">
      <c r="A1073" s="1" t="n">
        <v>1072</v>
      </c>
      <c r="B1073" s="2" t="s">
        <v>5173</v>
      </c>
      <c r="C1073" s="1" t="n">
        <v>9</v>
      </c>
      <c r="D1073" s="1" t="n">
        <v>18</v>
      </c>
      <c r="E1073" s="1" t="n">
        <v>19</v>
      </c>
      <c r="F1073" s="1" t="n">
        <v>43</v>
      </c>
      <c r="G1073" s="1" t="n">
        <v>47</v>
      </c>
      <c r="H1073" s="1" t="n">
        <v>54</v>
      </c>
      <c r="I1073" s="1" t="str">
        <f aca="false">RIGHT(("0"&amp;C1073),2)&amp;RIGHT(("0"&amp;D1073),2)&amp;RIGHT(("0"&amp;E1073),2)&amp;RIGHT(("0"&amp;F1073),2)&amp;RIGHT(("0"&amp;G1073),2)&amp;RIGHT(("0"&amp;H1073),2)</f>
        <v>091819434754</v>
      </c>
      <c r="J1073" s="1" t="n">
        <f aca="false">COUNTIF(I:I,I1073)</f>
        <v>1</v>
      </c>
      <c r="K1073" s="1" t="n">
        <v>0</v>
      </c>
      <c r="M1073" s="1" t="s">
        <v>23</v>
      </c>
      <c r="N1073" s="1" t="n">
        <v>47</v>
      </c>
      <c r="O1073" s="1" t="s">
        <v>5174</v>
      </c>
      <c r="P1073" s="1" t="n">
        <v>4915</v>
      </c>
      <c r="Q1073" s="1" t="s">
        <v>5175</v>
      </c>
      <c r="R1073" s="1" t="s">
        <v>5176</v>
      </c>
      <c r="S1073" s="1" t="s">
        <v>23</v>
      </c>
      <c r="T1073" s="1" t="s">
        <v>4232</v>
      </c>
      <c r="U1073" s="1" t="s">
        <v>5177</v>
      </c>
    </row>
    <row r="1074" customFormat="false" ht="13.8" hidden="false" customHeight="false" outlineLevel="0" collapsed="false">
      <c r="A1074" s="1" t="n">
        <v>1073</v>
      </c>
      <c r="B1074" s="2" t="s">
        <v>5178</v>
      </c>
      <c r="C1074" s="1" t="n">
        <v>8</v>
      </c>
      <c r="D1074" s="1" t="n">
        <v>25</v>
      </c>
      <c r="E1074" s="1" t="n">
        <v>32</v>
      </c>
      <c r="F1074" s="1" t="n">
        <v>34</v>
      </c>
      <c r="G1074" s="1" t="n">
        <v>36</v>
      </c>
      <c r="H1074" s="1" t="n">
        <v>44</v>
      </c>
      <c r="I1074" s="1" t="str">
        <f aca="false">RIGHT(("0"&amp;C1074),2)&amp;RIGHT(("0"&amp;D1074),2)&amp;RIGHT(("0"&amp;E1074),2)&amp;RIGHT(("0"&amp;F1074),2)&amp;RIGHT(("0"&amp;G1074),2)&amp;RIGHT(("0"&amp;H1074),2)</f>
        <v>082532343644</v>
      </c>
      <c r="J1074" s="1" t="n">
        <f aca="false">COUNTIF(I:I,I1074)</f>
        <v>1</v>
      </c>
      <c r="K1074" s="1" t="n">
        <v>0</v>
      </c>
      <c r="M1074" s="1" t="s">
        <v>23</v>
      </c>
      <c r="N1074" s="1" t="n">
        <v>66</v>
      </c>
      <c r="O1074" s="1" t="s">
        <v>5179</v>
      </c>
      <c r="P1074" s="1" t="n">
        <v>5305</v>
      </c>
      <c r="Q1074" s="1" t="s">
        <v>5180</v>
      </c>
      <c r="R1074" s="1" t="s">
        <v>5181</v>
      </c>
      <c r="S1074" s="1" t="s">
        <v>23</v>
      </c>
      <c r="T1074" s="1" t="s">
        <v>4190</v>
      </c>
      <c r="U1074" s="1" t="s">
        <v>5182</v>
      </c>
    </row>
    <row r="1075" customFormat="false" ht="13.8" hidden="false" customHeight="false" outlineLevel="0" collapsed="false">
      <c r="A1075" s="1" t="n">
        <v>1074</v>
      </c>
      <c r="B1075" s="2" t="s">
        <v>5183</v>
      </c>
      <c r="C1075" s="1" t="n">
        <v>3</v>
      </c>
      <c r="D1075" s="1" t="n">
        <v>10</v>
      </c>
      <c r="E1075" s="1" t="n">
        <v>23</v>
      </c>
      <c r="F1075" s="1" t="n">
        <v>29</v>
      </c>
      <c r="G1075" s="1" t="n">
        <v>47</v>
      </c>
      <c r="H1075" s="1" t="n">
        <v>50</v>
      </c>
      <c r="I1075" s="1" t="str">
        <f aca="false">RIGHT(("0"&amp;C1075),2)&amp;RIGHT(("0"&amp;D1075),2)&amp;RIGHT(("0"&amp;E1075),2)&amp;RIGHT(("0"&amp;F1075),2)&amp;RIGHT(("0"&amp;G1075),2)&amp;RIGHT(("0"&amp;H1075),2)</f>
        <v>031023294750</v>
      </c>
      <c r="J1075" s="1" t="n">
        <f aca="false">COUNTIF(I:I,I1075)</f>
        <v>1</v>
      </c>
      <c r="K1075" s="1" t="n">
        <v>0</v>
      </c>
      <c r="M1075" s="1" t="s">
        <v>23</v>
      </c>
      <c r="N1075" s="1" t="n">
        <v>111</v>
      </c>
      <c r="O1075" s="1" t="s">
        <v>5184</v>
      </c>
      <c r="P1075" s="1" t="n">
        <v>7099</v>
      </c>
      <c r="Q1075" s="1" t="s">
        <v>5185</v>
      </c>
      <c r="R1075" s="1" t="s">
        <v>5186</v>
      </c>
      <c r="S1075" s="1" t="s">
        <v>23</v>
      </c>
      <c r="T1075" s="1" t="s">
        <v>4273</v>
      </c>
      <c r="U1075" s="1" t="s">
        <v>5187</v>
      </c>
    </row>
    <row r="1076" customFormat="false" ht="13.8" hidden="false" customHeight="false" outlineLevel="0" collapsed="false">
      <c r="A1076" s="1" t="n">
        <v>1075</v>
      </c>
      <c r="B1076" s="2" t="s">
        <v>5188</v>
      </c>
      <c r="C1076" s="1" t="n">
        <v>10</v>
      </c>
      <c r="D1076" s="1" t="n">
        <v>12</v>
      </c>
      <c r="E1076" s="1" t="n">
        <v>16</v>
      </c>
      <c r="F1076" s="1" t="n">
        <v>21</v>
      </c>
      <c r="G1076" s="1" t="n">
        <v>39</v>
      </c>
      <c r="H1076" s="1" t="n">
        <v>53</v>
      </c>
      <c r="I1076" s="1" t="str">
        <f aca="false">RIGHT(("0"&amp;C1076),2)&amp;RIGHT(("0"&amp;D1076),2)&amp;RIGHT(("0"&amp;E1076),2)&amp;RIGHT(("0"&amp;F1076),2)&amp;RIGHT(("0"&amp;G1076),2)&amp;RIGHT(("0"&amp;H1076),2)</f>
        <v>101216213953</v>
      </c>
      <c r="J1076" s="1" t="n">
        <f aca="false">COUNTIF(I:I,I1076)</f>
        <v>1</v>
      </c>
      <c r="K1076" s="1" t="n">
        <v>0</v>
      </c>
      <c r="M1076" s="1" t="s">
        <v>23</v>
      </c>
      <c r="N1076" s="1" t="n">
        <v>119</v>
      </c>
      <c r="O1076" s="1" t="s">
        <v>5189</v>
      </c>
      <c r="P1076" s="1" t="n">
        <v>7179</v>
      </c>
      <c r="Q1076" s="1" t="s">
        <v>5190</v>
      </c>
      <c r="R1076" s="1" t="s">
        <v>5191</v>
      </c>
      <c r="S1076" s="1" t="s">
        <v>23</v>
      </c>
      <c r="T1076" s="1" t="s">
        <v>4718</v>
      </c>
      <c r="U1076" s="1" t="s">
        <v>5192</v>
      </c>
    </row>
    <row r="1077" customFormat="false" ht="13.8" hidden="false" customHeight="false" outlineLevel="0" collapsed="false">
      <c r="A1077" s="1" t="n">
        <v>1076</v>
      </c>
      <c r="B1077" s="2" t="s">
        <v>5193</v>
      </c>
      <c r="C1077" s="1" t="n">
        <v>4</v>
      </c>
      <c r="D1077" s="1" t="n">
        <v>10</v>
      </c>
      <c r="E1077" s="1" t="n">
        <v>19</v>
      </c>
      <c r="F1077" s="1" t="n">
        <v>32</v>
      </c>
      <c r="G1077" s="1" t="n">
        <v>33</v>
      </c>
      <c r="H1077" s="1" t="n">
        <v>42</v>
      </c>
      <c r="I1077" s="1" t="str">
        <f aca="false">RIGHT(("0"&amp;C1077),2)&amp;RIGHT(("0"&amp;D1077),2)&amp;RIGHT(("0"&amp;E1077),2)&amp;RIGHT(("0"&amp;F1077),2)&amp;RIGHT(("0"&amp;G1077),2)&amp;RIGHT(("0"&amp;H1077),2)</f>
        <v>041019323342</v>
      </c>
      <c r="J1077" s="1" t="n">
        <f aca="false">COUNTIF(I:I,I1077)</f>
        <v>1</v>
      </c>
      <c r="K1077" s="1" t="n">
        <v>0</v>
      </c>
      <c r="M1077" s="1" t="s">
        <v>23</v>
      </c>
      <c r="N1077" s="1" t="n">
        <v>102</v>
      </c>
      <c r="O1077" s="1" t="s">
        <v>5194</v>
      </c>
      <c r="P1077" s="1" t="n">
        <v>8656</v>
      </c>
      <c r="Q1077" s="1" t="s">
        <v>5195</v>
      </c>
      <c r="R1077" s="1" t="s">
        <v>5196</v>
      </c>
      <c r="S1077" s="1" t="s">
        <v>23</v>
      </c>
      <c r="T1077" s="1" t="s">
        <v>3892</v>
      </c>
      <c r="U1077" s="1" t="s">
        <v>5197</v>
      </c>
    </row>
    <row r="1078" customFormat="false" ht="13.8" hidden="false" customHeight="false" outlineLevel="0" collapsed="false">
      <c r="A1078" s="1" t="n">
        <v>1077</v>
      </c>
      <c r="B1078" s="2" t="s">
        <v>5198</v>
      </c>
      <c r="C1078" s="1" t="n">
        <v>5</v>
      </c>
      <c r="D1078" s="1" t="n">
        <v>6</v>
      </c>
      <c r="E1078" s="1" t="n">
        <v>9</v>
      </c>
      <c r="F1078" s="1" t="n">
        <v>11</v>
      </c>
      <c r="G1078" s="1" t="n">
        <v>18</v>
      </c>
      <c r="H1078" s="1" t="n">
        <v>37</v>
      </c>
      <c r="I1078" s="1" t="str">
        <f aca="false">RIGHT(("0"&amp;C1078),2)&amp;RIGHT(("0"&amp;D1078),2)&amp;RIGHT(("0"&amp;E1078),2)&amp;RIGHT(("0"&amp;F1078),2)&amp;RIGHT(("0"&amp;G1078),2)&amp;RIGHT(("0"&amp;H1078),2)</f>
        <v>050609111837</v>
      </c>
      <c r="J1078" s="1" t="n">
        <f aca="false">COUNTIF(I:I,I1078)</f>
        <v>1</v>
      </c>
      <c r="K1078" s="1" t="n">
        <v>2</v>
      </c>
      <c r="L1078" s="1" t="s">
        <v>5199</v>
      </c>
      <c r="M1078" s="1" t="s">
        <v>5200</v>
      </c>
      <c r="N1078" s="1" t="n">
        <v>300</v>
      </c>
      <c r="O1078" s="1" t="s">
        <v>5201</v>
      </c>
      <c r="P1078" s="1" t="n">
        <v>19219</v>
      </c>
      <c r="Q1078" s="1" t="s">
        <v>5202</v>
      </c>
      <c r="R1078" s="1" t="s">
        <v>23</v>
      </c>
      <c r="S1078" s="1" t="s">
        <v>5203</v>
      </c>
      <c r="T1078" s="1" t="s">
        <v>4732</v>
      </c>
      <c r="U1078" s="1" t="s">
        <v>5204</v>
      </c>
      <c r="V1078" s="1" t="s">
        <v>5205</v>
      </c>
    </row>
    <row r="1079" customFormat="false" ht="13.8" hidden="false" customHeight="false" outlineLevel="0" collapsed="false">
      <c r="A1079" s="1" t="n">
        <v>1078</v>
      </c>
      <c r="B1079" s="2" t="s">
        <v>5206</v>
      </c>
      <c r="C1079" s="1" t="n">
        <v>3</v>
      </c>
      <c r="D1079" s="1" t="n">
        <v>6</v>
      </c>
      <c r="E1079" s="1" t="n">
        <v>34</v>
      </c>
      <c r="F1079" s="1" t="n">
        <v>41</v>
      </c>
      <c r="G1079" s="1" t="n">
        <v>43</v>
      </c>
      <c r="H1079" s="1" t="n">
        <v>45</v>
      </c>
      <c r="I1079" s="1" t="str">
        <f aca="false">RIGHT(("0"&amp;C1079),2)&amp;RIGHT(("0"&amp;D1079),2)&amp;RIGHT(("0"&amp;E1079),2)&amp;RIGHT(("0"&amp;F1079),2)&amp;RIGHT(("0"&amp;G1079),2)&amp;RIGHT(("0"&amp;H1079),2)</f>
        <v>030634414345</v>
      </c>
      <c r="J1079" s="1" t="n">
        <f aca="false">COUNTIF(I:I,I1079)</f>
        <v>1</v>
      </c>
      <c r="K1079" s="1" t="n">
        <v>0</v>
      </c>
      <c r="M1079" s="1" t="s">
        <v>23</v>
      </c>
      <c r="N1079" s="1" t="n">
        <v>47</v>
      </c>
      <c r="O1079" s="1" t="s">
        <v>5207</v>
      </c>
      <c r="P1079" s="1" t="n">
        <v>3645</v>
      </c>
      <c r="Q1079" s="1" t="s">
        <v>5208</v>
      </c>
      <c r="R1079" s="1" t="s">
        <v>5209</v>
      </c>
      <c r="S1079" s="1" t="s">
        <v>5210</v>
      </c>
      <c r="T1079" s="1" t="s">
        <v>4409</v>
      </c>
      <c r="U1079" s="1" t="s">
        <v>5211</v>
      </c>
    </row>
    <row r="1080" customFormat="false" ht="13.8" hidden="false" customHeight="false" outlineLevel="0" collapsed="false">
      <c r="A1080" s="1" t="n">
        <v>1079</v>
      </c>
      <c r="B1080" s="2" t="s">
        <v>5212</v>
      </c>
      <c r="C1080" s="1" t="n">
        <v>5</v>
      </c>
      <c r="D1080" s="1" t="n">
        <v>12</v>
      </c>
      <c r="E1080" s="1" t="n">
        <v>24</v>
      </c>
      <c r="F1080" s="1" t="n">
        <v>28</v>
      </c>
      <c r="G1080" s="1" t="n">
        <v>36</v>
      </c>
      <c r="H1080" s="1" t="n">
        <v>37</v>
      </c>
      <c r="I1080" s="1" t="str">
        <f aca="false">RIGHT(("0"&amp;C1080),2)&amp;RIGHT(("0"&amp;D1080),2)&amp;RIGHT(("0"&amp;E1080),2)&amp;RIGHT(("0"&amp;F1080),2)&amp;RIGHT(("0"&amp;G1080),2)&amp;RIGHT(("0"&amp;H1080),2)</f>
        <v>051224283637</v>
      </c>
      <c r="J1080" s="1" t="n">
        <f aca="false">COUNTIF(I:I,I1080)</f>
        <v>1</v>
      </c>
      <c r="K1080" s="1" t="n">
        <v>1</v>
      </c>
      <c r="L1080" s="1" t="s">
        <v>5213</v>
      </c>
      <c r="M1080" s="1" t="s">
        <v>5214</v>
      </c>
      <c r="N1080" s="1" t="n">
        <v>150</v>
      </c>
      <c r="O1080" s="1" t="s">
        <v>5215</v>
      </c>
      <c r="P1080" s="1" t="n">
        <v>8339</v>
      </c>
      <c r="Q1080" s="1" t="s">
        <v>5216</v>
      </c>
      <c r="R1080" s="1" t="s">
        <v>23</v>
      </c>
      <c r="S1080" s="1" t="s">
        <v>5217</v>
      </c>
      <c r="T1080" s="1" t="s">
        <v>3727</v>
      </c>
      <c r="U1080" s="1" t="s">
        <v>5218</v>
      </c>
    </row>
    <row r="1081" customFormat="false" ht="13.8" hidden="false" customHeight="false" outlineLevel="0" collapsed="false">
      <c r="A1081" s="1" t="n">
        <v>1080</v>
      </c>
      <c r="B1081" s="2" t="s">
        <v>5219</v>
      </c>
      <c r="C1081" s="1" t="n">
        <v>11</v>
      </c>
      <c r="D1081" s="1" t="n">
        <v>18</v>
      </c>
      <c r="E1081" s="1" t="n">
        <v>20</v>
      </c>
      <c r="F1081" s="1" t="n">
        <v>34</v>
      </c>
      <c r="G1081" s="1" t="n">
        <v>41</v>
      </c>
      <c r="H1081" s="1" t="n">
        <v>56</v>
      </c>
      <c r="I1081" s="1" t="str">
        <f aca="false">RIGHT(("0"&amp;C1081),2)&amp;RIGHT(("0"&amp;D1081),2)&amp;RIGHT(("0"&amp;E1081),2)&amp;RIGHT(("0"&amp;F1081),2)&amp;RIGHT(("0"&amp;G1081),2)&amp;RIGHT(("0"&amp;H1081),2)</f>
        <v>111820344156</v>
      </c>
      <c r="J1081" s="1" t="n">
        <f aca="false">COUNTIF(I:I,I1081)</f>
        <v>1</v>
      </c>
      <c r="K1081" s="1" t="n">
        <v>0</v>
      </c>
      <c r="M1081" s="1" t="s">
        <v>23</v>
      </c>
      <c r="N1081" s="1" t="n">
        <v>59</v>
      </c>
      <c r="O1081" s="1" t="s">
        <v>5220</v>
      </c>
      <c r="P1081" s="1" t="n">
        <v>4152</v>
      </c>
      <c r="Q1081" s="1" t="s">
        <v>5221</v>
      </c>
      <c r="R1081" s="1" t="s">
        <v>5222</v>
      </c>
      <c r="S1081" s="1" t="s">
        <v>5223</v>
      </c>
      <c r="T1081" s="1" t="s">
        <v>3928</v>
      </c>
      <c r="U1081" s="1" t="s">
        <v>5224</v>
      </c>
    </row>
    <row r="1082" customFormat="false" ht="13.8" hidden="false" customHeight="false" outlineLevel="0" collapsed="false">
      <c r="A1082" s="1" t="n">
        <v>1081</v>
      </c>
      <c r="B1082" s="2" t="s">
        <v>5225</v>
      </c>
      <c r="C1082" s="1" t="n">
        <v>9</v>
      </c>
      <c r="D1082" s="1" t="n">
        <v>16</v>
      </c>
      <c r="E1082" s="1" t="n">
        <v>24</v>
      </c>
      <c r="F1082" s="1" t="n">
        <v>29</v>
      </c>
      <c r="G1082" s="1" t="n">
        <v>52</v>
      </c>
      <c r="H1082" s="1" t="n">
        <v>56</v>
      </c>
      <c r="I1082" s="1" t="str">
        <f aca="false">RIGHT(("0"&amp;C1082),2)&amp;RIGHT(("0"&amp;D1082),2)&amp;RIGHT(("0"&amp;E1082),2)&amp;RIGHT(("0"&amp;F1082),2)&amp;RIGHT(("0"&amp;G1082),2)&amp;RIGHT(("0"&amp;H1082),2)</f>
        <v>091624295256</v>
      </c>
      <c r="J1082" s="1" t="n">
        <f aca="false">COUNTIF(I:I,I1082)</f>
        <v>1</v>
      </c>
      <c r="K1082" s="1" t="n">
        <v>0</v>
      </c>
      <c r="M1082" s="1" t="s">
        <v>23</v>
      </c>
      <c r="N1082" s="1" t="n">
        <v>109</v>
      </c>
      <c r="O1082" s="1" t="s">
        <v>5226</v>
      </c>
      <c r="P1082" s="1" t="n">
        <v>7213</v>
      </c>
      <c r="Q1082" s="1" t="s">
        <v>5227</v>
      </c>
      <c r="R1082" s="1" t="s">
        <v>5228</v>
      </c>
      <c r="S1082" s="1" t="s">
        <v>5229</v>
      </c>
      <c r="T1082" s="1" t="s">
        <v>4273</v>
      </c>
      <c r="U1082" s="1" t="s">
        <v>5230</v>
      </c>
    </row>
    <row r="1083" customFormat="false" ht="13.8" hidden="false" customHeight="false" outlineLevel="0" collapsed="false">
      <c r="A1083" s="1" t="n">
        <v>1082</v>
      </c>
      <c r="B1083" s="2" t="s">
        <v>5231</v>
      </c>
      <c r="C1083" s="1" t="n">
        <v>4</v>
      </c>
      <c r="D1083" s="1" t="n">
        <v>17</v>
      </c>
      <c r="E1083" s="1" t="n">
        <v>38</v>
      </c>
      <c r="F1083" s="1" t="n">
        <v>40</v>
      </c>
      <c r="G1083" s="1" t="n">
        <v>50</v>
      </c>
      <c r="H1083" s="1" t="n">
        <v>55</v>
      </c>
      <c r="I1083" s="1" t="str">
        <f aca="false">RIGHT(("0"&amp;C1083),2)&amp;RIGHT(("0"&amp;D1083),2)&amp;RIGHT(("0"&amp;E1083),2)&amp;RIGHT(("0"&amp;F1083),2)&amp;RIGHT(("0"&amp;G1083),2)&amp;RIGHT(("0"&amp;H1083),2)</f>
        <v>041738405055</v>
      </c>
      <c r="J1083" s="1" t="n">
        <f aca="false">COUNTIF(I:I,I1083)</f>
        <v>1</v>
      </c>
      <c r="K1083" s="1" t="n">
        <v>0</v>
      </c>
      <c r="M1083" s="1" t="s">
        <v>23</v>
      </c>
      <c r="N1083" s="1" t="n">
        <v>63</v>
      </c>
      <c r="O1083" s="1" t="s">
        <v>5232</v>
      </c>
      <c r="P1083" s="1" t="n">
        <v>5460</v>
      </c>
      <c r="Q1083" s="1" t="s">
        <v>5233</v>
      </c>
      <c r="R1083" s="1" t="s">
        <v>5234</v>
      </c>
      <c r="S1083" s="1" t="s">
        <v>5235</v>
      </c>
      <c r="T1083" s="1" t="s">
        <v>4696</v>
      </c>
      <c r="U1083" s="1" t="s">
        <v>5236</v>
      </c>
    </row>
    <row r="1084" customFormat="false" ht="13.8" hidden="false" customHeight="false" outlineLevel="0" collapsed="false">
      <c r="A1084" s="1" t="n">
        <v>1083</v>
      </c>
      <c r="B1084" s="2" t="s">
        <v>5237</v>
      </c>
      <c r="C1084" s="1" t="n">
        <v>10</v>
      </c>
      <c r="D1084" s="1" t="n">
        <v>20</v>
      </c>
      <c r="E1084" s="1" t="n">
        <v>23</v>
      </c>
      <c r="F1084" s="1" t="n">
        <v>28</v>
      </c>
      <c r="G1084" s="1" t="n">
        <v>42</v>
      </c>
      <c r="H1084" s="1" t="n">
        <v>43</v>
      </c>
      <c r="I1084" s="1" t="str">
        <f aca="false">RIGHT(("0"&amp;C1084),2)&amp;RIGHT(("0"&amp;D1084),2)&amp;RIGHT(("0"&amp;E1084),2)&amp;RIGHT(("0"&amp;F1084),2)&amp;RIGHT(("0"&amp;G1084),2)&amp;RIGHT(("0"&amp;H1084),2)</f>
        <v>102023284243</v>
      </c>
      <c r="J1084" s="1" t="n">
        <f aca="false">COUNTIF(I:I,I1084)</f>
        <v>1</v>
      </c>
      <c r="K1084" s="1" t="n">
        <v>0</v>
      </c>
      <c r="M1084" s="1" t="s">
        <v>23</v>
      </c>
      <c r="N1084" s="1" t="n">
        <v>70</v>
      </c>
      <c r="O1084" s="1" t="s">
        <v>5238</v>
      </c>
      <c r="P1084" s="1" t="n">
        <v>6647</v>
      </c>
      <c r="Q1084" s="1" t="s">
        <v>5239</v>
      </c>
      <c r="R1084" s="1" t="s">
        <v>5240</v>
      </c>
      <c r="S1084" s="1" t="s">
        <v>5241</v>
      </c>
      <c r="T1084" s="1" t="s">
        <v>5242</v>
      </c>
      <c r="U1084" s="1" t="s">
        <v>5243</v>
      </c>
    </row>
    <row r="1085" customFormat="false" ht="13.8" hidden="false" customHeight="false" outlineLevel="0" collapsed="false">
      <c r="A1085" s="1" t="n">
        <v>1084</v>
      </c>
      <c r="B1085" s="2" t="s">
        <v>5244</v>
      </c>
      <c r="C1085" s="1" t="n">
        <v>5</v>
      </c>
      <c r="D1085" s="1" t="n">
        <v>20</v>
      </c>
      <c r="E1085" s="1" t="n">
        <v>29</v>
      </c>
      <c r="F1085" s="1" t="n">
        <v>33</v>
      </c>
      <c r="G1085" s="1" t="n">
        <v>40</v>
      </c>
      <c r="H1085" s="1" t="n">
        <v>59</v>
      </c>
      <c r="I1085" s="1" t="str">
        <f aca="false">RIGHT(("0"&amp;C1085),2)&amp;RIGHT(("0"&amp;D1085),2)&amp;RIGHT(("0"&amp;E1085),2)&amp;RIGHT(("0"&amp;F1085),2)&amp;RIGHT(("0"&amp;G1085),2)&amp;RIGHT(("0"&amp;H1085),2)</f>
        <v>052029334059</v>
      </c>
      <c r="J1085" s="1" t="n">
        <f aca="false">COUNTIF(I:I,I1085)</f>
        <v>1</v>
      </c>
      <c r="K1085" s="1" t="n">
        <v>0</v>
      </c>
      <c r="M1085" s="1" t="s">
        <v>23</v>
      </c>
      <c r="N1085" s="1" t="n">
        <v>108</v>
      </c>
      <c r="O1085" s="1" t="s">
        <v>5245</v>
      </c>
      <c r="P1085" s="1" t="n">
        <v>7731</v>
      </c>
      <c r="Q1085" s="1" t="s">
        <v>5246</v>
      </c>
      <c r="R1085" s="1" t="s">
        <v>5247</v>
      </c>
      <c r="S1085" s="1" t="s">
        <v>5248</v>
      </c>
      <c r="T1085" s="1" t="s">
        <v>4314</v>
      </c>
      <c r="U1085" s="1" t="s">
        <v>5249</v>
      </c>
    </row>
    <row r="1086" customFormat="false" ht="13.8" hidden="false" customHeight="false" outlineLevel="0" collapsed="false">
      <c r="A1086" s="1" t="n">
        <v>1085</v>
      </c>
      <c r="B1086" s="2" t="s">
        <v>5250</v>
      </c>
      <c r="C1086" s="1" t="n">
        <v>12</v>
      </c>
      <c r="D1086" s="1" t="n">
        <v>21</v>
      </c>
      <c r="E1086" s="1" t="n">
        <v>39</v>
      </c>
      <c r="F1086" s="1" t="n">
        <v>40</v>
      </c>
      <c r="G1086" s="1" t="n">
        <v>50</v>
      </c>
      <c r="H1086" s="1" t="n">
        <v>55</v>
      </c>
      <c r="I1086" s="1" t="str">
        <f aca="false">RIGHT(("0"&amp;C1086),2)&amp;RIGHT(("0"&amp;D1086),2)&amp;RIGHT(("0"&amp;E1086),2)&amp;RIGHT(("0"&amp;F1086),2)&amp;RIGHT(("0"&amp;G1086),2)&amp;RIGHT(("0"&amp;H1086),2)</f>
        <v>122139405055</v>
      </c>
      <c r="J1086" s="1" t="n">
        <f aca="false">COUNTIF(I:I,I1086)</f>
        <v>1</v>
      </c>
      <c r="K1086" s="1" t="n">
        <v>0</v>
      </c>
      <c r="M1086" s="1" t="s">
        <v>23</v>
      </c>
      <c r="N1086" s="1" t="n">
        <v>81</v>
      </c>
      <c r="O1086" s="1" t="s">
        <v>5251</v>
      </c>
      <c r="P1086" s="1" t="n">
        <v>7674</v>
      </c>
      <c r="Q1086" s="1" t="s">
        <v>5252</v>
      </c>
      <c r="R1086" s="1" t="s">
        <v>5253</v>
      </c>
      <c r="S1086" s="1" t="s">
        <v>5254</v>
      </c>
      <c r="T1086" s="1" t="s">
        <v>5255</v>
      </c>
      <c r="U1086" s="1" t="s">
        <v>5256</v>
      </c>
    </row>
    <row r="1087" customFormat="false" ht="13.8" hidden="false" customHeight="false" outlineLevel="0" collapsed="false">
      <c r="A1087" s="1" t="n">
        <v>1086</v>
      </c>
      <c r="B1087" s="2" t="s">
        <v>5257</v>
      </c>
      <c r="C1087" s="1" t="n">
        <v>2</v>
      </c>
      <c r="D1087" s="1" t="n">
        <v>4</v>
      </c>
      <c r="E1087" s="1" t="n">
        <v>6</v>
      </c>
      <c r="F1087" s="1" t="n">
        <v>10</v>
      </c>
      <c r="G1087" s="1" t="n">
        <v>23</v>
      </c>
      <c r="H1087" s="1" t="n">
        <v>45</v>
      </c>
      <c r="I1087" s="1" t="str">
        <f aca="false">RIGHT(("0"&amp;C1087),2)&amp;RIGHT(("0"&amp;D1087),2)&amp;RIGHT(("0"&amp;E1087),2)&amp;RIGHT(("0"&amp;F1087),2)&amp;RIGHT(("0"&amp;G1087),2)&amp;RIGHT(("0"&amp;H1087),2)</f>
        <v>020406102345</v>
      </c>
      <c r="J1087" s="1" t="n">
        <f aca="false">COUNTIF(I:I,I1087)</f>
        <v>1</v>
      </c>
      <c r="K1087" s="1" t="n">
        <v>4</v>
      </c>
      <c r="L1087" s="1" t="s">
        <v>5258</v>
      </c>
      <c r="M1087" s="1" t="s">
        <v>5259</v>
      </c>
      <c r="N1087" s="1" t="n">
        <v>954</v>
      </c>
      <c r="O1087" s="1" t="s">
        <v>5260</v>
      </c>
      <c r="P1087" s="1" t="n">
        <v>52159</v>
      </c>
      <c r="Q1087" s="1" t="s">
        <v>5261</v>
      </c>
      <c r="R1087" s="1" t="s">
        <v>23</v>
      </c>
      <c r="S1087" s="1" t="s">
        <v>5262</v>
      </c>
      <c r="T1087" s="1" t="s">
        <v>4732</v>
      </c>
      <c r="U1087" s="1" t="s">
        <v>5263</v>
      </c>
    </row>
    <row r="1088" customFormat="false" ht="13.8" hidden="false" customHeight="false" outlineLevel="0" collapsed="false">
      <c r="A1088" s="1" t="n">
        <v>1087</v>
      </c>
      <c r="B1088" s="2" t="s">
        <v>5264</v>
      </c>
      <c r="C1088" s="1" t="n">
        <v>3</v>
      </c>
      <c r="D1088" s="1" t="n">
        <v>20</v>
      </c>
      <c r="E1088" s="1" t="n">
        <v>28</v>
      </c>
      <c r="F1088" s="1" t="n">
        <v>32</v>
      </c>
      <c r="G1088" s="1" t="n">
        <v>36</v>
      </c>
      <c r="H1088" s="1" t="n">
        <v>46</v>
      </c>
      <c r="I1088" s="1" t="str">
        <f aca="false">RIGHT(("0"&amp;C1088),2)&amp;RIGHT(("0"&amp;D1088),2)&amp;RIGHT(("0"&amp;E1088),2)&amp;RIGHT(("0"&amp;F1088),2)&amp;RIGHT(("0"&amp;G1088),2)&amp;RIGHT(("0"&amp;H1088),2)</f>
        <v>032028323646</v>
      </c>
      <c r="J1088" s="1" t="n">
        <f aca="false">COUNTIF(I:I,I1088)</f>
        <v>1</v>
      </c>
      <c r="K1088" s="1" t="n">
        <v>0</v>
      </c>
      <c r="M1088" s="1" t="s">
        <v>23</v>
      </c>
      <c r="N1088" s="1" t="n">
        <v>58</v>
      </c>
      <c r="O1088" s="1" t="s">
        <v>5265</v>
      </c>
      <c r="P1088" s="1" t="n">
        <v>4426</v>
      </c>
      <c r="Q1088" s="1" t="s">
        <v>5266</v>
      </c>
      <c r="R1088" s="1" t="s">
        <v>5267</v>
      </c>
      <c r="S1088" s="1" t="s">
        <v>5268</v>
      </c>
      <c r="T1088" s="1" t="s">
        <v>4409</v>
      </c>
      <c r="U1088" s="1" t="s">
        <v>5269</v>
      </c>
    </row>
    <row r="1089" customFormat="false" ht="13.8" hidden="false" customHeight="false" outlineLevel="0" collapsed="false">
      <c r="A1089" s="1" t="n">
        <v>1088</v>
      </c>
      <c r="B1089" s="2" t="s">
        <v>5270</v>
      </c>
      <c r="C1089" s="1" t="n">
        <v>6</v>
      </c>
      <c r="D1089" s="1" t="n">
        <v>24</v>
      </c>
      <c r="E1089" s="1" t="n">
        <v>31</v>
      </c>
      <c r="F1089" s="1" t="n">
        <v>35</v>
      </c>
      <c r="G1089" s="1" t="n">
        <v>42</v>
      </c>
      <c r="H1089" s="1" t="n">
        <v>57</v>
      </c>
      <c r="I1089" s="1" t="str">
        <f aca="false">RIGHT(("0"&amp;C1089),2)&amp;RIGHT(("0"&amp;D1089),2)&amp;RIGHT(("0"&amp;E1089),2)&amp;RIGHT(("0"&amp;F1089),2)&amp;RIGHT(("0"&amp;G1089),2)&amp;RIGHT(("0"&amp;H1089),2)</f>
        <v>062431354257</v>
      </c>
      <c r="J1089" s="1" t="n">
        <f aca="false">COUNTIF(I:I,I1089)</f>
        <v>1</v>
      </c>
      <c r="K1089" s="1" t="n">
        <v>0</v>
      </c>
      <c r="M1089" s="1" t="s">
        <v>23</v>
      </c>
      <c r="N1089" s="1" t="n">
        <v>78</v>
      </c>
      <c r="O1089" s="1" t="s">
        <v>5271</v>
      </c>
      <c r="P1089" s="1" t="n">
        <v>5886</v>
      </c>
      <c r="Q1089" s="1" t="s">
        <v>5272</v>
      </c>
      <c r="R1089" s="1" t="s">
        <v>5273</v>
      </c>
      <c r="S1089" s="1" t="s">
        <v>5274</v>
      </c>
      <c r="T1089" s="1" t="s">
        <v>4347</v>
      </c>
      <c r="U1089" s="1" t="s">
        <v>5275</v>
      </c>
    </row>
    <row r="1090" customFormat="false" ht="13.8" hidden="false" customHeight="false" outlineLevel="0" collapsed="false">
      <c r="A1090" s="1" t="n">
        <v>1089</v>
      </c>
      <c r="B1090" s="2" t="s">
        <v>5276</v>
      </c>
      <c r="C1090" s="1" t="n">
        <v>2</v>
      </c>
      <c r="D1090" s="1" t="n">
        <v>18</v>
      </c>
      <c r="E1090" s="1" t="n">
        <v>20</v>
      </c>
      <c r="F1090" s="1" t="n">
        <v>32</v>
      </c>
      <c r="G1090" s="1" t="n">
        <v>37</v>
      </c>
      <c r="H1090" s="1" t="n">
        <v>48</v>
      </c>
      <c r="I1090" s="1" t="str">
        <f aca="false">RIGHT(("0"&amp;C1090),2)&amp;RIGHT(("0"&amp;D1090),2)&amp;RIGHT(("0"&amp;E1090),2)&amp;RIGHT(("0"&amp;F1090),2)&amp;RIGHT(("0"&amp;G1090),2)&amp;RIGHT(("0"&amp;H1090),2)</f>
        <v>021820323748</v>
      </c>
      <c r="J1090" s="1" t="n">
        <f aca="false">COUNTIF(I:I,I1090)</f>
        <v>1</v>
      </c>
      <c r="K1090" s="1" t="n">
        <v>0</v>
      </c>
      <c r="M1090" s="1" t="s">
        <v>23</v>
      </c>
      <c r="N1090" s="1" t="n">
        <v>93</v>
      </c>
      <c r="O1090" s="1" t="s">
        <v>5277</v>
      </c>
      <c r="P1090" s="1" t="n">
        <v>6101</v>
      </c>
      <c r="Q1090" s="1" t="s">
        <v>5278</v>
      </c>
      <c r="R1090" s="1" t="s">
        <v>5279</v>
      </c>
      <c r="S1090" s="1" t="s">
        <v>5280</v>
      </c>
      <c r="T1090" s="1" t="s">
        <v>5281</v>
      </c>
      <c r="U1090" s="1" t="s">
        <v>5282</v>
      </c>
    </row>
    <row r="1091" customFormat="false" ht="13.8" hidden="false" customHeight="false" outlineLevel="0" collapsed="false">
      <c r="A1091" s="1" t="n">
        <v>1090</v>
      </c>
      <c r="B1091" s="2" t="s">
        <v>5283</v>
      </c>
      <c r="C1091" s="1" t="n">
        <v>9</v>
      </c>
      <c r="D1091" s="1" t="n">
        <v>20</v>
      </c>
      <c r="E1091" s="1" t="n">
        <v>24</v>
      </c>
      <c r="F1091" s="1" t="n">
        <v>36</v>
      </c>
      <c r="G1091" s="1" t="n">
        <v>40</v>
      </c>
      <c r="H1091" s="1" t="n">
        <v>42</v>
      </c>
      <c r="I1091" s="1" t="str">
        <f aca="false">RIGHT(("0"&amp;C1091),2)&amp;RIGHT(("0"&amp;D1091),2)&amp;RIGHT(("0"&amp;E1091),2)&amp;RIGHT(("0"&amp;F1091),2)&amp;RIGHT(("0"&amp;G1091),2)&amp;RIGHT(("0"&amp;H1091),2)</f>
        <v>092024364042</v>
      </c>
      <c r="J1091" s="1" t="n">
        <f aca="false">COUNTIF(I:I,I1091)</f>
        <v>1</v>
      </c>
      <c r="K1091" s="1" t="n">
        <v>0</v>
      </c>
      <c r="M1091" s="1" t="s">
        <v>23</v>
      </c>
      <c r="N1091" s="1" t="n">
        <v>175</v>
      </c>
      <c r="O1091" s="1" t="s">
        <v>5284</v>
      </c>
      <c r="P1091" s="1" t="n">
        <v>10325</v>
      </c>
      <c r="Q1091" s="1" t="s">
        <v>5285</v>
      </c>
      <c r="R1091" s="1" t="s">
        <v>5286</v>
      </c>
      <c r="S1091" s="1" t="s">
        <v>5287</v>
      </c>
      <c r="T1091" s="1" t="s">
        <v>4935</v>
      </c>
      <c r="U1091" s="1" t="s">
        <v>5288</v>
      </c>
    </row>
    <row r="1092" customFormat="false" ht="13.8" hidden="false" customHeight="false" outlineLevel="0" collapsed="false">
      <c r="A1092" s="1" t="n">
        <v>1091</v>
      </c>
      <c r="B1092" s="2" t="s">
        <v>5289</v>
      </c>
      <c r="C1092" s="1" t="n">
        <v>17</v>
      </c>
      <c r="D1092" s="1" t="n">
        <v>23</v>
      </c>
      <c r="E1092" s="1" t="n">
        <v>24</v>
      </c>
      <c r="F1092" s="1" t="n">
        <v>27</v>
      </c>
      <c r="G1092" s="1" t="n">
        <v>49</v>
      </c>
      <c r="H1092" s="1" t="n">
        <v>56</v>
      </c>
      <c r="I1092" s="1" t="str">
        <f aca="false">RIGHT(("0"&amp;C1092),2)&amp;RIGHT(("0"&amp;D1092),2)&amp;RIGHT(("0"&amp;E1092),2)&amp;RIGHT(("0"&amp;F1092),2)&amp;RIGHT(("0"&amp;G1092),2)&amp;RIGHT(("0"&amp;H1092),2)</f>
        <v>172324274956</v>
      </c>
      <c r="J1092" s="1" t="n">
        <f aca="false">COUNTIF(I:I,I1092)</f>
        <v>1</v>
      </c>
      <c r="K1092" s="1" t="n">
        <v>0</v>
      </c>
      <c r="M1092" s="1" t="s">
        <v>23</v>
      </c>
      <c r="N1092" s="1" t="n">
        <v>146</v>
      </c>
      <c r="O1092" s="1" t="s">
        <v>5290</v>
      </c>
      <c r="P1092" s="1" t="n">
        <v>12471</v>
      </c>
      <c r="Q1092" s="1" t="s">
        <v>5291</v>
      </c>
      <c r="R1092" s="1" t="s">
        <v>5292</v>
      </c>
      <c r="S1092" s="1" t="s">
        <v>5293</v>
      </c>
      <c r="T1092" s="1" t="s">
        <v>5294</v>
      </c>
      <c r="U1092" s="1" t="s">
        <v>5295</v>
      </c>
    </row>
    <row r="1093" customFormat="false" ht="13.8" hidden="false" customHeight="false" outlineLevel="0" collapsed="false">
      <c r="A1093" s="1" t="n">
        <v>1092</v>
      </c>
      <c r="B1093" s="2" t="s">
        <v>5296</v>
      </c>
      <c r="C1093" s="1" t="n">
        <v>1</v>
      </c>
      <c r="D1093" s="1" t="n">
        <v>9</v>
      </c>
      <c r="E1093" s="1" t="n">
        <v>30</v>
      </c>
      <c r="F1093" s="1" t="n">
        <v>33</v>
      </c>
      <c r="G1093" s="1" t="n">
        <v>34</v>
      </c>
      <c r="H1093" s="1" t="n">
        <v>40</v>
      </c>
      <c r="I1093" s="1" t="str">
        <f aca="false">RIGHT(("0"&amp;C1093),2)&amp;RIGHT(("0"&amp;D1093),2)&amp;RIGHT(("0"&amp;E1093),2)&amp;RIGHT(("0"&amp;F1093),2)&amp;RIGHT(("0"&amp;G1093),2)&amp;RIGHT(("0"&amp;H1093),2)</f>
        <v>010930333440</v>
      </c>
      <c r="J1093" s="1" t="n">
        <f aca="false">COUNTIF(I:I,I1093)</f>
        <v>1</v>
      </c>
      <c r="K1093" s="1" t="n">
        <v>0</v>
      </c>
      <c r="M1093" s="1" t="s">
        <v>23</v>
      </c>
      <c r="N1093" s="1" t="n">
        <v>130</v>
      </c>
      <c r="O1093" s="1" t="s">
        <v>5297</v>
      </c>
      <c r="P1093" s="1" t="n">
        <v>11224</v>
      </c>
      <c r="Q1093" s="1" t="s">
        <v>5298</v>
      </c>
      <c r="R1093" s="1" t="s">
        <v>5299</v>
      </c>
      <c r="S1093" s="1" t="s">
        <v>5300</v>
      </c>
      <c r="T1093" s="1" t="s">
        <v>4314</v>
      </c>
      <c r="U1093" s="1" t="s">
        <v>5301</v>
      </c>
    </row>
    <row r="1094" customFormat="false" ht="13.8" hidden="false" customHeight="false" outlineLevel="0" collapsed="false">
      <c r="A1094" s="1" t="n">
        <v>1093</v>
      </c>
      <c r="B1094" s="2" t="s">
        <v>5302</v>
      </c>
      <c r="C1094" s="1" t="n">
        <v>19</v>
      </c>
      <c r="D1094" s="1" t="n">
        <v>23</v>
      </c>
      <c r="E1094" s="1" t="n">
        <v>27</v>
      </c>
      <c r="F1094" s="1" t="n">
        <v>38</v>
      </c>
      <c r="G1094" s="1" t="n">
        <v>41</v>
      </c>
      <c r="H1094" s="1" t="n">
        <v>49</v>
      </c>
      <c r="I1094" s="1" t="str">
        <f aca="false">RIGHT(("0"&amp;C1094),2)&amp;RIGHT(("0"&amp;D1094),2)&amp;RIGHT(("0"&amp;E1094),2)&amp;RIGHT(("0"&amp;F1094),2)&amp;RIGHT(("0"&amp;G1094),2)&amp;RIGHT(("0"&amp;H1094),2)</f>
        <v>192327384149</v>
      </c>
      <c r="J1094" s="1" t="n">
        <f aca="false">COUNTIF(I:I,I1094)</f>
        <v>1</v>
      </c>
      <c r="K1094" s="1" t="n">
        <v>0</v>
      </c>
      <c r="M1094" s="1" t="s">
        <v>23</v>
      </c>
      <c r="N1094" s="1" t="n">
        <v>299</v>
      </c>
      <c r="O1094" s="1" t="s">
        <v>5303</v>
      </c>
      <c r="P1094" s="1" t="n">
        <v>18464</v>
      </c>
      <c r="Q1094" s="1" t="s">
        <v>5304</v>
      </c>
      <c r="R1094" s="1" t="s">
        <v>5305</v>
      </c>
      <c r="S1094" s="1" t="s">
        <v>5306</v>
      </c>
      <c r="T1094" s="1" t="s">
        <v>5307</v>
      </c>
      <c r="U1094" s="1" t="s">
        <v>5308</v>
      </c>
    </row>
    <row r="1095" customFormat="false" ht="13.8" hidden="false" customHeight="false" outlineLevel="0" collapsed="false">
      <c r="A1095" s="1" t="n">
        <v>1094</v>
      </c>
      <c r="B1095" s="2" t="s">
        <v>5309</v>
      </c>
      <c r="C1095" s="1" t="n">
        <v>9</v>
      </c>
      <c r="D1095" s="1" t="n">
        <v>10</v>
      </c>
      <c r="E1095" s="1" t="n">
        <v>21</v>
      </c>
      <c r="F1095" s="1" t="n">
        <v>36</v>
      </c>
      <c r="G1095" s="1" t="n">
        <v>41</v>
      </c>
      <c r="H1095" s="1" t="n">
        <v>48</v>
      </c>
      <c r="I1095" s="1" t="str">
        <f aca="false">RIGHT(("0"&amp;C1095),2)&amp;RIGHT(("0"&amp;D1095),2)&amp;RIGHT(("0"&amp;E1095),2)&amp;RIGHT(("0"&amp;F1095),2)&amp;RIGHT(("0"&amp;G1095),2)&amp;RIGHT(("0"&amp;H1095),2)</f>
        <v>091021364148</v>
      </c>
      <c r="J1095" s="1" t="n">
        <f aca="false">COUNTIF(I:I,I1095)</f>
        <v>1</v>
      </c>
      <c r="K1095" s="1" t="n">
        <v>1</v>
      </c>
      <c r="L1095" s="1" t="s">
        <v>5310</v>
      </c>
      <c r="M1095" s="1" t="s">
        <v>5311</v>
      </c>
      <c r="N1095" s="1" t="n">
        <v>211</v>
      </c>
      <c r="O1095" s="1" t="s">
        <v>5312</v>
      </c>
      <c r="P1095" s="1" t="n">
        <v>18534</v>
      </c>
      <c r="Q1095" s="1" t="s">
        <v>5313</v>
      </c>
      <c r="R1095" s="1" t="s">
        <v>23</v>
      </c>
      <c r="S1095" s="1" t="s">
        <v>5314</v>
      </c>
      <c r="T1095" s="1" t="s">
        <v>4718</v>
      </c>
      <c r="U1095" s="1" t="s">
        <v>5315</v>
      </c>
    </row>
    <row r="1096" customFormat="false" ht="13.8" hidden="false" customHeight="false" outlineLevel="0" collapsed="false">
      <c r="A1096" s="1" t="n">
        <v>1095</v>
      </c>
      <c r="B1096" s="2" t="s">
        <v>5316</v>
      </c>
      <c r="C1096" s="1" t="n">
        <v>10</v>
      </c>
      <c r="D1096" s="1" t="n">
        <v>16</v>
      </c>
      <c r="E1096" s="1" t="n">
        <v>21</v>
      </c>
      <c r="F1096" s="1" t="n">
        <v>23</v>
      </c>
      <c r="G1096" s="1" t="n">
        <v>27</v>
      </c>
      <c r="H1096" s="1" t="n">
        <v>36</v>
      </c>
      <c r="I1096" s="1" t="str">
        <f aca="false">RIGHT(("0"&amp;C1096),2)&amp;RIGHT(("0"&amp;D1096),2)&amp;RIGHT(("0"&amp;E1096),2)&amp;RIGHT(("0"&amp;F1096),2)&amp;RIGHT(("0"&amp;G1096),2)&amp;RIGHT(("0"&amp;H1096),2)</f>
        <v>101621232736</v>
      </c>
      <c r="J1096" s="1" t="n">
        <f aca="false">COUNTIF(I:I,I1096)</f>
        <v>1</v>
      </c>
      <c r="K1096" s="1" t="n">
        <v>0</v>
      </c>
      <c r="M1096" s="1" t="s">
        <v>23</v>
      </c>
      <c r="N1096" s="1" t="n">
        <v>168</v>
      </c>
      <c r="O1096" s="1" t="s">
        <v>5317</v>
      </c>
      <c r="P1096" s="1" t="n">
        <v>10462</v>
      </c>
      <c r="Q1096" s="1" t="s">
        <v>5318</v>
      </c>
      <c r="R1096" s="1" t="s">
        <v>5319</v>
      </c>
      <c r="S1096" s="1" t="s">
        <v>5320</v>
      </c>
      <c r="T1096" s="1" t="s">
        <v>5321</v>
      </c>
      <c r="U1096" s="1" t="s">
        <v>5322</v>
      </c>
    </row>
    <row r="1097" customFormat="false" ht="13.8" hidden="false" customHeight="false" outlineLevel="0" collapsed="false">
      <c r="A1097" s="1" t="n">
        <v>1096</v>
      </c>
      <c r="B1097" s="2" t="s">
        <v>5323</v>
      </c>
      <c r="C1097" s="1" t="n">
        <v>3</v>
      </c>
      <c r="D1097" s="1" t="n">
        <v>13</v>
      </c>
      <c r="E1097" s="1" t="n">
        <v>14</v>
      </c>
      <c r="F1097" s="1" t="n">
        <v>16</v>
      </c>
      <c r="G1097" s="1" t="n">
        <v>41</v>
      </c>
      <c r="H1097" s="1" t="n">
        <v>52</v>
      </c>
      <c r="I1097" s="1" t="str">
        <f aca="false">RIGHT(("0"&amp;C1097),2)&amp;RIGHT(("0"&amp;D1097),2)&amp;RIGHT(("0"&amp;E1097),2)&amp;RIGHT(("0"&amp;F1097),2)&amp;RIGHT(("0"&amp;G1097),2)&amp;RIGHT(("0"&amp;H1097),2)</f>
        <v>031314164152</v>
      </c>
      <c r="J1097" s="1" t="n">
        <f aca="false">COUNTIF(I:I,I1097)</f>
        <v>1</v>
      </c>
      <c r="K1097" s="1" t="n">
        <v>0</v>
      </c>
      <c r="M1097" s="1" t="s">
        <v>23</v>
      </c>
      <c r="N1097" s="1" t="n">
        <v>102</v>
      </c>
      <c r="O1097" s="1" t="s">
        <v>5324</v>
      </c>
      <c r="P1097" s="1" t="n">
        <v>9766</v>
      </c>
      <c r="Q1097" s="1" t="s">
        <v>5325</v>
      </c>
      <c r="R1097" s="1" t="s">
        <v>5326</v>
      </c>
      <c r="S1097" s="1" t="s">
        <v>5327</v>
      </c>
      <c r="T1097" s="1" t="s">
        <v>4968</v>
      </c>
      <c r="U1097" s="1" t="s">
        <v>5328</v>
      </c>
    </row>
    <row r="1098" customFormat="false" ht="13.8" hidden="false" customHeight="false" outlineLevel="0" collapsed="false">
      <c r="A1098" s="1" t="n">
        <v>1097</v>
      </c>
      <c r="B1098" s="2" t="s">
        <v>5329</v>
      </c>
      <c r="C1098" s="1" t="n">
        <v>1</v>
      </c>
      <c r="D1098" s="1" t="n">
        <v>17</v>
      </c>
      <c r="E1098" s="1" t="n">
        <v>21</v>
      </c>
      <c r="F1098" s="1" t="n">
        <v>33</v>
      </c>
      <c r="G1098" s="1" t="n">
        <v>48</v>
      </c>
      <c r="H1098" s="1" t="n">
        <v>56</v>
      </c>
      <c r="I1098" s="1" t="str">
        <f aca="false">RIGHT(("0"&amp;C1098),2)&amp;RIGHT(("0"&amp;D1098),2)&amp;RIGHT(("0"&amp;E1098),2)&amp;RIGHT(("0"&amp;F1098),2)&amp;RIGHT(("0"&amp;G1098),2)&amp;RIGHT(("0"&amp;H1098),2)</f>
        <v>011721334856</v>
      </c>
      <c r="J1098" s="1" t="n">
        <f aca="false">COUNTIF(I:I,I1098)</f>
        <v>1</v>
      </c>
      <c r="K1098" s="1" t="n">
        <v>1</v>
      </c>
      <c r="L1098" s="1" t="s">
        <v>5330</v>
      </c>
      <c r="M1098" s="1" t="s">
        <v>5331</v>
      </c>
      <c r="N1098" s="1" t="n">
        <v>242</v>
      </c>
      <c r="O1098" s="1" t="s">
        <v>5332</v>
      </c>
      <c r="P1098" s="1" t="n">
        <v>13115</v>
      </c>
      <c r="Q1098" s="1" t="s">
        <v>5333</v>
      </c>
      <c r="R1098" s="1" t="s">
        <v>23</v>
      </c>
      <c r="S1098" s="1" t="s">
        <v>5334</v>
      </c>
      <c r="T1098" s="1" t="s">
        <v>4732</v>
      </c>
      <c r="U1098" s="1" t="s">
        <v>5335</v>
      </c>
    </row>
    <row r="1099" customFormat="false" ht="13.8" hidden="false" customHeight="false" outlineLevel="0" collapsed="false">
      <c r="A1099" s="1" t="n">
        <v>1098</v>
      </c>
      <c r="B1099" s="2" t="s">
        <v>5336</v>
      </c>
      <c r="C1099" s="1" t="n">
        <v>11</v>
      </c>
      <c r="D1099" s="1" t="n">
        <v>20</v>
      </c>
      <c r="E1099" s="1" t="n">
        <v>21</v>
      </c>
      <c r="F1099" s="1" t="n">
        <v>30</v>
      </c>
      <c r="G1099" s="1" t="n">
        <v>50</v>
      </c>
      <c r="H1099" s="1" t="n">
        <v>52</v>
      </c>
      <c r="I1099" s="1" t="str">
        <f aca="false">RIGHT(("0"&amp;C1099),2)&amp;RIGHT(("0"&amp;D1099),2)&amp;RIGHT(("0"&amp;E1099),2)&amp;RIGHT(("0"&amp;F1099),2)&amp;RIGHT(("0"&amp;G1099),2)&amp;RIGHT(("0"&amp;H1099),2)</f>
        <v>112021305052</v>
      </c>
      <c r="J1099" s="1" t="n">
        <f aca="false">COUNTIF(I:I,I1099)</f>
        <v>1</v>
      </c>
      <c r="K1099" s="1" t="n">
        <v>1</v>
      </c>
      <c r="L1099" s="1" t="s">
        <v>5337</v>
      </c>
      <c r="M1099" s="1" t="s">
        <v>5338</v>
      </c>
      <c r="N1099" s="1" t="n">
        <v>49</v>
      </c>
      <c r="O1099" s="1" t="s">
        <v>5339</v>
      </c>
      <c r="P1099" s="1" t="n">
        <v>3434</v>
      </c>
      <c r="Q1099" s="1" t="s">
        <v>5340</v>
      </c>
      <c r="R1099" s="1" t="s">
        <v>23</v>
      </c>
      <c r="S1099" s="1" t="s">
        <v>5341</v>
      </c>
      <c r="T1099" s="1" t="s">
        <v>4256</v>
      </c>
      <c r="U1099" s="1" t="s">
        <v>5342</v>
      </c>
    </row>
    <row r="1100" customFormat="false" ht="13.8" hidden="false" customHeight="false" outlineLevel="0" collapsed="false">
      <c r="A1100" s="1" t="n">
        <v>1099</v>
      </c>
      <c r="B1100" s="2" t="s">
        <v>5343</v>
      </c>
      <c r="C1100" s="1" t="n">
        <v>14</v>
      </c>
      <c r="D1100" s="1" t="n">
        <v>31</v>
      </c>
      <c r="E1100" s="1" t="n">
        <v>35</v>
      </c>
      <c r="F1100" s="1" t="n">
        <v>38</v>
      </c>
      <c r="G1100" s="1" t="n">
        <v>44</v>
      </c>
      <c r="H1100" s="1" t="n">
        <v>55</v>
      </c>
      <c r="I1100" s="1" t="str">
        <f aca="false">RIGHT(("0"&amp;C1100),2)&amp;RIGHT(("0"&amp;D1100),2)&amp;RIGHT(("0"&amp;E1100),2)&amp;RIGHT(("0"&amp;F1100),2)&amp;RIGHT(("0"&amp;G1100),2)&amp;RIGHT(("0"&amp;H1100),2)</f>
        <v>143135384455</v>
      </c>
      <c r="J1100" s="1" t="n">
        <f aca="false">COUNTIF(I:I,I1100)</f>
        <v>1</v>
      </c>
      <c r="K1100" s="1" t="n">
        <v>0</v>
      </c>
      <c r="M1100" s="1" t="s">
        <v>23</v>
      </c>
      <c r="N1100" s="1" t="n">
        <v>42</v>
      </c>
      <c r="O1100" s="1" t="s">
        <v>5344</v>
      </c>
      <c r="P1100" s="1" t="n">
        <v>3392</v>
      </c>
      <c r="Q1100" s="1" t="s">
        <v>5345</v>
      </c>
      <c r="R1100" s="1" t="s">
        <v>5346</v>
      </c>
      <c r="S1100" s="1" t="s">
        <v>5347</v>
      </c>
      <c r="T1100" s="1" t="s">
        <v>4208</v>
      </c>
      <c r="U1100" s="1" t="s">
        <v>5348</v>
      </c>
    </row>
    <row r="1101" customFormat="false" ht="13.8" hidden="false" customHeight="false" outlineLevel="0" collapsed="false">
      <c r="A1101" s="1" t="n">
        <v>1100</v>
      </c>
      <c r="B1101" s="2" t="s">
        <v>5349</v>
      </c>
      <c r="C1101" s="1" t="n">
        <v>7</v>
      </c>
      <c r="D1101" s="1" t="n">
        <v>17</v>
      </c>
      <c r="E1101" s="1" t="n">
        <v>18</v>
      </c>
      <c r="F1101" s="1" t="n">
        <v>33</v>
      </c>
      <c r="G1101" s="1" t="n">
        <v>41</v>
      </c>
      <c r="H1101" s="1" t="n">
        <v>42</v>
      </c>
      <c r="I1101" s="1" t="str">
        <f aca="false">RIGHT(("0"&amp;C1101),2)&amp;RIGHT(("0"&amp;D1101),2)&amp;RIGHT(("0"&amp;E1101),2)&amp;RIGHT(("0"&amp;F1101),2)&amp;RIGHT(("0"&amp;G1101),2)&amp;RIGHT(("0"&amp;H1101),2)</f>
        <v>071718334142</v>
      </c>
      <c r="J1101" s="1" t="n">
        <f aca="false">COUNTIF(I:I,I1101)</f>
        <v>1</v>
      </c>
      <c r="K1101" s="1" t="n">
        <v>0</v>
      </c>
      <c r="M1101" s="1" t="s">
        <v>23</v>
      </c>
      <c r="N1101" s="1" t="n">
        <v>119</v>
      </c>
      <c r="O1101" s="1" t="s">
        <v>5350</v>
      </c>
      <c r="P1101" s="1" t="n">
        <v>10353</v>
      </c>
      <c r="Q1101" s="1" t="s">
        <v>5351</v>
      </c>
      <c r="R1101" s="1" t="s">
        <v>5352</v>
      </c>
      <c r="S1101" s="1" t="s">
        <v>5353</v>
      </c>
      <c r="T1101" s="1" t="s">
        <v>4696</v>
      </c>
      <c r="U1101" s="1" t="s">
        <v>5354</v>
      </c>
    </row>
    <row r="1102" customFormat="false" ht="13.8" hidden="false" customHeight="false" outlineLevel="0" collapsed="false">
      <c r="A1102" s="1" t="n">
        <v>1101</v>
      </c>
      <c r="B1102" s="2" t="s">
        <v>5355</v>
      </c>
      <c r="C1102" s="1" t="n">
        <v>6</v>
      </c>
      <c r="D1102" s="1" t="n">
        <v>7</v>
      </c>
      <c r="E1102" s="1" t="n">
        <v>10</v>
      </c>
      <c r="F1102" s="1" t="n">
        <v>12</v>
      </c>
      <c r="G1102" s="1" t="n">
        <v>24</v>
      </c>
      <c r="H1102" s="1" t="n">
        <v>57</v>
      </c>
      <c r="I1102" s="1" t="str">
        <f aca="false">RIGHT(("0"&amp;C1102),2)&amp;RIGHT(("0"&amp;D1102),2)&amp;RIGHT(("0"&amp;E1102),2)&amp;RIGHT(("0"&amp;F1102),2)&amp;RIGHT(("0"&amp;G1102),2)&amp;RIGHT(("0"&amp;H1102),2)</f>
        <v>060710122457</v>
      </c>
      <c r="J1102" s="1" t="n">
        <f aca="false">COUNTIF(I:I,I1102)</f>
        <v>1</v>
      </c>
      <c r="K1102" s="1" t="n">
        <v>1</v>
      </c>
      <c r="L1102" s="1" t="s">
        <v>5356</v>
      </c>
      <c r="M1102" s="1" t="s">
        <v>5357</v>
      </c>
      <c r="N1102" s="1" t="n">
        <v>284</v>
      </c>
      <c r="O1102" s="1" t="s">
        <v>5358</v>
      </c>
      <c r="P1102" s="1" t="n">
        <v>17901</v>
      </c>
      <c r="Q1102" s="1" t="s">
        <v>5359</v>
      </c>
      <c r="R1102" s="1" t="s">
        <v>23</v>
      </c>
      <c r="S1102" s="1" t="s">
        <v>5360</v>
      </c>
      <c r="T1102" s="1" t="s">
        <v>4732</v>
      </c>
      <c r="U1102" s="1" t="s">
        <v>5361</v>
      </c>
    </row>
    <row r="1103" customFormat="false" ht="13.8" hidden="false" customHeight="false" outlineLevel="0" collapsed="false">
      <c r="A1103" s="1" t="n">
        <v>1102</v>
      </c>
      <c r="B1103" s="2" t="s">
        <v>5362</v>
      </c>
      <c r="C1103" s="1" t="n">
        <v>9</v>
      </c>
      <c r="D1103" s="1" t="n">
        <v>11</v>
      </c>
      <c r="E1103" s="1" t="n">
        <v>23</v>
      </c>
      <c r="F1103" s="1" t="n">
        <v>35</v>
      </c>
      <c r="G1103" s="1" t="n">
        <v>46</v>
      </c>
      <c r="H1103" s="1" t="n">
        <v>51</v>
      </c>
      <c r="I1103" s="1" t="str">
        <f aca="false">RIGHT(("0"&amp;C1103),2)&amp;RIGHT(("0"&amp;D1103),2)&amp;RIGHT(("0"&amp;E1103),2)&amp;RIGHT(("0"&amp;F1103),2)&amp;RIGHT(("0"&amp;G1103),2)&amp;RIGHT(("0"&amp;H1103),2)</f>
        <v>091123354651</v>
      </c>
      <c r="J1103" s="1" t="n">
        <f aca="false">COUNTIF(I:I,I1103)</f>
        <v>1</v>
      </c>
      <c r="K1103" s="1" t="n">
        <v>0</v>
      </c>
      <c r="M1103" s="1" t="s">
        <v>23</v>
      </c>
      <c r="N1103" s="1" t="n">
        <v>83</v>
      </c>
      <c r="O1103" s="1" t="s">
        <v>5363</v>
      </c>
      <c r="P1103" s="1" t="n">
        <v>5695</v>
      </c>
      <c r="Q1103" s="1" t="s">
        <v>5364</v>
      </c>
      <c r="R1103" s="1" t="s">
        <v>5365</v>
      </c>
      <c r="S1103" s="1" t="s">
        <v>5366</v>
      </c>
      <c r="T1103" s="1" t="s">
        <v>4227</v>
      </c>
      <c r="U1103" s="1" t="s">
        <v>5367</v>
      </c>
    </row>
    <row r="1104" customFormat="false" ht="13.8" hidden="false" customHeight="false" outlineLevel="0" collapsed="false">
      <c r="A1104" s="1" t="n">
        <v>1103</v>
      </c>
      <c r="B1104" s="2" t="s">
        <v>5368</v>
      </c>
      <c r="C1104" s="1" t="n">
        <v>10</v>
      </c>
      <c r="D1104" s="1" t="n">
        <v>19</v>
      </c>
      <c r="E1104" s="1" t="n">
        <v>28</v>
      </c>
      <c r="F1104" s="1" t="n">
        <v>41</v>
      </c>
      <c r="G1104" s="1" t="n">
        <v>55</v>
      </c>
      <c r="H1104" s="1" t="n">
        <v>56</v>
      </c>
      <c r="I1104" s="1" t="str">
        <f aca="false">RIGHT(("0"&amp;C1104),2)&amp;RIGHT(("0"&amp;D1104),2)&amp;RIGHT(("0"&amp;E1104),2)&amp;RIGHT(("0"&amp;F1104),2)&amp;RIGHT(("0"&amp;G1104),2)&amp;RIGHT(("0"&amp;H1104),2)</f>
        <v>101928415556</v>
      </c>
      <c r="J1104" s="1" t="n">
        <f aca="false">COUNTIF(I:I,I1104)</f>
        <v>1</v>
      </c>
      <c r="K1104" s="1" t="n">
        <v>0</v>
      </c>
      <c r="M1104" s="1" t="s">
        <v>23</v>
      </c>
      <c r="N1104" s="1" t="n">
        <v>47</v>
      </c>
      <c r="O1104" s="1" t="s">
        <v>5369</v>
      </c>
      <c r="P1104" s="1" t="n">
        <v>5696</v>
      </c>
      <c r="Q1104" s="1" t="s">
        <v>5370</v>
      </c>
      <c r="R1104" s="1" t="s">
        <v>5371</v>
      </c>
      <c r="S1104" s="1" t="s">
        <v>5372</v>
      </c>
      <c r="T1104" s="1" t="s">
        <v>4347</v>
      </c>
      <c r="U1104" s="1" t="s">
        <v>5373</v>
      </c>
    </row>
    <row r="1105" customFormat="false" ht="13.8" hidden="false" customHeight="false" outlineLevel="0" collapsed="false">
      <c r="A1105" s="1" t="n">
        <v>1104</v>
      </c>
      <c r="B1105" s="2" t="s">
        <v>5374</v>
      </c>
      <c r="C1105" s="1" t="n">
        <v>2</v>
      </c>
      <c r="D1105" s="1" t="n">
        <v>3</v>
      </c>
      <c r="E1105" s="1" t="n">
        <v>6</v>
      </c>
      <c r="F1105" s="1" t="n">
        <v>35</v>
      </c>
      <c r="G1105" s="1" t="n">
        <v>49</v>
      </c>
      <c r="H1105" s="1" t="n">
        <v>58</v>
      </c>
      <c r="I1105" s="1" t="str">
        <f aca="false">RIGHT(("0"&amp;C1105),2)&amp;RIGHT(("0"&amp;D1105),2)&amp;RIGHT(("0"&amp;E1105),2)&amp;RIGHT(("0"&amp;F1105),2)&amp;RIGHT(("0"&amp;G1105),2)&amp;RIGHT(("0"&amp;H1105),2)</f>
        <v>020306354958</v>
      </c>
      <c r="J1105" s="1" t="n">
        <f aca="false">COUNTIF(I:I,I1105)</f>
        <v>1</v>
      </c>
      <c r="K1105" s="1" t="n">
        <v>0</v>
      </c>
      <c r="M1105" s="1" t="s">
        <v>23</v>
      </c>
      <c r="N1105" s="1" t="n">
        <v>95</v>
      </c>
      <c r="O1105" s="1" t="s">
        <v>5375</v>
      </c>
      <c r="P1105" s="1" t="n">
        <v>6982</v>
      </c>
      <c r="Q1105" s="1" t="s">
        <v>5376</v>
      </c>
      <c r="R1105" s="1" t="s">
        <v>5377</v>
      </c>
      <c r="S1105" s="1" t="s">
        <v>5378</v>
      </c>
      <c r="T1105" s="1" t="s">
        <v>4299</v>
      </c>
      <c r="U1105" s="1" t="s">
        <v>5379</v>
      </c>
    </row>
    <row r="1106" customFormat="false" ht="13.8" hidden="false" customHeight="false" outlineLevel="0" collapsed="false">
      <c r="A1106" s="1" t="n">
        <v>1105</v>
      </c>
      <c r="B1106" s="2" t="s">
        <v>5380</v>
      </c>
      <c r="C1106" s="1" t="n">
        <v>1</v>
      </c>
      <c r="D1106" s="1" t="n">
        <v>15</v>
      </c>
      <c r="E1106" s="1" t="n">
        <v>28</v>
      </c>
      <c r="F1106" s="1" t="n">
        <v>43</v>
      </c>
      <c r="G1106" s="1" t="n">
        <v>50</v>
      </c>
      <c r="H1106" s="1" t="n">
        <v>57</v>
      </c>
      <c r="I1106" s="1" t="str">
        <f aca="false">RIGHT(("0"&amp;C1106),2)&amp;RIGHT(("0"&amp;D1106),2)&amp;RIGHT(("0"&amp;E1106),2)&amp;RIGHT(("0"&amp;F1106),2)&amp;RIGHT(("0"&amp;G1106),2)&amp;RIGHT(("0"&amp;H1106),2)</f>
        <v>011528435057</v>
      </c>
      <c r="J1106" s="1" t="n">
        <f aca="false">COUNTIF(I:I,I1106)</f>
        <v>1</v>
      </c>
      <c r="K1106" s="1" t="n">
        <v>1</v>
      </c>
      <c r="L1106" s="1" t="s">
        <v>5381</v>
      </c>
      <c r="M1106" s="1" t="s">
        <v>5382</v>
      </c>
      <c r="N1106" s="1" t="n">
        <v>135</v>
      </c>
      <c r="O1106" s="1" t="s">
        <v>5383</v>
      </c>
      <c r="P1106" s="1" t="n">
        <v>7144</v>
      </c>
      <c r="Q1106" s="1" t="s">
        <v>5384</v>
      </c>
      <c r="R1106" s="1" t="s">
        <v>23</v>
      </c>
      <c r="S1106" s="1" t="s">
        <v>5385</v>
      </c>
      <c r="T1106" s="1" t="s">
        <v>4732</v>
      </c>
      <c r="U1106" s="1" t="s">
        <v>5386</v>
      </c>
    </row>
    <row r="1107" customFormat="false" ht="13.8" hidden="false" customHeight="false" outlineLevel="0" collapsed="false">
      <c r="A1107" s="1" t="n">
        <v>1106</v>
      </c>
      <c r="B1107" s="2" t="s">
        <v>5387</v>
      </c>
      <c r="C1107" s="1" t="n">
        <v>4</v>
      </c>
      <c r="D1107" s="1" t="n">
        <v>15</v>
      </c>
      <c r="E1107" s="1" t="n">
        <v>43</v>
      </c>
      <c r="F1107" s="1" t="n">
        <v>47</v>
      </c>
      <c r="G1107" s="1" t="n">
        <v>50</v>
      </c>
      <c r="H1107" s="1" t="n">
        <v>60</v>
      </c>
      <c r="I1107" s="1" t="str">
        <f aca="false">RIGHT(("0"&amp;C1107),2)&amp;RIGHT(("0"&amp;D1107),2)&amp;RIGHT(("0"&amp;E1107),2)&amp;RIGHT(("0"&amp;F1107),2)&amp;RIGHT(("0"&amp;G1107),2)&amp;RIGHT(("0"&amp;H1107),2)</f>
        <v>041543475060</v>
      </c>
      <c r="J1107" s="1" t="n">
        <f aca="false">COUNTIF(I:I,I1107)</f>
        <v>1</v>
      </c>
      <c r="K1107" s="1" t="n">
        <v>0</v>
      </c>
      <c r="M1107" s="1" t="s">
        <v>23</v>
      </c>
      <c r="N1107" s="1" t="n">
        <v>37</v>
      </c>
      <c r="O1107" s="1" t="s">
        <v>5388</v>
      </c>
      <c r="P1107" s="1" t="n">
        <v>3139</v>
      </c>
      <c r="Q1107" s="1" t="s">
        <v>5389</v>
      </c>
      <c r="R1107" s="1" t="s">
        <v>5390</v>
      </c>
      <c r="S1107" s="1" t="s">
        <v>5391</v>
      </c>
      <c r="T1107" s="1" t="s">
        <v>4227</v>
      </c>
      <c r="U1107" s="1" t="s">
        <v>5392</v>
      </c>
    </row>
    <row r="1108" customFormat="false" ht="13.8" hidden="false" customHeight="false" outlineLevel="0" collapsed="false">
      <c r="A1108" s="1" t="n">
        <v>1107</v>
      </c>
      <c r="B1108" s="2" t="s">
        <v>5393</v>
      </c>
      <c r="C1108" s="1" t="n">
        <v>3</v>
      </c>
      <c r="D1108" s="1" t="n">
        <v>9</v>
      </c>
      <c r="E1108" s="1" t="n">
        <v>20</v>
      </c>
      <c r="F1108" s="1" t="n">
        <v>36</v>
      </c>
      <c r="G1108" s="1" t="n">
        <v>53</v>
      </c>
      <c r="H1108" s="1" t="n">
        <v>54</v>
      </c>
      <c r="I1108" s="1" t="str">
        <f aca="false">RIGHT(("0"&amp;C1108),2)&amp;RIGHT(("0"&amp;D1108),2)&amp;RIGHT(("0"&amp;E1108),2)&amp;RIGHT(("0"&amp;F1108),2)&amp;RIGHT(("0"&amp;G1108),2)&amp;RIGHT(("0"&amp;H1108),2)</f>
        <v>030920365354</v>
      </c>
      <c r="J1108" s="1" t="n">
        <f aca="false">COUNTIF(I:I,I1108)</f>
        <v>1</v>
      </c>
      <c r="K1108" s="1" t="n">
        <v>0</v>
      </c>
      <c r="M1108" s="1" t="s">
        <v>23</v>
      </c>
      <c r="N1108" s="1" t="n">
        <v>85</v>
      </c>
      <c r="O1108" s="1" t="s">
        <v>5394</v>
      </c>
      <c r="P1108" s="1" t="n">
        <v>6294</v>
      </c>
      <c r="Q1108" s="1" t="s">
        <v>5395</v>
      </c>
      <c r="R1108" s="1" t="s">
        <v>5396</v>
      </c>
      <c r="S1108" s="1" t="s">
        <v>5397</v>
      </c>
      <c r="T1108" s="1" t="s">
        <v>4232</v>
      </c>
      <c r="U1108" s="1" t="s">
        <v>5398</v>
      </c>
    </row>
    <row r="1109" customFormat="false" ht="13.8" hidden="false" customHeight="false" outlineLevel="0" collapsed="false">
      <c r="A1109" s="1" t="n">
        <v>1108</v>
      </c>
      <c r="B1109" s="2" t="s">
        <v>5399</v>
      </c>
      <c r="C1109" s="1" t="n">
        <v>7</v>
      </c>
      <c r="D1109" s="1" t="n">
        <v>9</v>
      </c>
      <c r="E1109" s="1" t="n">
        <v>39</v>
      </c>
      <c r="F1109" s="1" t="n">
        <v>43</v>
      </c>
      <c r="G1109" s="1" t="n">
        <v>44</v>
      </c>
      <c r="H1109" s="1" t="n">
        <v>60</v>
      </c>
      <c r="I1109" s="1" t="str">
        <f aca="false">RIGHT(("0"&amp;C1109),2)&amp;RIGHT(("0"&amp;D1109),2)&amp;RIGHT(("0"&amp;E1109),2)&amp;RIGHT(("0"&amp;F1109),2)&amp;RIGHT(("0"&amp;G1109),2)&amp;RIGHT(("0"&amp;H1109),2)</f>
        <v>070939434460</v>
      </c>
      <c r="J1109" s="1" t="n">
        <f aca="false">COUNTIF(I:I,I1109)</f>
        <v>1</v>
      </c>
      <c r="K1109" s="1" t="n">
        <v>0</v>
      </c>
      <c r="M1109" s="1" t="s">
        <v>23</v>
      </c>
      <c r="N1109" s="1" t="n">
        <v>71</v>
      </c>
      <c r="O1109" s="1" t="s">
        <v>5400</v>
      </c>
      <c r="P1109" s="1" t="n">
        <v>5791</v>
      </c>
      <c r="Q1109" s="1" t="s">
        <v>5401</v>
      </c>
      <c r="R1109" s="1" t="s">
        <v>5402</v>
      </c>
      <c r="S1109" s="1" t="s">
        <v>5403</v>
      </c>
      <c r="T1109" s="1" t="s">
        <v>3727</v>
      </c>
      <c r="U1109" s="1" t="s">
        <v>5404</v>
      </c>
    </row>
    <row r="1110" customFormat="false" ht="13.8" hidden="false" customHeight="false" outlineLevel="0" collapsed="false">
      <c r="A1110" s="1" t="n">
        <v>1109</v>
      </c>
      <c r="B1110" s="2" t="s">
        <v>5405</v>
      </c>
      <c r="C1110" s="1" t="n">
        <v>6</v>
      </c>
      <c r="D1110" s="1" t="n">
        <v>8</v>
      </c>
      <c r="E1110" s="1" t="n">
        <v>11</v>
      </c>
      <c r="F1110" s="1" t="n">
        <v>14</v>
      </c>
      <c r="G1110" s="1" t="n">
        <v>29</v>
      </c>
      <c r="H1110" s="1" t="n">
        <v>52</v>
      </c>
      <c r="I1110" s="1" t="str">
        <f aca="false">RIGHT(("0"&amp;C1110),2)&amp;RIGHT(("0"&amp;D1110),2)&amp;RIGHT(("0"&amp;E1110),2)&amp;RIGHT(("0"&amp;F1110),2)&amp;RIGHT(("0"&amp;G1110),2)&amp;RIGHT(("0"&amp;H1110),2)</f>
        <v>060811142952</v>
      </c>
      <c r="J1110" s="1" t="n">
        <f aca="false">COUNTIF(I:I,I1110)</f>
        <v>1</v>
      </c>
      <c r="K1110" s="1" t="n">
        <v>0</v>
      </c>
      <c r="M1110" s="1" t="s">
        <v>23</v>
      </c>
      <c r="N1110" s="1" t="n">
        <v>141</v>
      </c>
      <c r="O1110" s="1" t="s">
        <v>5406</v>
      </c>
      <c r="P1110" s="1" t="n">
        <v>8371</v>
      </c>
      <c r="Q1110" s="1" t="s">
        <v>5407</v>
      </c>
      <c r="R1110" s="1" t="s">
        <v>5408</v>
      </c>
      <c r="S1110" s="1" t="s">
        <v>5409</v>
      </c>
      <c r="T1110" s="1" t="s">
        <v>4328</v>
      </c>
      <c r="U1110" s="1" t="s">
        <v>5410</v>
      </c>
      <c r="V1110" s="1" t="s">
        <v>5411</v>
      </c>
    </row>
    <row r="1111" customFormat="false" ht="13.8" hidden="false" customHeight="false" outlineLevel="0" collapsed="false">
      <c r="A1111" s="1" t="n">
        <v>1110</v>
      </c>
      <c r="B1111" s="2" t="s">
        <v>5412</v>
      </c>
      <c r="C1111" s="1" t="n">
        <v>6</v>
      </c>
      <c r="D1111" s="1" t="n">
        <v>14</v>
      </c>
      <c r="E1111" s="1" t="n">
        <v>26</v>
      </c>
      <c r="F1111" s="1" t="n">
        <v>28</v>
      </c>
      <c r="G1111" s="1" t="n">
        <v>42</v>
      </c>
      <c r="H1111" s="1" t="n">
        <v>45</v>
      </c>
      <c r="I1111" s="1" t="str">
        <f aca="false">RIGHT(("0"&amp;C1111),2)&amp;RIGHT(("0"&amp;D1111),2)&amp;RIGHT(("0"&amp;E1111),2)&amp;RIGHT(("0"&amp;F1111),2)&amp;RIGHT(("0"&amp;G1111),2)&amp;RIGHT(("0"&amp;H1111),2)</f>
        <v>061426284245</v>
      </c>
      <c r="J1111" s="1" t="n">
        <f aca="false">COUNTIF(I:I,I1111)</f>
        <v>1</v>
      </c>
      <c r="K1111" s="1" t="n">
        <v>2</v>
      </c>
      <c r="L1111" s="1" t="s">
        <v>5413</v>
      </c>
      <c r="M1111" s="1" t="s">
        <v>5414</v>
      </c>
      <c r="N1111" s="1" t="n">
        <v>217</v>
      </c>
      <c r="O1111" s="1" t="s">
        <v>5415</v>
      </c>
      <c r="P1111" s="1" t="n">
        <v>11277</v>
      </c>
      <c r="Q1111" s="1" t="s">
        <v>5416</v>
      </c>
      <c r="R1111" s="1" t="s">
        <v>23</v>
      </c>
      <c r="S1111" s="1" t="s">
        <v>5417</v>
      </c>
      <c r="T1111" s="1" t="s">
        <v>4732</v>
      </c>
      <c r="U1111" s="1" t="s">
        <v>5418</v>
      </c>
    </row>
    <row r="1112" customFormat="false" ht="13.8" hidden="false" customHeight="false" outlineLevel="0" collapsed="false">
      <c r="A1112" s="1" t="n">
        <v>1111</v>
      </c>
      <c r="B1112" s="2" t="s">
        <v>5419</v>
      </c>
      <c r="C1112" s="1" t="n">
        <v>4</v>
      </c>
      <c r="D1112" s="1" t="n">
        <v>9</v>
      </c>
      <c r="E1112" s="1" t="n">
        <v>25</v>
      </c>
      <c r="F1112" s="1" t="n">
        <v>32</v>
      </c>
      <c r="G1112" s="1" t="n">
        <v>33</v>
      </c>
      <c r="H1112" s="1" t="n">
        <v>43</v>
      </c>
      <c r="I1112" s="1" t="str">
        <f aca="false">RIGHT(("0"&amp;C1112),2)&amp;RIGHT(("0"&amp;D1112),2)&amp;RIGHT(("0"&amp;E1112),2)&amp;RIGHT(("0"&amp;F1112),2)&amp;RIGHT(("0"&amp;G1112),2)&amp;RIGHT(("0"&amp;H1112),2)</f>
        <v>040925323343</v>
      </c>
      <c r="J1112" s="1" t="n">
        <f aca="false">COUNTIF(I:I,I1112)</f>
        <v>1</v>
      </c>
      <c r="K1112" s="1" t="n">
        <v>1</v>
      </c>
      <c r="L1112" s="1" t="s">
        <v>5420</v>
      </c>
      <c r="M1112" s="1" t="s">
        <v>5421</v>
      </c>
      <c r="N1112" s="1" t="n">
        <v>52</v>
      </c>
      <c r="O1112" s="1" t="s">
        <v>5422</v>
      </c>
      <c r="P1112" s="1" t="n">
        <v>5266</v>
      </c>
      <c r="Q1112" s="1" t="s">
        <v>5423</v>
      </c>
      <c r="R1112" s="1" t="s">
        <v>23</v>
      </c>
      <c r="S1112" s="1" t="s">
        <v>5424</v>
      </c>
      <c r="T1112" s="1" t="s">
        <v>4732</v>
      </c>
      <c r="U1112" s="1" t="s">
        <v>5425</v>
      </c>
    </row>
    <row r="1113" customFormat="false" ht="13.8" hidden="false" customHeight="false" outlineLevel="0" collapsed="false">
      <c r="A1113" s="1" t="n">
        <v>1112</v>
      </c>
      <c r="B1113" s="2" t="s">
        <v>5426</v>
      </c>
      <c r="C1113" s="1" t="n">
        <v>4</v>
      </c>
      <c r="D1113" s="1" t="n">
        <v>32</v>
      </c>
      <c r="E1113" s="1" t="n">
        <v>34</v>
      </c>
      <c r="F1113" s="1" t="n">
        <v>43</v>
      </c>
      <c r="G1113" s="1" t="n">
        <v>52</v>
      </c>
      <c r="H1113" s="1" t="n">
        <v>58</v>
      </c>
      <c r="I1113" s="1" t="str">
        <f aca="false">RIGHT(("0"&amp;C1113),2)&amp;RIGHT(("0"&amp;D1113),2)&amp;RIGHT(("0"&amp;E1113),2)&amp;RIGHT(("0"&amp;F1113),2)&amp;RIGHT(("0"&amp;G1113),2)&amp;RIGHT(("0"&amp;H1113),2)</f>
        <v>043234435258</v>
      </c>
      <c r="J1113" s="1" t="n">
        <f aca="false">COUNTIF(I:I,I1113)</f>
        <v>1</v>
      </c>
      <c r="K1113" s="1" t="n">
        <v>0</v>
      </c>
      <c r="M1113" s="1" t="s">
        <v>23</v>
      </c>
      <c r="N1113" s="1" t="n">
        <v>43</v>
      </c>
      <c r="O1113" s="1" t="s">
        <v>5427</v>
      </c>
      <c r="P1113" s="1" t="n">
        <v>3283</v>
      </c>
      <c r="Q1113" s="1" t="s">
        <v>5428</v>
      </c>
      <c r="R1113" s="1" t="s">
        <v>5429</v>
      </c>
      <c r="S1113" s="1" t="s">
        <v>5430</v>
      </c>
      <c r="T1113" s="1" t="s">
        <v>4227</v>
      </c>
      <c r="U1113" s="1" t="s">
        <v>5431</v>
      </c>
    </row>
    <row r="1114" customFormat="false" ht="13.8" hidden="false" customHeight="false" outlineLevel="0" collapsed="false">
      <c r="A1114" s="1" t="n">
        <v>1113</v>
      </c>
      <c r="B1114" s="2" t="s">
        <v>5432</v>
      </c>
      <c r="C1114" s="1" t="n">
        <v>3</v>
      </c>
      <c r="D1114" s="1" t="n">
        <v>6</v>
      </c>
      <c r="E1114" s="1" t="n">
        <v>29</v>
      </c>
      <c r="F1114" s="1" t="n">
        <v>36</v>
      </c>
      <c r="G1114" s="1" t="n">
        <v>47</v>
      </c>
      <c r="H1114" s="1" t="n">
        <v>59</v>
      </c>
      <c r="I1114" s="1" t="str">
        <f aca="false">RIGHT(("0"&amp;C1114),2)&amp;RIGHT(("0"&amp;D1114),2)&amp;RIGHT(("0"&amp;E1114),2)&amp;RIGHT(("0"&amp;F1114),2)&amp;RIGHT(("0"&amp;G1114),2)&amp;RIGHT(("0"&amp;H1114),2)</f>
        <v>030629364759</v>
      </c>
      <c r="J1114" s="1" t="n">
        <f aca="false">COUNTIF(I:I,I1114)</f>
        <v>1</v>
      </c>
      <c r="K1114" s="1" t="n">
        <v>2</v>
      </c>
      <c r="L1114" s="1" t="s">
        <v>5433</v>
      </c>
      <c r="M1114" s="1" t="s">
        <v>5434</v>
      </c>
      <c r="N1114" s="1" t="n">
        <v>82</v>
      </c>
      <c r="O1114" s="1" t="s">
        <v>5435</v>
      </c>
      <c r="P1114" s="1" t="n">
        <v>5947</v>
      </c>
      <c r="Q1114" s="1" t="s">
        <v>5436</v>
      </c>
      <c r="R1114" s="1" t="s">
        <v>23</v>
      </c>
      <c r="S1114" s="1" t="s">
        <v>5437</v>
      </c>
      <c r="T1114" s="1" t="s">
        <v>4732</v>
      </c>
      <c r="U1114" s="1" t="s">
        <v>5438</v>
      </c>
    </row>
    <row r="1115" customFormat="false" ht="13.8" hidden="false" customHeight="false" outlineLevel="0" collapsed="false">
      <c r="A1115" s="1" t="n">
        <v>1114</v>
      </c>
      <c r="B1115" s="2" t="s">
        <v>5439</v>
      </c>
      <c r="C1115" s="1" t="n">
        <v>3</v>
      </c>
      <c r="D1115" s="1" t="n">
        <v>15</v>
      </c>
      <c r="E1115" s="1" t="n">
        <v>16</v>
      </c>
      <c r="F1115" s="1" t="n">
        <v>22</v>
      </c>
      <c r="G1115" s="1" t="n">
        <v>25</v>
      </c>
      <c r="H1115" s="1" t="n">
        <v>54</v>
      </c>
      <c r="I1115" s="1" t="str">
        <f aca="false">RIGHT(("0"&amp;C1115),2)&amp;RIGHT(("0"&amp;D1115),2)&amp;RIGHT(("0"&amp;E1115),2)&amp;RIGHT(("0"&amp;F1115),2)&amp;RIGHT(("0"&amp;G1115),2)&amp;RIGHT(("0"&amp;H1115),2)</f>
        <v>031516222554</v>
      </c>
      <c r="J1115" s="1" t="n">
        <f aca="false">COUNTIF(I:I,I1115)</f>
        <v>1</v>
      </c>
      <c r="K1115" s="1" t="n">
        <v>1</v>
      </c>
      <c r="L1115" s="1" t="s">
        <v>5440</v>
      </c>
      <c r="M1115" s="1" t="s">
        <v>5441</v>
      </c>
      <c r="N1115" s="1" t="n">
        <v>65</v>
      </c>
      <c r="O1115" s="1" t="s">
        <v>5442</v>
      </c>
      <c r="P1115" s="1" t="n">
        <v>5054</v>
      </c>
      <c r="Q1115" s="1" t="s">
        <v>5443</v>
      </c>
      <c r="R1115" s="1" t="s">
        <v>23</v>
      </c>
      <c r="S1115" s="1" t="s">
        <v>5444</v>
      </c>
      <c r="T1115" s="1" t="s">
        <v>4461</v>
      </c>
      <c r="U1115" s="1" t="s">
        <v>5445</v>
      </c>
    </row>
    <row r="1116" customFormat="false" ht="13.8" hidden="false" customHeight="false" outlineLevel="0" collapsed="false">
      <c r="A1116" s="1" t="n">
        <v>1115</v>
      </c>
      <c r="B1116" s="2" t="s">
        <v>5446</v>
      </c>
      <c r="C1116" s="1" t="n">
        <v>18</v>
      </c>
      <c r="D1116" s="1" t="n">
        <v>30</v>
      </c>
      <c r="E1116" s="1" t="n">
        <v>37</v>
      </c>
      <c r="F1116" s="1" t="n">
        <v>41</v>
      </c>
      <c r="G1116" s="1" t="n">
        <v>44</v>
      </c>
      <c r="H1116" s="1" t="n">
        <v>50</v>
      </c>
      <c r="I1116" s="1" t="str">
        <f aca="false">RIGHT(("0"&amp;C1116),2)&amp;RIGHT(("0"&amp;D1116),2)&amp;RIGHT(("0"&amp;E1116),2)&amp;RIGHT(("0"&amp;F1116),2)&amp;RIGHT(("0"&amp;G1116),2)&amp;RIGHT(("0"&amp;H1116),2)</f>
        <v>183037414450</v>
      </c>
      <c r="J1116" s="1" t="n">
        <f aca="false">COUNTIF(I:I,I1116)</f>
        <v>1</v>
      </c>
      <c r="K1116" s="1" t="n">
        <v>0</v>
      </c>
      <c r="M1116" s="1" t="s">
        <v>23</v>
      </c>
      <c r="N1116" s="1" t="n">
        <v>26</v>
      </c>
      <c r="O1116" s="1" t="s">
        <v>5447</v>
      </c>
      <c r="P1116" s="1" t="n">
        <v>3005</v>
      </c>
      <c r="Q1116" s="1" t="s">
        <v>5448</v>
      </c>
      <c r="R1116" s="1" t="s">
        <v>5449</v>
      </c>
      <c r="S1116" s="1" t="s">
        <v>5450</v>
      </c>
      <c r="T1116" s="1" t="s">
        <v>4203</v>
      </c>
      <c r="U1116" s="1" t="s">
        <v>5451</v>
      </c>
    </row>
    <row r="1117" customFormat="false" ht="13.8" hidden="false" customHeight="false" outlineLevel="0" collapsed="false">
      <c r="A1117" s="1" t="n">
        <v>1116</v>
      </c>
      <c r="B1117" s="2" t="s">
        <v>5452</v>
      </c>
      <c r="C1117" s="1" t="n">
        <v>4</v>
      </c>
      <c r="D1117" s="1" t="n">
        <v>9</v>
      </c>
      <c r="E1117" s="1" t="n">
        <v>13</v>
      </c>
      <c r="F1117" s="1" t="n">
        <v>17</v>
      </c>
      <c r="G1117" s="1" t="n">
        <v>20</v>
      </c>
      <c r="H1117" s="1" t="n">
        <v>47</v>
      </c>
      <c r="I1117" s="1" t="str">
        <f aca="false">RIGHT(("0"&amp;C1117),2)&amp;RIGHT(("0"&amp;D1117),2)&amp;RIGHT(("0"&amp;E1117),2)&amp;RIGHT(("0"&amp;F1117),2)&amp;RIGHT(("0"&amp;G1117),2)&amp;RIGHT(("0"&amp;H1117),2)</f>
        <v>040913172047</v>
      </c>
      <c r="J1117" s="1" t="n">
        <f aca="false">COUNTIF(I:I,I1117)</f>
        <v>1</v>
      </c>
      <c r="K1117" s="1" t="n">
        <v>1</v>
      </c>
      <c r="L1117" s="1" t="s">
        <v>5453</v>
      </c>
      <c r="M1117" s="1" t="s">
        <v>5454</v>
      </c>
      <c r="N1117" s="1" t="n">
        <v>259</v>
      </c>
      <c r="O1117" s="1" t="s">
        <v>5455</v>
      </c>
      <c r="P1117" s="1" t="n">
        <v>14186</v>
      </c>
      <c r="Q1117" s="1" t="s">
        <v>5456</v>
      </c>
      <c r="R1117" s="1" t="s">
        <v>23</v>
      </c>
      <c r="S1117" s="1" t="s">
        <v>5457</v>
      </c>
      <c r="T1117" s="1" t="s">
        <v>4732</v>
      </c>
      <c r="U1117" s="1" t="s">
        <v>5458</v>
      </c>
    </row>
    <row r="1118" customFormat="false" ht="13.8" hidden="false" customHeight="false" outlineLevel="0" collapsed="false">
      <c r="A1118" s="1" t="n">
        <v>1117</v>
      </c>
      <c r="B1118" s="2" t="s">
        <v>5459</v>
      </c>
      <c r="C1118" s="1" t="n">
        <v>1</v>
      </c>
      <c r="D1118" s="1" t="n">
        <v>6</v>
      </c>
      <c r="E1118" s="1" t="n">
        <v>17</v>
      </c>
      <c r="F1118" s="1" t="n">
        <v>27</v>
      </c>
      <c r="G1118" s="1" t="n">
        <v>35</v>
      </c>
      <c r="H1118" s="1" t="n">
        <v>40</v>
      </c>
      <c r="I1118" s="1" t="str">
        <f aca="false">RIGHT(("0"&amp;C1118),2)&amp;RIGHT(("0"&amp;D1118),2)&amp;RIGHT(("0"&amp;E1118),2)&amp;RIGHT(("0"&amp;F1118),2)&amp;RIGHT(("0"&amp;G1118),2)&amp;RIGHT(("0"&amp;H1118),2)</f>
        <v>010617273540</v>
      </c>
      <c r="J1118" s="1" t="n">
        <f aca="false">COUNTIF(I:I,I1118)</f>
        <v>1</v>
      </c>
      <c r="K1118" s="1" t="n">
        <v>0</v>
      </c>
      <c r="M1118" s="1" t="s">
        <v>23</v>
      </c>
      <c r="N1118" s="1" t="n">
        <v>36</v>
      </c>
      <c r="O1118" s="1" t="s">
        <v>5460</v>
      </c>
      <c r="P1118" s="1" t="n">
        <v>3143</v>
      </c>
      <c r="Q1118" s="1" t="s">
        <v>5461</v>
      </c>
      <c r="R1118" s="1" t="s">
        <v>5462</v>
      </c>
      <c r="S1118" s="1" t="s">
        <v>5463</v>
      </c>
      <c r="T1118" s="1" t="s">
        <v>4409</v>
      </c>
      <c r="U1118" s="1" t="s">
        <v>5464</v>
      </c>
    </row>
    <row r="1119" customFormat="false" ht="13.8" hidden="false" customHeight="false" outlineLevel="0" collapsed="false">
      <c r="A1119" s="1" t="n">
        <v>1118</v>
      </c>
      <c r="B1119" s="2" t="s">
        <v>5465</v>
      </c>
      <c r="C1119" s="1" t="n">
        <v>8</v>
      </c>
      <c r="D1119" s="1" t="n">
        <v>20</v>
      </c>
      <c r="E1119" s="1" t="n">
        <v>21</v>
      </c>
      <c r="F1119" s="1" t="n">
        <v>43</v>
      </c>
      <c r="G1119" s="1" t="n">
        <v>44</v>
      </c>
      <c r="H1119" s="1" t="n">
        <v>55</v>
      </c>
      <c r="I1119" s="1" t="str">
        <f aca="false">RIGHT(("0"&amp;C1119),2)&amp;RIGHT(("0"&amp;D1119),2)&amp;RIGHT(("0"&amp;E1119),2)&amp;RIGHT(("0"&amp;F1119),2)&amp;RIGHT(("0"&amp;G1119),2)&amp;RIGHT(("0"&amp;H1119),2)</f>
        <v>082021434455</v>
      </c>
      <c r="J1119" s="1" t="n">
        <f aca="false">COUNTIF(I:I,I1119)</f>
        <v>1</v>
      </c>
      <c r="K1119" s="1" t="n">
        <v>0</v>
      </c>
      <c r="M1119" s="1" t="s">
        <v>23</v>
      </c>
      <c r="N1119" s="1" t="n">
        <v>30</v>
      </c>
      <c r="O1119" s="1" t="s">
        <v>5466</v>
      </c>
      <c r="P1119" s="1" t="n">
        <v>2965</v>
      </c>
      <c r="Q1119" s="1" t="s">
        <v>5467</v>
      </c>
      <c r="R1119" s="1" t="s">
        <v>5468</v>
      </c>
      <c r="S1119" s="1" t="s">
        <v>5469</v>
      </c>
      <c r="T1119" s="1" t="s">
        <v>4232</v>
      </c>
      <c r="U1119" s="1" t="s">
        <v>5470</v>
      </c>
    </row>
    <row r="1120" customFormat="false" ht="13.8" hidden="false" customHeight="false" outlineLevel="0" collapsed="false">
      <c r="A1120" s="1" t="n">
        <v>1119</v>
      </c>
      <c r="B1120" s="2" t="s">
        <v>5471</v>
      </c>
      <c r="C1120" s="1" t="n">
        <v>10</v>
      </c>
      <c r="D1120" s="1" t="n">
        <v>34</v>
      </c>
      <c r="E1120" s="1" t="n">
        <v>41</v>
      </c>
      <c r="F1120" s="1" t="n">
        <v>44</v>
      </c>
      <c r="G1120" s="1" t="n">
        <v>45</v>
      </c>
      <c r="H1120" s="1" t="n">
        <v>54</v>
      </c>
      <c r="I1120" s="1" t="str">
        <f aca="false">RIGHT(("0"&amp;C1120),2)&amp;RIGHT(("0"&amp;D1120),2)&amp;RIGHT(("0"&amp;E1120),2)&amp;RIGHT(("0"&amp;F1120),2)&amp;RIGHT(("0"&amp;G1120),2)&amp;RIGHT(("0"&amp;H1120),2)</f>
        <v>103441444554</v>
      </c>
      <c r="J1120" s="1" t="n">
        <f aca="false">COUNTIF(I:I,I1120)</f>
        <v>1</v>
      </c>
      <c r="K1120" s="1" t="n">
        <v>0</v>
      </c>
      <c r="M1120" s="1" t="s">
        <v>23</v>
      </c>
      <c r="N1120" s="1" t="n">
        <v>22</v>
      </c>
      <c r="O1120" s="1" t="s">
        <v>5472</v>
      </c>
      <c r="P1120" s="1" t="n">
        <v>2684</v>
      </c>
      <c r="Q1120" s="1" t="s">
        <v>5473</v>
      </c>
      <c r="R1120" s="1" t="s">
        <v>5474</v>
      </c>
      <c r="S1120" s="1" t="s">
        <v>5475</v>
      </c>
      <c r="T1120" s="1" t="s">
        <v>4241</v>
      </c>
      <c r="U1120" s="1" t="s">
        <v>5476</v>
      </c>
    </row>
    <row r="1121" customFormat="false" ht="13.8" hidden="false" customHeight="false" outlineLevel="0" collapsed="false">
      <c r="A1121" s="1" t="n">
        <v>1120</v>
      </c>
      <c r="B1121" s="2" t="s">
        <v>5477</v>
      </c>
      <c r="C1121" s="1" t="n">
        <v>7</v>
      </c>
      <c r="D1121" s="1" t="n">
        <v>35</v>
      </c>
      <c r="E1121" s="1" t="n">
        <v>40</v>
      </c>
      <c r="F1121" s="1" t="n">
        <v>44</v>
      </c>
      <c r="G1121" s="1" t="n">
        <v>50</v>
      </c>
      <c r="H1121" s="1" t="n">
        <v>55</v>
      </c>
      <c r="I1121" s="1" t="str">
        <f aca="false">RIGHT(("0"&amp;C1121),2)&amp;RIGHT(("0"&amp;D1121),2)&amp;RIGHT(("0"&amp;E1121),2)&amp;RIGHT(("0"&amp;F1121),2)&amp;RIGHT(("0"&amp;G1121),2)&amp;RIGHT(("0"&amp;H1121),2)</f>
        <v>073540445055</v>
      </c>
      <c r="J1121" s="1" t="n">
        <f aca="false">COUNTIF(I:I,I1121)</f>
        <v>1</v>
      </c>
      <c r="K1121" s="1" t="n">
        <v>0</v>
      </c>
      <c r="M1121" s="1" t="s">
        <v>23</v>
      </c>
      <c r="N1121" s="1" t="n">
        <v>63</v>
      </c>
      <c r="O1121" s="1" t="s">
        <v>5478</v>
      </c>
      <c r="P1121" s="1" t="n">
        <v>4116</v>
      </c>
      <c r="Q1121" s="1" t="s">
        <v>5479</v>
      </c>
      <c r="R1121" s="1" t="s">
        <v>5480</v>
      </c>
      <c r="S1121" s="1" t="s">
        <v>5481</v>
      </c>
      <c r="T1121" s="1" t="s">
        <v>4246</v>
      </c>
      <c r="U1121" s="1" t="s">
        <v>5482</v>
      </c>
    </row>
    <row r="1122" customFormat="false" ht="13.8" hidden="false" customHeight="false" outlineLevel="0" collapsed="false">
      <c r="A1122" s="1" t="n">
        <v>1121</v>
      </c>
      <c r="B1122" s="2" t="s">
        <v>5483</v>
      </c>
      <c r="C1122" s="1" t="n">
        <v>4</v>
      </c>
      <c r="D1122" s="1" t="n">
        <v>17</v>
      </c>
      <c r="E1122" s="1" t="n">
        <v>18</v>
      </c>
      <c r="F1122" s="1" t="n">
        <v>54</v>
      </c>
      <c r="G1122" s="1" t="n">
        <v>56</v>
      </c>
      <c r="H1122" s="1" t="n">
        <v>59</v>
      </c>
      <c r="I1122" s="1" t="str">
        <f aca="false">RIGHT(("0"&amp;C1122),2)&amp;RIGHT(("0"&amp;D1122),2)&amp;RIGHT(("0"&amp;E1122),2)&amp;RIGHT(("0"&amp;F1122),2)&amp;RIGHT(("0"&amp;G1122),2)&amp;RIGHT(("0"&amp;H1122),2)</f>
        <v>041718545659</v>
      </c>
      <c r="J1122" s="1" t="n">
        <f aca="false">COUNTIF(I:I,I1122)</f>
        <v>1</v>
      </c>
      <c r="K1122" s="1" t="n">
        <v>1</v>
      </c>
      <c r="L1122" s="1" t="s">
        <v>5484</v>
      </c>
      <c r="M1122" s="1" t="s">
        <v>5485</v>
      </c>
      <c r="N1122" s="1" t="n">
        <v>94</v>
      </c>
      <c r="O1122" s="1" t="s">
        <v>5486</v>
      </c>
      <c r="P1122" s="1" t="n">
        <v>6105</v>
      </c>
      <c r="Q1122" s="1" t="s">
        <v>5487</v>
      </c>
      <c r="R1122" s="1" t="s">
        <v>23</v>
      </c>
      <c r="S1122" s="1" t="s">
        <v>5488</v>
      </c>
      <c r="T1122" s="1" t="s">
        <v>4732</v>
      </c>
      <c r="U1122" s="1" t="s">
        <v>5489</v>
      </c>
    </row>
    <row r="1123" customFormat="false" ht="13.8" hidden="false" customHeight="false" outlineLevel="0" collapsed="false">
      <c r="A1123" s="1" t="n">
        <v>1122</v>
      </c>
      <c r="B1123" s="2" t="s">
        <v>5490</v>
      </c>
      <c r="C1123" s="1" t="n">
        <v>26</v>
      </c>
      <c r="D1123" s="1" t="n">
        <v>44</v>
      </c>
      <c r="E1123" s="1" t="n">
        <v>46</v>
      </c>
      <c r="F1123" s="1" t="n">
        <v>49</v>
      </c>
      <c r="G1123" s="1" t="n">
        <v>55</v>
      </c>
      <c r="H1123" s="1" t="n">
        <v>56</v>
      </c>
      <c r="I1123" s="1" t="str">
        <f aca="false">RIGHT(("0"&amp;C1123),2)&amp;RIGHT(("0"&amp;D1123),2)&amp;RIGHT(("0"&amp;E1123),2)&amp;RIGHT(("0"&amp;F1123),2)&amp;RIGHT(("0"&amp;G1123),2)&amp;RIGHT(("0"&amp;H1123),2)</f>
        <v>264446495556</v>
      </c>
      <c r="J1123" s="1" t="n">
        <f aca="false">COUNTIF(I:I,I1123)</f>
        <v>1</v>
      </c>
      <c r="K1123" s="1" t="n">
        <v>0</v>
      </c>
      <c r="M1123" s="1" t="s">
        <v>23</v>
      </c>
      <c r="N1123" s="1" t="n">
        <v>20</v>
      </c>
      <c r="O1123" s="1" t="s">
        <v>5491</v>
      </c>
      <c r="P1123" s="1" t="n">
        <v>2425</v>
      </c>
      <c r="Q1123" s="1" t="s">
        <v>5492</v>
      </c>
      <c r="R1123" s="1" t="s">
        <v>5493</v>
      </c>
      <c r="S1123" s="1" t="s">
        <v>5494</v>
      </c>
      <c r="T1123" s="1" t="s">
        <v>4409</v>
      </c>
      <c r="U1123" s="1" t="s">
        <v>5495</v>
      </c>
    </row>
    <row r="1124" customFormat="false" ht="13.8" hidden="false" customHeight="false" outlineLevel="0" collapsed="false">
      <c r="A1124" s="1" t="n">
        <v>1123</v>
      </c>
      <c r="B1124" s="2" t="s">
        <v>5496</v>
      </c>
      <c r="C1124" s="1" t="n">
        <v>4</v>
      </c>
      <c r="D1124" s="1" t="n">
        <v>14</v>
      </c>
      <c r="E1124" s="1" t="n">
        <v>19</v>
      </c>
      <c r="F1124" s="1" t="n">
        <v>39</v>
      </c>
      <c r="G1124" s="1" t="n">
        <v>45</v>
      </c>
      <c r="H1124" s="1" t="n">
        <v>60</v>
      </c>
      <c r="I1124" s="1" t="str">
        <f aca="false">RIGHT(("0"&amp;C1124),2)&amp;RIGHT(("0"&amp;D1124),2)&amp;RIGHT(("0"&amp;E1124),2)&amp;RIGHT(("0"&amp;F1124),2)&amp;RIGHT(("0"&amp;G1124),2)&amp;RIGHT(("0"&amp;H1124),2)</f>
        <v>041419394560</v>
      </c>
      <c r="J1124" s="1" t="n">
        <f aca="false">COUNTIF(I:I,I1124)</f>
        <v>1</v>
      </c>
      <c r="K1124" s="1" t="n">
        <v>0</v>
      </c>
      <c r="M1124" s="1" t="s">
        <v>23</v>
      </c>
      <c r="N1124" s="1" t="n">
        <v>51</v>
      </c>
      <c r="O1124" s="1" t="s">
        <v>5497</v>
      </c>
      <c r="P1124" s="1" t="n">
        <v>3386</v>
      </c>
      <c r="Q1124" s="1" t="s">
        <v>5498</v>
      </c>
      <c r="R1124" s="1" t="s">
        <v>5499</v>
      </c>
      <c r="S1124" s="1" t="s">
        <v>5500</v>
      </c>
      <c r="T1124" s="1" t="s">
        <v>4342</v>
      </c>
      <c r="U1124" s="1" t="s">
        <v>5501</v>
      </c>
    </row>
    <row r="1125" customFormat="false" ht="13.8" hidden="false" customHeight="false" outlineLevel="0" collapsed="false">
      <c r="A1125" s="1" t="n">
        <v>1124</v>
      </c>
      <c r="B1125" s="2" t="s">
        <v>5502</v>
      </c>
      <c r="C1125" s="1" t="n">
        <v>7</v>
      </c>
      <c r="D1125" s="1" t="n">
        <v>11</v>
      </c>
      <c r="E1125" s="1" t="n">
        <v>16</v>
      </c>
      <c r="F1125" s="1" t="n">
        <v>18</v>
      </c>
      <c r="G1125" s="1" t="n">
        <v>33</v>
      </c>
      <c r="H1125" s="1" t="n">
        <v>49</v>
      </c>
      <c r="I1125" s="1" t="str">
        <f aca="false">RIGHT(("0"&amp;C1125),2)&amp;RIGHT(("0"&amp;D1125),2)&amp;RIGHT(("0"&amp;E1125),2)&amp;RIGHT(("0"&amp;F1125),2)&amp;RIGHT(("0"&amp;G1125),2)&amp;RIGHT(("0"&amp;H1125),2)</f>
        <v>071116183349</v>
      </c>
      <c r="J1125" s="1" t="n">
        <f aca="false">COUNTIF(I:I,I1125)</f>
        <v>1</v>
      </c>
      <c r="K1125" s="1" t="n">
        <v>0</v>
      </c>
      <c r="M1125" s="1" t="s">
        <v>23</v>
      </c>
      <c r="N1125" s="1" t="n">
        <v>122</v>
      </c>
      <c r="O1125" s="1" t="s">
        <v>5503</v>
      </c>
      <c r="P1125" s="1" t="n">
        <v>7528</v>
      </c>
      <c r="Q1125" s="1" t="s">
        <v>5504</v>
      </c>
      <c r="R1125" s="1" t="s">
        <v>5505</v>
      </c>
      <c r="S1125" s="1" t="s">
        <v>5506</v>
      </c>
      <c r="T1125" s="1" t="s">
        <v>4273</v>
      </c>
      <c r="U1125" s="1" t="s">
        <v>5507</v>
      </c>
    </row>
    <row r="1126" customFormat="false" ht="13.8" hidden="false" customHeight="false" outlineLevel="0" collapsed="false">
      <c r="A1126" s="1" t="n">
        <v>1125</v>
      </c>
      <c r="B1126" s="2" t="s">
        <v>5508</v>
      </c>
      <c r="C1126" s="1" t="n">
        <v>3</v>
      </c>
      <c r="D1126" s="1" t="n">
        <v>7</v>
      </c>
      <c r="E1126" s="1" t="n">
        <v>29</v>
      </c>
      <c r="F1126" s="1" t="n">
        <v>33</v>
      </c>
      <c r="G1126" s="1" t="n">
        <v>42</v>
      </c>
      <c r="H1126" s="1" t="n">
        <v>56</v>
      </c>
      <c r="I1126" s="1" t="str">
        <f aca="false">RIGHT(("0"&amp;C1126),2)&amp;RIGHT(("0"&amp;D1126),2)&amp;RIGHT(("0"&amp;E1126),2)&amp;RIGHT(("0"&amp;F1126),2)&amp;RIGHT(("0"&amp;G1126),2)&amp;RIGHT(("0"&amp;H1126),2)</f>
        <v>030729334256</v>
      </c>
      <c r="J1126" s="1" t="n">
        <f aca="false">COUNTIF(I:I,I1126)</f>
        <v>1</v>
      </c>
      <c r="K1126" s="1" t="n">
        <v>1</v>
      </c>
      <c r="L1126" s="1" t="s">
        <v>5310</v>
      </c>
      <c r="M1126" s="1" t="s">
        <v>5509</v>
      </c>
      <c r="N1126" s="1" t="n">
        <v>263</v>
      </c>
      <c r="O1126" s="1" t="s">
        <v>5510</v>
      </c>
      <c r="P1126" s="1" t="n">
        <v>11744</v>
      </c>
      <c r="Q1126" s="1" t="s">
        <v>5511</v>
      </c>
      <c r="R1126" s="1" t="s">
        <v>23</v>
      </c>
      <c r="S1126" s="1" t="s">
        <v>5512</v>
      </c>
      <c r="T1126" s="1" t="s">
        <v>4256</v>
      </c>
      <c r="U1126" s="1" t="s">
        <v>5513</v>
      </c>
    </row>
    <row r="1127" customFormat="false" ht="13.8" hidden="false" customHeight="false" outlineLevel="0" collapsed="false">
      <c r="A1127" s="1" t="n">
        <v>1126</v>
      </c>
      <c r="B1127" s="2" t="s">
        <v>5514</v>
      </c>
      <c r="C1127" s="1" t="n">
        <v>4</v>
      </c>
      <c r="D1127" s="1" t="n">
        <v>31</v>
      </c>
      <c r="E1127" s="1" t="n">
        <v>42</v>
      </c>
      <c r="F1127" s="1" t="n">
        <v>52</v>
      </c>
      <c r="G1127" s="1" t="n">
        <v>57</v>
      </c>
      <c r="H1127" s="1" t="n">
        <v>59</v>
      </c>
      <c r="I1127" s="1" t="str">
        <f aca="false">RIGHT(("0"&amp;C1127),2)&amp;RIGHT(("0"&amp;D1127),2)&amp;RIGHT(("0"&amp;E1127),2)&amp;RIGHT(("0"&amp;F1127),2)&amp;RIGHT(("0"&amp;G1127),2)&amp;RIGHT(("0"&amp;H1127),2)</f>
        <v>043142525759</v>
      </c>
      <c r="J1127" s="1" t="n">
        <f aca="false">COUNTIF(I:I,I1127)</f>
        <v>1</v>
      </c>
      <c r="K1127" s="1" t="n">
        <v>0</v>
      </c>
      <c r="M1127" s="1" t="s">
        <v>23</v>
      </c>
      <c r="N1127" s="1" t="n">
        <v>21</v>
      </c>
      <c r="O1127" s="1" t="s">
        <v>5515</v>
      </c>
      <c r="P1127" s="1" t="n">
        <v>2186</v>
      </c>
      <c r="Q1127" s="1" t="s">
        <v>5516</v>
      </c>
      <c r="R1127" s="1" t="s">
        <v>5517</v>
      </c>
      <c r="S1127" s="1" t="s">
        <v>5518</v>
      </c>
      <c r="T1127" s="1" t="s">
        <v>4227</v>
      </c>
      <c r="U1127" s="1" t="s">
        <v>5519</v>
      </c>
    </row>
    <row r="1128" customFormat="false" ht="13.8" hidden="false" customHeight="false" outlineLevel="0" collapsed="false">
      <c r="A1128" s="1" t="n">
        <v>1127</v>
      </c>
      <c r="B1128" s="2" t="s">
        <v>5520</v>
      </c>
      <c r="C1128" s="1" t="n">
        <v>5</v>
      </c>
      <c r="D1128" s="1" t="n">
        <v>8</v>
      </c>
      <c r="E1128" s="1" t="n">
        <v>14</v>
      </c>
      <c r="F1128" s="1" t="n">
        <v>24</v>
      </c>
      <c r="G1128" s="1" t="n">
        <v>29</v>
      </c>
      <c r="H1128" s="1" t="n">
        <v>30</v>
      </c>
      <c r="I1128" s="1" t="str">
        <f aca="false">RIGHT(("0"&amp;C1128),2)&amp;RIGHT(("0"&amp;D1128),2)&amp;RIGHT(("0"&amp;E1128),2)&amp;RIGHT(("0"&amp;F1128),2)&amp;RIGHT(("0"&amp;G1128),2)&amp;RIGHT(("0"&amp;H1128),2)</f>
        <v>050814242930</v>
      </c>
      <c r="J1128" s="1" t="n">
        <f aca="false">COUNTIF(I:I,I1128)</f>
        <v>1</v>
      </c>
      <c r="K1128" s="1" t="n">
        <v>3</v>
      </c>
      <c r="L1128" s="1" t="s">
        <v>5521</v>
      </c>
      <c r="M1128" s="1" t="s">
        <v>5522</v>
      </c>
      <c r="N1128" s="1" t="n">
        <v>152</v>
      </c>
      <c r="O1128" s="1" t="s">
        <v>5523</v>
      </c>
      <c r="P1128" s="1" t="n">
        <v>7135</v>
      </c>
      <c r="Q1128" s="1" t="s">
        <v>5524</v>
      </c>
      <c r="R1128" s="1" t="s">
        <v>23</v>
      </c>
      <c r="S1128" s="1" t="s">
        <v>5525</v>
      </c>
      <c r="T1128" s="1" t="s">
        <v>4732</v>
      </c>
      <c r="U1128" s="1" t="s">
        <v>5526</v>
      </c>
    </row>
    <row r="1129" customFormat="false" ht="13.8" hidden="false" customHeight="false" outlineLevel="0" collapsed="false">
      <c r="A1129" s="1" t="n">
        <v>1128</v>
      </c>
      <c r="B1129" s="2" t="s">
        <v>5527</v>
      </c>
      <c r="C1129" s="1" t="n">
        <v>8</v>
      </c>
      <c r="D1129" s="1" t="n">
        <v>16</v>
      </c>
      <c r="E1129" s="1" t="n">
        <v>24</v>
      </c>
      <c r="F1129" s="1" t="n">
        <v>39</v>
      </c>
      <c r="G1129" s="1" t="n">
        <v>52</v>
      </c>
      <c r="H1129" s="1" t="n">
        <v>60</v>
      </c>
      <c r="I1129" s="1" t="str">
        <f aca="false">RIGHT(("0"&amp;C1129),2)&amp;RIGHT(("0"&amp;D1129),2)&amp;RIGHT(("0"&amp;E1129),2)&amp;RIGHT(("0"&amp;F1129),2)&amp;RIGHT(("0"&amp;G1129),2)&amp;RIGHT(("0"&amp;H1129),2)</f>
        <v>081624395260</v>
      </c>
      <c r="J1129" s="1" t="n">
        <f aca="false">COUNTIF(I:I,I1129)</f>
        <v>1</v>
      </c>
      <c r="K1129" s="1" t="n">
        <v>1</v>
      </c>
      <c r="L1129" s="1" t="s">
        <v>5528</v>
      </c>
      <c r="M1129" s="1" t="s">
        <v>5529</v>
      </c>
      <c r="N1129" s="1" t="n">
        <v>43</v>
      </c>
      <c r="O1129" s="1" t="s">
        <v>5530</v>
      </c>
      <c r="P1129" s="1" t="n">
        <v>3389</v>
      </c>
      <c r="Q1129" s="1" t="s">
        <v>5531</v>
      </c>
      <c r="R1129" s="1" t="s">
        <v>23</v>
      </c>
      <c r="S1129" s="1" t="s">
        <v>5532</v>
      </c>
      <c r="T1129" s="1" t="s">
        <v>4732</v>
      </c>
      <c r="U1129" s="1" t="s">
        <v>5533</v>
      </c>
    </row>
    <row r="1130" customFormat="false" ht="13.8" hidden="false" customHeight="false" outlineLevel="0" collapsed="false">
      <c r="A1130" s="1" t="n">
        <v>1129</v>
      </c>
      <c r="B1130" s="2" t="s">
        <v>5534</v>
      </c>
      <c r="C1130" s="1" t="n">
        <v>12</v>
      </c>
      <c r="D1130" s="1" t="n">
        <v>17</v>
      </c>
      <c r="E1130" s="1" t="n">
        <v>19</v>
      </c>
      <c r="F1130" s="1" t="n">
        <v>32</v>
      </c>
      <c r="G1130" s="1" t="n">
        <v>47</v>
      </c>
      <c r="H1130" s="1" t="n">
        <v>55</v>
      </c>
      <c r="I1130" s="1" t="str">
        <f aca="false">RIGHT(("0"&amp;C1130),2)&amp;RIGHT(("0"&amp;D1130),2)&amp;RIGHT(("0"&amp;E1130),2)&amp;RIGHT(("0"&amp;F1130),2)&amp;RIGHT(("0"&amp;G1130),2)&amp;RIGHT(("0"&amp;H1130),2)</f>
        <v>121719324755</v>
      </c>
      <c r="J1130" s="1" t="n">
        <f aca="false">COUNTIF(I:I,I1130)</f>
        <v>1</v>
      </c>
      <c r="K1130" s="1" t="n">
        <v>0</v>
      </c>
      <c r="M1130" s="1" t="s">
        <v>23</v>
      </c>
      <c r="N1130" s="1" t="n">
        <v>75</v>
      </c>
      <c r="O1130" s="1" t="s">
        <v>5535</v>
      </c>
      <c r="P1130" s="1" t="n">
        <v>4068</v>
      </c>
      <c r="Q1130" s="1" t="s">
        <v>5536</v>
      </c>
      <c r="R1130" s="1" t="s">
        <v>5537</v>
      </c>
      <c r="S1130" s="1" t="s">
        <v>5538</v>
      </c>
      <c r="T1130" s="1" t="s">
        <v>3727</v>
      </c>
      <c r="U1130" s="1" t="s">
        <v>5539</v>
      </c>
    </row>
    <row r="1131" customFormat="false" ht="13.8" hidden="false" customHeight="false" outlineLevel="0" collapsed="false">
      <c r="A1131" s="1" t="n">
        <v>1130</v>
      </c>
      <c r="B1131" s="2" t="s">
        <v>5540</v>
      </c>
      <c r="C1131" s="1" t="n">
        <v>5</v>
      </c>
      <c r="D1131" s="1" t="n">
        <v>18</v>
      </c>
      <c r="E1131" s="1" t="n">
        <v>23</v>
      </c>
      <c r="F1131" s="1" t="n">
        <v>32</v>
      </c>
      <c r="G1131" s="1" t="n">
        <v>49</v>
      </c>
      <c r="H1131" s="1" t="n">
        <v>54</v>
      </c>
      <c r="I1131" s="1" t="str">
        <f aca="false">RIGHT(("0"&amp;C1131),2)&amp;RIGHT(("0"&amp;D1131),2)&amp;RIGHT(("0"&amp;E1131),2)&amp;RIGHT(("0"&amp;F1131),2)&amp;RIGHT(("0"&amp;G1131),2)&amp;RIGHT(("0"&amp;H1131),2)</f>
        <v>051823324954</v>
      </c>
      <c r="J1131" s="1" t="n">
        <f aca="false">COUNTIF(I:I,I1131)</f>
        <v>1</v>
      </c>
      <c r="K1131" s="1" t="n">
        <v>0</v>
      </c>
      <c r="M1131" s="1" t="s">
        <v>23</v>
      </c>
      <c r="N1131" s="1" t="n">
        <v>279</v>
      </c>
      <c r="O1131" s="1" t="s">
        <v>5541</v>
      </c>
      <c r="P1131" s="1" t="n">
        <v>9245</v>
      </c>
      <c r="Q1131" s="1" t="s">
        <v>5542</v>
      </c>
      <c r="R1131" s="1" t="s">
        <v>5543</v>
      </c>
      <c r="S1131" s="1" t="s">
        <v>5544</v>
      </c>
      <c r="T1131" s="1" t="s">
        <v>3602</v>
      </c>
      <c r="U1131" s="1" t="s">
        <v>5545</v>
      </c>
    </row>
    <row r="1132" customFormat="false" ht="13.8" hidden="false" customHeight="false" outlineLevel="0" collapsed="false">
      <c r="A1132" s="1" t="n">
        <v>1131</v>
      </c>
      <c r="B1132" s="2" t="s">
        <v>5546</v>
      </c>
      <c r="C1132" s="1" t="n">
        <v>1</v>
      </c>
      <c r="D1132" s="1" t="n">
        <v>8</v>
      </c>
      <c r="E1132" s="1" t="n">
        <v>16</v>
      </c>
      <c r="F1132" s="1" t="n">
        <v>34</v>
      </c>
      <c r="G1132" s="1" t="n">
        <v>36</v>
      </c>
      <c r="H1132" s="1" t="n">
        <v>49</v>
      </c>
      <c r="I1132" s="1" t="str">
        <f aca="false">RIGHT(("0"&amp;C1132),2)&amp;RIGHT(("0"&amp;D1132),2)&amp;RIGHT(("0"&amp;E1132),2)&amp;RIGHT(("0"&amp;F1132),2)&amp;RIGHT(("0"&amp;G1132),2)&amp;RIGHT(("0"&amp;H1132),2)</f>
        <v>010816343649</v>
      </c>
      <c r="J1132" s="1" t="n">
        <f aca="false">COUNTIF(I:I,I1132)</f>
        <v>1</v>
      </c>
      <c r="K1132" s="1" t="n">
        <v>0</v>
      </c>
      <c r="M1132" s="1" t="s">
        <v>23</v>
      </c>
      <c r="N1132" s="1" t="n">
        <v>119</v>
      </c>
      <c r="O1132" s="1" t="s">
        <v>5547</v>
      </c>
      <c r="P1132" s="1" t="n">
        <v>7753</v>
      </c>
      <c r="Q1132" s="1" t="s">
        <v>5548</v>
      </c>
      <c r="R1132" s="1" t="s">
        <v>5549</v>
      </c>
      <c r="S1132" s="1" t="s">
        <v>5550</v>
      </c>
      <c r="T1132" s="1" t="s">
        <v>4273</v>
      </c>
      <c r="U1132" s="1" t="s">
        <v>5551</v>
      </c>
    </row>
    <row r="1133" customFormat="false" ht="13.8" hidden="false" customHeight="false" outlineLevel="0" collapsed="false">
      <c r="A1133" s="1" t="n">
        <v>1132</v>
      </c>
      <c r="B1133" s="2" t="s">
        <v>5552</v>
      </c>
      <c r="C1133" s="1" t="n">
        <v>12</v>
      </c>
      <c r="D1133" s="1" t="n">
        <v>27</v>
      </c>
      <c r="E1133" s="1" t="n">
        <v>30</v>
      </c>
      <c r="F1133" s="1" t="n">
        <v>33</v>
      </c>
      <c r="G1133" s="1" t="n">
        <v>52</v>
      </c>
      <c r="H1133" s="1" t="n">
        <v>55</v>
      </c>
      <c r="I1133" s="1" t="str">
        <f aca="false">RIGHT(("0"&amp;C1133),2)&amp;RIGHT(("0"&amp;D1133),2)&amp;RIGHT(("0"&amp;E1133),2)&amp;RIGHT(("0"&amp;F1133),2)&amp;RIGHT(("0"&amp;G1133),2)&amp;RIGHT(("0"&amp;H1133),2)</f>
        <v>122730335255</v>
      </c>
      <c r="J1133" s="1" t="n">
        <f aca="false">COUNTIF(I:I,I1133)</f>
        <v>1</v>
      </c>
      <c r="K1133" s="1" t="n">
        <v>0</v>
      </c>
      <c r="M1133" s="1" t="s">
        <v>23</v>
      </c>
      <c r="N1133" s="1" t="n">
        <v>104</v>
      </c>
      <c r="O1133" s="1" t="s">
        <v>5553</v>
      </c>
      <c r="P1133" s="1" t="n">
        <v>7799</v>
      </c>
      <c r="Q1133" s="1" t="s">
        <v>5554</v>
      </c>
      <c r="R1133" s="1" t="s">
        <v>5555</v>
      </c>
      <c r="S1133" s="1" t="s">
        <v>5556</v>
      </c>
      <c r="T1133" s="1" t="s">
        <v>4328</v>
      </c>
      <c r="U1133" s="1" t="s">
        <v>5557</v>
      </c>
    </row>
    <row r="1134" customFormat="false" ht="13.8" hidden="false" customHeight="false" outlineLevel="0" collapsed="false">
      <c r="A1134" s="1" t="n">
        <v>1133</v>
      </c>
      <c r="B1134" s="2" t="s">
        <v>5558</v>
      </c>
      <c r="C1134" s="1" t="n">
        <v>5</v>
      </c>
      <c r="D1134" s="1" t="n">
        <v>10</v>
      </c>
      <c r="E1134" s="1" t="n">
        <v>16</v>
      </c>
      <c r="F1134" s="1" t="n">
        <v>21</v>
      </c>
      <c r="G1134" s="1" t="n">
        <v>39</v>
      </c>
      <c r="H1134" s="1" t="n">
        <v>58</v>
      </c>
      <c r="I1134" s="1" t="str">
        <f aca="false">RIGHT(("0"&amp;C1134),2)&amp;RIGHT(("0"&amp;D1134),2)&amp;RIGHT(("0"&amp;E1134),2)&amp;RIGHT(("0"&amp;F1134),2)&amp;RIGHT(("0"&amp;G1134),2)&amp;RIGHT(("0"&amp;H1134),2)</f>
        <v>051016213958</v>
      </c>
      <c r="J1134" s="1" t="n">
        <f aca="false">COUNTIF(I:I,I1134)</f>
        <v>1</v>
      </c>
      <c r="K1134" s="1" t="n">
        <v>1</v>
      </c>
      <c r="L1134" s="1" t="s">
        <v>5559</v>
      </c>
      <c r="M1134" s="1" t="s">
        <v>5560</v>
      </c>
      <c r="N1134" s="1" t="n">
        <v>111</v>
      </c>
      <c r="O1134" s="1" t="s">
        <v>5561</v>
      </c>
      <c r="P1134" s="1" t="n">
        <v>8648</v>
      </c>
      <c r="Q1134" s="1" t="s">
        <v>5562</v>
      </c>
      <c r="R1134" s="1" t="s">
        <v>23</v>
      </c>
      <c r="S1134" s="1" t="s">
        <v>5563</v>
      </c>
      <c r="T1134" s="1" t="s">
        <v>4256</v>
      </c>
      <c r="U1134" s="1" t="s">
        <v>5564</v>
      </c>
    </row>
    <row r="1135" customFormat="false" ht="13.8" hidden="false" customHeight="false" outlineLevel="0" collapsed="false">
      <c r="A1135" s="1" t="n">
        <v>1134</v>
      </c>
      <c r="B1135" s="2" t="s">
        <v>5565</v>
      </c>
      <c r="C1135" s="1" t="n">
        <v>9</v>
      </c>
      <c r="D1135" s="1" t="n">
        <v>22</v>
      </c>
      <c r="E1135" s="1" t="n">
        <v>29</v>
      </c>
      <c r="F1135" s="1" t="n">
        <v>36</v>
      </c>
      <c r="G1135" s="1" t="n">
        <v>51</v>
      </c>
      <c r="H1135" s="1" t="n">
        <v>56</v>
      </c>
      <c r="I1135" s="1" t="str">
        <f aca="false">RIGHT(("0"&amp;C1135),2)&amp;RIGHT(("0"&amp;D1135),2)&amp;RIGHT(("0"&amp;E1135),2)&amp;RIGHT(("0"&amp;F1135),2)&amp;RIGHT(("0"&amp;G1135),2)&amp;RIGHT(("0"&amp;H1135),2)</f>
        <v>092229365156</v>
      </c>
      <c r="J1135" s="1" t="n">
        <f aca="false">COUNTIF(I:I,I1135)</f>
        <v>1</v>
      </c>
      <c r="K1135" s="1" t="n">
        <v>0</v>
      </c>
      <c r="M1135" s="1" t="s">
        <v>23</v>
      </c>
      <c r="N1135" s="1" t="n">
        <v>53</v>
      </c>
      <c r="O1135" s="1" t="s">
        <v>5566</v>
      </c>
      <c r="P1135" s="1" t="n">
        <v>3770</v>
      </c>
      <c r="Q1135" s="1" t="s">
        <v>5567</v>
      </c>
      <c r="R1135" s="1" t="s">
        <v>5568</v>
      </c>
      <c r="S1135" s="1" t="s">
        <v>5569</v>
      </c>
      <c r="T1135" s="1" t="s">
        <v>3928</v>
      </c>
      <c r="U1135" s="1" t="s">
        <v>5570</v>
      </c>
    </row>
    <row r="1136" customFormat="false" ht="13.8" hidden="false" customHeight="false" outlineLevel="0" collapsed="false">
      <c r="A1136" s="1" t="n">
        <v>1135</v>
      </c>
      <c r="B1136" s="2" t="s">
        <v>5571</v>
      </c>
      <c r="C1136" s="1" t="n">
        <v>4</v>
      </c>
      <c r="D1136" s="1" t="n">
        <v>5</v>
      </c>
      <c r="E1136" s="1" t="n">
        <v>6</v>
      </c>
      <c r="F1136" s="1" t="n">
        <v>19</v>
      </c>
      <c r="G1136" s="1" t="n">
        <v>23</v>
      </c>
      <c r="H1136" s="1" t="n">
        <v>39</v>
      </c>
      <c r="I1136" s="1" t="str">
        <f aca="false">RIGHT(("0"&amp;C1136),2)&amp;RIGHT(("0"&amp;D1136),2)&amp;RIGHT(("0"&amp;E1136),2)&amp;RIGHT(("0"&amp;F1136),2)&amp;RIGHT(("0"&amp;G1136),2)&amp;RIGHT(("0"&amp;H1136),2)</f>
        <v>040506192339</v>
      </c>
      <c r="J1136" s="1" t="n">
        <f aca="false">COUNTIF(I:I,I1136)</f>
        <v>1</v>
      </c>
      <c r="K1136" s="1" t="n">
        <v>1</v>
      </c>
      <c r="L1136" s="1" t="s">
        <v>5572</v>
      </c>
      <c r="M1136" s="1" t="s">
        <v>5573</v>
      </c>
      <c r="N1136" s="1" t="n">
        <v>127</v>
      </c>
      <c r="O1136" s="1" t="s">
        <v>5574</v>
      </c>
      <c r="P1136" s="1" t="n">
        <v>9233</v>
      </c>
      <c r="Q1136" s="1" t="s">
        <v>5575</v>
      </c>
      <c r="R1136" s="1" t="s">
        <v>23</v>
      </c>
      <c r="S1136" s="1" t="s">
        <v>5576</v>
      </c>
      <c r="T1136" s="1" t="s">
        <v>4732</v>
      </c>
      <c r="U1136" s="1" t="s">
        <v>5577</v>
      </c>
    </row>
    <row r="1137" customFormat="false" ht="13.8" hidden="false" customHeight="false" outlineLevel="0" collapsed="false">
      <c r="A1137" s="1" t="n">
        <v>1136</v>
      </c>
      <c r="B1137" s="2" t="s">
        <v>5578</v>
      </c>
      <c r="C1137" s="1" t="n">
        <v>7</v>
      </c>
      <c r="D1137" s="1" t="n">
        <v>31</v>
      </c>
      <c r="E1137" s="1" t="n">
        <v>32</v>
      </c>
      <c r="F1137" s="1" t="n">
        <v>34</v>
      </c>
      <c r="G1137" s="1" t="n">
        <v>37</v>
      </c>
      <c r="H1137" s="1" t="n">
        <v>43</v>
      </c>
      <c r="I1137" s="1" t="str">
        <f aca="false">RIGHT(("0"&amp;C1137),2)&amp;RIGHT(("0"&amp;D1137),2)&amp;RIGHT(("0"&amp;E1137),2)&amp;RIGHT(("0"&amp;F1137),2)&amp;RIGHT(("0"&amp;G1137),2)&amp;RIGHT(("0"&amp;H1137),2)</f>
        <v>073132343743</v>
      </c>
      <c r="J1137" s="1" t="n">
        <f aca="false">COUNTIF(I:I,I1137)</f>
        <v>1</v>
      </c>
      <c r="K1137" s="1" t="n">
        <v>0</v>
      </c>
      <c r="M1137" s="1" t="s">
        <v>23</v>
      </c>
      <c r="N1137" s="1" t="n">
        <v>41</v>
      </c>
      <c r="O1137" s="1" t="s">
        <v>5579</v>
      </c>
      <c r="P1137" s="1" t="n">
        <v>4242</v>
      </c>
      <c r="Q1137" s="1" t="s">
        <v>5580</v>
      </c>
      <c r="R1137" s="1" t="s">
        <v>5581</v>
      </c>
      <c r="S1137" s="1" t="s">
        <v>5582</v>
      </c>
      <c r="T1137" s="1" t="s">
        <v>4227</v>
      </c>
      <c r="U1137" s="1" t="s">
        <v>5583</v>
      </c>
    </row>
    <row r="1138" customFormat="false" ht="13.8" hidden="false" customHeight="false" outlineLevel="0" collapsed="false">
      <c r="A1138" s="1" t="n">
        <v>1137</v>
      </c>
      <c r="B1138" s="2" t="s">
        <v>5584</v>
      </c>
      <c r="C1138" s="1" t="n">
        <v>19</v>
      </c>
      <c r="D1138" s="1" t="n">
        <v>21</v>
      </c>
      <c r="E1138" s="1" t="n">
        <v>25</v>
      </c>
      <c r="F1138" s="1" t="n">
        <v>28</v>
      </c>
      <c r="G1138" s="1" t="n">
        <v>43</v>
      </c>
      <c r="H1138" s="1" t="n">
        <v>50</v>
      </c>
      <c r="I1138" s="1" t="str">
        <f aca="false">RIGHT(("0"&amp;C1138),2)&amp;RIGHT(("0"&amp;D1138),2)&amp;RIGHT(("0"&amp;E1138),2)&amp;RIGHT(("0"&amp;F1138),2)&amp;RIGHT(("0"&amp;G1138),2)&amp;RIGHT(("0"&amp;H1138),2)</f>
        <v>192125284350</v>
      </c>
      <c r="J1138" s="1" t="n">
        <f aca="false">COUNTIF(I:I,I1138)</f>
        <v>1</v>
      </c>
      <c r="K1138" s="1" t="n">
        <v>0</v>
      </c>
      <c r="M1138" s="1" t="s">
        <v>23</v>
      </c>
      <c r="N1138" s="1" t="n">
        <v>33</v>
      </c>
      <c r="O1138" s="1" t="s">
        <v>5585</v>
      </c>
      <c r="P1138" s="1" t="n">
        <v>2763</v>
      </c>
      <c r="Q1138" s="1" t="s">
        <v>5586</v>
      </c>
      <c r="R1138" s="1" t="s">
        <v>5587</v>
      </c>
      <c r="S1138" s="1" t="s">
        <v>5588</v>
      </c>
      <c r="T1138" s="1" t="s">
        <v>4342</v>
      </c>
      <c r="U1138" s="1" t="s">
        <v>5589</v>
      </c>
    </row>
    <row r="1139" customFormat="false" ht="13.8" hidden="false" customHeight="false" outlineLevel="0" collapsed="false">
      <c r="A1139" s="1" t="n">
        <v>1138</v>
      </c>
      <c r="B1139" s="2" t="s">
        <v>5590</v>
      </c>
      <c r="C1139" s="1" t="n">
        <v>2</v>
      </c>
      <c r="D1139" s="1" t="n">
        <v>4</v>
      </c>
      <c r="E1139" s="1" t="n">
        <v>15</v>
      </c>
      <c r="F1139" s="1" t="n">
        <v>18</v>
      </c>
      <c r="G1139" s="1" t="n">
        <v>25</v>
      </c>
      <c r="H1139" s="1" t="n">
        <v>36</v>
      </c>
      <c r="I1139" s="1" t="str">
        <f aca="false">RIGHT(("0"&amp;C1139),2)&amp;RIGHT(("0"&amp;D1139),2)&amp;RIGHT(("0"&amp;E1139),2)&amp;RIGHT(("0"&amp;F1139),2)&amp;RIGHT(("0"&amp;G1139),2)&amp;RIGHT(("0"&amp;H1139),2)</f>
        <v>020415182536</v>
      </c>
      <c r="J1139" s="1" t="n">
        <f aca="false">COUNTIF(I:I,I1139)</f>
        <v>1</v>
      </c>
      <c r="K1139" s="1" t="n">
        <v>0</v>
      </c>
      <c r="M1139" s="1" t="s">
        <v>23</v>
      </c>
      <c r="N1139" s="1" t="n">
        <v>118</v>
      </c>
      <c r="O1139" s="1" t="s">
        <v>5591</v>
      </c>
      <c r="P1139" s="1" t="n">
        <v>6796</v>
      </c>
      <c r="Q1139" s="1" t="s">
        <v>5592</v>
      </c>
      <c r="R1139" s="1" t="s">
        <v>5593</v>
      </c>
      <c r="S1139" s="1" t="s">
        <v>5594</v>
      </c>
      <c r="T1139" s="1" t="s">
        <v>4991</v>
      </c>
      <c r="U1139" s="1" t="s">
        <v>5595</v>
      </c>
    </row>
    <row r="1140" customFormat="false" ht="13.8" hidden="false" customHeight="false" outlineLevel="0" collapsed="false">
      <c r="A1140" s="1" t="n">
        <v>1139</v>
      </c>
      <c r="B1140" s="2" t="s">
        <v>5596</v>
      </c>
      <c r="C1140" s="1" t="n">
        <v>9</v>
      </c>
      <c r="D1140" s="1" t="n">
        <v>28</v>
      </c>
      <c r="E1140" s="1" t="n">
        <v>31</v>
      </c>
      <c r="F1140" s="1" t="n">
        <v>36</v>
      </c>
      <c r="G1140" s="1" t="n">
        <v>37</v>
      </c>
      <c r="H1140" s="1" t="n">
        <v>42</v>
      </c>
      <c r="I1140" s="1" t="str">
        <f aca="false">RIGHT(("0"&amp;C1140),2)&amp;RIGHT(("0"&amp;D1140),2)&amp;RIGHT(("0"&amp;E1140),2)&amp;RIGHT(("0"&amp;F1140),2)&amp;RIGHT(("0"&amp;G1140),2)&amp;RIGHT(("0"&amp;H1140),2)</f>
        <v>092831363742</v>
      </c>
      <c r="J1140" s="1" t="n">
        <f aca="false">COUNTIF(I:I,I1140)</f>
        <v>1</v>
      </c>
      <c r="K1140" s="1" t="n">
        <v>0</v>
      </c>
      <c r="M1140" s="1" t="s">
        <v>23</v>
      </c>
      <c r="N1140" s="1" t="n">
        <v>25</v>
      </c>
      <c r="O1140" s="1" t="s">
        <v>5597</v>
      </c>
      <c r="P1140" s="1" t="n">
        <v>2049</v>
      </c>
      <c r="Q1140" s="1" t="s">
        <v>5598</v>
      </c>
      <c r="R1140" s="1" t="s">
        <v>5599</v>
      </c>
      <c r="S1140" s="1" t="s">
        <v>5600</v>
      </c>
      <c r="T1140" s="1" t="s">
        <v>5601</v>
      </c>
      <c r="U1140" s="1" t="s">
        <v>5599</v>
      </c>
      <c r="V1140" s="1" t="s">
        <v>5602</v>
      </c>
    </row>
    <row r="1141" customFormat="false" ht="13.8" hidden="false" customHeight="false" outlineLevel="0" collapsed="false">
      <c r="A1141" s="1" t="n">
        <v>1140</v>
      </c>
      <c r="B1141" s="2" t="s">
        <v>5603</v>
      </c>
      <c r="C1141" s="1" t="n">
        <v>10</v>
      </c>
      <c r="D1141" s="1" t="n">
        <v>27</v>
      </c>
      <c r="E1141" s="1" t="n">
        <v>40</v>
      </c>
      <c r="F1141" s="1" t="n">
        <v>46</v>
      </c>
      <c r="G1141" s="1" t="n">
        <v>49</v>
      </c>
      <c r="H1141" s="1" t="n">
        <v>58</v>
      </c>
      <c r="I1141" s="1" t="str">
        <f aca="false">RIGHT(("0"&amp;C1141),2)&amp;RIGHT(("0"&amp;D1141),2)&amp;RIGHT(("0"&amp;E1141),2)&amp;RIGHT(("0"&amp;F1141),2)&amp;RIGHT(("0"&amp;G1141),2)&amp;RIGHT(("0"&amp;H1141),2)</f>
        <v>102740464958</v>
      </c>
      <c r="J1141" s="1" t="n">
        <f aca="false">COUNTIF(I:I,I1141)</f>
        <v>1</v>
      </c>
      <c r="K1141" s="1" t="n">
        <v>2</v>
      </c>
      <c r="L1141" s="1" t="s">
        <v>5604</v>
      </c>
      <c r="M1141" s="1" t="s">
        <v>5605</v>
      </c>
      <c r="N1141" s="1" t="n">
        <v>734</v>
      </c>
      <c r="O1141" s="1" t="s">
        <v>5606</v>
      </c>
      <c r="P1141" s="1" t="n">
        <v>55988</v>
      </c>
      <c r="Q1141" s="1" t="s">
        <v>5607</v>
      </c>
      <c r="R1141" s="1" t="s">
        <v>23</v>
      </c>
      <c r="S1141" s="1" t="s">
        <v>5608</v>
      </c>
      <c r="T1141" s="1" t="s">
        <v>4218</v>
      </c>
      <c r="U1141" s="1" t="s">
        <v>23</v>
      </c>
    </row>
    <row r="1142" customFormat="false" ht="13.8" hidden="false" customHeight="false" outlineLevel="0" collapsed="false">
      <c r="A1142" s="1" t="n">
        <v>1141</v>
      </c>
      <c r="B1142" s="2" t="s">
        <v>5609</v>
      </c>
      <c r="C1142" s="1" t="n">
        <v>9</v>
      </c>
      <c r="D1142" s="1" t="n">
        <v>37</v>
      </c>
      <c r="E1142" s="1" t="n">
        <v>40</v>
      </c>
      <c r="F1142" s="1" t="n">
        <v>50</v>
      </c>
      <c r="G1142" s="1" t="n">
        <v>58</v>
      </c>
      <c r="H1142" s="1" t="n">
        <v>60</v>
      </c>
      <c r="I1142" s="1" t="str">
        <f aca="false">RIGHT(("0"&amp;C1142),2)&amp;RIGHT(("0"&amp;D1142),2)&amp;RIGHT(("0"&amp;E1142),2)&amp;RIGHT(("0"&amp;F1142),2)&amp;RIGHT(("0"&amp;G1142),2)&amp;RIGHT(("0"&amp;H1142),2)</f>
        <v>093740505860</v>
      </c>
      <c r="J1142" s="1" t="n">
        <f aca="false">COUNTIF(I:I,I1142)</f>
        <v>1</v>
      </c>
      <c r="K1142" s="1" t="n">
        <v>0</v>
      </c>
      <c r="M1142" s="1" t="s">
        <v>23</v>
      </c>
      <c r="N1142" s="1" t="n">
        <v>6</v>
      </c>
      <c r="O1142" s="1" t="s">
        <v>5610</v>
      </c>
      <c r="P1142" s="1" t="n">
        <v>683</v>
      </c>
      <c r="Q1142" s="1" t="s">
        <v>5611</v>
      </c>
      <c r="R1142" s="1" t="s">
        <v>5612</v>
      </c>
      <c r="S1142" s="1" t="s">
        <v>5613</v>
      </c>
      <c r="T1142" s="1" t="s">
        <v>4732</v>
      </c>
      <c r="U1142" s="1" t="s">
        <v>5614</v>
      </c>
    </row>
    <row r="1143" customFormat="false" ht="13.8" hidden="false" customHeight="false" outlineLevel="0" collapsed="false">
      <c r="A1143" s="1" t="n">
        <v>1142</v>
      </c>
      <c r="B1143" s="2" t="s">
        <v>5615</v>
      </c>
      <c r="C1143" s="1" t="n">
        <v>3</v>
      </c>
      <c r="D1143" s="1" t="n">
        <v>15</v>
      </c>
      <c r="E1143" s="1" t="n">
        <v>26</v>
      </c>
      <c r="F1143" s="1" t="n">
        <v>28</v>
      </c>
      <c r="G1143" s="1" t="n">
        <v>31</v>
      </c>
      <c r="H1143" s="1" t="n">
        <v>58</v>
      </c>
      <c r="I1143" s="1" t="str">
        <f aca="false">RIGHT(("0"&amp;C1143),2)&amp;RIGHT(("0"&amp;D1143),2)&amp;RIGHT(("0"&amp;E1143),2)&amp;RIGHT(("0"&amp;F1143),2)&amp;RIGHT(("0"&amp;G1143),2)&amp;RIGHT(("0"&amp;H1143),2)</f>
        <v>031526283158</v>
      </c>
      <c r="J1143" s="1" t="n">
        <f aca="false">COUNTIF(I:I,I1143)</f>
        <v>1</v>
      </c>
      <c r="K1143" s="1" t="n">
        <v>0</v>
      </c>
      <c r="M1143" s="1" t="s">
        <v>23</v>
      </c>
      <c r="N1143" s="1" t="n">
        <v>66</v>
      </c>
      <c r="O1143" s="1" t="s">
        <v>5616</v>
      </c>
      <c r="P1143" s="1" t="n">
        <v>3640</v>
      </c>
      <c r="Q1143" s="1" t="s">
        <v>5617</v>
      </c>
      <c r="R1143" s="1" t="s">
        <v>5618</v>
      </c>
      <c r="S1143" s="1" t="s">
        <v>5619</v>
      </c>
      <c r="T1143" s="1" t="s">
        <v>4227</v>
      </c>
      <c r="U1143" s="1" t="s">
        <v>5620</v>
      </c>
    </row>
    <row r="1144" customFormat="false" ht="13.8" hidden="false" customHeight="false" outlineLevel="0" collapsed="false">
      <c r="A1144" s="1" t="n">
        <v>1143</v>
      </c>
      <c r="B1144" s="2" t="s">
        <v>5621</v>
      </c>
      <c r="C1144" s="1" t="n">
        <v>3</v>
      </c>
      <c r="D1144" s="1" t="n">
        <v>30</v>
      </c>
      <c r="E1144" s="1" t="n">
        <v>35</v>
      </c>
      <c r="F1144" s="1" t="n">
        <v>44</v>
      </c>
      <c r="G1144" s="1" t="n">
        <v>47</v>
      </c>
      <c r="H1144" s="1" t="n">
        <v>60</v>
      </c>
      <c r="I1144" s="1" t="str">
        <f aca="false">RIGHT(("0"&amp;C1144),2)&amp;RIGHT(("0"&amp;D1144),2)&amp;RIGHT(("0"&amp;E1144),2)&amp;RIGHT(("0"&amp;F1144),2)&amp;RIGHT(("0"&amp;G1144),2)&amp;RIGHT(("0"&amp;H1144),2)</f>
        <v>033035444760</v>
      </c>
      <c r="J1144" s="1" t="n">
        <f aca="false">COUNTIF(I:I,I1144)</f>
        <v>1</v>
      </c>
      <c r="K1144" s="1" t="n">
        <v>0</v>
      </c>
      <c r="M1144" s="1" t="s">
        <v>23</v>
      </c>
      <c r="N1144" s="1" t="n">
        <v>52</v>
      </c>
      <c r="O1144" s="1" t="s">
        <v>5622</v>
      </c>
      <c r="P1144" s="1" t="n">
        <v>3686</v>
      </c>
      <c r="Q1144" s="1" t="s">
        <v>5623</v>
      </c>
      <c r="R1144" s="1" t="s">
        <v>5624</v>
      </c>
      <c r="S1144" s="1" t="s">
        <v>5625</v>
      </c>
      <c r="T1144" s="1" t="s">
        <v>4232</v>
      </c>
      <c r="U1144" s="1" t="s">
        <v>5626</v>
      </c>
    </row>
    <row r="1145" customFormat="false" ht="13.8" hidden="false" customHeight="false" outlineLevel="0" collapsed="false">
      <c r="A1145" s="1" t="n">
        <v>1144</v>
      </c>
      <c r="B1145" s="2" t="s">
        <v>5627</v>
      </c>
      <c r="C1145" s="1" t="n">
        <v>1</v>
      </c>
      <c r="D1145" s="1" t="n">
        <v>10</v>
      </c>
      <c r="E1145" s="1" t="n">
        <v>18</v>
      </c>
      <c r="F1145" s="1" t="n">
        <v>19</v>
      </c>
      <c r="G1145" s="1" t="n">
        <v>44</v>
      </c>
      <c r="H1145" s="1" t="n">
        <v>49</v>
      </c>
      <c r="I1145" s="1" t="str">
        <f aca="false">RIGHT(("0"&amp;C1145),2)&amp;RIGHT(("0"&amp;D1145),2)&amp;RIGHT(("0"&amp;E1145),2)&amp;RIGHT(("0"&amp;F1145),2)&amp;RIGHT(("0"&amp;G1145),2)&amp;RIGHT(("0"&amp;H1145),2)</f>
        <v>011018194449</v>
      </c>
      <c r="J1145" s="1" t="n">
        <f aca="false">COUNTIF(I:I,I1145)</f>
        <v>1</v>
      </c>
      <c r="K1145" s="1" t="n">
        <v>0</v>
      </c>
      <c r="M1145" s="1" t="s">
        <v>23</v>
      </c>
      <c r="N1145" s="1" t="n">
        <v>92</v>
      </c>
      <c r="O1145" s="1" t="s">
        <v>5628</v>
      </c>
      <c r="P1145" s="1" t="n">
        <v>6105</v>
      </c>
      <c r="Q1145" s="1" t="s">
        <v>3590</v>
      </c>
      <c r="R1145" s="1" t="s">
        <v>5629</v>
      </c>
      <c r="S1145" s="1" t="s">
        <v>5630</v>
      </c>
      <c r="T1145" s="1" t="s">
        <v>3602</v>
      </c>
      <c r="U1145" s="1" t="s">
        <v>5631</v>
      </c>
    </row>
    <row r="1146" customFormat="false" ht="13.8" hidden="false" customHeight="false" outlineLevel="0" collapsed="false">
      <c r="A1146" s="1" t="n">
        <v>1145</v>
      </c>
      <c r="B1146" s="2" t="s">
        <v>5632</v>
      </c>
      <c r="C1146" s="1" t="n">
        <v>3</v>
      </c>
      <c r="D1146" s="1" t="n">
        <v>16</v>
      </c>
      <c r="E1146" s="1" t="n">
        <v>19</v>
      </c>
      <c r="F1146" s="1" t="n">
        <v>24</v>
      </c>
      <c r="G1146" s="1" t="n">
        <v>33</v>
      </c>
      <c r="H1146" s="1" t="n">
        <v>60</v>
      </c>
      <c r="I1146" s="1" t="str">
        <f aca="false">RIGHT(("0"&amp;C1146),2)&amp;RIGHT(("0"&amp;D1146),2)&amp;RIGHT(("0"&amp;E1146),2)&amp;RIGHT(("0"&amp;F1146),2)&amp;RIGHT(("0"&amp;G1146),2)&amp;RIGHT(("0"&amp;H1146),2)</f>
        <v>031619243360</v>
      </c>
      <c r="J1146" s="1" t="n">
        <f aca="false">COUNTIF(I:I,I1146)</f>
        <v>1</v>
      </c>
      <c r="K1146" s="1" t="n">
        <v>1</v>
      </c>
      <c r="L1146" s="1" t="s">
        <v>5633</v>
      </c>
      <c r="M1146" s="1" t="s">
        <v>5634</v>
      </c>
      <c r="N1146" s="1" t="n">
        <v>129</v>
      </c>
      <c r="O1146" s="1" t="s">
        <v>5635</v>
      </c>
      <c r="P1146" s="1" t="n">
        <v>8734</v>
      </c>
      <c r="Q1146" s="1" t="s">
        <v>5636</v>
      </c>
      <c r="R1146" s="1" t="s">
        <v>23</v>
      </c>
      <c r="S1146" s="1" t="s">
        <v>5637</v>
      </c>
      <c r="T1146" s="1" t="s">
        <v>4732</v>
      </c>
      <c r="U1146" s="1" t="s">
        <v>5638</v>
      </c>
    </row>
    <row r="1147" customFormat="false" ht="13.8" hidden="false" customHeight="false" outlineLevel="0" collapsed="false">
      <c r="A1147" s="1" t="n">
        <v>1146</v>
      </c>
      <c r="B1147" s="2" t="s">
        <v>5639</v>
      </c>
      <c r="C1147" s="1" t="n">
        <v>6</v>
      </c>
      <c r="D1147" s="1" t="n">
        <v>10</v>
      </c>
      <c r="E1147" s="1" t="n">
        <v>28</v>
      </c>
      <c r="F1147" s="1" t="n">
        <v>33</v>
      </c>
      <c r="G1147" s="1" t="n">
        <v>34</v>
      </c>
      <c r="H1147" s="1" t="n">
        <v>53</v>
      </c>
      <c r="I1147" s="1" t="str">
        <f aca="false">RIGHT(("0"&amp;C1147),2)&amp;RIGHT(("0"&amp;D1147),2)&amp;RIGHT(("0"&amp;E1147),2)&amp;RIGHT(("0"&amp;F1147),2)&amp;RIGHT(("0"&amp;G1147),2)&amp;RIGHT(("0"&amp;H1147),2)</f>
        <v>061028333453</v>
      </c>
      <c r="J1147" s="1" t="n">
        <f aca="false">COUNTIF(I:I,I1147)</f>
        <v>1</v>
      </c>
      <c r="K1147" s="1" t="n">
        <v>0</v>
      </c>
      <c r="M1147" s="1" t="s">
        <v>23</v>
      </c>
      <c r="N1147" s="1" t="n">
        <v>53</v>
      </c>
      <c r="O1147" s="1" t="s">
        <v>5640</v>
      </c>
      <c r="P1147" s="1" t="n">
        <v>3641</v>
      </c>
      <c r="Q1147" s="1" t="s">
        <v>5641</v>
      </c>
      <c r="R1147" s="1" t="s">
        <v>5642</v>
      </c>
      <c r="S1147" s="1" t="s">
        <v>5643</v>
      </c>
      <c r="T1147" s="1" t="s">
        <v>4409</v>
      </c>
      <c r="U1147" s="1" t="s">
        <v>5644</v>
      </c>
    </row>
    <row r="1148" customFormat="false" ht="13.8" hidden="false" customHeight="false" outlineLevel="0" collapsed="false">
      <c r="A1148" s="1" t="n">
        <v>1147</v>
      </c>
      <c r="B1148" s="2" t="s">
        <v>5645</v>
      </c>
      <c r="C1148" s="1" t="n">
        <v>6</v>
      </c>
      <c r="D1148" s="1" t="n">
        <v>23</v>
      </c>
      <c r="E1148" s="1" t="n">
        <v>31</v>
      </c>
      <c r="F1148" s="1" t="n">
        <v>33</v>
      </c>
      <c r="G1148" s="1" t="n">
        <v>39</v>
      </c>
      <c r="H1148" s="1" t="n">
        <v>52</v>
      </c>
      <c r="I1148" s="1" t="str">
        <f aca="false">RIGHT(("0"&amp;C1148),2)&amp;RIGHT(("0"&amp;D1148),2)&amp;RIGHT(("0"&amp;E1148),2)&amp;RIGHT(("0"&amp;F1148),2)&amp;RIGHT(("0"&amp;G1148),2)&amp;RIGHT(("0"&amp;H1148),2)</f>
        <v>062331333952</v>
      </c>
      <c r="J1148" s="1" t="n">
        <f aca="false">COUNTIF(I:I,I1148)</f>
        <v>1</v>
      </c>
      <c r="K1148" s="1" t="n">
        <v>0</v>
      </c>
      <c r="M1148" s="1" t="s">
        <v>23</v>
      </c>
      <c r="N1148" s="1" t="n">
        <v>30</v>
      </c>
      <c r="O1148" s="1" t="s">
        <v>5646</v>
      </c>
      <c r="P1148" s="1" t="n">
        <v>3040</v>
      </c>
      <c r="Q1148" s="1" t="s">
        <v>5647</v>
      </c>
      <c r="R1148" s="1" t="s">
        <v>5648</v>
      </c>
      <c r="S1148" s="1" t="s">
        <v>5649</v>
      </c>
      <c r="T1148" s="1" t="s">
        <v>4232</v>
      </c>
      <c r="U1148" s="1" t="s">
        <v>5650</v>
      </c>
    </row>
    <row r="1149" customFormat="false" ht="13.8" hidden="false" customHeight="false" outlineLevel="0" collapsed="false">
      <c r="A1149" s="1" t="n">
        <v>1148</v>
      </c>
      <c r="B1149" s="2" t="s">
        <v>5651</v>
      </c>
      <c r="C1149" s="1" t="n">
        <v>27</v>
      </c>
      <c r="D1149" s="1" t="n">
        <v>28</v>
      </c>
      <c r="E1149" s="1" t="n">
        <v>29</v>
      </c>
      <c r="F1149" s="1" t="n">
        <v>32</v>
      </c>
      <c r="G1149" s="1" t="n">
        <v>48</v>
      </c>
      <c r="H1149" s="1" t="n">
        <v>55</v>
      </c>
      <c r="I1149" s="1" t="str">
        <f aca="false">RIGHT(("0"&amp;C1149),2)&amp;RIGHT(("0"&amp;D1149),2)&amp;RIGHT(("0"&amp;E1149),2)&amp;RIGHT(("0"&amp;F1149),2)&amp;RIGHT(("0"&amp;G1149),2)&amp;RIGHT(("0"&amp;H1149),2)</f>
        <v>272829324855</v>
      </c>
      <c r="J1149" s="1" t="n">
        <f aca="false">COUNTIF(I:I,I1149)</f>
        <v>1</v>
      </c>
      <c r="K1149" s="1" t="n">
        <v>0</v>
      </c>
      <c r="M1149" s="1" t="s">
        <v>23</v>
      </c>
      <c r="N1149" s="1" t="n">
        <v>37</v>
      </c>
      <c r="O1149" s="1" t="s">
        <v>5652</v>
      </c>
      <c r="P1149" s="1" t="n">
        <v>3792</v>
      </c>
      <c r="Q1149" s="1" t="s">
        <v>5653</v>
      </c>
      <c r="R1149" s="1" t="s">
        <v>5654</v>
      </c>
      <c r="S1149" s="1" t="s">
        <v>5655</v>
      </c>
      <c r="T1149" s="1" t="s">
        <v>4190</v>
      </c>
      <c r="U1149" s="1" t="s">
        <v>5656</v>
      </c>
    </row>
    <row r="1150" customFormat="false" ht="13.8" hidden="false" customHeight="false" outlineLevel="0" collapsed="false">
      <c r="A1150" s="1" t="n">
        <v>1149</v>
      </c>
      <c r="B1150" s="2" t="s">
        <v>5657</v>
      </c>
      <c r="C1150" s="1" t="n">
        <v>7</v>
      </c>
      <c r="D1150" s="1" t="n">
        <v>8</v>
      </c>
      <c r="E1150" s="1" t="n">
        <v>23</v>
      </c>
      <c r="F1150" s="1" t="n">
        <v>36</v>
      </c>
      <c r="G1150" s="1" t="n">
        <v>46</v>
      </c>
      <c r="H1150" s="1" t="n">
        <v>54</v>
      </c>
      <c r="I1150" s="1" t="str">
        <f aca="false">RIGHT(("0"&amp;C1150),2)&amp;RIGHT(("0"&amp;D1150),2)&amp;RIGHT(("0"&amp;E1150),2)&amp;RIGHT(("0"&amp;F1150),2)&amp;RIGHT(("0"&amp;G1150),2)&amp;RIGHT(("0"&amp;H1150),2)</f>
        <v>070823364654</v>
      </c>
      <c r="J1150" s="1" t="n">
        <f aca="false">COUNTIF(I:I,I1150)</f>
        <v>1</v>
      </c>
      <c r="K1150" s="1" t="n">
        <v>0</v>
      </c>
      <c r="M1150" s="1" t="s">
        <v>23</v>
      </c>
      <c r="N1150" s="1" t="n">
        <v>91</v>
      </c>
      <c r="O1150" s="1" t="s">
        <v>5658</v>
      </c>
      <c r="P1150" s="1" t="n">
        <v>6998</v>
      </c>
      <c r="Q1150" s="1" t="s">
        <v>5659</v>
      </c>
      <c r="R1150" s="1" t="s">
        <v>5660</v>
      </c>
      <c r="S1150" s="1" t="s">
        <v>5661</v>
      </c>
      <c r="T1150" s="1" t="s">
        <v>4273</v>
      </c>
      <c r="U1150" s="1" t="s">
        <v>5662</v>
      </c>
    </row>
    <row r="1151" customFormat="false" ht="13.8" hidden="false" customHeight="false" outlineLevel="0" collapsed="false">
      <c r="A1151" s="1" t="n">
        <v>1150</v>
      </c>
      <c r="B1151" s="2" t="s">
        <v>5663</v>
      </c>
      <c r="C1151" s="1" t="n">
        <v>15</v>
      </c>
      <c r="D1151" s="1" t="n">
        <v>17</v>
      </c>
      <c r="E1151" s="1" t="n">
        <v>28</v>
      </c>
      <c r="F1151" s="1" t="n">
        <v>31</v>
      </c>
      <c r="G1151" s="1" t="n">
        <v>35</v>
      </c>
      <c r="H1151" s="1" t="n">
        <v>52</v>
      </c>
      <c r="I1151" s="1" t="str">
        <f aca="false">RIGHT(("0"&amp;C1151),2)&amp;RIGHT(("0"&amp;D1151),2)&amp;RIGHT(("0"&amp;E1151),2)&amp;RIGHT(("0"&amp;F1151),2)&amp;RIGHT(("0"&amp;G1151),2)&amp;RIGHT(("0"&amp;H1151),2)</f>
        <v>151728313552</v>
      </c>
      <c r="J1151" s="1" t="n">
        <f aca="false">COUNTIF(I:I,I1151)</f>
        <v>1</v>
      </c>
      <c r="K1151" s="1" t="n">
        <v>0</v>
      </c>
      <c r="M1151" s="1" t="s">
        <v>23</v>
      </c>
      <c r="N1151" s="1" t="n">
        <v>58</v>
      </c>
      <c r="O1151" s="1" t="s">
        <v>5664</v>
      </c>
      <c r="P1151" s="1" t="n">
        <v>5033</v>
      </c>
      <c r="Q1151" s="1" t="s">
        <v>5665</v>
      </c>
      <c r="R1151" s="1" t="s">
        <v>5666</v>
      </c>
      <c r="S1151" s="1" t="s">
        <v>5667</v>
      </c>
      <c r="T1151" s="1" t="s">
        <v>4328</v>
      </c>
      <c r="U1151" s="1" t="s">
        <v>5668</v>
      </c>
    </row>
    <row r="1152" customFormat="false" ht="13.8" hidden="false" customHeight="false" outlineLevel="0" collapsed="false">
      <c r="A1152" s="1" t="n">
        <v>1151</v>
      </c>
      <c r="B1152" s="2" t="s">
        <v>5669</v>
      </c>
      <c r="C1152" s="1" t="n">
        <v>1</v>
      </c>
      <c r="D1152" s="1" t="n">
        <v>4</v>
      </c>
      <c r="E1152" s="1" t="n">
        <v>14</v>
      </c>
      <c r="F1152" s="1" t="n">
        <v>21</v>
      </c>
      <c r="G1152" s="1" t="n">
        <v>25</v>
      </c>
      <c r="H1152" s="1" t="n">
        <v>51</v>
      </c>
      <c r="I1152" s="1" t="str">
        <f aca="false">RIGHT(("0"&amp;C1152),2)&amp;RIGHT(("0"&amp;D1152),2)&amp;RIGHT(("0"&amp;E1152),2)&amp;RIGHT(("0"&amp;F1152),2)&amp;RIGHT(("0"&amp;G1152),2)&amp;RIGHT(("0"&amp;H1152),2)</f>
        <v>010414212551</v>
      </c>
      <c r="J1152" s="1" t="n">
        <f aca="false">COUNTIF(I:I,I1152)</f>
        <v>1</v>
      </c>
      <c r="K1152" s="1" t="n">
        <v>0</v>
      </c>
      <c r="M1152" s="1" t="s">
        <v>23</v>
      </c>
      <c r="N1152" s="1" t="n">
        <v>101</v>
      </c>
      <c r="O1152" s="1" t="s">
        <v>5670</v>
      </c>
      <c r="P1152" s="1" t="n">
        <v>7455</v>
      </c>
      <c r="Q1152" s="1" t="s">
        <v>5671</v>
      </c>
      <c r="R1152" s="1" t="s">
        <v>5672</v>
      </c>
      <c r="S1152" s="1" t="s">
        <v>5673</v>
      </c>
      <c r="T1152" s="1" t="s">
        <v>5242</v>
      </c>
      <c r="U1152" s="1" t="s">
        <v>5674</v>
      </c>
    </row>
    <row r="1153" customFormat="false" ht="13.8" hidden="false" customHeight="false" outlineLevel="0" collapsed="false">
      <c r="A1153" s="1" t="n">
        <v>1152</v>
      </c>
      <c r="B1153" s="2" t="s">
        <v>5675</v>
      </c>
      <c r="C1153" s="1" t="n">
        <v>14</v>
      </c>
      <c r="D1153" s="1" t="n">
        <v>20</v>
      </c>
      <c r="E1153" s="1" t="n">
        <v>29</v>
      </c>
      <c r="F1153" s="1" t="n">
        <v>36</v>
      </c>
      <c r="G1153" s="1" t="n">
        <v>44</v>
      </c>
      <c r="H1153" s="1" t="n">
        <v>47</v>
      </c>
      <c r="I1153" s="1" t="str">
        <f aca="false">RIGHT(("0"&amp;C1153),2)&amp;RIGHT(("0"&amp;D1153),2)&amp;RIGHT(("0"&amp;E1153),2)&amp;RIGHT(("0"&amp;F1153),2)&amp;RIGHT(("0"&amp;G1153),2)&amp;RIGHT(("0"&amp;H1153),2)</f>
        <v>142029364447</v>
      </c>
      <c r="J1153" s="1" t="n">
        <f aca="false">COUNTIF(I:I,I1153)</f>
        <v>1</v>
      </c>
      <c r="K1153" s="1" t="n">
        <v>0</v>
      </c>
      <c r="M1153" s="1" t="s">
        <v>23</v>
      </c>
      <c r="N1153" s="1" t="n">
        <v>99</v>
      </c>
      <c r="O1153" s="1" t="s">
        <v>5676</v>
      </c>
      <c r="P1153" s="1" t="n">
        <v>6884</v>
      </c>
      <c r="Q1153" s="1" t="s">
        <v>5677</v>
      </c>
      <c r="R1153" s="1" t="s">
        <v>5678</v>
      </c>
      <c r="S1153" s="1" t="s">
        <v>5679</v>
      </c>
      <c r="T1153" s="1" t="s">
        <v>4935</v>
      </c>
      <c r="U1153" s="1" t="s">
        <v>5680</v>
      </c>
    </row>
    <row r="1154" customFormat="false" ht="13.8" hidden="false" customHeight="false" outlineLevel="0" collapsed="false">
      <c r="A1154" s="1" t="n">
        <v>1153</v>
      </c>
      <c r="B1154" s="2" t="s">
        <v>5681</v>
      </c>
      <c r="C1154" s="1" t="n">
        <v>6</v>
      </c>
      <c r="D1154" s="1" t="n">
        <v>17</v>
      </c>
      <c r="E1154" s="1" t="n">
        <v>19</v>
      </c>
      <c r="F1154" s="1" t="n">
        <v>34</v>
      </c>
      <c r="G1154" s="1" t="n">
        <v>46</v>
      </c>
      <c r="H1154" s="1" t="n">
        <v>55</v>
      </c>
      <c r="I1154" s="1" t="str">
        <f aca="false">RIGHT(("0"&amp;C1154),2)&amp;RIGHT(("0"&amp;D1154),2)&amp;RIGHT(("0"&amp;E1154),2)&amp;RIGHT(("0"&amp;F1154),2)&amp;RIGHT(("0"&amp;G1154),2)&amp;RIGHT(("0"&amp;H1154),2)</f>
        <v>061719344655</v>
      </c>
      <c r="J1154" s="1" t="n">
        <f aca="false">COUNTIF(I:I,I1154)</f>
        <v>1</v>
      </c>
      <c r="K1154" s="1" t="n">
        <v>0</v>
      </c>
      <c r="M1154" s="1" t="s">
        <v>23</v>
      </c>
      <c r="N1154" s="1" t="n">
        <v>148</v>
      </c>
      <c r="O1154" s="1" t="s">
        <v>5682</v>
      </c>
      <c r="P1154" s="1" t="n">
        <v>9655</v>
      </c>
      <c r="Q1154" s="1" t="s">
        <v>5683</v>
      </c>
      <c r="R1154" s="1" t="s">
        <v>5684</v>
      </c>
      <c r="S1154" s="1" t="s">
        <v>5685</v>
      </c>
      <c r="T1154" s="1" t="s">
        <v>5686</v>
      </c>
      <c r="U1154" s="1" t="s">
        <v>5687</v>
      </c>
    </row>
    <row r="1155" customFormat="false" ht="13.8" hidden="false" customHeight="false" outlineLevel="0" collapsed="false">
      <c r="A1155" s="1" t="n">
        <v>1154</v>
      </c>
      <c r="B1155" s="2" t="s">
        <v>5688</v>
      </c>
      <c r="C1155" s="1" t="n">
        <v>4</v>
      </c>
      <c r="D1155" s="1" t="n">
        <v>12</v>
      </c>
      <c r="E1155" s="1" t="n">
        <v>14</v>
      </c>
      <c r="F1155" s="1" t="n">
        <v>21</v>
      </c>
      <c r="G1155" s="1" t="n">
        <v>26</v>
      </c>
      <c r="H1155" s="1" t="n">
        <v>28</v>
      </c>
      <c r="I1155" s="1" t="str">
        <f aca="false">RIGHT(("0"&amp;C1155),2)&amp;RIGHT(("0"&amp;D1155),2)&amp;RIGHT(("0"&amp;E1155),2)&amp;RIGHT(("0"&amp;F1155),2)&amp;RIGHT(("0"&amp;G1155),2)&amp;RIGHT(("0"&amp;H1155),2)</f>
        <v>041214212628</v>
      </c>
      <c r="J1155" s="1" t="n">
        <f aca="false">COUNTIF(I:I,I1155)</f>
        <v>1</v>
      </c>
      <c r="K1155" s="1" t="n">
        <v>0</v>
      </c>
      <c r="M1155" s="1" t="s">
        <v>23</v>
      </c>
      <c r="N1155" s="1" t="n">
        <v>141</v>
      </c>
      <c r="O1155" s="1" t="s">
        <v>5689</v>
      </c>
      <c r="P1155" s="1" t="n">
        <v>8206</v>
      </c>
      <c r="Q1155" s="1" t="s">
        <v>5690</v>
      </c>
      <c r="R1155" s="1" t="s">
        <v>5691</v>
      </c>
      <c r="S1155" s="1" t="s">
        <v>5692</v>
      </c>
      <c r="T1155" s="1" t="s">
        <v>4727</v>
      </c>
      <c r="U1155" s="1" t="s">
        <v>5693</v>
      </c>
    </row>
    <row r="1156" customFormat="false" ht="13.8" hidden="false" customHeight="false" outlineLevel="0" collapsed="false">
      <c r="A1156" s="1" t="n">
        <v>1155</v>
      </c>
      <c r="B1156" s="2" t="s">
        <v>5694</v>
      </c>
      <c r="C1156" s="1" t="n">
        <v>20</v>
      </c>
      <c r="D1156" s="1" t="n">
        <v>28</v>
      </c>
      <c r="E1156" s="1" t="n">
        <v>40</v>
      </c>
      <c r="F1156" s="1" t="n">
        <v>41</v>
      </c>
      <c r="G1156" s="1" t="n">
        <v>51</v>
      </c>
      <c r="H1156" s="1" t="n">
        <v>58</v>
      </c>
      <c r="I1156" s="1" t="str">
        <f aca="false">RIGHT(("0"&amp;C1156),2)&amp;RIGHT(("0"&amp;D1156),2)&amp;RIGHT(("0"&amp;E1156),2)&amp;RIGHT(("0"&amp;F1156),2)&amp;RIGHT(("0"&amp;G1156),2)&amp;RIGHT(("0"&amp;H1156),2)</f>
        <v>202840415158</v>
      </c>
      <c r="J1156" s="1" t="n">
        <f aca="false">COUNTIF(I:I,I1156)</f>
        <v>1</v>
      </c>
      <c r="K1156" s="1" t="n">
        <v>0</v>
      </c>
      <c r="M1156" s="1" t="s">
        <v>23</v>
      </c>
      <c r="N1156" s="1" t="n">
        <v>76</v>
      </c>
      <c r="O1156" s="1" t="s">
        <v>5695</v>
      </c>
      <c r="P1156" s="1" t="n">
        <v>6061</v>
      </c>
      <c r="Q1156" s="1" t="s">
        <v>5696</v>
      </c>
      <c r="R1156" s="1" t="s">
        <v>5697</v>
      </c>
      <c r="S1156" s="1" t="s">
        <v>5698</v>
      </c>
      <c r="T1156" s="1" t="s">
        <v>5699</v>
      </c>
      <c r="U1156" s="1" t="s">
        <v>5700</v>
      </c>
    </row>
    <row r="1157" customFormat="false" ht="13.8" hidden="false" customHeight="false" outlineLevel="0" collapsed="false">
      <c r="A1157" s="1" t="n">
        <v>1156</v>
      </c>
      <c r="B1157" s="2" t="s">
        <v>5701</v>
      </c>
      <c r="C1157" s="1" t="n">
        <v>9</v>
      </c>
      <c r="D1157" s="1" t="n">
        <v>24</v>
      </c>
      <c r="E1157" s="1" t="n">
        <v>31</v>
      </c>
      <c r="F1157" s="1" t="n">
        <v>44</v>
      </c>
      <c r="G1157" s="1" t="n">
        <v>48</v>
      </c>
      <c r="H1157" s="1" t="n">
        <v>49</v>
      </c>
      <c r="I1157" s="1" t="str">
        <f aca="false">RIGHT(("0"&amp;C1157),2)&amp;RIGHT(("0"&amp;D1157),2)&amp;RIGHT(("0"&amp;E1157),2)&amp;RIGHT(("0"&amp;F1157),2)&amp;RIGHT(("0"&amp;G1157),2)&amp;RIGHT(("0"&amp;H1157),2)</f>
        <v>092431444849</v>
      </c>
      <c r="J1157" s="1" t="n">
        <f aca="false">COUNTIF(I:I,I1157)</f>
        <v>1</v>
      </c>
      <c r="K1157" s="1" t="n">
        <v>0</v>
      </c>
      <c r="M1157" s="1" t="s">
        <v>23</v>
      </c>
      <c r="N1157" s="1" t="n">
        <v>210</v>
      </c>
      <c r="O1157" s="1" t="s">
        <v>5702</v>
      </c>
      <c r="P1157" s="1" t="n">
        <v>15420</v>
      </c>
      <c r="Q1157" s="1" t="s">
        <v>5703</v>
      </c>
      <c r="R1157" s="1" t="s">
        <v>5704</v>
      </c>
      <c r="S1157" s="1" t="s">
        <v>5705</v>
      </c>
      <c r="T1157" s="1" t="s">
        <v>5706</v>
      </c>
      <c r="U1157" s="1" t="s">
        <v>5707</v>
      </c>
    </row>
    <row r="1158" customFormat="false" ht="13.8" hidden="false" customHeight="false" outlineLevel="0" collapsed="false">
      <c r="A1158" s="1" t="n">
        <v>1157</v>
      </c>
      <c r="B1158" s="2" t="s">
        <v>5708</v>
      </c>
      <c r="C1158" s="1" t="n">
        <v>9</v>
      </c>
      <c r="D1158" s="1" t="n">
        <v>29</v>
      </c>
      <c r="E1158" s="1" t="n">
        <v>41</v>
      </c>
      <c r="F1158" s="1" t="n">
        <v>43</v>
      </c>
      <c r="G1158" s="1" t="n">
        <v>46</v>
      </c>
      <c r="H1158" s="1" t="n">
        <v>49</v>
      </c>
      <c r="I1158" s="1" t="str">
        <f aca="false">RIGHT(("0"&amp;C1158),2)&amp;RIGHT(("0"&amp;D1158),2)&amp;RIGHT(("0"&amp;E1158),2)&amp;RIGHT(("0"&amp;F1158),2)&amp;RIGHT(("0"&amp;G1158),2)&amp;RIGHT(("0"&amp;H1158),2)</f>
        <v>092941434649</v>
      </c>
      <c r="J1158" s="1" t="n">
        <f aca="false">COUNTIF(I:I,I1158)</f>
        <v>1</v>
      </c>
      <c r="K1158" s="1" t="n">
        <v>4</v>
      </c>
      <c r="L1158" s="1" t="s">
        <v>5709</v>
      </c>
      <c r="M1158" s="1" t="s">
        <v>5710</v>
      </c>
      <c r="N1158" s="1" t="n">
        <v>248</v>
      </c>
      <c r="O1158" s="1" t="s">
        <v>5711</v>
      </c>
      <c r="P1158" s="1" t="n">
        <v>19079</v>
      </c>
      <c r="Q1158" s="1" t="s">
        <v>5712</v>
      </c>
      <c r="R1158" s="1" t="s">
        <v>23</v>
      </c>
      <c r="S1158" s="1" t="s">
        <v>5713</v>
      </c>
      <c r="T1158" s="1" t="s">
        <v>4256</v>
      </c>
      <c r="U1158" s="1" t="s">
        <v>5714</v>
      </c>
    </row>
    <row r="1159" customFormat="false" ht="13.8" hidden="false" customHeight="false" outlineLevel="0" collapsed="false">
      <c r="A1159" s="1" t="n">
        <v>1158</v>
      </c>
      <c r="B1159" s="2" t="s">
        <v>5715</v>
      </c>
      <c r="C1159" s="1" t="n">
        <v>23</v>
      </c>
      <c r="D1159" s="1" t="n">
        <v>30</v>
      </c>
      <c r="E1159" s="1" t="n">
        <v>31</v>
      </c>
      <c r="F1159" s="1" t="n">
        <v>54</v>
      </c>
      <c r="G1159" s="1" t="n">
        <v>55</v>
      </c>
      <c r="H1159" s="1" t="n">
        <v>60</v>
      </c>
      <c r="I1159" s="1" t="str">
        <f aca="false">RIGHT(("0"&amp;C1159),2)&amp;RIGHT(("0"&amp;D1159),2)&amp;RIGHT(("0"&amp;E1159),2)&amp;RIGHT(("0"&amp;F1159),2)&amp;RIGHT(("0"&amp;G1159),2)&amp;RIGHT(("0"&amp;H1159),2)</f>
        <v>233031545560</v>
      </c>
      <c r="J1159" s="1" t="n">
        <f aca="false">COUNTIF(I:I,I1159)</f>
        <v>1</v>
      </c>
      <c r="K1159" s="1" t="n">
        <v>0</v>
      </c>
      <c r="M1159" s="1" t="s">
        <v>23</v>
      </c>
      <c r="N1159" s="1" t="n">
        <v>38</v>
      </c>
      <c r="O1159" s="1" t="s">
        <v>5716</v>
      </c>
      <c r="P1159" s="1" t="n">
        <v>2442</v>
      </c>
      <c r="Q1159" s="1" t="s">
        <v>5717</v>
      </c>
      <c r="R1159" s="1" t="s">
        <v>5718</v>
      </c>
      <c r="S1159" s="1" t="s">
        <v>5719</v>
      </c>
      <c r="T1159" s="1" t="s">
        <v>4227</v>
      </c>
      <c r="U1159" s="1" t="s">
        <v>5720</v>
      </c>
    </row>
    <row r="1160" customFormat="false" ht="13.8" hidden="false" customHeight="false" outlineLevel="0" collapsed="false">
      <c r="A1160" s="1" t="n">
        <v>1159</v>
      </c>
      <c r="B1160" s="2" t="s">
        <v>5721</v>
      </c>
      <c r="C1160" s="1" t="n">
        <v>5</v>
      </c>
      <c r="D1160" s="1" t="n">
        <v>6</v>
      </c>
      <c r="E1160" s="1" t="n">
        <v>34</v>
      </c>
      <c r="F1160" s="1" t="n">
        <v>46</v>
      </c>
      <c r="G1160" s="1" t="n">
        <v>53</v>
      </c>
      <c r="H1160" s="1" t="n">
        <v>55</v>
      </c>
      <c r="I1160" s="1" t="str">
        <f aca="false">RIGHT(("0"&amp;C1160),2)&amp;RIGHT(("0"&amp;D1160),2)&amp;RIGHT(("0"&amp;E1160),2)&amp;RIGHT(("0"&amp;F1160),2)&amp;RIGHT(("0"&amp;G1160),2)&amp;RIGHT(("0"&amp;H1160),2)</f>
        <v>050634465355</v>
      </c>
      <c r="J1160" s="1" t="n">
        <f aca="false">COUNTIF(I:I,I1160)</f>
        <v>1</v>
      </c>
      <c r="K1160" s="1" t="n">
        <v>0</v>
      </c>
      <c r="M1160" s="1" t="s">
        <v>23</v>
      </c>
      <c r="N1160" s="1" t="n">
        <v>72</v>
      </c>
      <c r="O1160" s="1" t="s">
        <v>5722</v>
      </c>
      <c r="P1160" s="1" t="n">
        <v>7628</v>
      </c>
      <c r="Q1160" s="1" t="s">
        <v>5723</v>
      </c>
      <c r="R1160" s="1" t="s">
        <v>5724</v>
      </c>
      <c r="S1160" s="1" t="s">
        <v>5725</v>
      </c>
      <c r="T1160" s="1" t="s">
        <v>3892</v>
      </c>
      <c r="U1160" s="1" t="s">
        <v>5726</v>
      </c>
    </row>
    <row r="1161" customFormat="false" ht="13.8" hidden="false" customHeight="false" outlineLevel="0" collapsed="false">
      <c r="A1161" s="1" t="n">
        <v>1160</v>
      </c>
      <c r="B1161" s="2" t="s">
        <v>5727</v>
      </c>
      <c r="C1161" s="1" t="n">
        <v>1</v>
      </c>
      <c r="D1161" s="1" t="n">
        <v>3</v>
      </c>
      <c r="E1161" s="1" t="n">
        <v>5</v>
      </c>
      <c r="F1161" s="1" t="n">
        <v>18</v>
      </c>
      <c r="G1161" s="1" t="n">
        <v>40</v>
      </c>
      <c r="H1161" s="1" t="n">
        <v>48</v>
      </c>
      <c r="I1161" s="1" t="str">
        <f aca="false">RIGHT(("0"&amp;C1161),2)&amp;RIGHT(("0"&amp;D1161),2)&amp;RIGHT(("0"&amp;E1161),2)&amp;RIGHT(("0"&amp;F1161),2)&amp;RIGHT(("0"&amp;G1161),2)&amp;RIGHT(("0"&amp;H1161),2)</f>
        <v>010305184048</v>
      </c>
      <c r="J1161" s="1" t="n">
        <f aca="false">COUNTIF(I:I,I1161)</f>
        <v>1</v>
      </c>
      <c r="K1161" s="1" t="n">
        <v>1</v>
      </c>
      <c r="L1161" s="1" t="s">
        <v>5728</v>
      </c>
      <c r="M1161" s="1" t="s">
        <v>5729</v>
      </c>
      <c r="N1161" s="1" t="n">
        <v>118</v>
      </c>
      <c r="O1161" s="1" t="s">
        <v>5730</v>
      </c>
      <c r="P1161" s="1" t="n">
        <v>10504</v>
      </c>
      <c r="Q1161" s="1" t="s">
        <v>5731</v>
      </c>
      <c r="R1161" s="1" t="s">
        <v>23</v>
      </c>
      <c r="S1161" s="1" t="s">
        <v>5732</v>
      </c>
      <c r="T1161" s="1" t="s">
        <v>4732</v>
      </c>
      <c r="U1161" s="1" t="s">
        <v>5733</v>
      </c>
    </row>
    <row r="1162" customFormat="false" ht="13.8" hidden="false" customHeight="false" outlineLevel="0" collapsed="false">
      <c r="A1162" s="1" t="n">
        <v>1161</v>
      </c>
      <c r="B1162" s="2" t="s">
        <v>5734</v>
      </c>
      <c r="C1162" s="1" t="n">
        <v>4</v>
      </c>
      <c r="D1162" s="1" t="n">
        <v>7</v>
      </c>
      <c r="E1162" s="1" t="n">
        <v>42</v>
      </c>
      <c r="F1162" s="1" t="n">
        <v>47</v>
      </c>
      <c r="G1162" s="1" t="n">
        <v>48</v>
      </c>
      <c r="H1162" s="1" t="n">
        <v>51</v>
      </c>
      <c r="I1162" s="1" t="str">
        <f aca="false">RIGHT(("0"&amp;C1162),2)&amp;RIGHT(("0"&amp;D1162),2)&amp;RIGHT(("0"&amp;E1162),2)&amp;RIGHT(("0"&amp;F1162),2)&amp;RIGHT(("0"&amp;G1162),2)&amp;RIGHT(("0"&amp;H1162),2)</f>
        <v>040742474851</v>
      </c>
      <c r="J1162" s="1" t="n">
        <f aca="false">COUNTIF(I:I,I1162)</f>
        <v>1</v>
      </c>
      <c r="K1162" s="1" t="n">
        <v>0</v>
      </c>
      <c r="M1162" s="1" t="s">
        <v>23</v>
      </c>
      <c r="N1162" s="1" t="n">
        <v>43</v>
      </c>
      <c r="O1162" s="1" t="s">
        <v>5735</v>
      </c>
      <c r="P1162" s="1" t="n">
        <v>4214</v>
      </c>
      <c r="Q1162" s="1" t="s">
        <v>5736</v>
      </c>
      <c r="R1162" s="1" t="s">
        <v>5737</v>
      </c>
      <c r="S1162" s="1" t="s">
        <v>5738</v>
      </c>
      <c r="T1162" s="1" t="s">
        <v>4227</v>
      </c>
      <c r="U1162" s="1" t="s">
        <v>5739</v>
      </c>
    </row>
    <row r="1163" customFormat="false" ht="13.8" hidden="false" customHeight="false" outlineLevel="0" collapsed="false">
      <c r="A1163" s="1" t="n">
        <v>1162</v>
      </c>
      <c r="B1163" s="2" t="s">
        <v>5740</v>
      </c>
      <c r="C1163" s="1" t="n">
        <v>18</v>
      </c>
      <c r="D1163" s="1" t="n">
        <v>22</v>
      </c>
      <c r="E1163" s="1" t="n">
        <v>25</v>
      </c>
      <c r="F1163" s="1" t="n">
        <v>30</v>
      </c>
      <c r="G1163" s="1" t="n">
        <v>31</v>
      </c>
      <c r="H1163" s="1" t="n">
        <v>41</v>
      </c>
      <c r="I1163" s="1" t="str">
        <f aca="false">RIGHT(("0"&amp;C1163),2)&amp;RIGHT(("0"&amp;D1163),2)&amp;RIGHT(("0"&amp;E1163),2)&amp;RIGHT(("0"&amp;F1163),2)&amp;RIGHT(("0"&amp;G1163),2)&amp;RIGHT(("0"&amp;H1163),2)</f>
        <v>182225303141</v>
      </c>
      <c r="J1163" s="1" t="n">
        <f aca="false">COUNTIF(I:I,I1163)</f>
        <v>1</v>
      </c>
      <c r="K1163" s="1" t="n">
        <v>0</v>
      </c>
      <c r="M1163" s="1" t="s">
        <v>23</v>
      </c>
      <c r="N1163" s="1" t="n">
        <v>43</v>
      </c>
      <c r="O1163" s="1" t="s">
        <v>5741</v>
      </c>
      <c r="P1163" s="1" t="n">
        <v>3308</v>
      </c>
      <c r="Q1163" s="1" t="s">
        <v>5742</v>
      </c>
      <c r="R1163" s="1" t="s">
        <v>5743</v>
      </c>
      <c r="S1163" s="1" t="s">
        <v>5744</v>
      </c>
      <c r="T1163" s="1" t="s">
        <v>4347</v>
      </c>
      <c r="U1163" s="1" t="s">
        <v>5745</v>
      </c>
    </row>
    <row r="1164" customFormat="false" ht="13.8" hidden="false" customHeight="false" outlineLevel="0" collapsed="false">
      <c r="A1164" s="1" t="n">
        <v>1163</v>
      </c>
      <c r="B1164" s="2" t="s">
        <v>5746</v>
      </c>
      <c r="C1164" s="1" t="n">
        <v>5</v>
      </c>
      <c r="D1164" s="1" t="n">
        <v>17</v>
      </c>
      <c r="E1164" s="1" t="n">
        <v>31</v>
      </c>
      <c r="F1164" s="1" t="n">
        <v>47</v>
      </c>
      <c r="G1164" s="1" t="n">
        <v>51</v>
      </c>
      <c r="H1164" s="1" t="n">
        <v>53</v>
      </c>
      <c r="I1164" s="1" t="str">
        <f aca="false">RIGHT(("0"&amp;C1164),2)&amp;RIGHT(("0"&amp;D1164),2)&amp;RIGHT(("0"&amp;E1164),2)&amp;RIGHT(("0"&amp;F1164),2)&amp;RIGHT(("0"&amp;G1164),2)&amp;RIGHT(("0"&amp;H1164),2)</f>
        <v>051731475153</v>
      </c>
      <c r="J1164" s="1" t="n">
        <f aca="false">COUNTIF(I:I,I1164)</f>
        <v>1</v>
      </c>
      <c r="K1164" s="1" t="n">
        <v>0</v>
      </c>
      <c r="M1164" s="1" t="s">
        <v>23</v>
      </c>
      <c r="N1164" s="1" t="n">
        <v>72</v>
      </c>
      <c r="O1164" s="1" t="s">
        <v>5747</v>
      </c>
      <c r="P1164" s="1" t="n">
        <v>6107</v>
      </c>
      <c r="Q1164" s="1" t="s">
        <v>5748</v>
      </c>
      <c r="R1164" s="1" t="s">
        <v>5749</v>
      </c>
      <c r="S1164" s="1" t="s">
        <v>5750</v>
      </c>
      <c r="T1164" s="1" t="s">
        <v>3727</v>
      </c>
      <c r="U1164" s="1" t="s">
        <v>5751</v>
      </c>
    </row>
    <row r="1165" customFormat="false" ht="13.8" hidden="false" customHeight="false" outlineLevel="0" collapsed="false">
      <c r="A1165" s="1" t="n">
        <v>1164</v>
      </c>
      <c r="B1165" s="2" t="s">
        <v>5752</v>
      </c>
      <c r="C1165" s="1" t="n">
        <v>6</v>
      </c>
      <c r="D1165" s="1" t="n">
        <v>14</v>
      </c>
      <c r="E1165" s="1" t="n">
        <v>17</v>
      </c>
      <c r="F1165" s="1" t="n">
        <v>26</v>
      </c>
      <c r="G1165" s="1" t="n">
        <v>40</v>
      </c>
      <c r="H1165" s="1" t="n">
        <v>49</v>
      </c>
      <c r="I1165" s="1" t="str">
        <f aca="false">RIGHT(("0"&amp;C1165),2)&amp;RIGHT(("0"&amp;D1165),2)&amp;RIGHT(("0"&amp;E1165),2)&amp;RIGHT(("0"&amp;F1165),2)&amp;RIGHT(("0"&amp;G1165),2)&amp;RIGHT(("0"&amp;H1165),2)</f>
        <v>061417264049</v>
      </c>
      <c r="J1165" s="1" t="n">
        <f aca="false">COUNTIF(I:I,I1165)</f>
        <v>1</v>
      </c>
      <c r="K1165" s="1" t="n">
        <v>0</v>
      </c>
      <c r="M1165" s="1" t="s">
        <v>23</v>
      </c>
      <c r="N1165" s="1" t="n">
        <v>56</v>
      </c>
      <c r="O1165" s="1" t="s">
        <v>5753</v>
      </c>
      <c r="P1165" s="1" t="n">
        <v>5145</v>
      </c>
      <c r="Q1165" s="1" t="s">
        <v>5754</v>
      </c>
      <c r="R1165" s="1" t="s">
        <v>5755</v>
      </c>
      <c r="S1165" s="1" t="s">
        <v>5756</v>
      </c>
      <c r="T1165" s="1" t="s">
        <v>4718</v>
      </c>
      <c r="U1165" s="1" t="s">
        <v>5757</v>
      </c>
    </row>
    <row r="1166" customFormat="false" ht="13.8" hidden="false" customHeight="false" outlineLevel="0" collapsed="false">
      <c r="A1166" s="1" t="n">
        <v>1165</v>
      </c>
      <c r="B1166" s="2" t="s">
        <v>5758</v>
      </c>
      <c r="C1166" s="1" t="n">
        <v>20</v>
      </c>
      <c r="D1166" s="1" t="n">
        <v>40</v>
      </c>
      <c r="E1166" s="1" t="n">
        <v>42</v>
      </c>
      <c r="F1166" s="1" t="n">
        <v>52</v>
      </c>
      <c r="G1166" s="1" t="n">
        <v>54</v>
      </c>
      <c r="H1166" s="1" t="n">
        <v>60</v>
      </c>
      <c r="I1166" s="1" t="str">
        <f aca="false">RIGHT(("0"&amp;C1166),2)&amp;RIGHT(("0"&amp;D1166),2)&amp;RIGHT(("0"&amp;E1166),2)&amp;RIGHT(("0"&amp;F1166),2)&amp;RIGHT(("0"&amp;G1166),2)&amp;RIGHT(("0"&amp;H1166),2)</f>
        <v>204042525460</v>
      </c>
      <c r="J1166" s="1" t="n">
        <f aca="false">COUNTIF(I:I,I1166)</f>
        <v>1</v>
      </c>
      <c r="K1166" s="1" t="n">
        <v>0</v>
      </c>
      <c r="M1166" s="1" t="s">
        <v>23</v>
      </c>
      <c r="N1166" s="1" t="n">
        <v>70</v>
      </c>
      <c r="O1166" s="1" t="s">
        <v>5759</v>
      </c>
      <c r="P1166" s="1" t="n">
        <v>3923</v>
      </c>
      <c r="Q1166" s="1" t="s">
        <v>5760</v>
      </c>
      <c r="R1166" s="1" t="s">
        <v>5761</v>
      </c>
      <c r="S1166" s="1" t="s">
        <v>5762</v>
      </c>
      <c r="T1166" s="1" t="s">
        <v>3892</v>
      </c>
      <c r="U1166" s="1" t="s">
        <v>5763</v>
      </c>
    </row>
    <row r="1167" customFormat="false" ht="13.8" hidden="false" customHeight="false" outlineLevel="0" collapsed="false">
      <c r="A1167" s="1" t="n">
        <v>1166</v>
      </c>
      <c r="B1167" s="2" t="s">
        <v>5764</v>
      </c>
      <c r="C1167" s="1" t="n">
        <v>22</v>
      </c>
      <c r="D1167" s="1" t="n">
        <v>28</v>
      </c>
      <c r="E1167" s="1" t="n">
        <v>30</v>
      </c>
      <c r="F1167" s="1" t="n">
        <v>31</v>
      </c>
      <c r="G1167" s="1" t="n">
        <v>35</v>
      </c>
      <c r="H1167" s="1" t="n">
        <v>54</v>
      </c>
      <c r="I1167" s="1" t="str">
        <f aca="false">RIGHT(("0"&amp;C1167),2)&amp;RIGHT(("0"&amp;D1167),2)&amp;RIGHT(("0"&amp;E1167),2)&amp;RIGHT(("0"&amp;F1167),2)&amp;RIGHT(("0"&amp;G1167),2)&amp;RIGHT(("0"&amp;H1167),2)</f>
        <v>222830313554</v>
      </c>
      <c r="J1167" s="1" t="n">
        <f aca="false">COUNTIF(I:I,I1167)</f>
        <v>1</v>
      </c>
      <c r="K1167" s="1" t="n">
        <v>0</v>
      </c>
      <c r="M1167" s="1" t="s">
        <v>23</v>
      </c>
      <c r="N1167" s="1" t="n">
        <v>86</v>
      </c>
      <c r="O1167" s="1" t="s">
        <v>5765</v>
      </c>
      <c r="P1167" s="1" t="n">
        <v>6211</v>
      </c>
      <c r="Q1167" s="1" t="s">
        <v>5766</v>
      </c>
      <c r="R1167" s="1" t="s">
        <v>5767</v>
      </c>
      <c r="S1167" s="1" t="s">
        <v>5768</v>
      </c>
      <c r="T1167" s="1" t="s">
        <v>4968</v>
      </c>
      <c r="U1167" s="1" t="s">
        <v>5769</v>
      </c>
    </row>
    <row r="1168" customFormat="false" ht="13.8" hidden="false" customHeight="false" outlineLevel="0" collapsed="false">
      <c r="A1168" s="1" t="n">
        <v>1167</v>
      </c>
      <c r="B1168" s="2" t="s">
        <v>5770</v>
      </c>
      <c r="C1168" s="1" t="n">
        <v>20</v>
      </c>
      <c r="D1168" s="1" t="n">
        <v>28</v>
      </c>
      <c r="E1168" s="1" t="n">
        <v>43</v>
      </c>
      <c r="F1168" s="1" t="n">
        <v>51</v>
      </c>
      <c r="G1168" s="1" t="n">
        <v>52</v>
      </c>
      <c r="H1168" s="1" t="n">
        <v>56</v>
      </c>
      <c r="I1168" s="1" t="str">
        <f aca="false">RIGHT(("0"&amp;C1168),2)&amp;RIGHT(("0"&amp;D1168),2)&amp;RIGHT(("0"&amp;E1168),2)&amp;RIGHT(("0"&amp;F1168),2)&amp;RIGHT(("0"&amp;G1168),2)&amp;RIGHT(("0"&amp;H1168),2)</f>
        <v>202843515256</v>
      </c>
      <c r="J1168" s="1" t="n">
        <f aca="false">COUNTIF(I:I,I1168)</f>
        <v>1</v>
      </c>
      <c r="K1168" s="1" t="n">
        <v>0</v>
      </c>
      <c r="M1168" s="1" t="s">
        <v>23</v>
      </c>
      <c r="N1168" s="1" t="n">
        <v>44</v>
      </c>
      <c r="O1168" s="1" t="s">
        <v>5771</v>
      </c>
      <c r="P1168" s="1" t="n">
        <v>4342</v>
      </c>
      <c r="Q1168" s="1" t="s">
        <v>5772</v>
      </c>
      <c r="R1168" s="1" t="s">
        <v>5773</v>
      </c>
      <c r="S1168" s="1" t="s">
        <v>5774</v>
      </c>
      <c r="T1168" s="1" t="s">
        <v>5775</v>
      </c>
      <c r="U1168" s="1" t="s">
        <v>5776</v>
      </c>
    </row>
    <row r="1169" customFormat="false" ht="13.8" hidden="false" customHeight="false" outlineLevel="0" collapsed="false">
      <c r="A1169" s="1" t="n">
        <v>1168</v>
      </c>
      <c r="B1169" s="2" t="s">
        <v>5777</v>
      </c>
      <c r="C1169" s="1" t="n">
        <v>4</v>
      </c>
      <c r="D1169" s="1" t="n">
        <v>5</v>
      </c>
      <c r="E1169" s="1" t="n">
        <v>20</v>
      </c>
      <c r="F1169" s="1" t="n">
        <v>47</v>
      </c>
      <c r="G1169" s="1" t="n">
        <v>53</v>
      </c>
      <c r="H1169" s="1" t="n">
        <v>56</v>
      </c>
      <c r="I1169" s="1" t="str">
        <f aca="false">RIGHT(("0"&amp;C1169),2)&amp;RIGHT(("0"&amp;D1169),2)&amp;RIGHT(("0"&amp;E1169),2)&amp;RIGHT(("0"&amp;F1169),2)&amp;RIGHT(("0"&amp;G1169),2)&amp;RIGHT(("0"&amp;H1169),2)</f>
        <v>040520475356</v>
      </c>
      <c r="J1169" s="1" t="n">
        <f aca="false">COUNTIF(I:I,I1169)</f>
        <v>1</v>
      </c>
      <c r="K1169" s="1" t="n">
        <v>0</v>
      </c>
      <c r="M1169" s="1" t="s">
        <v>23</v>
      </c>
      <c r="N1169" s="1" t="n">
        <v>97</v>
      </c>
      <c r="O1169" s="1" t="s">
        <v>5778</v>
      </c>
      <c r="P1169" s="1" t="n">
        <v>8380</v>
      </c>
      <c r="Q1169" s="1" t="s">
        <v>5779</v>
      </c>
      <c r="R1169" s="1" t="s">
        <v>5780</v>
      </c>
      <c r="S1169" s="1" t="s">
        <v>5781</v>
      </c>
      <c r="T1169" s="1" t="s">
        <v>5782</v>
      </c>
      <c r="U1169" s="1" t="s">
        <v>5783</v>
      </c>
    </row>
    <row r="1170" customFormat="false" ht="13.8" hidden="false" customHeight="false" outlineLevel="0" collapsed="false">
      <c r="A1170" s="1" t="n">
        <v>1169</v>
      </c>
      <c r="B1170" s="2" t="s">
        <v>5784</v>
      </c>
      <c r="C1170" s="1" t="n">
        <v>1</v>
      </c>
      <c r="D1170" s="1" t="n">
        <v>11</v>
      </c>
      <c r="E1170" s="1" t="n">
        <v>14</v>
      </c>
      <c r="F1170" s="1" t="n">
        <v>23</v>
      </c>
      <c r="G1170" s="1" t="n">
        <v>42</v>
      </c>
      <c r="H1170" s="1" t="n">
        <v>48</v>
      </c>
      <c r="I1170" s="1" t="str">
        <f aca="false">RIGHT(("0"&amp;C1170),2)&amp;RIGHT(("0"&amp;D1170),2)&amp;RIGHT(("0"&amp;E1170),2)&amp;RIGHT(("0"&amp;F1170),2)&amp;RIGHT(("0"&amp;G1170),2)&amp;RIGHT(("0"&amp;H1170),2)</f>
        <v>011114234248</v>
      </c>
      <c r="J1170" s="1" t="n">
        <f aca="false">COUNTIF(I:I,I1170)</f>
        <v>1</v>
      </c>
      <c r="K1170" s="1" t="n">
        <v>1</v>
      </c>
      <c r="L1170" s="1" t="s">
        <v>5785</v>
      </c>
      <c r="M1170" s="1" t="s">
        <v>5786</v>
      </c>
      <c r="N1170" s="1" t="n">
        <v>179</v>
      </c>
      <c r="O1170" s="1" t="s">
        <v>5787</v>
      </c>
      <c r="P1170" s="1" t="n">
        <v>12185</v>
      </c>
      <c r="Q1170" s="1" t="s">
        <v>5788</v>
      </c>
      <c r="R1170" s="1" t="s">
        <v>23</v>
      </c>
      <c r="S1170" s="1" t="s">
        <v>5789</v>
      </c>
      <c r="T1170" s="1" t="s">
        <v>4691</v>
      </c>
      <c r="U1170" s="1" t="s">
        <v>5790</v>
      </c>
    </row>
    <row r="1171" customFormat="false" ht="13.8" hidden="false" customHeight="false" outlineLevel="0" collapsed="false">
      <c r="A1171" s="1" t="n">
        <v>1170</v>
      </c>
      <c r="B1171" s="2" t="s">
        <v>5791</v>
      </c>
      <c r="C1171" s="1" t="n">
        <v>11</v>
      </c>
      <c r="D1171" s="1" t="n">
        <v>13</v>
      </c>
      <c r="E1171" s="1" t="n">
        <v>27</v>
      </c>
      <c r="F1171" s="1" t="n">
        <v>34</v>
      </c>
      <c r="G1171" s="1" t="n">
        <v>46</v>
      </c>
      <c r="H1171" s="1" t="n">
        <v>49</v>
      </c>
      <c r="I1171" s="1" t="str">
        <f aca="false">RIGHT(("0"&amp;C1171),2)&amp;RIGHT(("0"&amp;D1171),2)&amp;RIGHT(("0"&amp;E1171),2)&amp;RIGHT(("0"&amp;F1171),2)&amp;RIGHT(("0"&amp;G1171),2)&amp;RIGHT(("0"&amp;H1171),2)</f>
        <v>111327344649</v>
      </c>
      <c r="J1171" s="1" t="n">
        <f aca="false">COUNTIF(I:I,I1171)</f>
        <v>1</v>
      </c>
      <c r="K1171" s="1" t="n">
        <v>1</v>
      </c>
      <c r="L1171" s="1" t="s">
        <v>5310</v>
      </c>
      <c r="M1171" s="1" t="s">
        <v>5792</v>
      </c>
      <c r="N1171" s="1" t="n">
        <v>228</v>
      </c>
      <c r="O1171" s="1" t="s">
        <v>5793</v>
      </c>
      <c r="P1171" s="1" t="n">
        <v>10746</v>
      </c>
      <c r="Q1171" s="1" t="s">
        <v>5794</v>
      </c>
      <c r="R1171" s="1" t="s">
        <v>23</v>
      </c>
      <c r="S1171" s="1" t="s">
        <v>5795</v>
      </c>
      <c r="T1171" s="1" t="s">
        <v>4732</v>
      </c>
      <c r="U1171" s="1" t="s">
        <v>5796</v>
      </c>
    </row>
    <row r="1172" customFormat="false" ht="13.8" hidden="false" customHeight="false" outlineLevel="0" collapsed="false">
      <c r="A1172" s="1" t="n">
        <v>1171</v>
      </c>
      <c r="B1172" s="2" t="s">
        <v>5797</v>
      </c>
      <c r="C1172" s="1" t="n">
        <v>3</v>
      </c>
      <c r="D1172" s="1" t="n">
        <v>10</v>
      </c>
      <c r="E1172" s="1" t="n">
        <v>13</v>
      </c>
      <c r="F1172" s="1" t="n">
        <v>30</v>
      </c>
      <c r="G1172" s="1" t="n">
        <v>41</v>
      </c>
      <c r="H1172" s="1" t="n">
        <v>57</v>
      </c>
      <c r="I1172" s="1" t="str">
        <f aca="false">RIGHT(("0"&amp;C1172),2)&amp;RIGHT(("0"&amp;D1172),2)&amp;RIGHT(("0"&amp;E1172),2)&amp;RIGHT(("0"&amp;F1172),2)&amp;RIGHT(("0"&amp;G1172),2)&amp;RIGHT(("0"&amp;H1172),2)</f>
        <v>031013304157</v>
      </c>
      <c r="J1172" s="1" t="n">
        <f aca="false">COUNTIF(I:I,I1172)</f>
        <v>1</v>
      </c>
      <c r="K1172" s="1" t="n">
        <v>0</v>
      </c>
      <c r="M1172" s="1" t="s">
        <v>23</v>
      </c>
      <c r="N1172" s="1" t="n">
        <v>79</v>
      </c>
      <c r="O1172" s="1" t="s">
        <v>5798</v>
      </c>
      <c r="P1172" s="1" t="n">
        <v>5610</v>
      </c>
      <c r="Q1172" s="1" t="s">
        <v>5799</v>
      </c>
      <c r="R1172" s="1" t="s">
        <v>5800</v>
      </c>
      <c r="S1172" s="1" t="s">
        <v>5801</v>
      </c>
      <c r="T1172" s="1" t="s">
        <v>4227</v>
      </c>
      <c r="U1172" s="1" t="s">
        <v>5802</v>
      </c>
    </row>
    <row r="1173" customFormat="false" ht="13.8" hidden="false" customHeight="false" outlineLevel="0" collapsed="false">
      <c r="A1173" s="1" t="n">
        <v>1172</v>
      </c>
      <c r="B1173" s="2" t="s">
        <v>5803</v>
      </c>
      <c r="C1173" s="1" t="n">
        <v>6</v>
      </c>
      <c r="D1173" s="1" t="n">
        <v>12</v>
      </c>
      <c r="E1173" s="1" t="n">
        <v>28</v>
      </c>
      <c r="F1173" s="1" t="n">
        <v>43</v>
      </c>
      <c r="G1173" s="1" t="n">
        <v>52</v>
      </c>
      <c r="H1173" s="1" t="n">
        <v>56</v>
      </c>
      <c r="I1173" s="1" t="str">
        <f aca="false">RIGHT(("0"&amp;C1173),2)&amp;RIGHT(("0"&amp;D1173),2)&amp;RIGHT(("0"&amp;E1173),2)&amp;RIGHT(("0"&amp;F1173),2)&amp;RIGHT(("0"&amp;G1173),2)&amp;RIGHT(("0"&amp;H1173),2)</f>
        <v>061228435256</v>
      </c>
      <c r="J1173" s="1" t="n">
        <f aca="false">COUNTIF(I:I,I1173)</f>
        <v>1</v>
      </c>
      <c r="K1173" s="1" t="n">
        <v>0</v>
      </c>
      <c r="M1173" s="1" t="s">
        <v>23</v>
      </c>
      <c r="N1173" s="1" t="n">
        <v>90</v>
      </c>
      <c r="O1173" s="1" t="s">
        <v>5804</v>
      </c>
      <c r="P1173" s="1" t="n">
        <v>6438</v>
      </c>
      <c r="Q1173" s="1" t="s">
        <v>5805</v>
      </c>
      <c r="R1173" s="1" t="s">
        <v>5806</v>
      </c>
      <c r="S1173" s="1" t="s">
        <v>5807</v>
      </c>
      <c r="T1173" s="1" t="s">
        <v>4232</v>
      </c>
      <c r="U1173" s="1" t="s">
        <v>5808</v>
      </c>
    </row>
    <row r="1174" customFormat="false" ht="13.8" hidden="false" customHeight="false" outlineLevel="0" collapsed="false">
      <c r="A1174" s="1" t="n">
        <v>1173</v>
      </c>
      <c r="B1174" s="2" t="s">
        <v>5809</v>
      </c>
      <c r="C1174" s="1" t="n">
        <v>5</v>
      </c>
      <c r="D1174" s="1" t="n">
        <v>7</v>
      </c>
      <c r="E1174" s="1" t="n">
        <v>24</v>
      </c>
      <c r="F1174" s="1" t="n">
        <v>25</v>
      </c>
      <c r="G1174" s="1" t="n">
        <v>36</v>
      </c>
      <c r="H1174" s="1" t="n">
        <v>47</v>
      </c>
      <c r="I1174" s="1" t="str">
        <f aca="false">RIGHT(("0"&amp;C1174),2)&amp;RIGHT(("0"&amp;D1174),2)&amp;RIGHT(("0"&amp;E1174),2)&amp;RIGHT(("0"&amp;F1174),2)&amp;RIGHT(("0"&amp;G1174),2)&amp;RIGHT(("0"&amp;H1174),2)</f>
        <v>050724253647</v>
      </c>
      <c r="J1174" s="1" t="n">
        <f aca="false">COUNTIF(I:I,I1174)</f>
        <v>1</v>
      </c>
      <c r="K1174" s="1" t="n">
        <v>0</v>
      </c>
      <c r="M1174" s="1" t="s">
        <v>23</v>
      </c>
      <c r="N1174" s="1" t="n">
        <v>140</v>
      </c>
      <c r="O1174" s="1" t="s">
        <v>5810</v>
      </c>
      <c r="P1174" s="1" t="n">
        <v>9619</v>
      </c>
      <c r="Q1174" s="1" t="s">
        <v>5811</v>
      </c>
      <c r="R1174" s="1" t="s">
        <v>5812</v>
      </c>
      <c r="S1174" s="1" t="s">
        <v>5813</v>
      </c>
      <c r="T1174" s="1" t="s">
        <v>4195</v>
      </c>
      <c r="U1174" s="1" t="s">
        <v>5814</v>
      </c>
    </row>
    <row r="1175" customFormat="false" ht="13.8" hidden="false" customHeight="false" outlineLevel="0" collapsed="false">
      <c r="A1175" s="1" t="n">
        <v>1174</v>
      </c>
      <c r="B1175" s="2" t="s">
        <v>5815</v>
      </c>
      <c r="C1175" s="1" t="n">
        <v>6</v>
      </c>
      <c r="D1175" s="1" t="n">
        <v>7</v>
      </c>
      <c r="E1175" s="1" t="n">
        <v>39</v>
      </c>
      <c r="F1175" s="1" t="n">
        <v>47</v>
      </c>
      <c r="G1175" s="1" t="n">
        <v>51</v>
      </c>
      <c r="H1175" s="1" t="n">
        <v>52</v>
      </c>
      <c r="I1175" s="1" t="str">
        <f aca="false">RIGHT(("0"&amp;C1175),2)&amp;RIGHT(("0"&amp;D1175),2)&amp;RIGHT(("0"&amp;E1175),2)&amp;RIGHT(("0"&amp;F1175),2)&amp;RIGHT(("0"&amp;G1175),2)&amp;RIGHT(("0"&amp;H1175),2)</f>
        <v>060739475152</v>
      </c>
      <c r="J1175" s="1" t="n">
        <f aca="false">COUNTIF(I:I,I1175)</f>
        <v>1</v>
      </c>
      <c r="K1175" s="1" t="n">
        <v>0</v>
      </c>
      <c r="M1175" s="1" t="s">
        <v>23</v>
      </c>
      <c r="N1175" s="1" t="n">
        <v>38</v>
      </c>
      <c r="O1175" s="1" t="s">
        <v>5816</v>
      </c>
      <c r="P1175" s="1" t="n">
        <v>4174</v>
      </c>
      <c r="Q1175" s="1" t="s">
        <v>5817</v>
      </c>
      <c r="R1175" s="1" t="s">
        <v>5818</v>
      </c>
      <c r="S1175" s="1" t="s">
        <v>5819</v>
      </c>
      <c r="T1175" s="1" t="s">
        <v>4246</v>
      </c>
      <c r="U1175" s="1" t="s">
        <v>5820</v>
      </c>
      <c r="V1175" s="1" t="s">
        <v>5821</v>
      </c>
    </row>
    <row r="1176" customFormat="false" ht="13.8" hidden="false" customHeight="false" outlineLevel="0" collapsed="false">
      <c r="A1176" s="1" t="n">
        <v>1175</v>
      </c>
      <c r="B1176" s="2" t="s">
        <v>5822</v>
      </c>
      <c r="C1176" s="1" t="n">
        <v>2</v>
      </c>
      <c r="D1176" s="1" t="n">
        <v>3</v>
      </c>
      <c r="E1176" s="1" t="n">
        <v>12</v>
      </c>
      <c r="F1176" s="1" t="n">
        <v>16</v>
      </c>
      <c r="G1176" s="1" t="n">
        <v>37</v>
      </c>
      <c r="H1176" s="1" t="n">
        <v>47</v>
      </c>
      <c r="I1176" s="1" t="str">
        <f aca="false">RIGHT(("0"&amp;C1176),2)&amp;RIGHT(("0"&amp;D1176),2)&amp;RIGHT(("0"&amp;E1176),2)&amp;RIGHT(("0"&amp;F1176),2)&amp;RIGHT(("0"&amp;G1176),2)&amp;RIGHT(("0"&amp;H1176),2)</f>
        <v>020312163747</v>
      </c>
      <c r="J1176" s="1" t="n">
        <f aca="false">COUNTIF(I:I,I1176)</f>
        <v>1</v>
      </c>
      <c r="K1176" s="1" t="n">
        <v>0</v>
      </c>
      <c r="M1176" s="1" t="s">
        <v>23</v>
      </c>
      <c r="N1176" s="1" t="n">
        <v>77</v>
      </c>
      <c r="O1176" s="1" t="s">
        <v>5823</v>
      </c>
      <c r="P1176" s="1" t="n">
        <v>6958</v>
      </c>
      <c r="Q1176" s="1" t="s">
        <v>5824</v>
      </c>
      <c r="R1176" s="1" t="s">
        <v>5825</v>
      </c>
      <c r="S1176" s="1" t="s">
        <v>5826</v>
      </c>
      <c r="T1176" s="1" t="s">
        <v>4213</v>
      </c>
      <c r="U1176" s="1" t="s">
        <v>5827</v>
      </c>
    </row>
    <row r="1177" customFormat="false" ht="13.8" hidden="false" customHeight="false" outlineLevel="0" collapsed="false">
      <c r="A1177" s="1" t="n">
        <v>1176</v>
      </c>
      <c r="B1177" s="2" t="s">
        <v>5828</v>
      </c>
      <c r="C1177" s="1" t="n">
        <v>11</v>
      </c>
      <c r="D1177" s="1" t="n">
        <v>14</v>
      </c>
      <c r="E1177" s="1" t="n">
        <v>21</v>
      </c>
      <c r="F1177" s="1" t="n">
        <v>30</v>
      </c>
      <c r="G1177" s="1" t="n">
        <v>33</v>
      </c>
      <c r="H1177" s="1" t="n">
        <v>49</v>
      </c>
      <c r="I1177" s="1" t="str">
        <f aca="false">RIGHT(("0"&amp;C1177),2)&amp;RIGHT(("0"&amp;D1177),2)&amp;RIGHT(("0"&amp;E1177),2)&amp;RIGHT(("0"&amp;F1177),2)&amp;RIGHT(("0"&amp;G1177),2)&amp;RIGHT(("0"&amp;H1177),2)</f>
        <v>111421303349</v>
      </c>
      <c r="J1177" s="1" t="n">
        <f aca="false">COUNTIF(I:I,I1177)</f>
        <v>1</v>
      </c>
      <c r="K1177" s="1" t="n">
        <v>0</v>
      </c>
      <c r="M1177" s="1" t="s">
        <v>23</v>
      </c>
      <c r="N1177" s="1" t="n">
        <v>102</v>
      </c>
      <c r="O1177" s="1" t="s">
        <v>5829</v>
      </c>
      <c r="P1177" s="1" t="n">
        <v>7379</v>
      </c>
      <c r="Q1177" s="1" t="s">
        <v>5830</v>
      </c>
      <c r="R1177" s="1" t="s">
        <v>5831</v>
      </c>
      <c r="S1177" s="1" t="s">
        <v>5832</v>
      </c>
      <c r="T1177" s="1" t="s">
        <v>4304</v>
      </c>
      <c r="U1177" s="1" t="s">
        <v>5833</v>
      </c>
    </row>
    <row r="1178" customFormat="false" ht="13.8" hidden="false" customHeight="false" outlineLevel="0" collapsed="false">
      <c r="A1178" s="1" t="n">
        <v>1177</v>
      </c>
      <c r="B1178" s="2" t="s">
        <v>5834</v>
      </c>
      <c r="C1178" s="1" t="n">
        <v>33</v>
      </c>
      <c r="D1178" s="1" t="n">
        <v>38</v>
      </c>
      <c r="E1178" s="1" t="n">
        <v>47</v>
      </c>
      <c r="F1178" s="1" t="n">
        <v>50</v>
      </c>
      <c r="G1178" s="1" t="n">
        <v>52</v>
      </c>
      <c r="H1178" s="1" t="n">
        <v>55</v>
      </c>
      <c r="I1178" s="1" t="str">
        <f aca="false">RIGHT(("0"&amp;C1178),2)&amp;RIGHT(("0"&amp;D1178),2)&amp;RIGHT(("0"&amp;E1178),2)&amp;RIGHT(("0"&amp;F1178),2)&amp;RIGHT(("0"&amp;G1178),2)&amp;RIGHT(("0"&amp;H1178),2)</f>
        <v>333847505255</v>
      </c>
      <c r="J1178" s="1" t="n">
        <f aca="false">COUNTIF(I:I,I1178)</f>
        <v>1</v>
      </c>
      <c r="K1178" s="1" t="n">
        <v>1</v>
      </c>
      <c r="L1178" s="1" t="s">
        <v>5484</v>
      </c>
      <c r="M1178" s="1" t="s">
        <v>5835</v>
      </c>
      <c r="N1178" s="1" t="n">
        <v>78</v>
      </c>
      <c r="O1178" s="1" t="s">
        <v>5836</v>
      </c>
      <c r="P1178" s="1" t="n">
        <v>6269</v>
      </c>
      <c r="Q1178" s="1" t="s">
        <v>5837</v>
      </c>
      <c r="R1178" s="1" t="s">
        <v>23</v>
      </c>
      <c r="S1178" s="1" t="s">
        <v>5838</v>
      </c>
      <c r="T1178" s="1" t="s">
        <v>4732</v>
      </c>
      <c r="U1178" s="1" t="s">
        <v>5839</v>
      </c>
    </row>
    <row r="1179" customFormat="false" ht="13.8" hidden="false" customHeight="false" outlineLevel="0" collapsed="false">
      <c r="A1179" s="1" t="n">
        <v>1178</v>
      </c>
      <c r="B1179" s="2" t="s">
        <v>5840</v>
      </c>
      <c r="C1179" s="1" t="n">
        <v>1</v>
      </c>
      <c r="D1179" s="1" t="n">
        <v>22</v>
      </c>
      <c r="E1179" s="1" t="n">
        <v>30</v>
      </c>
      <c r="F1179" s="1" t="n">
        <v>45</v>
      </c>
      <c r="G1179" s="1" t="n">
        <v>50</v>
      </c>
      <c r="H1179" s="1" t="n">
        <v>53</v>
      </c>
      <c r="I1179" s="1" t="str">
        <f aca="false">RIGHT(("0"&amp;C1179),2)&amp;RIGHT(("0"&amp;D1179),2)&amp;RIGHT(("0"&amp;E1179),2)&amp;RIGHT(("0"&amp;F1179),2)&amp;RIGHT(("0"&amp;G1179),2)&amp;RIGHT(("0"&amp;H1179),2)</f>
        <v>012230455053</v>
      </c>
      <c r="J1179" s="1" t="n">
        <f aca="false">COUNTIF(I:I,I1179)</f>
        <v>1</v>
      </c>
      <c r="K1179" s="1" t="n">
        <v>0</v>
      </c>
      <c r="M1179" s="1" t="s">
        <v>23</v>
      </c>
      <c r="N1179" s="1" t="n">
        <v>27</v>
      </c>
      <c r="O1179" s="1" t="s">
        <v>5841</v>
      </c>
      <c r="P1179" s="1" t="n">
        <v>2330</v>
      </c>
      <c r="Q1179" s="1" t="s">
        <v>5842</v>
      </c>
      <c r="R1179" s="1" t="s">
        <v>5843</v>
      </c>
      <c r="S1179" s="1" t="s">
        <v>5844</v>
      </c>
      <c r="T1179" s="1" t="s">
        <v>4227</v>
      </c>
      <c r="U1179" s="1" t="s">
        <v>5845</v>
      </c>
    </row>
    <row r="1180" customFormat="false" ht="13.8" hidden="false" customHeight="false" outlineLevel="0" collapsed="false">
      <c r="A1180" s="1" t="n">
        <v>1179</v>
      </c>
      <c r="B1180" s="2" t="s">
        <v>5846</v>
      </c>
      <c r="C1180" s="1" t="n">
        <v>5</v>
      </c>
      <c r="D1180" s="1" t="n">
        <v>22</v>
      </c>
      <c r="E1180" s="1" t="n">
        <v>28</v>
      </c>
      <c r="F1180" s="1" t="n">
        <v>47</v>
      </c>
      <c r="G1180" s="1" t="n">
        <v>59</v>
      </c>
      <c r="H1180" s="1" t="n">
        <v>60</v>
      </c>
      <c r="I1180" s="1" t="str">
        <f aca="false">RIGHT(("0"&amp;C1180),2)&amp;RIGHT(("0"&amp;D1180),2)&amp;RIGHT(("0"&amp;E1180),2)&amp;RIGHT(("0"&amp;F1180),2)&amp;RIGHT(("0"&amp;G1180),2)&amp;RIGHT(("0"&amp;H1180),2)</f>
        <v>052228475960</v>
      </c>
      <c r="J1180" s="1" t="n">
        <f aca="false">COUNTIF(I:I,I1180)</f>
        <v>1</v>
      </c>
      <c r="K1180" s="1" t="n">
        <v>0</v>
      </c>
      <c r="M1180" s="1" t="s">
        <v>23</v>
      </c>
      <c r="N1180" s="1" t="n">
        <v>99</v>
      </c>
      <c r="O1180" s="1" t="s">
        <v>5847</v>
      </c>
      <c r="P1180" s="1" t="n">
        <v>5765</v>
      </c>
      <c r="Q1180" s="1" t="s">
        <v>5848</v>
      </c>
      <c r="R1180" s="1" t="s">
        <v>5849</v>
      </c>
      <c r="S1180" s="1" t="s">
        <v>5850</v>
      </c>
      <c r="T1180" s="1" t="s">
        <v>4273</v>
      </c>
      <c r="U1180" s="1" t="s">
        <v>5851</v>
      </c>
    </row>
    <row r="1181" customFormat="false" ht="13.8" hidden="false" customHeight="false" outlineLevel="0" collapsed="false">
      <c r="A1181" s="1" t="n">
        <v>1180</v>
      </c>
      <c r="B1181" s="2" t="s">
        <v>5852</v>
      </c>
      <c r="C1181" s="1" t="n">
        <v>12</v>
      </c>
      <c r="D1181" s="1" t="n">
        <v>30</v>
      </c>
      <c r="E1181" s="1" t="n">
        <v>34</v>
      </c>
      <c r="F1181" s="1" t="n">
        <v>44</v>
      </c>
      <c r="G1181" s="1" t="n">
        <v>57</v>
      </c>
      <c r="H1181" s="1" t="n">
        <v>60</v>
      </c>
      <c r="I1181" s="1" t="str">
        <f aca="false">RIGHT(("0"&amp;C1181),2)&amp;RIGHT(("0"&amp;D1181),2)&amp;RIGHT(("0"&amp;E1181),2)&amp;RIGHT(("0"&amp;F1181),2)&amp;RIGHT(("0"&amp;G1181),2)&amp;RIGHT(("0"&amp;H1181),2)</f>
        <v>123034445760</v>
      </c>
      <c r="J1181" s="1" t="n">
        <f aca="false">COUNTIF(I:I,I1181)</f>
        <v>1</v>
      </c>
      <c r="K1181" s="1" t="n">
        <v>0</v>
      </c>
      <c r="M1181" s="1" t="s">
        <v>23</v>
      </c>
      <c r="N1181" s="1" t="n">
        <v>70</v>
      </c>
      <c r="O1181" s="1" t="s">
        <v>5853</v>
      </c>
      <c r="P1181" s="1" t="n">
        <v>5176</v>
      </c>
      <c r="Q1181" s="1" t="s">
        <v>5854</v>
      </c>
      <c r="R1181" s="1" t="s">
        <v>5855</v>
      </c>
      <c r="S1181" s="1" t="s">
        <v>5856</v>
      </c>
      <c r="T1181" s="1" t="s">
        <v>4328</v>
      </c>
      <c r="U1181" s="1" t="s">
        <v>5857</v>
      </c>
    </row>
    <row r="1182" customFormat="false" ht="13.8" hidden="false" customHeight="false" outlineLevel="0" collapsed="false">
      <c r="A1182" s="1" t="n">
        <v>1181</v>
      </c>
      <c r="B1182" s="2" t="s">
        <v>5858</v>
      </c>
      <c r="C1182" s="1" t="n">
        <v>18</v>
      </c>
      <c r="D1182" s="1" t="n">
        <v>20</v>
      </c>
      <c r="E1182" s="1" t="n">
        <v>26</v>
      </c>
      <c r="F1182" s="1" t="n">
        <v>31</v>
      </c>
      <c r="G1182" s="1" t="n">
        <v>44</v>
      </c>
      <c r="H1182" s="1" t="n">
        <v>45</v>
      </c>
      <c r="I1182" s="1" t="str">
        <f aca="false">RIGHT(("0"&amp;C1182),2)&amp;RIGHT(("0"&amp;D1182),2)&amp;RIGHT(("0"&amp;E1182),2)&amp;RIGHT(("0"&amp;F1182),2)&amp;RIGHT(("0"&amp;G1182),2)&amp;RIGHT(("0"&amp;H1182),2)</f>
        <v>182026314445</v>
      </c>
      <c r="J1182" s="1" t="n">
        <f aca="false">COUNTIF(I:I,I1182)</f>
        <v>1</v>
      </c>
      <c r="K1182" s="1" t="n">
        <v>0</v>
      </c>
      <c r="M1182" s="1" t="s">
        <v>23</v>
      </c>
      <c r="N1182" s="1" t="n">
        <v>67</v>
      </c>
      <c r="O1182" s="1" t="s">
        <v>5859</v>
      </c>
      <c r="P1182" s="1" t="n">
        <v>5964</v>
      </c>
      <c r="Q1182" s="1" t="s">
        <v>5860</v>
      </c>
      <c r="R1182" s="1" t="s">
        <v>5861</v>
      </c>
      <c r="S1182" s="1" t="s">
        <v>5862</v>
      </c>
      <c r="T1182" s="1" t="s">
        <v>5321</v>
      </c>
      <c r="U1182" s="1" t="s">
        <v>5863</v>
      </c>
    </row>
    <row r="1183" customFormat="false" ht="13.8" hidden="false" customHeight="false" outlineLevel="0" collapsed="false">
      <c r="A1183" s="1" t="n">
        <v>1182</v>
      </c>
      <c r="B1183" s="2" t="s">
        <v>5864</v>
      </c>
      <c r="C1183" s="1" t="n">
        <v>2</v>
      </c>
      <c r="D1183" s="1" t="n">
        <v>4</v>
      </c>
      <c r="E1183" s="1" t="n">
        <v>29</v>
      </c>
      <c r="F1183" s="1" t="n">
        <v>52</v>
      </c>
      <c r="G1183" s="1" t="n">
        <v>56</v>
      </c>
      <c r="H1183" s="1" t="n">
        <v>60</v>
      </c>
      <c r="I1183" s="1" t="str">
        <f aca="false">RIGHT(("0"&amp;C1183),2)&amp;RIGHT(("0"&amp;D1183),2)&amp;RIGHT(("0"&amp;E1183),2)&amp;RIGHT(("0"&amp;F1183),2)&amp;RIGHT(("0"&amp;G1183),2)&amp;RIGHT(("0"&amp;H1183),2)</f>
        <v>020429525660</v>
      </c>
      <c r="J1183" s="1" t="n">
        <f aca="false">COUNTIF(I:I,I1183)</f>
        <v>1</v>
      </c>
      <c r="K1183" s="1" t="n">
        <v>0</v>
      </c>
      <c r="M1183" s="1" t="s">
        <v>23</v>
      </c>
      <c r="N1183" s="1" t="n">
        <v>82</v>
      </c>
      <c r="O1183" s="1" t="s">
        <v>5865</v>
      </c>
      <c r="P1183" s="1" t="n">
        <v>7157</v>
      </c>
      <c r="Q1183" s="1" t="s">
        <v>5866</v>
      </c>
      <c r="R1183" s="1" t="s">
        <v>5867</v>
      </c>
      <c r="S1183" s="1" t="s">
        <v>5868</v>
      </c>
      <c r="T1183" s="1" t="s">
        <v>5686</v>
      </c>
      <c r="U1183" s="1" t="s">
        <v>5869</v>
      </c>
    </row>
    <row r="1184" customFormat="false" ht="13.8" hidden="false" customHeight="false" outlineLevel="0" collapsed="false">
      <c r="A1184" s="1" t="n">
        <v>1183</v>
      </c>
      <c r="B1184" s="2" t="s">
        <v>5870</v>
      </c>
      <c r="C1184" s="1" t="n">
        <v>5</v>
      </c>
      <c r="D1184" s="1" t="n">
        <v>10</v>
      </c>
      <c r="E1184" s="1" t="n">
        <v>12</v>
      </c>
      <c r="F1184" s="1" t="n">
        <v>20</v>
      </c>
      <c r="G1184" s="1" t="n">
        <v>29</v>
      </c>
      <c r="H1184" s="1" t="n">
        <v>37</v>
      </c>
      <c r="I1184" s="1" t="str">
        <f aca="false">RIGHT(("0"&amp;C1184),2)&amp;RIGHT(("0"&amp;D1184),2)&amp;RIGHT(("0"&amp;E1184),2)&amp;RIGHT(("0"&amp;F1184),2)&amp;RIGHT(("0"&amp;G1184),2)&amp;RIGHT(("0"&amp;H1184),2)</f>
        <v>051012202937</v>
      </c>
      <c r="J1184" s="1" t="n">
        <f aca="false">COUNTIF(I:I,I1184)</f>
        <v>1</v>
      </c>
      <c r="K1184" s="1" t="n">
        <v>4</v>
      </c>
      <c r="L1184" s="1" t="s">
        <v>5871</v>
      </c>
      <c r="M1184" s="1" t="s">
        <v>5872</v>
      </c>
      <c r="N1184" s="1" t="n">
        <v>545</v>
      </c>
      <c r="O1184" s="1" t="s">
        <v>5873</v>
      </c>
      <c r="P1184" s="1" t="n">
        <v>21948</v>
      </c>
      <c r="Q1184" s="1" t="s">
        <v>5874</v>
      </c>
      <c r="R1184" s="1" t="s">
        <v>23</v>
      </c>
      <c r="S1184" s="1" t="s">
        <v>5875</v>
      </c>
      <c r="T1184" s="1" t="s">
        <v>4256</v>
      </c>
      <c r="U1184" s="1" t="s">
        <v>5876</v>
      </c>
    </row>
    <row r="1185" customFormat="false" ht="13.8" hidden="false" customHeight="false" outlineLevel="0" collapsed="false">
      <c r="A1185" s="1" t="n">
        <v>1184</v>
      </c>
      <c r="B1185" s="2" t="s">
        <v>5877</v>
      </c>
      <c r="C1185" s="1" t="n">
        <v>4</v>
      </c>
      <c r="D1185" s="1" t="n">
        <v>9</v>
      </c>
      <c r="E1185" s="1" t="n">
        <v>23</v>
      </c>
      <c r="F1185" s="1" t="n">
        <v>27</v>
      </c>
      <c r="G1185" s="1" t="n">
        <v>28</v>
      </c>
      <c r="H1185" s="1" t="n">
        <v>30</v>
      </c>
      <c r="I1185" s="1" t="str">
        <f aca="false">RIGHT(("0"&amp;C1185),2)&amp;RIGHT(("0"&amp;D1185),2)&amp;RIGHT(("0"&amp;E1185),2)&amp;RIGHT(("0"&amp;F1185),2)&amp;RIGHT(("0"&amp;G1185),2)&amp;RIGHT(("0"&amp;H1185),2)</f>
        <v>040923272830</v>
      </c>
      <c r="J1185" s="1" t="n">
        <f aca="false">COUNTIF(I:I,I1185)</f>
        <v>1</v>
      </c>
      <c r="K1185" s="1" t="n">
        <v>0</v>
      </c>
      <c r="M1185" s="1" t="s">
        <v>23</v>
      </c>
      <c r="N1185" s="1" t="n">
        <v>134</v>
      </c>
      <c r="O1185" s="1" t="s">
        <v>5878</v>
      </c>
      <c r="P1185" s="1" t="n">
        <v>7342</v>
      </c>
      <c r="Q1185" s="1" t="s">
        <v>5879</v>
      </c>
      <c r="R1185" s="1" t="s">
        <v>5880</v>
      </c>
      <c r="S1185" s="1" t="s">
        <v>5881</v>
      </c>
      <c r="T1185" s="1" t="s">
        <v>4241</v>
      </c>
      <c r="U1185" s="1" t="s">
        <v>5882</v>
      </c>
    </row>
    <row r="1186" customFormat="false" ht="13.8" hidden="false" customHeight="false" outlineLevel="0" collapsed="false">
      <c r="A1186" s="1" t="n">
        <v>1185</v>
      </c>
      <c r="B1186" s="2" t="s">
        <v>5883</v>
      </c>
      <c r="C1186" s="1" t="n">
        <v>2</v>
      </c>
      <c r="D1186" s="1" t="n">
        <v>10</v>
      </c>
      <c r="E1186" s="1" t="n">
        <v>21</v>
      </c>
      <c r="F1186" s="1" t="n">
        <v>35</v>
      </c>
      <c r="G1186" s="1" t="n">
        <v>43</v>
      </c>
      <c r="H1186" s="1" t="n">
        <v>54</v>
      </c>
      <c r="I1186" s="1" t="str">
        <f aca="false">RIGHT(("0"&amp;C1186),2)&amp;RIGHT(("0"&amp;D1186),2)&amp;RIGHT(("0"&amp;E1186),2)&amp;RIGHT(("0"&amp;F1186),2)&amp;RIGHT(("0"&amp;G1186),2)&amp;RIGHT(("0"&amp;H1186),2)</f>
        <v>021021354354</v>
      </c>
      <c r="J1186" s="1" t="n">
        <f aca="false">COUNTIF(I:I,I1186)</f>
        <v>1</v>
      </c>
      <c r="K1186" s="1" t="n">
        <v>0</v>
      </c>
      <c r="M1186" s="1" t="s">
        <v>23</v>
      </c>
      <c r="N1186" s="1" t="n">
        <v>96</v>
      </c>
      <c r="O1186" s="1" t="s">
        <v>5884</v>
      </c>
      <c r="P1186" s="1" t="n">
        <v>5571</v>
      </c>
      <c r="Q1186" s="1" t="s">
        <v>5885</v>
      </c>
      <c r="R1186" s="1" t="s">
        <v>5886</v>
      </c>
      <c r="S1186" s="1" t="s">
        <v>5887</v>
      </c>
      <c r="T1186" s="1" t="s">
        <v>4246</v>
      </c>
      <c r="U1186" s="1" t="s">
        <v>5888</v>
      </c>
    </row>
    <row r="1187" customFormat="false" ht="13.8" hidden="false" customHeight="false" outlineLevel="0" collapsed="false">
      <c r="A1187" s="1" t="n">
        <v>1186</v>
      </c>
      <c r="B1187" s="2" t="s">
        <v>5889</v>
      </c>
      <c r="C1187" s="1" t="n">
        <v>7</v>
      </c>
      <c r="D1187" s="1" t="n">
        <v>8</v>
      </c>
      <c r="E1187" s="1" t="n">
        <v>12</v>
      </c>
      <c r="F1187" s="1" t="n">
        <v>13</v>
      </c>
      <c r="G1187" s="1" t="n">
        <v>15</v>
      </c>
      <c r="H1187" s="1" t="n">
        <v>41</v>
      </c>
      <c r="I1187" s="1" t="str">
        <f aca="false">RIGHT(("0"&amp;C1187),2)&amp;RIGHT(("0"&amp;D1187),2)&amp;RIGHT(("0"&amp;E1187),2)&amp;RIGHT(("0"&amp;F1187),2)&amp;RIGHT(("0"&amp;G1187),2)&amp;RIGHT(("0"&amp;H1187),2)</f>
        <v>070812131541</v>
      </c>
      <c r="J1187" s="1" t="n">
        <f aca="false">COUNTIF(I:I,I1187)</f>
        <v>1</v>
      </c>
      <c r="K1187" s="1" t="n">
        <v>1</v>
      </c>
      <c r="L1187" s="1" t="s">
        <v>5484</v>
      </c>
      <c r="M1187" s="1" t="s">
        <v>5890</v>
      </c>
      <c r="N1187" s="1" t="n">
        <v>196</v>
      </c>
      <c r="O1187" s="1" t="s">
        <v>5891</v>
      </c>
      <c r="P1187" s="1" t="n">
        <v>12126</v>
      </c>
      <c r="Q1187" s="1" t="s">
        <v>5892</v>
      </c>
      <c r="R1187" s="1" t="s">
        <v>23</v>
      </c>
      <c r="S1187" s="1" t="s">
        <v>5893</v>
      </c>
      <c r="T1187" s="1" t="s">
        <v>4218</v>
      </c>
      <c r="U1187" s="1" t="s">
        <v>5894</v>
      </c>
    </row>
    <row r="1188" customFormat="false" ht="13.8" hidden="false" customHeight="false" outlineLevel="0" collapsed="false">
      <c r="A1188" s="1" t="n">
        <v>1187</v>
      </c>
      <c r="B1188" s="2" t="s">
        <v>5895</v>
      </c>
      <c r="C1188" s="1" t="n">
        <v>8</v>
      </c>
      <c r="D1188" s="1" t="n">
        <v>17</v>
      </c>
      <c r="E1188" s="1" t="n">
        <v>19</v>
      </c>
      <c r="F1188" s="1" t="n">
        <v>40</v>
      </c>
      <c r="G1188" s="1" t="n">
        <v>43</v>
      </c>
      <c r="H1188" s="1" t="n">
        <v>49</v>
      </c>
      <c r="I1188" s="1" t="str">
        <f aca="false">RIGHT(("0"&amp;C1188),2)&amp;RIGHT(("0"&amp;D1188),2)&amp;RIGHT(("0"&amp;E1188),2)&amp;RIGHT(("0"&amp;F1188),2)&amp;RIGHT(("0"&amp;G1188),2)&amp;RIGHT(("0"&amp;H1188),2)</f>
        <v>081719404349</v>
      </c>
      <c r="J1188" s="1" t="n">
        <f aca="false">COUNTIF(I:I,I1188)</f>
        <v>1</v>
      </c>
      <c r="K1188" s="1" t="n">
        <v>0</v>
      </c>
      <c r="M1188" s="1" t="s">
        <v>23</v>
      </c>
      <c r="N1188" s="1" t="n">
        <v>42</v>
      </c>
      <c r="O1188" s="1" t="s">
        <v>5896</v>
      </c>
      <c r="P1188" s="1" t="n">
        <v>4013</v>
      </c>
      <c r="Q1188" s="1" t="s">
        <v>5897</v>
      </c>
      <c r="R1188" s="1" t="s">
        <v>5898</v>
      </c>
      <c r="S1188" s="1" t="s">
        <v>5899</v>
      </c>
      <c r="T1188" s="1" t="s">
        <v>4227</v>
      </c>
      <c r="U1188" s="1" t="s">
        <v>5900</v>
      </c>
    </row>
    <row r="1189" customFormat="false" ht="13.8" hidden="false" customHeight="false" outlineLevel="0" collapsed="false">
      <c r="A1189" s="1" t="n">
        <v>1188</v>
      </c>
      <c r="B1189" s="2" t="s">
        <v>5901</v>
      </c>
      <c r="C1189" s="1" t="n">
        <v>9</v>
      </c>
      <c r="D1189" s="1" t="n">
        <v>20</v>
      </c>
      <c r="E1189" s="1" t="n">
        <v>44</v>
      </c>
      <c r="F1189" s="1" t="n">
        <v>52</v>
      </c>
      <c r="G1189" s="1" t="n">
        <v>59</v>
      </c>
      <c r="H1189" s="1" t="n">
        <v>60</v>
      </c>
      <c r="I1189" s="1" t="str">
        <f aca="false">RIGHT(("0"&amp;C1189),2)&amp;RIGHT(("0"&amp;D1189),2)&amp;RIGHT(("0"&amp;E1189),2)&amp;RIGHT(("0"&amp;F1189),2)&amp;RIGHT(("0"&amp;G1189),2)&amp;RIGHT(("0"&amp;H1189),2)</f>
        <v>092044525960</v>
      </c>
      <c r="J1189" s="1" t="n">
        <f aca="false">COUNTIF(I:I,I1189)</f>
        <v>1</v>
      </c>
      <c r="K1189" s="1" t="n">
        <v>0</v>
      </c>
      <c r="M1189" s="1" t="s">
        <v>23</v>
      </c>
      <c r="N1189" s="1" t="n">
        <v>32</v>
      </c>
      <c r="O1189" s="1" t="s">
        <v>5902</v>
      </c>
      <c r="P1189" s="1" t="n">
        <v>3164</v>
      </c>
      <c r="Q1189" s="1" t="s">
        <v>5903</v>
      </c>
      <c r="R1189" s="1" t="s">
        <v>5904</v>
      </c>
      <c r="S1189" s="1" t="s">
        <v>5905</v>
      </c>
      <c r="T1189" s="1" t="s">
        <v>4232</v>
      </c>
      <c r="U1189" s="1" t="s">
        <v>5906</v>
      </c>
    </row>
    <row r="1190" customFormat="false" ht="13.8" hidden="false" customHeight="false" outlineLevel="0" collapsed="false">
      <c r="A1190" s="1" t="n">
        <v>1189</v>
      </c>
      <c r="B1190" s="2" t="s">
        <v>5907</v>
      </c>
      <c r="C1190" s="1" t="n">
        <v>14</v>
      </c>
      <c r="D1190" s="1" t="n">
        <v>21</v>
      </c>
      <c r="E1190" s="1" t="n">
        <v>27</v>
      </c>
      <c r="F1190" s="1" t="n">
        <v>31</v>
      </c>
      <c r="G1190" s="1" t="n">
        <v>35</v>
      </c>
      <c r="H1190" s="1" t="n">
        <v>50</v>
      </c>
      <c r="I1190" s="1" t="str">
        <f aca="false">RIGHT(("0"&amp;C1190),2)&amp;RIGHT(("0"&amp;D1190),2)&amp;RIGHT(("0"&amp;E1190),2)&amp;RIGHT(("0"&amp;F1190),2)&amp;RIGHT(("0"&amp;G1190),2)&amp;RIGHT(("0"&amp;H1190),2)</f>
        <v>142127313550</v>
      </c>
      <c r="J1190" s="1" t="n">
        <f aca="false">COUNTIF(I:I,I1190)</f>
        <v>1</v>
      </c>
      <c r="K1190" s="1" t="n">
        <v>0</v>
      </c>
      <c r="M1190" s="1" t="s">
        <v>23</v>
      </c>
      <c r="N1190" s="1" t="n">
        <v>44</v>
      </c>
      <c r="O1190" s="1" t="s">
        <v>5908</v>
      </c>
      <c r="P1190" s="1" t="n">
        <v>4064</v>
      </c>
      <c r="Q1190" s="1" t="s">
        <v>5909</v>
      </c>
      <c r="R1190" s="1" t="s">
        <v>5910</v>
      </c>
      <c r="S1190" s="1" t="s">
        <v>5911</v>
      </c>
      <c r="T1190" s="1" t="s">
        <v>4273</v>
      </c>
      <c r="U1190" s="1" t="s">
        <v>5912</v>
      </c>
    </row>
    <row r="1191" customFormat="false" ht="13.8" hidden="false" customHeight="false" outlineLevel="0" collapsed="false">
      <c r="A1191" s="1" t="n">
        <v>1190</v>
      </c>
      <c r="B1191" s="2" t="s">
        <v>5913</v>
      </c>
      <c r="C1191" s="1" t="n">
        <v>10</v>
      </c>
      <c r="D1191" s="1" t="n">
        <v>11</v>
      </c>
      <c r="E1191" s="1" t="n">
        <v>19</v>
      </c>
      <c r="F1191" s="1" t="n">
        <v>37</v>
      </c>
      <c r="G1191" s="1" t="n">
        <v>53</v>
      </c>
      <c r="H1191" s="1" t="n">
        <v>56</v>
      </c>
      <c r="I1191" s="1" t="str">
        <f aca="false">RIGHT(("0"&amp;C1191),2)&amp;RIGHT(("0"&amp;D1191),2)&amp;RIGHT(("0"&amp;E1191),2)&amp;RIGHT(("0"&amp;F1191),2)&amp;RIGHT(("0"&amp;G1191),2)&amp;RIGHT(("0"&amp;H1191),2)</f>
        <v>101119375356</v>
      </c>
      <c r="J1191" s="1" t="n">
        <f aca="false">COUNTIF(I:I,I1191)</f>
        <v>1</v>
      </c>
      <c r="K1191" s="1" t="n">
        <v>2</v>
      </c>
      <c r="L1191" s="1" t="s">
        <v>5914</v>
      </c>
      <c r="M1191" s="1" t="s">
        <v>5915</v>
      </c>
      <c r="N1191" s="1" t="n">
        <v>146</v>
      </c>
      <c r="O1191" s="1" t="s">
        <v>5916</v>
      </c>
      <c r="P1191" s="1" t="n">
        <v>7261</v>
      </c>
      <c r="Q1191" s="1" t="s">
        <v>5917</v>
      </c>
      <c r="R1191" s="1" t="s">
        <v>23</v>
      </c>
      <c r="S1191" s="1" t="s">
        <v>5918</v>
      </c>
      <c r="T1191" s="1" t="s">
        <v>4732</v>
      </c>
      <c r="U1191" s="1" t="s">
        <v>5919</v>
      </c>
    </row>
    <row r="1192" customFormat="false" ht="13.8" hidden="false" customHeight="false" outlineLevel="0" collapsed="false">
      <c r="A1192" s="1" t="n">
        <v>1191</v>
      </c>
      <c r="B1192" s="2" t="s">
        <v>5920</v>
      </c>
      <c r="C1192" s="1" t="n">
        <v>3</v>
      </c>
      <c r="D1192" s="1" t="n">
        <v>11</v>
      </c>
      <c r="E1192" s="1" t="n">
        <v>16</v>
      </c>
      <c r="F1192" s="1" t="n">
        <v>22</v>
      </c>
      <c r="G1192" s="1" t="n">
        <v>25</v>
      </c>
      <c r="H1192" s="1" t="n">
        <v>33</v>
      </c>
      <c r="I1192" s="1" t="str">
        <f aca="false">RIGHT(("0"&amp;C1192),2)&amp;RIGHT(("0"&amp;D1192),2)&amp;RIGHT(("0"&amp;E1192),2)&amp;RIGHT(("0"&amp;F1192),2)&amp;RIGHT(("0"&amp;G1192),2)&amp;RIGHT(("0"&amp;H1192),2)</f>
        <v>031116222533</v>
      </c>
      <c r="J1192" s="1" t="n">
        <f aca="false">COUNTIF(I:I,I1192)</f>
        <v>1</v>
      </c>
      <c r="K1192" s="1" t="n">
        <v>0</v>
      </c>
      <c r="M1192" s="1" t="s">
        <v>23</v>
      </c>
      <c r="N1192" s="1" t="n">
        <v>138</v>
      </c>
      <c r="O1192" s="1" t="s">
        <v>5921</v>
      </c>
      <c r="P1192" s="1" t="n">
        <v>6525</v>
      </c>
      <c r="Q1192" s="1" t="s">
        <v>5922</v>
      </c>
      <c r="R1192" s="1" t="s">
        <v>5923</v>
      </c>
      <c r="S1192" s="1" t="s">
        <v>5924</v>
      </c>
      <c r="T1192" s="1" t="s">
        <v>4409</v>
      </c>
      <c r="U1192" s="1" t="s">
        <v>5925</v>
      </c>
    </row>
    <row r="1193" customFormat="false" ht="13.8" hidden="false" customHeight="false" outlineLevel="0" collapsed="false">
      <c r="A1193" s="1" t="n">
        <v>1192</v>
      </c>
      <c r="B1193" s="2" t="s">
        <v>5926</v>
      </c>
      <c r="C1193" s="1" t="n">
        <v>17</v>
      </c>
      <c r="D1193" s="1" t="n">
        <v>20</v>
      </c>
      <c r="E1193" s="1" t="n">
        <v>49</v>
      </c>
      <c r="F1193" s="1" t="n">
        <v>52</v>
      </c>
      <c r="G1193" s="1" t="n">
        <v>57</v>
      </c>
      <c r="H1193" s="1" t="n">
        <v>59</v>
      </c>
      <c r="I1193" s="1" t="str">
        <f aca="false">RIGHT(("0"&amp;C1193),2)&amp;RIGHT(("0"&amp;D1193),2)&amp;RIGHT(("0"&amp;E1193),2)&amp;RIGHT(("0"&amp;F1193),2)&amp;RIGHT(("0"&amp;G1193),2)&amp;RIGHT(("0"&amp;H1193),2)</f>
        <v>172049525759</v>
      </c>
      <c r="J1193" s="1" t="n">
        <f aca="false">COUNTIF(I:I,I1193)</f>
        <v>1</v>
      </c>
      <c r="K1193" s="1" t="n">
        <v>0</v>
      </c>
      <c r="M1193" s="1" t="s">
        <v>23</v>
      </c>
      <c r="N1193" s="1" t="n">
        <v>34</v>
      </c>
      <c r="O1193" s="1" t="s">
        <v>5927</v>
      </c>
      <c r="P1193" s="1" t="n">
        <v>2691</v>
      </c>
      <c r="Q1193" s="1" t="s">
        <v>5928</v>
      </c>
      <c r="R1193" s="1" t="s">
        <v>5929</v>
      </c>
      <c r="S1193" s="1" t="s">
        <v>5930</v>
      </c>
      <c r="T1193" s="1" t="s">
        <v>5931</v>
      </c>
      <c r="U1193" s="1" t="s">
        <v>5932</v>
      </c>
    </row>
    <row r="1194" customFormat="false" ht="13.8" hidden="false" customHeight="false" outlineLevel="0" collapsed="false">
      <c r="A1194" s="1" t="n">
        <v>1193</v>
      </c>
      <c r="B1194" s="2" t="s">
        <v>5933</v>
      </c>
      <c r="C1194" s="1" t="n">
        <v>2</v>
      </c>
      <c r="D1194" s="1" t="n">
        <v>9</v>
      </c>
      <c r="E1194" s="1" t="n">
        <v>12</v>
      </c>
      <c r="F1194" s="1" t="n">
        <v>14</v>
      </c>
      <c r="G1194" s="1" t="n">
        <v>32</v>
      </c>
      <c r="H1194" s="1" t="n">
        <v>54</v>
      </c>
      <c r="I1194" s="1" t="str">
        <f aca="false">RIGHT(("0"&amp;C1194),2)&amp;RIGHT(("0"&amp;D1194),2)&amp;RIGHT(("0"&amp;E1194),2)&amp;RIGHT(("0"&amp;F1194),2)&amp;RIGHT(("0"&amp;G1194),2)&amp;RIGHT(("0"&amp;H1194),2)</f>
        <v>020912143254</v>
      </c>
      <c r="J1194" s="1" t="n">
        <f aca="false">COUNTIF(I:I,I1194)</f>
        <v>1</v>
      </c>
      <c r="K1194" s="1" t="n">
        <v>0</v>
      </c>
      <c r="M1194" s="1" t="s">
        <v>23</v>
      </c>
      <c r="N1194" s="1" t="n">
        <v>72</v>
      </c>
      <c r="O1194" s="1" t="s">
        <v>5934</v>
      </c>
      <c r="P1194" s="1" t="n">
        <v>5845</v>
      </c>
      <c r="Q1194" s="1" t="s">
        <v>5935</v>
      </c>
      <c r="R1194" s="1" t="s">
        <v>5936</v>
      </c>
      <c r="S1194" s="1" t="s">
        <v>5937</v>
      </c>
      <c r="T1194" s="1" t="s">
        <v>4190</v>
      </c>
      <c r="U1194" s="1" t="s">
        <v>5938</v>
      </c>
    </row>
    <row r="1195" customFormat="false" ht="13.8" hidden="false" customHeight="false" outlineLevel="0" collapsed="false">
      <c r="A1195" s="1" t="n">
        <v>1194</v>
      </c>
      <c r="B1195" s="2" t="s">
        <v>5939</v>
      </c>
      <c r="C1195" s="1" t="n">
        <v>6</v>
      </c>
      <c r="D1195" s="1" t="n">
        <v>13</v>
      </c>
      <c r="E1195" s="1" t="n">
        <v>24</v>
      </c>
      <c r="F1195" s="1" t="n">
        <v>41</v>
      </c>
      <c r="G1195" s="1" t="n">
        <v>50</v>
      </c>
      <c r="H1195" s="1" t="n">
        <v>53</v>
      </c>
      <c r="I1195" s="1" t="str">
        <f aca="false">RIGHT(("0"&amp;C1195),2)&amp;RIGHT(("0"&amp;D1195),2)&amp;RIGHT(("0"&amp;E1195),2)&amp;RIGHT(("0"&amp;F1195),2)&amp;RIGHT(("0"&amp;G1195),2)&amp;RIGHT(("0"&amp;H1195),2)</f>
        <v>061324415053</v>
      </c>
      <c r="J1195" s="1" t="n">
        <f aca="false">COUNTIF(I:I,I1195)</f>
        <v>1</v>
      </c>
      <c r="K1195" s="1" t="n">
        <v>0</v>
      </c>
      <c r="M1195" s="1" t="s">
        <v>23</v>
      </c>
      <c r="N1195" s="1" t="n">
        <v>54</v>
      </c>
      <c r="O1195" s="1" t="s">
        <v>5940</v>
      </c>
      <c r="P1195" s="1" t="n">
        <v>4511</v>
      </c>
      <c r="Q1195" s="1" t="s">
        <v>5941</v>
      </c>
      <c r="R1195" s="1" t="s">
        <v>5942</v>
      </c>
      <c r="S1195" s="1" t="s">
        <v>5943</v>
      </c>
      <c r="T1195" s="1" t="s">
        <v>4299</v>
      </c>
      <c r="U1195" s="1" t="s">
        <v>5944</v>
      </c>
    </row>
    <row r="1196" customFormat="false" ht="13.8" hidden="false" customHeight="false" outlineLevel="0" collapsed="false">
      <c r="A1196" s="1" t="n">
        <v>1195</v>
      </c>
      <c r="B1196" s="2" t="s">
        <v>5945</v>
      </c>
      <c r="C1196" s="1" t="n">
        <v>17</v>
      </c>
      <c r="D1196" s="1" t="n">
        <v>20</v>
      </c>
      <c r="E1196" s="1" t="n">
        <v>26</v>
      </c>
      <c r="F1196" s="1" t="n">
        <v>27</v>
      </c>
      <c r="G1196" s="1" t="n">
        <v>55</v>
      </c>
      <c r="H1196" s="1" t="n">
        <v>57</v>
      </c>
      <c r="I1196" s="1" t="str">
        <f aca="false">RIGHT(("0"&amp;C1196),2)&amp;RIGHT(("0"&amp;D1196),2)&amp;RIGHT(("0"&amp;E1196),2)&amp;RIGHT(("0"&amp;F1196),2)&amp;RIGHT(("0"&amp;G1196),2)&amp;RIGHT(("0"&amp;H1196),2)</f>
        <v>172026275557</v>
      </c>
      <c r="J1196" s="1" t="n">
        <f aca="false">COUNTIF(I:I,I1196)</f>
        <v>1</v>
      </c>
      <c r="K1196" s="1" t="n">
        <v>1</v>
      </c>
      <c r="L1196" s="1" t="s">
        <v>5946</v>
      </c>
      <c r="M1196" s="1" t="s">
        <v>5947</v>
      </c>
      <c r="N1196" s="1" t="n">
        <v>63</v>
      </c>
      <c r="O1196" s="1" t="s">
        <v>5948</v>
      </c>
      <c r="P1196" s="1" t="n">
        <v>4448</v>
      </c>
      <c r="Q1196" s="1" t="s">
        <v>5949</v>
      </c>
      <c r="R1196" s="1" t="s">
        <v>23</v>
      </c>
      <c r="S1196" s="1" t="s">
        <v>5950</v>
      </c>
      <c r="T1196" s="1" t="s">
        <v>4732</v>
      </c>
      <c r="U1196" s="1" t="s">
        <v>5951</v>
      </c>
    </row>
    <row r="1197" customFormat="false" ht="13.8" hidden="false" customHeight="false" outlineLevel="0" collapsed="false">
      <c r="A1197" s="1" t="n">
        <v>1196</v>
      </c>
      <c r="B1197" s="2" t="s">
        <v>5952</v>
      </c>
      <c r="C1197" s="1" t="n">
        <v>3</v>
      </c>
      <c r="D1197" s="1" t="n">
        <v>6</v>
      </c>
      <c r="E1197" s="1" t="n">
        <v>19</v>
      </c>
      <c r="F1197" s="1" t="n">
        <v>20</v>
      </c>
      <c r="G1197" s="1" t="n">
        <v>58</v>
      </c>
      <c r="H1197" s="1" t="n">
        <v>60</v>
      </c>
      <c r="I1197" s="1" t="str">
        <f aca="false">RIGHT(("0"&amp;C1197),2)&amp;RIGHT(("0"&amp;D1197),2)&amp;RIGHT(("0"&amp;E1197),2)&amp;RIGHT(("0"&amp;F1197),2)&amp;RIGHT(("0"&amp;G1197),2)&amp;RIGHT(("0"&amp;H1197),2)</f>
        <v>030619205860</v>
      </c>
      <c r="J1197" s="1" t="n">
        <f aca="false">COUNTIF(I:I,I1197)</f>
        <v>1</v>
      </c>
      <c r="K1197" s="1" t="n">
        <v>0</v>
      </c>
      <c r="M1197" s="1" t="s">
        <v>23</v>
      </c>
      <c r="N1197" s="1" t="n">
        <v>85</v>
      </c>
      <c r="O1197" s="1" t="s">
        <v>5953</v>
      </c>
      <c r="P1197" s="1" t="n">
        <v>5086</v>
      </c>
      <c r="Q1197" s="1" t="s">
        <v>5954</v>
      </c>
      <c r="R1197" s="1" t="s">
        <v>5955</v>
      </c>
      <c r="S1197" s="1" t="s">
        <v>5956</v>
      </c>
      <c r="T1197" s="1" t="s">
        <v>4227</v>
      </c>
      <c r="U1197" s="1" t="s">
        <v>5957</v>
      </c>
    </row>
    <row r="1198" customFormat="false" ht="13.8" hidden="false" customHeight="false" outlineLevel="0" collapsed="false">
      <c r="A1198" s="1" t="n">
        <v>1197</v>
      </c>
      <c r="B1198" s="2" t="s">
        <v>5958</v>
      </c>
      <c r="C1198" s="1" t="n">
        <v>36</v>
      </c>
      <c r="D1198" s="1" t="n">
        <v>37</v>
      </c>
      <c r="E1198" s="1" t="n">
        <v>39</v>
      </c>
      <c r="F1198" s="1" t="n">
        <v>49</v>
      </c>
      <c r="G1198" s="1" t="n">
        <v>54</v>
      </c>
      <c r="H1198" s="1" t="n">
        <v>60</v>
      </c>
      <c r="I1198" s="1" t="str">
        <f aca="false">RIGHT(("0"&amp;C1198),2)&amp;RIGHT(("0"&amp;D1198),2)&amp;RIGHT(("0"&amp;E1198),2)&amp;RIGHT(("0"&amp;F1198),2)&amp;RIGHT(("0"&amp;G1198),2)&amp;RIGHT(("0"&amp;H1198),2)</f>
        <v>363739495460</v>
      </c>
      <c r="J1198" s="1" t="n">
        <f aca="false">COUNTIF(I:I,I1198)</f>
        <v>1</v>
      </c>
      <c r="K1198" s="1" t="n">
        <v>0</v>
      </c>
      <c r="M1198" s="1" t="s">
        <v>23</v>
      </c>
      <c r="N1198" s="1" t="n">
        <v>35</v>
      </c>
      <c r="O1198" s="1" t="s">
        <v>5959</v>
      </c>
      <c r="P1198" s="1" t="n">
        <v>2662</v>
      </c>
      <c r="Q1198" s="1" t="s">
        <v>5960</v>
      </c>
      <c r="R1198" s="1" t="s">
        <v>5961</v>
      </c>
      <c r="S1198" s="1" t="s">
        <v>5962</v>
      </c>
      <c r="T1198" s="1" t="s">
        <v>4232</v>
      </c>
      <c r="U1198" s="1" t="s">
        <v>5963</v>
      </c>
    </row>
    <row r="1199" customFormat="false" ht="13.8" hidden="false" customHeight="false" outlineLevel="0" collapsed="false">
      <c r="A1199" s="1" t="n">
        <v>1198</v>
      </c>
      <c r="B1199" s="2" t="s">
        <v>5964</v>
      </c>
      <c r="C1199" s="1" t="n">
        <v>22</v>
      </c>
      <c r="D1199" s="1" t="n">
        <v>29</v>
      </c>
      <c r="E1199" s="1" t="n">
        <v>36</v>
      </c>
      <c r="F1199" s="1" t="n">
        <v>41</v>
      </c>
      <c r="G1199" s="1" t="n">
        <v>48</v>
      </c>
      <c r="H1199" s="1" t="n">
        <v>58</v>
      </c>
      <c r="I1199" s="1" t="str">
        <f aca="false">RIGHT(("0"&amp;C1199),2)&amp;RIGHT(("0"&amp;D1199),2)&amp;RIGHT(("0"&amp;E1199),2)&amp;RIGHT(("0"&amp;F1199),2)&amp;RIGHT(("0"&amp;G1199),2)&amp;RIGHT(("0"&amp;H1199),2)</f>
        <v>222936414858</v>
      </c>
      <c r="J1199" s="1" t="n">
        <f aca="false">COUNTIF(I:I,I1199)</f>
        <v>1</v>
      </c>
      <c r="K1199" s="1" t="n">
        <v>0</v>
      </c>
      <c r="M1199" s="1" t="s">
        <v>23</v>
      </c>
      <c r="N1199" s="1" t="n">
        <v>52</v>
      </c>
      <c r="O1199" s="1" t="s">
        <v>5965</v>
      </c>
      <c r="P1199" s="1" t="n">
        <v>3708</v>
      </c>
      <c r="Q1199" s="1" t="s">
        <v>5966</v>
      </c>
      <c r="R1199" s="1" t="s">
        <v>5967</v>
      </c>
      <c r="S1199" s="1" t="s">
        <v>5968</v>
      </c>
      <c r="T1199" s="1" t="s">
        <v>5969</v>
      </c>
      <c r="U1199" s="1" t="s">
        <v>5970</v>
      </c>
    </row>
    <row r="1200" customFormat="false" ht="13.8" hidden="false" customHeight="false" outlineLevel="0" collapsed="false">
      <c r="A1200" s="1" t="n">
        <v>1199</v>
      </c>
      <c r="B1200" s="2" t="s">
        <v>5971</v>
      </c>
      <c r="C1200" s="1" t="n">
        <v>16</v>
      </c>
      <c r="D1200" s="1" t="n">
        <v>19</v>
      </c>
      <c r="E1200" s="1" t="n">
        <v>23</v>
      </c>
      <c r="F1200" s="1" t="n">
        <v>28</v>
      </c>
      <c r="G1200" s="1" t="n">
        <v>39</v>
      </c>
      <c r="H1200" s="1" t="n">
        <v>58</v>
      </c>
      <c r="I1200" s="1" t="str">
        <f aca="false">RIGHT(("0"&amp;C1200),2)&amp;RIGHT(("0"&amp;D1200),2)&amp;RIGHT(("0"&amp;E1200),2)&amp;RIGHT(("0"&amp;F1200),2)&amp;RIGHT(("0"&amp;G1200),2)&amp;RIGHT(("0"&amp;H1200),2)</f>
        <v>161923283958</v>
      </c>
      <c r="J1200" s="1" t="n">
        <f aca="false">COUNTIF(I:I,I1200)</f>
        <v>1</v>
      </c>
      <c r="K1200" s="1" t="n">
        <v>0</v>
      </c>
      <c r="M1200" s="1" t="s">
        <v>23</v>
      </c>
      <c r="N1200" s="1" t="n">
        <v>71</v>
      </c>
      <c r="O1200" s="1" t="s">
        <v>5972</v>
      </c>
      <c r="P1200" s="1" t="n">
        <v>5692</v>
      </c>
      <c r="Q1200" s="1" t="s">
        <v>5973</v>
      </c>
      <c r="R1200" s="1" t="s">
        <v>5974</v>
      </c>
      <c r="S1200" s="1" t="s">
        <v>5975</v>
      </c>
      <c r="T1200" s="1" t="s">
        <v>4246</v>
      </c>
      <c r="U1200" s="1" t="s">
        <v>5976</v>
      </c>
    </row>
    <row r="1201" customFormat="false" ht="13.8" hidden="false" customHeight="false" outlineLevel="0" collapsed="false">
      <c r="A1201" s="1" t="n">
        <v>1200</v>
      </c>
      <c r="B1201" s="2" t="s">
        <v>5977</v>
      </c>
      <c r="C1201" s="1" t="n">
        <v>3</v>
      </c>
      <c r="D1201" s="1" t="n">
        <v>10</v>
      </c>
      <c r="E1201" s="1" t="n">
        <v>11</v>
      </c>
      <c r="F1201" s="1" t="n">
        <v>39</v>
      </c>
      <c r="G1201" s="1" t="n">
        <v>54</v>
      </c>
      <c r="H1201" s="1" t="n">
        <v>56</v>
      </c>
      <c r="I1201" s="1" t="str">
        <f aca="false">RIGHT(("0"&amp;C1201),2)&amp;RIGHT(("0"&amp;D1201),2)&amp;RIGHT(("0"&amp;E1201),2)&amp;RIGHT(("0"&amp;F1201),2)&amp;RIGHT(("0"&amp;G1201),2)&amp;RIGHT(("0"&amp;H1201),2)</f>
        <v>031011395456</v>
      </c>
      <c r="J1201" s="1" t="n">
        <f aca="false">COUNTIF(I:I,I1201)</f>
        <v>1</v>
      </c>
      <c r="K1201" s="1" t="n">
        <v>1</v>
      </c>
      <c r="L1201" s="1" t="s">
        <v>5484</v>
      </c>
      <c r="M1201" s="1" t="s">
        <v>5978</v>
      </c>
      <c r="N1201" s="1" t="n">
        <v>91</v>
      </c>
      <c r="O1201" s="1" t="s">
        <v>5979</v>
      </c>
      <c r="P1201" s="1" t="n">
        <v>6489</v>
      </c>
      <c r="Q1201" s="1" t="s">
        <v>5980</v>
      </c>
      <c r="R1201" s="1" t="s">
        <v>23</v>
      </c>
      <c r="S1201" s="1" t="s">
        <v>5981</v>
      </c>
      <c r="T1201" s="1" t="s">
        <v>4732</v>
      </c>
      <c r="U1201" s="1" t="s">
        <v>5982</v>
      </c>
    </row>
    <row r="1202" customFormat="false" ht="13.8" hidden="false" customHeight="false" outlineLevel="0" collapsed="false">
      <c r="A1202" s="1" t="n">
        <v>1201</v>
      </c>
      <c r="B1202" s="2" t="s">
        <v>5983</v>
      </c>
      <c r="C1202" s="1" t="n">
        <v>28</v>
      </c>
      <c r="D1202" s="1" t="n">
        <v>32</v>
      </c>
      <c r="E1202" s="1" t="n">
        <v>36</v>
      </c>
      <c r="F1202" s="1" t="n">
        <v>49</v>
      </c>
      <c r="G1202" s="1" t="n">
        <v>55</v>
      </c>
      <c r="H1202" s="1" t="n">
        <v>60</v>
      </c>
      <c r="I1202" s="1" t="str">
        <f aca="false">RIGHT(("0"&amp;C1202),2)&amp;RIGHT(("0"&amp;D1202),2)&amp;RIGHT(("0"&amp;E1202),2)&amp;RIGHT(("0"&amp;F1202),2)&amp;RIGHT(("0"&amp;G1202),2)&amp;RIGHT(("0"&amp;H1202),2)</f>
        <v>283236495560</v>
      </c>
      <c r="J1202" s="1" t="n">
        <f aca="false">COUNTIF(I:I,I1202)</f>
        <v>1</v>
      </c>
      <c r="K1202" s="1" t="n">
        <v>0</v>
      </c>
      <c r="M1202" s="1" t="s">
        <v>23</v>
      </c>
      <c r="N1202" s="1" t="n">
        <v>67</v>
      </c>
      <c r="O1202" s="1" t="s">
        <v>5984</v>
      </c>
      <c r="P1202" s="1" t="n">
        <v>3425</v>
      </c>
      <c r="Q1202" s="1" t="s">
        <v>5985</v>
      </c>
      <c r="R1202" s="1" t="s">
        <v>5986</v>
      </c>
      <c r="S1202" s="1" t="s">
        <v>5987</v>
      </c>
      <c r="T1202" s="1" t="s">
        <v>4227</v>
      </c>
      <c r="U1202" s="1" t="s">
        <v>5988</v>
      </c>
    </row>
    <row r="1203" customFormat="false" ht="13.8" hidden="false" customHeight="false" outlineLevel="0" collapsed="false">
      <c r="A1203" s="1" t="n">
        <v>1202</v>
      </c>
      <c r="B1203" s="2" t="s">
        <v>5989</v>
      </c>
      <c r="C1203" s="1" t="n">
        <v>8</v>
      </c>
      <c r="D1203" s="1" t="n">
        <v>9</v>
      </c>
      <c r="E1203" s="1" t="n">
        <v>11</v>
      </c>
      <c r="F1203" s="1" t="n">
        <v>48</v>
      </c>
      <c r="G1203" s="1" t="n">
        <v>53</v>
      </c>
      <c r="H1203" s="1" t="n">
        <v>60</v>
      </c>
      <c r="I1203" s="1" t="str">
        <f aca="false">RIGHT(("0"&amp;C1203),2)&amp;RIGHT(("0"&amp;D1203),2)&amp;RIGHT(("0"&amp;E1203),2)&amp;RIGHT(("0"&amp;F1203),2)&amp;RIGHT(("0"&amp;G1203),2)&amp;RIGHT(("0"&amp;H1203),2)</f>
        <v>080911485360</v>
      </c>
      <c r="J1203" s="1" t="n">
        <f aca="false">COUNTIF(I:I,I1203)</f>
        <v>1</v>
      </c>
      <c r="K1203" s="1" t="n">
        <v>0</v>
      </c>
      <c r="M1203" s="1" t="s">
        <v>23</v>
      </c>
      <c r="N1203" s="1" t="n">
        <v>63</v>
      </c>
      <c r="O1203" s="1" t="s">
        <v>5990</v>
      </c>
      <c r="P1203" s="1" t="n">
        <v>4195</v>
      </c>
      <c r="Q1203" s="1" t="s">
        <v>5991</v>
      </c>
      <c r="R1203" s="1" t="s">
        <v>5992</v>
      </c>
      <c r="S1203" s="1" t="s">
        <v>5993</v>
      </c>
      <c r="T1203" s="1" t="s">
        <v>4232</v>
      </c>
      <c r="U1203" s="1" t="s">
        <v>5994</v>
      </c>
    </row>
    <row r="1204" customFormat="false" ht="13.8" hidden="false" customHeight="false" outlineLevel="0" collapsed="false">
      <c r="A1204" s="1" t="n">
        <v>1203</v>
      </c>
      <c r="B1204" s="2" t="s">
        <v>5995</v>
      </c>
      <c r="C1204" s="1" t="n">
        <v>7</v>
      </c>
      <c r="D1204" s="1" t="n">
        <v>9</v>
      </c>
      <c r="E1204" s="1" t="n">
        <v>30</v>
      </c>
      <c r="F1204" s="1" t="n">
        <v>33</v>
      </c>
      <c r="G1204" s="1" t="n">
        <v>38</v>
      </c>
      <c r="H1204" s="1" t="n">
        <v>55</v>
      </c>
      <c r="I1204" s="1" t="str">
        <f aca="false">RIGHT(("0"&amp;C1204),2)&amp;RIGHT(("0"&amp;D1204),2)&amp;RIGHT(("0"&amp;E1204),2)&amp;RIGHT(("0"&amp;F1204),2)&amp;RIGHT(("0"&amp;G1204),2)&amp;RIGHT(("0"&amp;H1204),2)</f>
        <v>070930333855</v>
      </c>
      <c r="J1204" s="1" t="n">
        <f aca="false">COUNTIF(I:I,I1204)</f>
        <v>1</v>
      </c>
      <c r="K1204" s="1" t="n">
        <v>0</v>
      </c>
      <c r="M1204" s="1" t="s">
        <v>23</v>
      </c>
      <c r="N1204" s="1" t="n">
        <v>99</v>
      </c>
      <c r="O1204" s="1" t="s">
        <v>5996</v>
      </c>
      <c r="P1204" s="1" t="n">
        <v>6138</v>
      </c>
      <c r="Q1204" s="1" t="s">
        <v>5997</v>
      </c>
      <c r="R1204" s="1" t="s">
        <v>5998</v>
      </c>
      <c r="S1204" s="1" t="s">
        <v>5999</v>
      </c>
      <c r="T1204" s="1" t="s">
        <v>4195</v>
      </c>
      <c r="U1204" s="1" t="s">
        <v>6000</v>
      </c>
    </row>
    <row r="1205" customFormat="false" ht="13.8" hidden="false" customHeight="false" outlineLevel="0" collapsed="false">
      <c r="A1205" s="1" t="n">
        <v>1204</v>
      </c>
      <c r="B1205" s="2" t="s">
        <v>6001</v>
      </c>
      <c r="C1205" s="1" t="n">
        <v>5</v>
      </c>
      <c r="D1205" s="1" t="n">
        <v>10</v>
      </c>
      <c r="E1205" s="1" t="n">
        <v>25</v>
      </c>
      <c r="F1205" s="1" t="n">
        <v>39</v>
      </c>
      <c r="G1205" s="1" t="n">
        <v>43</v>
      </c>
      <c r="H1205" s="1" t="n">
        <v>52</v>
      </c>
      <c r="I1205" s="1" t="str">
        <f aca="false">RIGHT(("0"&amp;C1205),2)&amp;RIGHT(("0"&amp;D1205),2)&amp;RIGHT(("0"&amp;E1205),2)&amp;RIGHT(("0"&amp;F1205),2)&amp;RIGHT(("0"&amp;G1205),2)&amp;RIGHT(("0"&amp;H1205),2)</f>
        <v>051025394352</v>
      </c>
      <c r="J1205" s="1" t="n">
        <f aca="false">COUNTIF(I:I,I1205)</f>
        <v>1</v>
      </c>
      <c r="K1205" s="1" t="n">
        <v>0</v>
      </c>
      <c r="M1205" s="1" t="s">
        <v>23</v>
      </c>
      <c r="N1205" s="1" t="n">
        <v>95</v>
      </c>
      <c r="O1205" s="1" t="s">
        <v>6002</v>
      </c>
      <c r="P1205" s="1" t="n">
        <v>6613</v>
      </c>
      <c r="Q1205" s="1" t="s">
        <v>6003</v>
      </c>
      <c r="R1205" s="1" t="s">
        <v>6004</v>
      </c>
      <c r="S1205" s="1" t="s">
        <v>6005</v>
      </c>
      <c r="T1205" s="1" t="s">
        <v>4246</v>
      </c>
      <c r="U1205" s="1" t="s">
        <v>6006</v>
      </c>
    </row>
    <row r="1206" customFormat="false" ht="13.8" hidden="false" customHeight="false" outlineLevel="0" collapsed="false">
      <c r="A1206" s="1" t="n">
        <v>1205</v>
      </c>
      <c r="B1206" s="2" t="s">
        <v>6007</v>
      </c>
      <c r="C1206" s="1" t="n">
        <v>4</v>
      </c>
      <c r="D1206" s="1" t="n">
        <v>13</v>
      </c>
      <c r="E1206" s="1" t="n">
        <v>14</v>
      </c>
      <c r="F1206" s="1" t="n">
        <v>26</v>
      </c>
      <c r="G1206" s="1" t="n">
        <v>29</v>
      </c>
      <c r="H1206" s="1" t="n">
        <v>35</v>
      </c>
      <c r="I1206" s="1" t="str">
        <f aca="false">RIGHT(("0"&amp;C1206),2)&amp;RIGHT(("0"&amp;D1206),2)&amp;RIGHT(("0"&amp;E1206),2)&amp;RIGHT(("0"&amp;F1206),2)&amp;RIGHT(("0"&amp;G1206),2)&amp;RIGHT(("0"&amp;H1206),2)</f>
        <v>041314262935</v>
      </c>
      <c r="J1206" s="1" t="n">
        <f aca="false">COUNTIF(I:I,I1206)</f>
        <v>1</v>
      </c>
      <c r="K1206" s="1" t="n">
        <v>0</v>
      </c>
      <c r="M1206" s="1" t="s">
        <v>23</v>
      </c>
      <c r="N1206" s="1" t="n">
        <v>141</v>
      </c>
      <c r="O1206" s="1" t="s">
        <v>6008</v>
      </c>
      <c r="P1206" s="1" t="n">
        <v>9645</v>
      </c>
      <c r="Q1206" s="1" t="s">
        <v>6009</v>
      </c>
      <c r="R1206" s="1" t="s">
        <v>6010</v>
      </c>
      <c r="S1206" s="1" t="s">
        <v>6011</v>
      </c>
      <c r="T1206" s="1" t="s">
        <v>5281</v>
      </c>
      <c r="U1206" s="1" t="s">
        <v>6012</v>
      </c>
    </row>
    <row r="1207" customFormat="false" ht="13.8" hidden="false" customHeight="false" outlineLevel="0" collapsed="false">
      <c r="A1207" s="1" t="n">
        <v>1206</v>
      </c>
      <c r="B1207" s="2" t="s">
        <v>6013</v>
      </c>
      <c r="C1207" s="1" t="n">
        <v>2</v>
      </c>
      <c r="D1207" s="1" t="n">
        <v>6</v>
      </c>
      <c r="E1207" s="1" t="n">
        <v>11</v>
      </c>
      <c r="F1207" s="1" t="n">
        <v>36</v>
      </c>
      <c r="G1207" s="1" t="n">
        <v>37</v>
      </c>
      <c r="H1207" s="1" t="n">
        <v>48</v>
      </c>
      <c r="I1207" s="1" t="str">
        <f aca="false">RIGHT(("0"&amp;C1207),2)&amp;RIGHT(("0"&amp;D1207),2)&amp;RIGHT(("0"&amp;E1207),2)&amp;RIGHT(("0"&amp;F1207),2)&amp;RIGHT(("0"&amp;G1207),2)&amp;RIGHT(("0"&amp;H1207),2)</f>
        <v>020611363748</v>
      </c>
      <c r="J1207" s="1" t="n">
        <f aca="false">COUNTIF(I:I,I1207)</f>
        <v>1</v>
      </c>
      <c r="K1207" s="1" t="n">
        <v>0</v>
      </c>
      <c r="M1207" s="1" t="s">
        <v>23</v>
      </c>
      <c r="N1207" s="1" t="n">
        <v>112</v>
      </c>
      <c r="O1207" s="1" t="s">
        <v>6014</v>
      </c>
      <c r="P1207" s="1" t="n">
        <v>8526</v>
      </c>
      <c r="Q1207" s="1" t="s">
        <v>6015</v>
      </c>
      <c r="R1207" s="1" t="s">
        <v>6016</v>
      </c>
      <c r="S1207" s="1" t="s">
        <v>6017</v>
      </c>
      <c r="T1207" s="1" t="s">
        <v>6018</v>
      </c>
      <c r="U1207" s="1" t="s">
        <v>6019</v>
      </c>
    </row>
    <row r="1208" customFormat="false" ht="13.8" hidden="false" customHeight="false" outlineLevel="0" collapsed="false">
      <c r="A1208" s="1" t="n">
        <v>1207</v>
      </c>
      <c r="B1208" s="2" t="s">
        <v>6020</v>
      </c>
      <c r="C1208" s="1" t="n">
        <v>9</v>
      </c>
      <c r="D1208" s="1" t="n">
        <v>11</v>
      </c>
      <c r="E1208" s="1" t="n">
        <v>22</v>
      </c>
      <c r="F1208" s="1" t="n">
        <v>32</v>
      </c>
      <c r="G1208" s="1" t="n">
        <v>35</v>
      </c>
      <c r="H1208" s="1" t="n">
        <v>56</v>
      </c>
      <c r="I1208" s="1" t="str">
        <f aca="false">RIGHT(("0"&amp;C1208),2)&amp;RIGHT(("0"&amp;D1208),2)&amp;RIGHT(("0"&amp;E1208),2)&amp;RIGHT(("0"&amp;F1208),2)&amp;RIGHT(("0"&amp;G1208),2)&amp;RIGHT(("0"&amp;H1208),2)</f>
        <v>091122323556</v>
      </c>
      <c r="J1208" s="1" t="n">
        <f aca="false">COUNTIF(I:I,I1208)</f>
        <v>1</v>
      </c>
      <c r="K1208" s="1" t="n">
        <v>0</v>
      </c>
      <c r="M1208" s="1" t="s">
        <v>23</v>
      </c>
      <c r="N1208" s="1" t="n">
        <v>108</v>
      </c>
      <c r="O1208" s="1" t="s">
        <v>6021</v>
      </c>
      <c r="P1208" s="1" t="n">
        <v>8377</v>
      </c>
      <c r="Q1208" s="1" t="s">
        <v>6022</v>
      </c>
      <c r="R1208" s="1" t="s">
        <v>6023</v>
      </c>
      <c r="S1208" s="1" t="s">
        <v>6024</v>
      </c>
      <c r="T1208" s="1" t="s">
        <v>6025</v>
      </c>
      <c r="U1208" s="1" t="s">
        <v>6026</v>
      </c>
    </row>
    <row r="1209" customFormat="false" ht="13.8" hidden="false" customHeight="false" outlineLevel="0" collapsed="false">
      <c r="A1209" s="1" t="n">
        <v>1208</v>
      </c>
      <c r="B1209" s="2" t="s">
        <v>6027</v>
      </c>
      <c r="C1209" s="1" t="n">
        <v>1</v>
      </c>
      <c r="D1209" s="1" t="n">
        <v>12</v>
      </c>
      <c r="E1209" s="1" t="n">
        <v>20</v>
      </c>
      <c r="F1209" s="1" t="n">
        <v>26</v>
      </c>
      <c r="G1209" s="1" t="n">
        <v>45</v>
      </c>
      <c r="H1209" s="1" t="n">
        <v>54</v>
      </c>
      <c r="I1209" s="1" t="str">
        <f aca="false">RIGHT(("0"&amp;C1209),2)&amp;RIGHT(("0"&amp;D1209),2)&amp;RIGHT(("0"&amp;E1209),2)&amp;RIGHT(("0"&amp;F1209),2)&amp;RIGHT(("0"&amp;G1209),2)&amp;RIGHT(("0"&amp;H1209),2)</f>
        <v>011220264554</v>
      </c>
      <c r="J1209" s="1" t="n">
        <f aca="false">COUNTIF(I:I,I1209)</f>
        <v>1</v>
      </c>
      <c r="K1209" s="1" t="n">
        <v>0</v>
      </c>
      <c r="M1209" s="1" t="s">
        <v>23</v>
      </c>
      <c r="N1209" s="1" t="n">
        <v>125</v>
      </c>
      <c r="O1209" s="1" t="s">
        <v>6028</v>
      </c>
      <c r="P1209" s="1" t="n">
        <v>9464</v>
      </c>
      <c r="Q1209" s="1" t="s">
        <v>6029</v>
      </c>
      <c r="R1209" s="1" t="s">
        <v>6030</v>
      </c>
      <c r="S1209" s="1" t="s">
        <v>6031</v>
      </c>
      <c r="T1209" s="1" t="s">
        <v>6032</v>
      </c>
      <c r="U1209" s="1" t="s">
        <v>6033</v>
      </c>
    </row>
    <row r="1210" customFormat="false" ht="13.8" hidden="false" customHeight="false" outlineLevel="0" collapsed="false">
      <c r="A1210" s="1" t="n">
        <v>1209</v>
      </c>
      <c r="B1210" s="2" t="s">
        <v>6034</v>
      </c>
      <c r="C1210" s="1" t="n">
        <v>5</v>
      </c>
      <c r="D1210" s="1" t="n">
        <v>14</v>
      </c>
      <c r="E1210" s="1" t="n">
        <v>17</v>
      </c>
      <c r="F1210" s="1" t="n">
        <v>30</v>
      </c>
      <c r="G1210" s="1" t="n">
        <v>35</v>
      </c>
      <c r="H1210" s="1" t="n">
        <v>38</v>
      </c>
      <c r="I1210" s="1" t="str">
        <f aca="false">RIGHT(("0"&amp;C1210),2)&amp;RIGHT(("0"&amp;D1210),2)&amp;RIGHT(("0"&amp;E1210),2)&amp;RIGHT(("0"&amp;F1210),2)&amp;RIGHT(("0"&amp;G1210),2)&amp;RIGHT(("0"&amp;H1210),2)</f>
        <v>051417303538</v>
      </c>
      <c r="J1210" s="1" t="n">
        <f aca="false">COUNTIF(I:I,I1210)</f>
        <v>1</v>
      </c>
      <c r="K1210" s="1" t="n">
        <v>0</v>
      </c>
      <c r="M1210" s="1" t="s">
        <v>23</v>
      </c>
      <c r="N1210" s="1" t="n">
        <v>251</v>
      </c>
      <c r="O1210" s="1" t="s">
        <v>6035</v>
      </c>
      <c r="P1210" s="1" t="n">
        <v>16146</v>
      </c>
      <c r="Q1210" s="1" t="s">
        <v>6036</v>
      </c>
      <c r="R1210" s="1" t="s">
        <v>6037</v>
      </c>
      <c r="S1210" s="1" t="s">
        <v>6038</v>
      </c>
      <c r="T1210" s="1" t="s">
        <v>5706</v>
      </c>
      <c r="U1210" s="1" t="s">
        <v>6039</v>
      </c>
    </row>
    <row r="1211" customFormat="false" ht="13.8" hidden="false" customHeight="false" outlineLevel="0" collapsed="false">
      <c r="A1211" s="1" t="n">
        <v>1210</v>
      </c>
      <c r="B1211" s="2" t="s">
        <v>6040</v>
      </c>
      <c r="C1211" s="1" t="n">
        <v>3</v>
      </c>
      <c r="D1211" s="1" t="n">
        <v>7</v>
      </c>
      <c r="E1211" s="1" t="n">
        <v>9</v>
      </c>
      <c r="F1211" s="1" t="n">
        <v>10</v>
      </c>
      <c r="G1211" s="1" t="n">
        <v>31</v>
      </c>
      <c r="H1211" s="1" t="n">
        <v>34</v>
      </c>
      <c r="I1211" s="1" t="str">
        <f aca="false">RIGHT(("0"&amp;C1211),2)&amp;RIGHT(("0"&amp;D1211),2)&amp;RIGHT(("0"&amp;E1211),2)&amp;RIGHT(("0"&amp;F1211),2)&amp;RIGHT(("0"&amp;G1211),2)&amp;RIGHT(("0"&amp;H1211),2)</f>
        <v>030709103134</v>
      </c>
      <c r="J1211" s="1" t="n">
        <f aca="false">COUNTIF(I:I,I1211)</f>
        <v>1</v>
      </c>
      <c r="K1211" s="1" t="n">
        <v>0</v>
      </c>
      <c r="M1211" s="1" t="s">
        <v>23</v>
      </c>
      <c r="N1211" s="1" t="n">
        <v>993</v>
      </c>
      <c r="O1211" s="1" t="s">
        <v>6041</v>
      </c>
      <c r="P1211" s="1" t="n">
        <v>57447</v>
      </c>
      <c r="Q1211" s="1" t="s">
        <v>6042</v>
      </c>
      <c r="R1211" s="1" t="s">
        <v>6043</v>
      </c>
      <c r="S1211" s="1" t="s">
        <v>6044</v>
      </c>
      <c r="T1211" s="1" t="s">
        <v>6045</v>
      </c>
      <c r="U1211" s="1" t="s">
        <v>6046</v>
      </c>
    </row>
    <row r="1212" customFormat="false" ht="13.8" hidden="false" customHeight="false" outlineLevel="0" collapsed="false">
      <c r="A1212" s="1" t="n">
        <v>1211</v>
      </c>
      <c r="B1212" s="2" t="s">
        <v>6047</v>
      </c>
      <c r="C1212" s="1" t="n">
        <v>3</v>
      </c>
      <c r="D1212" s="1" t="n">
        <v>15</v>
      </c>
      <c r="E1212" s="1" t="n">
        <v>31</v>
      </c>
      <c r="F1212" s="1" t="n">
        <v>36</v>
      </c>
      <c r="G1212" s="1" t="n">
        <v>48</v>
      </c>
      <c r="H1212" s="1" t="n">
        <v>54</v>
      </c>
      <c r="I1212" s="1" t="str">
        <f aca="false">RIGHT(("0"&amp;C1212),2)&amp;RIGHT(("0"&amp;D1212),2)&amp;RIGHT(("0"&amp;E1212),2)&amp;RIGHT(("0"&amp;F1212),2)&amp;RIGHT(("0"&amp;G1212),2)&amp;RIGHT(("0"&amp;H1212),2)</f>
        <v>031531364854</v>
      </c>
      <c r="J1212" s="1" t="n">
        <f aca="false">COUNTIF(I:I,I1212)</f>
        <v>1</v>
      </c>
      <c r="K1212" s="1" t="n">
        <v>7</v>
      </c>
      <c r="L1212" s="1" t="s">
        <v>6048</v>
      </c>
      <c r="M1212" s="1" t="s">
        <v>6049</v>
      </c>
      <c r="N1212" s="1" t="n">
        <v>981</v>
      </c>
      <c r="O1212" s="1" t="s">
        <v>6050</v>
      </c>
      <c r="P1212" s="1" t="n">
        <v>44163</v>
      </c>
      <c r="Q1212" s="1" t="s">
        <v>6051</v>
      </c>
      <c r="R1212" s="1" t="s">
        <v>23</v>
      </c>
      <c r="S1212" s="1" t="s">
        <v>6052</v>
      </c>
      <c r="T1212" s="1" t="s">
        <v>4732</v>
      </c>
      <c r="U1212" s="1" t="s">
        <v>6053</v>
      </c>
    </row>
    <row r="1213" customFormat="false" ht="13.8" hidden="false" customHeight="false" outlineLevel="0" collapsed="false">
      <c r="A1213" s="1" t="n">
        <v>1212</v>
      </c>
      <c r="B1213" s="2" t="s">
        <v>6054</v>
      </c>
      <c r="C1213" s="1" t="n">
        <v>2</v>
      </c>
      <c r="D1213" s="1" t="n">
        <v>23</v>
      </c>
      <c r="E1213" s="1" t="n">
        <v>33</v>
      </c>
      <c r="F1213" s="1" t="n">
        <v>35</v>
      </c>
      <c r="G1213" s="1" t="n">
        <v>40</v>
      </c>
      <c r="H1213" s="1" t="n">
        <v>50</v>
      </c>
      <c r="I1213" s="1" t="str">
        <f aca="false">RIGHT(("0"&amp;C1213),2)&amp;RIGHT(("0"&amp;D1213),2)&amp;RIGHT(("0"&amp;E1213),2)&amp;RIGHT(("0"&amp;F1213),2)&amp;RIGHT(("0"&amp;G1213),2)&amp;RIGHT(("0"&amp;H1213),2)</f>
        <v>022333354050</v>
      </c>
      <c r="J1213" s="1" t="n">
        <f aca="false">COUNTIF(I:I,I1213)</f>
        <v>1</v>
      </c>
      <c r="K1213" s="1" t="n">
        <v>0</v>
      </c>
      <c r="M1213" s="1" t="s">
        <v>23</v>
      </c>
      <c r="N1213" s="1" t="n">
        <v>28</v>
      </c>
      <c r="O1213" s="1" t="s">
        <v>6055</v>
      </c>
      <c r="P1213" s="1" t="n">
        <v>2326</v>
      </c>
      <c r="Q1213" s="1" t="s">
        <v>6056</v>
      </c>
      <c r="R1213" s="1" t="s">
        <v>6057</v>
      </c>
      <c r="S1213" s="1" t="s">
        <v>6058</v>
      </c>
      <c r="T1213" s="1" t="s">
        <v>4409</v>
      </c>
      <c r="U1213" s="1" t="s">
        <v>6059</v>
      </c>
    </row>
    <row r="1214" customFormat="false" ht="13.8" hidden="false" customHeight="false" outlineLevel="0" collapsed="false">
      <c r="A1214" s="1" t="n">
        <v>1213</v>
      </c>
      <c r="B1214" s="2" t="s">
        <v>6060</v>
      </c>
      <c r="C1214" s="1" t="n">
        <v>3</v>
      </c>
      <c r="D1214" s="1" t="n">
        <v>11</v>
      </c>
      <c r="E1214" s="1" t="n">
        <v>26</v>
      </c>
      <c r="F1214" s="1" t="n">
        <v>34</v>
      </c>
      <c r="G1214" s="1" t="n">
        <v>45</v>
      </c>
      <c r="H1214" s="1" t="n">
        <v>53</v>
      </c>
      <c r="I1214" s="1" t="str">
        <f aca="false">RIGHT(("0"&amp;C1214),2)&amp;RIGHT(("0"&amp;D1214),2)&amp;RIGHT(("0"&amp;E1214),2)&amp;RIGHT(("0"&amp;F1214),2)&amp;RIGHT(("0"&amp;G1214),2)&amp;RIGHT(("0"&amp;H1214),2)</f>
        <v>031126344553</v>
      </c>
      <c r="J1214" s="1" t="n">
        <f aca="false">COUNTIF(I:I,I1214)</f>
        <v>1</v>
      </c>
      <c r="K1214" s="1" t="n">
        <v>0</v>
      </c>
      <c r="M1214" s="1" t="s">
        <v>23</v>
      </c>
      <c r="N1214" s="1" t="n">
        <v>111</v>
      </c>
      <c r="O1214" s="1" t="s">
        <v>6061</v>
      </c>
      <c r="P1214" s="1" t="n">
        <v>6156</v>
      </c>
      <c r="Q1214" s="1" t="s">
        <v>6062</v>
      </c>
      <c r="R1214" s="1" t="s">
        <v>6063</v>
      </c>
      <c r="S1214" s="1" t="s">
        <v>6064</v>
      </c>
      <c r="T1214" s="1" t="s">
        <v>4347</v>
      </c>
      <c r="U1214" s="1" t="s">
        <v>6065</v>
      </c>
    </row>
    <row r="1215" customFormat="false" ht="13.8" hidden="false" customHeight="false" outlineLevel="0" collapsed="false">
      <c r="A1215" s="1" t="n">
        <v>1214</v>
      </c>
      <c r="B1215" s="2" t="s">
        <v>6066</v>
      </c>
      <c r="C1215" s="1" t="n">
        <v>5</v>
      </c>
      <c r="D1215" s="1" t="n">
        <v>29</v>
      </c>
      <c r="E1215" s="1" t="n">
        <v>30</v>
      </c>
      <c r="F1215" s="1" t="n">
        <v>36</v>
      </c>
      <c r="G1215" s="1" t="n">
        <v>41</v>
      </c>
      <c r="H1215" s="1" t="n">
        <v>48</v>
      </c>
      <c r="I1215" s="1" t="str">
        <f aca="false">RIGHT(("0"&amp;C1215),2)&amp;RIGHT(("0"&amp;D1215),2)&amp;RIGHT(("0"&amp;E1215),2)&amp;RIGHT(("0"&amp;F1215),2)&amp;RIGHT(("0"&amp;G1215),2)&amp;RIGHT(("0"&amp;H1215),2)</f>
        <v>052930364148</v>
      </c>
      <c r="J1215" s="1" t="n">
        <f aca="false">COUNTIF(I:I,I1215)</f>
        <v>1</v>
      </c>
      <c r="K1215" s="1" t="n">
        <v>0</v>
      </c>
      <c r="M1215" s="1" t="s">
        <v>23</v>
      </c>
      <c r="N1215" s="1" t="n">
        <v>87</v>
      </c>
      <c r="O1215" s="1" t="s">
        <v>6067</v>
      </c>
      <c r="P1215" s="1" t="n">
        <v>6593</v>
      </c>
      <c r="Q1215" s="1" t="s">
        <v>6068</v>
      </c>
      <c r="R1215" s="1" t="s">
        <v>6069</v>
      </c>
      <c r="S1215" s="1" t="s">
        <v>6070</v>
      </c>
      <c r="T1215" s="1" t="s">
        <v>4309</v>
      </c>
      <c r="U1215" s="1" t="s">
        <v>6071</v>
      </c>
    </row>
    <row r="1216" customFormat="false" ht="13.8" hidden="false" customHeight="false" outlineLevel="0" collapsed="false">
      <c r="A1216" s="1" t="n">
        <v>1215</v>
      </c>
      <c r="B1216" s="2" t="s">
        <v>6072</v>
      </c>
      <c r="C1216" s="1" t="n">
        <v>10</v>
      </c>
      <c r="D1216" s="1" t="n">
        <v>25</v>
      </c>
      <c r="E1216" s="1" t="n">
        <v>30</v>
      </c>
      <c r="F1216" s="1" t="n">
        <v>47</v>
      </c>
      <c r="G1216" s="1" t="n">
        <v>50</v>
      </c>
      <c r="H1216" s="1" t="n">
        <v>51</v>
      </c>
      <c r="I1216" s="1" t="str">
        <f aca="false">RIGHT(("0"&amp;C1216),2)&amp;RIGHT(("0"&amp;D1216),2)&amp;RIGHT(("0"&amp;E1216),2)&amp;RIGHT(("0"&amp;F1216),2)&amp;RIGHT(("0"&amp;G1216),2)&amp;RIGHT(("0"&amp;H1216),2)</f>
        <v>102530475051</v>
      </c>
      <c r="J1216" s="1" t="n">
        <f aca="false">COUNTIF(I:I,I1216)</f>
        <v>1</v>
      </c>
      <c r="K1216" s="1" t="n">
        <v>0</v>
      </c>
      <c r="M1216" s="1" t="s">
        <v>23</v>
      </c>
      <c r="N1216" s="1" t="n">
        <v>144</v>
      </c>
      <c r="O1216" s="1" t="s">
        <v>6073</v>
      </c>
      <c r="P1216" s="1" t="n">
        <v>10052</v>
      </c>
      <c r="Q1216" s="1" t="s">
        <v>6074</v>
      </c>
      <c r="R1216" s="1" t="s">
        <v>6075</v>
      </c>
      <c r="S1216" s="1" t="s">
        <v>6076</v>
      </c>
      <c r="T1216" s="1" t="s">
        <v>6077</v>
      </c>
      <c r="U1216" s="1" t="s">
        <v>6078</v>
      </c>
    </row>
    <row r="1217" customFormat="false" ht="13.8" hidden="false" customHeight="false" outlineLevel="0" collapsed="false">
      <c r="A1217" s="1" t="n">
        <v>1216</v>
      </c>
      <c r="B1217" s="2" t="s">
        <v>6079</v>
      </c>
      <c r="C1217" s="1" t="n">
        <v>4</v>
      </c>
      <c r="D1217" s="1" t="n">
        <v>7</v>
      </c>
      <c r="E1217" s="1" t="n">
        <v>13</v>
      </c>
      <c r="F1217" s="1" t="n">
        <v>25</v>
      </c>
      <c r="G1217" s="1" t="n">
        <v>27</v>
      </c>
      <c r="H1217" s="1" t="n">
        <v>58</v>
      </c>
      <c r="I1217" s="1" t="str">
        <f aca="false">RIGHT(("0"&amp;C1217),2)&amp;RIGHT(("0"&amp;D1217),2)&amp;RIGHT(("0"&amp;E1217),2)&amp;RIGHT(("0"&amp;F1217),2)&amp;RIGHT(("0"&amp;G1217),2)&amp;RIGHT(("0"&amp;H1217),2)</f>
        <v>040713252758</v>
      </c>
      <c r="J1217" s="1" t="n">
        <f aca="false">COUNTIF(I:I,I1217)</f>
        <v>1</v>
      </c>
      <c r="K1217" s="1" t="n">
        <v>0</v>
      </c>
      <c r="M1217" s="1" t="s">
        <v>23</v>
      </c>
      <c r="N1217" s="1" t="n">
        <v>555</v>
      </c>
      <c r="O1217" s="1" t="s">
        <v>6080</v>
      </c>
      <c r="P1217" s="1" t="n">
        <v>26524</v>
      </c>
      <c r="Q1217" s="1" t="s">
        <v>6081</v>
      </c>
      <c r="R1217" s="1" t="s">
        <v>6082</v>
      </c>
      <c r="S1217" s="1" t="s">
        <v>6083</v>
      </c>
      <c r="T1217" s="1" t="s">
        <v>6084</v>
      </c>
      <c r="U1217" s="1" t="s">
        <v>6085</v>
      </c>
    </row>
    <row r="1218" customFormat="false" ht="13.8" hidden="false" customHeight="false" outlineLevel="0" collapsed="false">
      <c r="A1218" s="1" t="n">
        <v>1217</v>
      </c>
      <c r="B1218" s="2" t="s">
        <v>6086</v>
      </c>
      <c r="C1218" s="1" t="n">
        <v>5</v>
      </c>
      <c r="D1218" s="1" t="n">
        <v>11</v>
      </c>
      <c r="E1218" s="1" t="n">
        <v>15</v>
      </c>
      <c r="F1218" s="1" t="n">
        <v>28</v>
      </c>
      <c r="G1218" s="1" t="n">
        <v>43</v>
      </c>
      <c r="H1218" s="1" t="n">
        <v>50</v>
      </c>
      <c r="I1218" s="1" t="str">
        <f aca="false">RIGHT(("0"&amp;C1218),2)&amp;RIGHT(("0"&amp;D1218),2)&amp;RIGHT(("0"&amp;E1218),2)&amp;RIGHT(("0"&amp;F1218),2)&amp;RIGHT(("0"&amp;G1218),2)&amp;RIGHT(("0"&amp;H1218),2)</f>
        <v>051115284350</v>
      </c>
      <c r="J1218" s="1" t="n">
        <f aca="false">COUNTIF(I:I,I1218)</f>
        <v>1</v>
      </c>
      <c r="K1218" s="1" t="n">
        <v>0</v>
      </c>
      <c r="M1218" s="1" t="s">
        <v>23</v>
      </c>
      <c r="N1218" s="1" t="n">
        <v>266</v>
      </c>
      <c r="O1218" s="1" t="s">
        <v>6087</v>
      </c>
      <c r="P1218" s="1" t="n">
        <v>16184</v>
      </c>
      <c r="Q1218" s="1" t="s">
        <v>6088</v>
      </c>
      <c r="R1218" s="1" t="s">
        <v>6089</v>
      </c>
      <c r="S1218" s="1" t="s">
        <v>6090</v>
      </c>
      <c r="T1218" s="1" t="s">
        <v>5699</v>
      </c>
      <c r="U1218" s="1" t="s">
        <v>6091</v>
      </c>
    </row>
    <row r="1219" customFormat="false" ht="13.8" hidden="false" customHeight="false" outlineLevel="0" collapsed="false">
      <c r="A1219" s="1" t="n">
        <v>1218</v>
      </c>
      <c r="B1219" s="2" t="s">
        <v>6092</v>
      </c>
      <c r="C1219" s="1" t="n">
        <v>10</v>
      </c>
      <c r="D1219" s="1" t="n">
        <v>23</v>
      </c>
      <c r="E1219" s="1" t="n">
        <v>29</v>
      </c>
      <c r="F1219" s="1" t="n">
        <v>31</v>
      </c>
      <c r="G1219" s="1" t="n">
        <v>33</v>
      </c>
      <c r="H1219" s="1" t="n">
        <v>46</v>
      </c>
      <c r="I1219" s="1" t="str">
        <f aca="false">RIGHT(("0"&amp;C1219),2)&amp;RIGHT(("0"&amp;D1219),2)&amp;RIGHT(("0"&amp;E1219),2)&amp;RIGHT(("0"&amp;F1219),2)&amp;RIGHT(("0"&amp;G1219),2)&amp;RIGHT(("0"&amp;H1219),2)</f>
        <v>102329313346</v>
      </c>
      <c r="J1219" s="1" t="n">
        <f aca="false">COUNTIF(I:I,I1219)</f>
        <v>1</v>
      </c>
      <c r="K1219" s="1" t="n">
        <v>0</v>
      </c>
      <c r="M1219" s="1" t="s">
        <v>23</v>
      </c>
      <c r="N1219" s="1" t="n">
        <v>211</v>
      </c>
      <c r="O1219" s="1" t="s">
        <v>6093</v>
      </c>
      <c r="P1219" s="1" t="n">
        <v>17290</v>
      </c>
      <c r="Q1219" s="1" t="s">
        <v>6094</v>
      </c>
      <c r="R1219" s="1" t="s">
        <v>6095</v>
      </c>
      <c r="S1219" s="1" t="s">
        <v>6096</v>
      </c>
      <c r="T1219" s="1" t="s">
        <v>6097</v>
      </c>
      <c r="U1219" s="1" t="s">
        <v>6098</v>
      </c>
    </row>
    <row r="1220" customFormat="false" ht="13.8" hidden="false" customHeight="false" outlineLevel="0" collapsed="false">
      <c r="A1220" s="1" t="n">
        <v>1219</v>
      </c>
      <c r="B1220" s="2" t="s">
        <v>6099</v>
      </c>
      <c r="C1220" s="1" t="n">
        <v>2</v>
      </c>
      <c r="D1220" s="1" t="n">
        <v>33</v>
      </c>
      <c r="E1220" s="1" t="n">
        <v>34</v>
      </c>
      <c r="F1220" s="1" t="n">
        <v>37</v>
      </c>
      <c r="G1220" s="1" t="n">
        <v>41</v>
      </c>
      <c r="H1220" s="1" t="n">
        <v>53</v>
      </c>
      <c r="I1220" s="1" t="str">
        <f aca="false">RIGHT(("0"&amp;C1220),2)&amp;RIGHT(("0"&amp;D1220),2)&amp;RIGHT(("0"&amp;E1220),2)&amp;RIGHT(("0"&amp;F1220),2)&amp;RIGHT(("0"&amp;G1220),2)&amp;RIGHT(("0"&amp;H1220),2)</f>
        <v>023334374153</v>
      </c>
      <c r="J1220" s="1" t="n">
        <f aca="false">COUNTIF(I:I,I1220)</f>
        <v>1</v>
      </c>
      <c r="K1220" s="1" t="n">
        <v>0</v>
      </c>
      <c r="M1220" s="1" t="s">
        <v>23</v>
      </c>
      <c r="N1220" s="1" t="n">
        <v>220</v>
      </c>
      <c r="O1220" s="1" t="s">
        <v>6100</v>
      </c>
      <c r="P1220" s="1" t="n">
        <v>17919</v>
      </c>
      <c r="Q1220" s="1" t="s">
        <v>6101</v>
      </c>
      <c r="R1220" s="1" t="s">
        <v>6102</v>
      </c>
      <c r="S1220" s="1" t="s">
        <v>6103</v>
      </c>
      <c r="T1220" s="1" t="s">
        <v>6104</v>
      </c>
      <c r="U1220" s="1" t="s">
        <v>6105</v>
      </c>
    </row>
    <row r="1221" customFormat="false" ht="13.8" hidden="false" customHeight="false" outlineLevel="0" collapsed="false">
      <c r="A1221" s="1" t="n">
        <v>1220</v>
      </c>
      <c r="B1221" s="2" t="s">
        <v>6106</v>
      </c>
      <c r="C1221" s="1" t="n">
        <v>5</v>
      </c>
      <c r="D1221" s="1" t="n">
        <v>15</v>
      </c>
      <c r="E1221" s="1" t="n">
        <v>43</v>
      </c>
      <c r="F1221" s="1" t="n">
        <v>48</v>
      </c>
      <c r="G1221" s="1" t="n">
        <v>52</v>
      </c>
      <c r="H1221" s="1" t="n">
        <v>55</v>
      </c>
      <c r="I1221" s="1" t="str">
        <f aca="false">RIGHT(("0"&amp;C1221),2)&amp;RIGHT(("0"&amp;D1221),2)&amp;RIGHT(("0"&amp;E1221),2)&amp;RIGHT(("0"&amp;F1221),2)&amp;RIGHT(("0"&amp;G1221),2)&amp;RIGHT(("0"&amp;H1221),2)</f>
        <v>051543485255</v>
      </c>
      <c r="J1221" s="1" t="n">
        <f aca="false">COUNTIF(I:I,I1221)</f>
        <v>1</v>
      </c>
      <c r="K1221" s="1" t="n">
        <v>1</v>
      </c>
      <c r="L1221" s="1" t="s">
        <v>6107</v>
      </c>
      <c r="M1221" s="1" t="s">
        <v>6108</v>
      </c>
      <c r="N1221" s="1" t="n">
        <v>377</v>
      </c>
      <c r="O1221" s="1" t="s">
        <v>6109</v>
      </c>
      <c r="P1221" s="1" t="n">
        <v>30478</v>
      </c>
      <c r="Q1221" s="1" t="s">
        <v>6110</v>
      </c>
      <c r="R1221" s="1" t="s">
        <v>23</v>
      </c>
      <c r="S1221" s="1" t="s">
        <v>6111</v>
      </c>
      <c r="T1221" s="1" t="s">
        <v>473</v>
      </c>
      <c r="U1221" s="1" t="s">
        <v>6112</v>
      </c>
    </row>
    <row r="1222" customFormat="false" ht="13.8" hidden="false" customHeight="false" outlineLevel="0" collapsed="false">
      <c r="A1222" s="1" t="n">
        <v>1221</v>
      </c>
      <c r="B1222" s="2" t="s">
        <v>6113</v>
      </c>
      <c r="C1222" s="1" t="n">
        <v>5</v>
      </c>
      <c r="D1222" s="1" t="n">
        <v>14</v>
      </c>
      <c r="E1222" s="1" t="n">
        <v>37</v>
      </c>
      <c r="F1222" s="1" t="n">
        <v>43</v>
      </c>
      <c r="G1222" s="1" t="n">
        <v>46</v>
      </c>
      <c r="H1222" s="1" t="n">
        <v>58</v>
      </c>
      <c r="I1222" s="1" t="str">
        <f aca="false">RIGHT(("0"&amp;C1222),2)&amp;RIGHT(("0"&amp;D1222),2)&amp;RIGHT(("0"&amp;E1222),2)&amp;RIGHT(("0"&amp;F1222),2)&amp;RIGHT(("0"&amp;G1222),2)&amp;RIGHT(("0"&amp;H1222),2)</f>
        <v>051437434658</v>
      </c>
      <c r="J1222" s="1" t="n">
        <f aca="false">COUNTIF(I:I,I1222)</f>
        <v>1</v>
      </c>
      <c r="K1222" s="1" t="n">
        <v>0</v>
      </c>
      <c r="M1222" s="1" t="s">
        <v>23</v>
      </c>
      <c r="N1222" s="1" t="n">
        <v>102</v>
      </c>
      <c r="O1222" s="1" t="s">
        <v>6114</v>
      </c>
      <c r="P1222" s="1" t="n">
        <v>5864</v>
      </c>
      <c r="Q1222" s="1" t="s">
        <v>6115</v>
      </c>
      <c r="R1222" s="1" t="s">
        <v>6116</v>
      </c>
      <c r="S1222" s="1" t="s">
        <v>6117</v>
      </c>
      <c r="T1222" s="1" t="s">
        <v>4342</v>
      </c>
      <c r="U1222" s="1" t="s">
        <v>6118</v>
      </c>
    </row>
    <row r="1223" customFormat="false" ht="13.8" hidden="false" customHeight="false" outlineLevel="0" collapsed="false">
      <c r="A1223" s="1" t="n">
        <v>1222</v>
      </c>
      <c r="B1223" s="2" t="s">
        <v>6119</v>
      </c>
      <c r="C1223" s="1" t="n">
        <v>5</v>
      </c>
      <c r="D1223" s="1" t="n">
        <v>8</v>
      </c>
      <c r="E1223" s="1" t="n">
        <v>19</v>
      </c>
      <c r="F1223" s="1" t="n">
        <v>26</v>
      </c>
      <c r="G1223" s="1" t="n">
        <v>48</v>
      </c>
      <c r="H1223" s="1" t="n">
        <v>57</v>
      </c>
      <c r="I1223" s="1" t="str">
        <f aca="false">RIGHT(("0"&amp;C1223),2)&amp;RIGHT(("0"&amp;D1223),2)&amp;RIGHT(("0"&amp;E1223),2)&amp;RIGHT(("0"&amp;F1223),2)&amp;RIGHT(("0"&amp;G1223),2)&amp;RIGHT(("0"&amp;H1223),2)</f>
        <v>050819264857</v>
      </c>
      <c r="J1223" s="1" t="n">
        <f aca="false">COUNTIF(I:I,I1223)</f>
        <v>1</v>
      </c>
      <c r="K1223" s="1" t="n">
        <v>0</v>
      </c>
      <c r="M1223" s="1" t="s">
        <v>23</v>
      </c>
      <c r="N1223" s="1" t="n">
        <v>121</v>
      </c>
      <c r="O1223" s="1" t="s">
        <v>6120</v>
      </c>
      <c r="P1223" s="1" t="n">
        <v>7404</v>
      </c>
      <c r="Q1223" s="1" t="s">
        <v>6121</v>
      </c>
      <c r="R1223" s="1" t="s">
        <v>6122</v>
      </c>
      <c r="S1223" s="1" t="s">
        <v>6123</v>
      </c>
      <c r="T1223" s="1" t="s">
        <v>4347</v>
      </c>
      <c r="U1223" s="1" t="s">
        <v>6124</v>
      </c>
    </row>
    <row r="1224" customFormat="false" ht="13.8" hidden="false" customHeight="false" outlineLevel="0" collapsed="false">
      <c r="A1224" s="1" t="n">
        <v>1223</v>
      </c>
      <c r="B1224" s="2" t="s">
        <v>6125</v>
      </c>
      <c r="C1224" s="1" t="n">
        <v>15</v>
      </c>
      <c r="D1224" s="1" t="n">
        <v>17</v>
      </c>
      <c r="E1224" s="1" t="n">
        <v>35</v>
      </c>
      <c r="F1224" s="1" t="n">
        <v>42</v>
      </c>
      <c r="G1224" s="1" t="n">
        <v>47</v>
      </c>
      <c r="H1224" s="1" t="n">
        <v>48</v>
      </c>
      <c r="I1224" s="1" t="str">
        <f aca="false">RIGHT(("0"&amp;C1224),2)&amp;RIGHT(("0"&amp;D1224),2)&amp;RIGHT(("0"&amp;E1224),2)&amp;RIGHT(("0"&amp;F1224),2)&amp;RIGHT(("0"&amp;G1224),2)&amp;RIGHT(("0"&amp;H1224),2)</f>
        <v>151735424748</v>
      </c>
      <c r="J1224" s="1" t="n">
        <f aca="false">COUNTIF(I:I,I1224)</f>
        <v>1</v>
      </c>
      <c r="K1224" s="1" t="n">
        <v>0</v>
      </c>
      <c r="M1224" s="1" t="s">
        <v>23</v>
      </c>
      <c r="N1224" s="1" t="n">
        <v>358</v>
      </c>
      <c r="O1224" s="1" t="s">
        <v>6126</v>
      </c>
      <c r="P1224" s="1" t="n">
        <v>9411</v>
      </c>
      <c r="Q1224" s="1" t="s">
        <v>6127</v>
      </c>
      <c r="R1224" s="1" t="s">
        <v>6128</v>
      </c>
      <c r="S1224" s="1" t="s">
        <v>6129</v>
      </c>
      <c r="T1224" s="1" t="s">
        <v>4531</v>
      </c>
      <c r="U1224" s="1" t="s">
        <v>6130</v>
      </c>
    </row>
    <row r="1225" customFormat="false" ht="13.8" hidden="false" customHeight="false" outlineLevel="0" collapsed="false">
      <c r="A1225" s="1" t="n">
        <v>1224</v>
      </c>
      <c r="B1225" s="2" t="s">
        <v>6131</v>
      </c>
      <c r="C1225" s="1" t="n">
        <v>19</v>
      </c>
      <c r="D1225" s="1" t="n">
        <v>21</v>
      </c>
      <c r="E1225" s="1" t="n">
        <v>27</v>
      </c>
      <c r="F1225" s="1" t="n">
        <v>41</v>
      </c>
      <c r="G1225" s="1" t="n">
        <v>53</v>
      </c>
      <c r="H1225" s="1" t="n">
        <v>57</v>
      </c>
      <c r="I1225" s="1" t="str">
        <f aca="false">RIGHT(("0"&amp;C1225),2)&amp;RIGHT(("0"&amp;D1225),2)&amp;RIGHT(("0"&amp;E1225),2)&amp;RIGHT(("0"&amp;F1225),2)&amp;RIGHT(("0"&amp;G1225),2)&amp;RIGHT(("0"&amp;H1225),2)</f>
        <v>192127415357</v>
      </c>
      <c r="J1225" s="1" t="n">
        <f aca="false">COUNTIF(I:I,I1225)</f>
        <v>1</v>
      </c>
      <c r="K1225" s="1" t="n">
        <v>1</v>
      </c>
      <c r="L1225" s="1" t="s">
        <v>6132</v>
      </c>
      <c r="M1225" s="1" t="s">
        <v>6133</v>
      </c>
      <c r="N1225" s="1" t="n">
        <v>124</v>
      </c>
      <c r="O1225" s="1" t="s">
        <v>6134</v>
      </c>
      <c r="P1225" s="1" t="n">
        <v>6867</v>
      </c>
      <c r="Q1225" s="1" t="s">
        <v>6135</v>
      </c>
      <c r="R1225" s="1" t="s">
        <v>23</v>
      </c>
      <c r="S1225" s="1" t="s">
        <v>6136</v>
      </c>
      <c r="T1225" s="1" t="s">
        <v>4696</v>
      </c>
      <c r="U1225" s="1" t="s">
        <v>6137</v>
      </c>
    </row>
    <row r="1226" customFormat="false" ht="13.8" hidden="false" customHeight="false" outlineLevel="0" collapsed="false">
      <c r="A1226" s="1" t="n">
        <v>1225</v>
      </c>
      <c r="B1226" s="2" t="s">
        <v>6138</v>
      </c>
      <c r="C1226" s="1" t="n">
        <v>31</v>
      </c>
      <c r="D1226" s="1" t="n">
        <v>32</v>
      </c>
      <c r="E1226" s="1" t="n">
        <v>34</v>
      </c>
      <c r="F1226" s="1" t="n">
        <v>40</v>
      </c>
      <c r="G1226" s="1" t="n">
        <v>50</v>
      </c>
      <c r="H1226" s="1" t="n">
        <v>55</v>
      </c>
      <c r="I1226" s="1" t="str">
        <f aca="false">RIGHT(("0"&amp;C1226),2)&amp;RIGHT(("0"&amp;D1226),2)&amp;RIGHT(("0"&amp;E1226),2)&amp;RIGHT(("0"&amp;F1226),2)&amp;RIGHT(("0"&amp;G1226),2)&amp;RIGHT(("0"&amp;H1226),2)</f>
        <v>313234405055</v>
      </c>
      <c r="J1226" s="1" t="n">
        <f aca="false">COUNTIF(I:I,I1226)</f>
        <v>1</v>
      </c>
      <c r="K1226" s="1" t="n">
        <v>1</v>
      </c>
      <c r="L1226" s="1" t="s">
        <v>6139</v>
      </c>
      <c r="M1226" s="1" t="s">
        <v>6140</v>
      </c>
      <c r="N1226" s="1" t="n">
        <v>36</v>
      </c>
      <c r="O1226" s="1" t="s">
        <v>6141</v>
      </c>
      <c r="P1226" s="1" t="n">
        <v>3825</v>
      </c>
      <c r="Q1226" s="1" t="s">
        <v>6142</v>
      </c>
      <c r="R1226" s="1" t="s">
        <v>23</v>
      </c>
      <c r="S1226" s="1" t="s">
        <v>6143</v>
      </c>
      <c r="T1226" s="1" t="s">
        <v>4732</v>
      </c>
      <c r="U1226" s="1" t="s">
        <v>6144</v>
      </c>
    </row>
    <row r="1227" customFormat="false" ht="13.8" hidden="false" customHeight="false" outlineLevel="0" collapsed="false">
      <c r="A1227" s="1" t="n">
        <v>1226</v>
      </c>
      <c r="B1227" s="2" t="s">
        <v>6145</v>
      </c>
      <c r="C1227" s="1" t="n">
        <v>10</v>
      </c>
      <c r="D1227" s="1" t="n">
        <v>31</v>
      </c>
      <c r="E1227" s="1" t="n">
        <v>40</v>
      </c>
      <c r="F1227" s="1" t="n">
        <v>50</v>
      </c>
      <c r="G1227" s="1" t="n">
        <v>55</v>
      </c>
      <c r="H1227" s="1" t="n">
        <v>56</v>
      </c>
      <c r="I1227" s="1" t="str">
        <f aca="false">RIGHT(("0"&amp;C1227),2)&amp;RIGHT(("0"&amp;D1227),2)&amp;RIGHT(("0"&amp;E1227),2)&amp;RIGHT(("0"&amp;F1227),2)&amp;RIGHT(("0"&amp;G1227),2)&amp;RIGHT(("0"&amp;H1227),2)</f>
        <v>103140505556</v>
      </c>
      <c r="J1227" s="1" t="n">
        <f aca="false">COUNTIF(I:I,I1227)</f>
        <v>1</v>
      </c>
      <c r="K1227" s="1" t="n">
        <v>0</v>
      </c>
      <c r="M1227" s="1" t="s">
        <v>23</v>
      </c>
      <c r="N1227" s="1" t="n">
        <v>57</v>
      </c>
      <c r="O1227" s="1" t="s">
        <v>6146</v>
      </c>
      <c r="P1227" s="1" t="n">
        <v>9917</v>
      </c>
      <c r="Q1227" s="1" t="s">
        <v>6147</v>
      </c>
      <c r="R1227" s="1" t="s">
        <v>6148</v>
      </c>
      <c r="S1227" s="1" t="s">
        <v>6149</v>
      </c>
      <c r="T1227" s="1" t="s">
        <v>4227</v>
      </c>
      <c r="U1227" s="1" t="s">
        <v>6150</v>
      </c>
    </row>
    <row r="1228" customFormat="false" ht="13.8" hidden="false" customHeight="false" outlineLevel="0" collapsed="false">
      <c r="A1228" s="1" t="n">
        <v>1227</v>
      </c>
      <c r="B1228" s="2" t="s">
        <v>6151</v>
      </c>
      <c r="C1228" s="1" t="n">
        <v>4</v>
      </c>
      <c r="D1228" s="1" t="n">
        <v>28</v>
      </c>
      <c r="E1228" s="1" t="n">
        <v>30</v>
      </c>
      <c r="F1228" s="1" t="n">
        <v>31</v>
      </c>
      <c r="G1228" s="1" t="n">
        <v>35</v>
      </c>
      <c r="H1228" s="1" t="n">
        <v>54</v>
      </c>
      <c r="I1228" s="1" t="str">
        <f aca="false">RIGHT(("0"&amp;C1228),2)&amp;RIGHT(("0"&amp;D1228),2)&amp;RIGHT(("0"&amp;E1228),2)&amp;RIGHT(("0"&amp;F1228),2)&amp;RIGHT(("0"&amp;G1228),2)&amp;RIGHT(("0"&amp;H1228),2)</f>
        <v>042830313554</v>
      </c>
      <c r="J1228" s="1" t="n">
        <f aca="false">COUNTIF(I:I,I1228)</f>
        <v>1</v>
      </c>
      <c r="K1228" s="1" t="n">
        <v>1</v>
      </c>
      <c r="L1228" s="1" t="s">
        <v>6152</v>
      </c>
      <c r="M1228" s="1" t="s">
        <v>6153</v>
      </c>
      <c r="N1228" s="1" t="n">
        <v>463</v>
      </c>
      <c r="O1228" s="1" t="s">
        <v>6154</v>
      </c>
      <c r="P1228" s="1" t="n">
        <v>5301</v>
      </c>
      <c r="Q1228" s="1" t="s">
        <v>6155</v>
      </c>
      <c r="R1228" s="1" t="s">
        <v>23</v>
      </c>
      <c r="S1228" s="1" t="s">
        <v>6156</v>
      </c>
      <c r="T1228" s="1" t="s">
        <v>4857</v>
      </c>
      <c r="U1228" s="1" t="s">
        <v>6157</v>
      </c>
    </row>
    <row r="1229" customFormat="false" ht="13.8" hidden="false" customHeight="false" outlineLevel="0" collapsed="false">
      <c r="A1229" s="1" t="n">
        <v>1228</v>
      </c>
      <c r="B1229" s="2" t="s">
        <v>6158</v>
      </c>
      <c r="C1229" s="1" t="n">
        <v>10</v>
      </c>
      <c r="D1229" s="1" t="n">
        <v>23</v>
      </c>
      <c r="E1229" s="1" t="n">
        <v>36</v>
      </c>
      <c r="F1229" s="1" t="n">
        <v>50</v>
      </c>
      <c r="G1229" s="1" t="n">
        <v>52</v>
      </c>
      <c r="H1229" s="1" t="n">
        <v>60</v>
      </c>
      <c r="I1229" s="1" t="str">
        <f aca="false">RIGHT(("0"&amp;C1229),2)&amp;RIGHT(("0"&amp;D1229),2)&amp;RIGHT(("0"&amp;E1229),2)&amp;RIGHT(("0"&amp;F1229),2)&amp;RIGHT(("0"&amp;G1229),2)&amp;RIGHT(("0"&amp;H1229),2)</f>
        <v>102336505260</v>
      </c>
      <c r="J1229" s="1" t="n">
        <f aca="false">COUNTIF(I:I,I1229)</f>
        <v>1</v>
      </c>
      <c r="K1229" s="1" t="n">
        <v>0</v>
      </c>
      <c r="M1229" s="1" t="s">
        <v>23</v>
      </c>
      <c r="N1229" s="1" t="n">
        <v>43</v>
      </c>
      <c r="O1229" s="1" t="s">
        <v>6159</v>
      </c>
      <c r="P1229" s="1" t="n">
        <v>3050</v>
      </c>
      <c r="Q1229" s="1" t="s">
        <v>6160</v>
      </c>
      <c r="R1229" s="1" t="s">
        <v>6161</v>
      </c>
      <c r="S1229" s="1" t="s">
        <v>6162</v>
      </c>
      <c r="T1229" s="1" t="s">
        <v>4227</v>
      </c>
      <c r="U1229" s="1" t="s">
        <v>6163</v>
      </c>
    </row>
    <row r="1230" customFormat="false" ht="13.8" hidden="false" customHeight="false" outlineLevel="0" collapsed="false">
      <c r="A1230" s="1" t="n">
        <v>1229</v>
      </c>
      <c r="B1230" s="2" t="s">
        <v>6164</v>
      </c>
      <c r="C1230" s="1" t="n">
        <v>12</v>
      </c>
      <c r="D1230" s="1" t="n">
        <v>30</v>
      </c>
      <c r="E1230" s="1" t="n">
        <v>32</v>
      </c>
      <c r="F1230" s="1" t="n">
        <v>40</v>
      </c>
      <c r="G1230" s="1" t="n">
        <v>49</v>
      </c>
      <c r="H1230" s="1" t="n">
        <v>60</v>
      </c>
      <c r="I1230" s="1" t="str">
        <f aca="false">RIGHT(("0"&amp;C1230),2)&amp;RIGHT(("0"&amp;D1230),2)&amp;RIGHT(("0"&amp;E1230),2)&amp;RIGHT(("0"&amp;F1230),2)&amp;RIGHT(("0"&amp;G1230),2)&amp;RIGHT(("0"&amp;H1230),2)</f>
        <v>123032404960</v>
      </c>
      <c r="J1230" s="1" t="n">
        <f aca="false">COUNTIF(I:I,I1230)</f>
        <v>1</v>
      </c>
      <c r="K1230" s="1" t="n">
        <v>0</v>
      </c>
      <c r="M1230" s="1" t="s">
        <v>23</v>
      </c>
      <c r="N1230" s="1" t="n">
        <v>42</v>
      </c>
      <c r="O1230" s="1" t="s">
        <v>6165</v>
      </c>
      <c r="P1230" s="1" t="n">
        <v>2827</v>
      </c>
      <c r="Q1230" s="1" t="s">
        <v>6166</v>
      </c>
      <c r="R1230" s="1" t="s">
        <v>6167</v>
      </c>
      <c r="S1230" s="1" t="s">
        <v>6168</v>
      </c>
      <c r="T1230" s="1" t="s">
        <v>4241</v>
      </c>
      <c r="U1230" s="1" t="s">
        <v>6169</v>
      </c>
    </row>
    <row r="1231" customFormat="false" ht="13.8" hidden="false" customHeight="false" outlineLevel="0" collapsed="false">
      <c r="A1231" s="1" t="n">
        <v>1230</v>
      </c>
      <c r="B1231" s="2" t="s">
        <v>6170</v>
      </c>
      <c r="C1231" s="1" t="n">
        <v>9</v>
      </c>
      <c r="D1231" s="1" t="n">
        <v>12</v>
      </c>
      <c r="E1231" s="1" t="n">
        <v>19</v>
      </c>
      <c r="F1231" s="1" t="n">
        <v>22</v>
      </c>
      <c r="G1231" s="1" t="n">
        <v>35</v>
      </c>
      <c r="H1231" s="1" t="n">
        <v>37</v>
      </c>
      <c r="I1231" s="1" t="str">
        <f aca="false">RIGHT(("0"&amp;C1231),2)&amp;RIGHT(("0"&amp;D1231),2)&amp;RIGHT(("0"&amp;E1231),2)&amp;RIGHT(("0"&amp;F1231),2)&amp;RIGHT(("0"&amp;G1231),2)&amp;RIGHT(("0"&amp;H1231),2)</f>
        <v>091219223537</v>
      </c>
      <c r="J1231" s="1" t="n">
        <f aca="false">COUNTIF(I:I,I1231)</f>
        <v>1</v>
      </c>
      <c r="K1231" s="1" t="n">
        <v>0</v>
      </c>
      <c r="M1231" s="1" t="s">
        <v>23</v>
      </c>
      <c r="N1231" s="1" t="n">
        <v>110</v>
      </c>
      <c r="O1231" s="1" t="s">
        <v>6171</v>
      </c>
      <c r="P1231" s="1" t="n">
        <v>9272</v>
      </c>
      <c r="Q1231" s="1" t="s">
        <v>6172</v>
      </c>
      <c r="R1231" s="1" t="s">
        <v>6173</v>
      </c>
      <c r="S1231" s="1" t="s">
        <v>6174</v>
      </c>
      <c r="T1231" s="1" t="s">
        <v>4246</v>
      </c>
      <c r="U1231" s="1" t="s">
        <v>6175</v>
      </c>
    </row>
    <row r="1232" customFormat="false" ht="13.8" hidden="false" customHeight="false" outlineLevel="0" collapsed="false">
      <c r="A1232" s="1" t="n">
        <v>1231</v>
      </c>
      <c r="B1232" s="2" t="s">
        <v>6176</v>
      </c>
      <c r="C1232" s="1" t="n">
        <v>5</v>
      </c>
      <c r="D1232" s="1" t="n">
        <v>20</v>
      </c>
      <c r="E1232" s="1" t="n">
        <v>23</v>
      </c>
      <c r="F1232" s="1" t="n">
        <v>27</v>
      </c>
      <c r="G1232" s="1" t="n">
        <v>39</v>
      </c>
      <c r="H1232" s="1" t="n">
        <v>49</v>
      </c>
      <c r="I1232" s="1" t="str">
        <f aca="false">RIGHT(("0"&amp;C1232),2)&amp;RIGHT(("0"&amp;D1232),2)&amp;RIGHT(("0"&amp;E1232),2)&amp;RIGHT(("0"&amp;F1232),2)&amp;RIGHT(("0"&amp;G1232),2)&amp;RIGHT(("0"&amp;H1232),2)</f>
        <v>052023273949</v>
      </c>
      <c r="J1232" s="1" t="n">
        <f aca="false">COUNTIF(I:I,I1232)</f>
        <v>1</v>
      </c>
      <c r="K1232" s="1" t="n">
        <v>1</v>
      </c>
      <c r="L1232" s="1" t="s">
        <v>5484</v>
      </c>
      <c r="M1232" s="1" t="s">
        <v>6177</v>
      </c>
      <c r="N1232" s="1" t="n">
        <v>161</v>
      </c>
      <c r="O1232" s="1" t="s">
        <v>6178</v>
      </c>
      <c r="P1232" s="1" t="n">
        <v>9961</v>
      </c>
      <c r="Q1232" s="1" t="s">
        <v>6179</v>
      </c>
      <c r="R1232" s="1" t="s">
        <v>23</v>
      </c>
      <c r="S1232" s="1" t="s">
        <v>6180</v>
      </c>
      <c r="T1232" s="1" t="s">
        <v>4732</v>
      </c>
      <c r="U1232" s="1" t="s">
        <v>6181</v>
      </c>
    </row>
    <row r="1233" customFormat="false" ht="13.8" hidden="false" customHeight="false" outlineLevel="0" collapsed="false">
      <c r="A1233" s="1" t="n">
        <v>1232</v>
      </c>
      <c r="B1233" s="2" t="s">
        <v>6182</v>
      </c>
      <c r="C1233" s="1" t="n">
        <v>8</v>
      </c>
      <c r="D1233" s="1" t="n">
        <v>11</v>
      </c>
      <c r="E1233" s="1" t="n">
        <v>12</v>
      </c>
      <c r="F1233" s="1" t="n">
        <v>15</v>
      </c>
      <c r="G1233" s="1" t="n">
        <v>18</v>
      </c>
      <c r="H1233" s="1" t="n">
        <v>22</v>
      </c>
      <c r="I1233" s="1" t="str">
        <f aca="false">RIGHT(("0"&amp;C1233),2)&amp;RIGHT(("0"&amp;D1233),2)&amp;RIGHT(("0"&amp;E1233),2)&amp;RIGHT(("0"&amp;F1233),2)&amp;RIGHT(("0"&amp;G1233),2)&amp;RIGHT(("0"&amp;H1233),2)</f>
        <v>081112151822</v>
      </c>
      <c r="J1233" s="1" t="n">
        <f aca="false">COUNTIF(I:I,I1233)</f>
        <v>1</v>
      </c>
      <c r="K1233" s="1" t="n">
        <v>0</v>
      </c>
      <c r="M1233" s="1" t="s">
        <v>23</v>
      </c>
      <c r="N1233" s="1" t="n">
        <v>161</v>
      </c>
      <c r="O1233" s="1" t="s">
        <v>6183</v>
      </c>
      <c r="P1233" s="1" t="n">
        <v>7374</v>
      </c>
      <c r="Q1233" s="1" t="s">
        <v>6184</v>
      </c>
      <c r="R1233" s="1" t="s">
        <v>6185</v>
      </c>
      <c r="S1233" s="1" t="s">
        <v>6186</v>
      </c>
      <c r="T1233" s="1" t="s">
        <v>5013</v>
      </c>
      <c r="U1233" s="1" t="s">
        <v>6187</v>
      </c>
    </row>
    <row r="1234" customFormat="false" ht="13.8" hidden="false" customHeight="false" outlineLevel="0" collapsed="false">
      <c r="A1234" s="1" t="n">
        <v>1233</v>
      </c>
      <c r="B1234" s="2" t="s">
        <v>6188</v>
      </c>
      <c r="C1234" s="1" t="n">
        <v>22</v>
      </c>
      <c r="D1234" s="1" t="n">
        <v>29</v>
      </c>
      <c r="E1234" s="1" t="n">
        <v>32</v>
      </c>
      <c r="F1234" s="1" t="n">
        <v>49</v>
      </c>
      <c r="G1234" s="1" t="n">
        <v>54</v>
      </c>
      <c r="H1234" s="1" t="n">
        <v>59</v>
      </c>
      <c r="I1234" s="1" t="str">
        <f aca="false">RIGHT(("0"&amp;C1234),2)&amp;RIGHT(("0"&amp;D1234),2)&amp;RIGHT(("0"&amp;E1234),2)&amp;RIGHT(("0"&amp;F1234),2)&amp;RIGHT(("0"&amp;G1234),2)&amp;RIGHT(("0"&amp;H1234),2)</f>
        <v>222932495459</v>
      </c>
      <c r="J1234" s="1" t="n">
        <f aca="false">COUNTIF(I:I,I1234)</f>
        <v>1</v>
      </c>
      <c r="K1234" s="1" t="n">
        <v>0</v>
      </c>
      <c r="M1234" s="1" t="s">
        <v>23</v>
      </c>
      <c r="N1234" s="1" t="n">
        <v>33</v>
      </c>
      <c r="O1234" s="1" t="s">
        <v>6189</v>
      </c>
      <c r="P1234" s="1" t="n">
        <v>3057</v>
      </c>
      <c r="Q1234" s="1" t="s">
        <v>6190</v>
      </c>
      <c r="R1234" s="1" t="s">
        <v>6191</v>
      </c>
      <c r="S1234" s="1" t="s">
        <v>6192</v>
      </c>
      <c r="T1234" s="1" t="s">
        <v>4347</v>
      </c>
      <c r="U1234" s="1" t="s">
        <v>6193</v>
      </c>
    </row>
    <row r="1235" customFormat="false" ht="13.8" hidden="false" customHeight="false" outlineLevel="0" collapsed="false">
      <c r="A1235" s="1" t="n">
        <v>1234</v>
      </c>
      <c r="B1235" s="2" t="s">
        <v>6194</v>
      </c>
      <c r="C1235" s="1" t="n">
        <v>3</v>
      </c>
      <c r="D1235" s="1" t="n">
        <v>5</v>
      </c>
      <c r="E1235" s="1" t="n">
        <v>19</v>
      </c>
      <c r="F1235" s="1" t="n">
        <v>24</v>
      </c>
      <c r="G1235" s="1" t="n">
        <v>30</v>
      </c>
      <c r="H1235" s="1" t="n">
        <v>35</v>
      </c>
      <c r="I1235" s="1" t="str">
        <f aca="false">RIGHT(("0"&amp;C1235),2)&amp;RIGHT(("0"&amp;D1235),2)&amp;RIGHT(("0"&amp;E1235),2)&amp;RIGHT(("0"&amp;F1235),2)&amp;RIGHT(("0"&amp;G1235),2)&amp;RIGHT(("0"&amp;H1235),2)</f>
        <v>030519243035</v>
      </c>
      <c r="J1235" s="1" t="n">
        <f aca="false">COUNTIF(I:I,I1235)</f>
        <v>1</v>
      </c>
      <c r="K1235" s="1" t="n">
        <v>0</v>
      </c>
      <c r="M1235" s="1" t="s">
        <v>23</v>
      </c>
      <c r="N1235" s="1" t="n">
        <v>120</v>
      </c>
      <c r="O1235" s="1" t="s">
        <v>6195</v>
      </c>
      <c r="P1235" s="1" t="n">
        <v>9102</v>
      </c>
      <c r="Q1235" s="1" t="s">
        <v>6196</v>
      </c>
      <c r="R1235" s="1" t="s">
        <v>6197</v>
      </c>
      <c r="S1235" s="1" t="s">
        <v>6198</v>
      </c>
      <c r="T1235" s="1" t="s">
        <v>4299</v>
      </c>
      <c r="U1235" s="1" t="s">
        <v>6199</v>
      </c>
    </row>
    <row r="1236" customFormat="false" ht="13.8" hidden="false" customHeight="false" outlineLevel="0" collapsed="false">
      <c r="A1236" s="1" t="n">
        <v>1235</v>
      </c>
      <c r="B1236" s="2" t="s">
        <v>6200</v>
      </c>
      <c r="C1236" s="1" t="n">
        <v>10</v>
      </c>
      <c r="D1236" s="1" t="n">
        <v>16</v>
      </c>
      <c r="E1236" s="1" t="n">
        <v>20</v>
      </c>
      <c r="F1236" s="1" t="n">
        <v>26</v>
      </c>
      <c r="G1236" s="1" t="n">
        <v>49</v>
      </c>
      <c r="H1236" s="1" t="n">
        <v>55</v>
      </c>
      <c r="I1236" s="1" t="str">
        <f aca="false">RIGHT(("0"&amp;C1236),2)&amp;RIGHT(("0"&amp;D1236),2)&amp;RIGHT(("0"&amp;E1236),2)&amp;RIGHT(("0"&amp;F1236),2)&amp;RIGHT(("0"&amp;G1236),2)&amp;RIGHT(("0"&amp;H1236),2)</f>
        <v>101620264955</v>
      </c>
      <c r="J1236" s="1" t="n">
        <f aca="false">COUNTIF(I:I,I1236)</f>
        <v>1</v>
      </c>
      <c r="K1236" s="1" t="n">
        <v>0</v>
      </c>
      <c r="M1236" s="1" t="s">
        <v>23</v>
      </c>
      <c r="N1236" s="1" t="n">
        <v>83</v>
      </c>
      <c r="O1236" s="1" t="s">
        <v>6201</v>
      </c>
      <c r="P1236" s="1" t="n">
        <v>6028</v>
      </c>
      <c r="Q1236" s="1" t="s">
        <v>6202</v>
      </c>
      <c r="R1236" s="1" t="s">
        <v>6203</v>
      </c>
      <c r="S1236" s="1" t="s">
        <v>6204</v>
      </c>
      <c r="T1236" s="1" t="s">
        <v>4718</v>
      </c>
      <c r="U1236" s="1" t="s">
        <v>6205</v>
      </c>
    </row>
    <row r="1237" customFormat="false" ht="13.8" hidden="false" customHeight="false" outlineLevel="0" collapsed="false">
      <c r="A1237" s="1" t="n">
        <v>1236</v>
      </c>
      <c r="B1237" s="2" t="s">
        <v>6206</v>
      </c>
      <c r="C1237" s="1" t="n">
        <v>3</v>
      </c>
      <c r="D1237" s="1" t="n">
        <v>8</v>
      </c>
      <c r="E1237" s="1" t="n">
        <v>17</v>
      </c>
      <c r="F1237" s="1" t="n">
        <v>20</v>
      </c>
      <c r="G1237" s="1" t="n">
        <v>38</v>
      </c>
      <c r="H1237" s="1" t="n">
        <v>53</v>
      </c>
      <c r="I1237" s="1" t="str">
        <f aca="false">RIGHT(("0"&amp;C1237),2)&amp;RIGHT(("0"&amp;D1237),2)&amp;RIGHT(("0"&amp;E1237),2)&amp;RIGHT(("0"&amp;F1237),2)&amp;RIGHT(("0"&amp;G1237),2)&amp;RIGHT(("0"&amp;H1237),2)</f>
        <v>030817203853</v>
      </c>
      <c r="J1237" s="1" t="n">
        <f aca="false">COUNTIF(I:I,I1237)</f>
        <v>1</v>
      </c>
      <c r="K1237" s="1" t="n">
        <v>0</v>
      </c>
      <c r="M1237" s="1" t="s">
        <v>23</v>
      </c>
      <c r="N1237" s="1" t="n">
        <v>136</v>
      </c>
      <c r="O1237" s="1" t="s">
        <v>6207</v>
      </c>
      <c r="P1237" s="1" t="n">
        <v>9270</v>
      </c>
      <c r="Q1237" s="1" t="s">
        <v>6208</v>
      </c>
      <c r="R1237" s="1" t="s">
        <v>6209</v>
      </c>
      <c r="S1237" s="1" t="s">
        <v>6210</v>
      </c>
      <c r="T1237" s="1" t="s">
        <v>3892</v>
      </c>
      <c r="U1237" s="1" t="s">
        <v>6211</v>
      </c>
    </row>
    <row r="1238" customFormat="false" ht="13.8" hidden="false" customHeight="false" outlineLevel="0" collapsed="false">
      <c r="A1238" s="1" t="n">
        <v>1237</v>
      </c>
      <c r="B1238" s="2" t="s">
        <v>6212</v>
      </c>
      <c r="C1238" s="1" t="n">
        <v>5</v>
      </c>
      <c r="D1238" s="1" t="n">
        <v>18</v>
      </c>
      <c r="E1238" s="1" t="n">
        <v>21</v>
      </c>
      <c r="F1238" s="1" t="n">
        <v>26</v>
      </c>
      <c r="G1238" s="1" t="n">
        <v>39</v>
      </c>
      <c r="H1238" s="1" t="n">
        <v>59</v>
      </c>
      <c r="I1238" s="1" t="str">
        <f aca="false">RIGHT(("0"&amp;C1238),2)&amp;RIGHT(("0"&amp;D1238),2)&amp;RIGHT(("0"&amp;E1238),2)&amp;RIGHT(("0"&amp;F1238),2)&amp;RIGHT(("0"&amp;G1238),2)&amp;RIGHT(("0"&amp;H1238),2)</f>
        <v>051821263959</v>
      </c>
      <c r="J1238" s="1" t="n">
        <f aca="false">COUNTIF(I:I,I1238)</f>
        <v>1</v>
      </c>
      <c r="K1238" s="1" t="n">
        <v>1</v>
      </c>
      <c r="L1238" s="1" t="s">
        <v>6213</v>
      </c>
      <c r="M1238" s="1" t="s">
        <v>6214</v>
      </c>
      <c r="N1238" s="1" t="n">
        <v>132</v>
      </c>
      <c r="O1238" s="1" t="s">
        <v>6215</v>
      </c>
      <c r="P1238" s="1" t="n">
        <v>9303</v>
      </c>
      <c r="Q1238" s="1" t="s">
        <v>6216</v>
      </c>
      <c r="R1238" s="1" t="s">
        <v>23</v>
      </c>
      <c r="S1238" s="1" t="s">
        <v>6217</v>
      </c>
      <c r="T1238" s="1" t="s">
        <v>4732</v>
      </c>
      <c r="U1238" s="1" t="s">
        <v>6218</v>
      </c>
    </row>
    <row r="1239" customFormat="false" ht="13.8" hidden="false" customHeight="false" outlineLevel="0" collapsed="false">
      <c r="A1239" s="1" t="n">
        <v>1238</v>
      </c>
      <c r="B1239" s="2" t="s">
        <v>6219</v>
      </c>
      <c r="C1239" s="1" t="n">
        <v>13</v>
      </c>
      <c r="D1239" s="1" t="n">
        <v>14</v>
      </c>
      <c r="E1239" s="1" t="n">
        <v>24</v>
      </c>
      <c r="F1239" s="1" t="n">
        <v>39</v>
      </c>
      <c r="G1239" s="1" t="n">
        <v>40</v>
      </c>
      <c r="H1239" s="1" t="n">
        <v>45</v>
      </c>
      <c r="I1239" s="1" t="str">
        <f aca="false">RIGHT(("0"&amp;C1239),2)&amp;RIGHT(("0"&amp;D1239),2)&amp;RIGHT(("0"&amp;E1239),2)&amp;RIGHT(("0"&amp;F1239),2)&amp;RIGHT(("0"&amp;G1239),2)&amp;RIGHT(("0"&amp;H1239),2)</f>
        <v>131424394045</v>
      </c>
      <c r="J1239" s="1" t="n">
        <f aca="false">COUNTIF(I:I,I1239)</f>
        <v>1</v>
      </c>
      <c r="K1239" s="1" t="n">
        <v>0</v>
      </c>
      <c r="M1239" s="1" t="s">
        <v>23</v>
      </c>
      <c r="N1239" s="1" t="n">
        <v>41</v>
      </c>
      <c r="O1239" s="1" t="s">
        <v>6220</v>
      </c>
      <c r="P1239" s="1" t="n">
        <v>3065</v>
      </c>
      <c r="Q1239" s="1" t="s">
        <v>6221</v>
      </c>
      <c r="R1239" s="1" t="s">
        <v>6222</v>
      </c>
      <c r="S1239" s="1" t="s">
        <v>6223</v>
      </c>
      <c r="T1239" s="1" t="s">
        <v>4227</v>
      </c>
      <c r="U1239" s="1" t="s">
        <v>6224</v>
      </c>
    </row>
    <row r="1240" customFormat="false" ht="13.8" hidden="false" customHeight="false" outlineLevel="0" collapsed="false">
      <c r="A1240" s="1" t="n">
        <v>1239</v>
      </c>
      <c r="B1240" s="2" t="s">
        <v>6225</v>
      </c>
      <c r="C1240" s="1" t="n">
        <v>1</v>
      </c>
      <c r="D1240" s="1" t="n">
        <v>15</v>
      </c>
      <c r="E1240" s="1" t="n">
        <v>37</v>
      </c>
      <c r="F1240" s="1" t="n">
        <v>39</v>
      </c>
      <c r="G1240" s="1" t="n">
        <v>48</v>
      </c>
      <c r="H1240" s="1" t="n">
        <v>52</v>
      </c>
      <c r="I1240" s="1" t="str">
        <f aca="false">RIGHT(("0"&amp;C1240),2)&amp;RIGHT(("0"&amp;D1240),2)&amp;RIGHT(("0"&amp;E1240),2)&amp;RIGHT(("0"&amp;F1240),2)&amp;RIGHT(("0"&amp;G1240),2)&amp;RIGHT(("0"&amp;H1240),2)</f>
        <v>011537394852</v>
      </c>
      <c r="J1240" s="1" t="n">
        <f aca="false">COUNTIF(I:I,I1240)</f>
        <v>1</v>
      </c>
      <c r="K1240" s="1" t="n">
        <v>0</v>
      </c>
      <c r="M1240" s="1" t="s">
        <v>23</v>
      </c>
      <c r="N1240" s="1" t="n">
        <v>57</v>
      </c>
      <c r="O1240" s="1" t="s">
        <v>6226</v>
      </c>
      <c r="P1240" s="1" t="n">
        <v>3794</v>
      </c>
      <c r="Q1240" s="1" t="s">
        <v>6227</v>
      </c>
      <c r="R1240" s="1" t="s">
        <v>6228</v>
      </c>
      <c r="S1240" s="1" t="s">
        <v>6229</v>
      </c>
      <c r="T1240" s="1" t="s">
        <v>4273</v>
      </c>
      <c r="U1240" s="1" t="s">
        <v>6230</v>
      </c>
    </row>
    <row r="1241" customFormat="false" ht="13.8" hidden="false" customHeight="false" outlineLevel="0" collapsed="false">
      <c r="A1241" s="1" t="n">
        <v>1240</v>
      </c>
      <c r="B1241" s="2" t="s">
        <v>6231</v>
      </c>
      <c r="C1241" s="1" t="n">
        <v>8</v>
      </c>
      <c r="D1241" s="1" t="n">
        <v>9</v>
      </c>
      <c r="E1241" s="1" t="n">
        <v>12</v>
      </c>
      <c r="F1241" s="1" t="n">
        <v>22</v>
      </c>
      <c r="G1241" s="1" t="n">
        <v>42</v>
      </c>
      <c r="H1241" s="1" t="n">
        <v>49</v>
      </c>
      <c r="I1241" s="1" t="str">
        <f aca="false">RIGHT(("0"&amp;C1241),2)&amp;RIGHT(("0"&amp;D1241),2)&amp;RIGHT(("0"&amp;E1241),2)&amp;RIGHT(("0"&amp;F1241),2)&amp;RIGHT(("0"&amp;G1241),2)&amp;RIGHT(("0"&amp;H1241),2)</f>
        <v>080912224249</v>
      </c>
      <c r="J1241" s="1" t="n">
        <f aca="false">COUNTIF(I:I,I1241)</f>
        <v>1</v>
      </c>
      <c r="K1241" s="1" t="n">
        <v>0</v>
      </c>
      <c r="M1241" s="1" t="s">
        <v>23</v>
      </c>
      <c r="N1241" s="1" t="n">
        <v>123</v>
      </c>
      <c r="O1241" s="1" t="s">
        <v>6232</v>
      </c>
      <c r="P1241" s="1" t="n">
        <v>8257</v>
      </c>
      <c r="Q1241" s="1" t="s">
        <v>6233</v>
      </c>
      <c r="R1241" s="1" t="s">
        <v>6234</v>
      </c>
      <c r="S1241" s="1" t="s">
        <v>6235</v>
      </c>
      <c r="T1241" s="1" t="s">
        <v>4328</v>
      </c>
      <c r="U1241" s="1" t="s">
        <v>6236</v>
      </c>
    </row>
    <row r="1242" customFormat="false" ht="13.8" hidden="false" customHeight="false" outlineLevel="0" collapsed="false">
      <c r="A1242" s="1" t="n">
        <v>1241</v>
      </c>
      <c r="B1242" s="2" t="s">
        <v>6237</v>
      </c>
      <c r="C1242" s="1" t="n">
        <v>10</v>
      </c>
      <c r="D1242" s="1" t="n">
        <v>13</v>
      </c>
      <c r="E1242" s="1" t="n">
        <v>25</v>
      </c>
      <c r="F1242" s="1" t="n">
        <v>26</v>
      </c>
      <c r="G1242" s="1" t="n">
        <v>28</v>
      </c>
      <c r="H1242" s="1" t="n">
        <v>45</v>
      </c>
      <c r="I1242" s="1" t="str">
        <f aca="false">RIGHT(("0"&amp;C1242),2)&amp;RIGHT(("0"&amp;D1242),2)&amp;RIGHT(("0"&amp;E1242),2)&amp;RIGHT(("0"&amp;F1242),2)&amp;RIGHT(("0"&amp;G1242),2)&amp;RIGHT(("0"&amp;H1242),2)</f>
        <v>101325262845</v>
      </c>
      <c r="J1242" s="1" t="n">
        <f aca="false">COUNTIF(I:I,I1242)</f>
        <v>1</v>
      </c>
      <c r="K1242" s="1" t="n">
        <v>0</v>
      </c>
      <c r="M1242" s="1" t="s">
        <v>23</v>
      </c>
      <c r="N1242" s="1" t="n">
        <v>181</v>
      </c>
      <c r="O1242" s="1" t="s">
        <v>6238</v>
      </c>
      <c r="P1242" s="1" t="n">
        <v>12556</v>
      </c>
      <c r="Q1242" s="1" t="s">
        <v>6239</v>
      </c>
      <c r="R1242" s="1" t="s">
        <v>6240</v>
      </c>
      <c r="S1242" s="1" t="s">
        <v>6241</v>
      </c>
      <c r="T1242" s="1" t="s">
        <v>4213</v>
      </c>
      <c r="U1242" s="1" t="s">
        <v>6242</v>
      </c>
    </row>
    <row r="1243" customFormat="false" ht="13.8" hidden="false" customHeight="false" outlineLevel="0" collapsed="false">
      <c r="A1243" s="1" t="n">
        <v>1242</v>
      </c>
      <c r="B1243" s="2" t="s">
        <v>6243</v>
      </c>
      <c r="C1243" s="1" t="n">
        <v>11</v>
      </c>
      <c r="D1243" s="1" t="n">
        <v>34</v>
      </c>
      <c r="E1243" s="1" t="n">
        <v>45</v>
      </c>
      <c r="F1243" s="1" t="n">
        <v>48</v>
      </c>
      <c r="G1243" s="1" t="n">
        <v>51</v>
      </c>
      <c r="H1243" s="1" t="n">
        <v>54</v>
      </c>
      <c r="I1243" s="1" t="str">
        <f aca="false">RIGHT(("0"&amp;C1243),2)&amp;RIGHT(("0"&amp;D1243),2)&amp;RIGHT(("0"&amp;E1243),2)&amp;RIGHT(("0"&amp;F1243),2)&amp;RIGHT(("0"&amp;G1243),2)&amp;RIGHT(("0"&amp;H1243),2)</f>
        <v>113445485154</v>
      </c>
      <c r="J1243" s="1" t="n">
        <f aca="false">COUNTIF(I:I,I1243)</f>
        <v>1</v>
      </c>
      <c r="K1243" s="1" t="n">
        <v>0</v>
      </c>
      <c r="M1243" s="1" t="s">
        <v>23</v>
      </c>
      <c r="N1243" s="1" t="n">
        <v>19</v>
      </c>
      <c r="O1243" s="1" t="s">
        <v>6244</v>
      </c>
      <c r="P1243" s="1" t="n">
        <v>2046</v>
      </c>
      <c r="Q1243" s="1" t="s">
        <v>6245</v>
      </c>
      <c r="R1243" s="1" t="s">
        <v>6246</v>
      </c>
      <c r="S1243" s="1" t="s">
        <v>6247</v>
      </c>
      <c r="T1243" s="1" t="s">
        <v>5321</v>
      </c>
      <c r="U1243" s="1" t="s">
        <v>6248</v>
      </c>
    </row>
    <row r="1244" customFormat="false" ht="13.8" hidden="false" customHeight="false" outlineLevel="0" collapsed="false">
      <c r="A1244" s="1" t="n">
        <v>1243</v>
      </c>
      <c r="B1244" s="2" t="s">
        <v>6249</v>
      </c>
      <c r="C1244" s="1" t="n">
        <v>9</v>
      </c>
      <c r="D1244" s="1" t="n">
        <v>19</v>
      </c>
      <c r="E1244" s="1" t="n">
        <v>23</v>
      </c>
      <c r="F1244" s="1" t="n">
        <v>29</v>
      </c>
      <c r="G1244" s="1" t="n">
        <v>32</v>
      </c>
      <c r="H1244" s="1" t="n">
        <v>57</v>
      </c>
      <c r="I1244" s="1" t="str">
        <f aca="false">RIGHT(("0"&amp;C1244),2)&amp;RIGHT(("0"&amp;D1244),2)&amp;RIGHT(("0"&amp;E1244),2)&amp;RIGHT(("0"&amp;F1244),2)&amp;RIGHT(("0"&amp;G1244),2)&amp;RIGHT(("0"&amp;H1244),2)</f>
        <v>091923293257</v>
      </c>
      <c r="J1244" s="1" t="n">
        <f aca="false">COUNTIF(I:I,I1244)</f>
        <v>1</v>
      </c>
      <c r="K1244" s="1" t="n">
        <v>0</v>
      </c>
      <c r="M1244" s="1" t="s">
        <v>23</v>
      </c>
      <c r="N1244" s="1" t="n">
        <v>139</v>
      </c>
      <c r="O1244" s="1" t="s">
        <v>6250</v>
      </c>
      <c r="P1244" s="1" t="n">
        <v>8401</v>
      </c>
      <c r="Q1244" s="1" t="s">
        <v>6251</v>
      </c>
      <c r="R1244" s="1" t="s">
        <v>6252</v>
      </c>
      <c r="S1244" s="1" t="s">
        <v>6253</v>
      </c>
      <c r="T1244" s="1" t="s">
        <v>5686</v>
      </c>
      <c r="U1244" s="1" t="s">
        <v>6254</v>
      </c>
    </row>
    <row r="1245" customFormat="false" ht="13.8" hidden="false" customHeight="false" outlineLevel="0" collapsed="false">
      <c r="A1245" s="1" t="n">
        <v>1244</v>
      </c>
      <c r="B1245" s="2" t="s">
        <v>6255</v>
      </c>
      <c r="C1245" s="1" t="n">
        <v>2</v>
      </c>
      <c r="D1245" s="1" t="n">
        <v>8</v>
      </c>
      <c r="E1245" s="1" t="n">
        <v>15</v>
      </c>
      <c r="F1245" s="1" t="n">
        <v>25</v>
      </c>
      <c r="G1245" s="1" t="n">
        <v>34</v>
      </c>
      <c r="H1245" s="1" t="n">
        <v>45</v>
      </c>
      <c r="I1245" s="1" t="str">
        <f aca="false">RIGHT(("0"&amp;C1245),2)&amp;RIGHT(("0"&amp;D1245),2)&amp;RIGHT(("0"&amp;E1245),2)&amp;RIGHT(("0"&amp;F1245),2)&amp;RIGHT(("0"&amp;G1245),2)&amp;RIGHT(("0"&amp;H1245),2)</f>
        <v>020815253445</v>
      </c>
      <c r="J1245" s="1" t="n">
        <f aca="false">COUNTIF(I:I,I1245)</f>
        <v>1</v>
      </c>
      <c r="K1245" s="1" t="n">
        <v>0</v>
      </c>
      <c r="M1245" s="1" t="s">
        <v>23</v>
      </c>
      <c r="N1245" s="1" t="n">
        <v>124</v>
      </c>
      <c r="O1245" s="1" t="s">
        <v>6256</v>
      </c>
      <c r="P1245" s="1" t="n">
        <v>9080</v>
      </c>
      <c r="Q1245" s="1" t="s">
        <v>6257</v>
      </c>
      <c r="R1245" s="1" t="s">
        <v>6258</v>
      </c>
      <c r="S1245" s="1" t="s">
        <v>6259</v>
      </c>
      <c r="T1245" s="1" t="s">
        <v>6260</v>
      </c>
      <c r="U1245" s="1" t="s">
        <v>6258</v>
      </c>
    </row>
    <row r="1246" customFormat="false" ht="13.8" hidden="false" customHeight="false" outlineLevel="0" collapsed="false">
      <c r="A1246" s="1" t="n">
        <v>1245</v>
      </c>
      <c r="B1246" s="2" t="s">
        <v>6261</v>
      </c>
      <c r="C1246" s="1" t="n">
        <v>2</v>
      </c>
      <c r="D1246" s="1" t="n">
        <v>10</v>
      </c>
      <c r="E1246" s="1" t="n">
        <v>34</v>
      </c>
      <c r="F1246" s="1" t="n">
        <v>37</v>
      </c>
      <c r="G1246" s="1" t="n">
        <v>43</v>
      </c>
      <c r="H1246" s="1" t="n">
        <v>50</v>
      </c>
      <c r="I1246" s="1" t="str">
        <f aca="false">RIGHT(("0"&amp;C1246),2)&amp;RIGHT(("0"&amp;D1246),2)&amp;RIGHT(("0"&amp;E1246),2)&amp;RIGHT(("0"&amp;F1246),2)&amp;RIGHT(("0"&amp;G1246),2)&amp;RIGHT(("0"&amp;H1246),2)</f>
        <v>021034374350</v>
      </c>
      <c r="J1246" s="1" t="n">
        <f aca="false">COUNTIF(I:I,I1246)</f>
        <v>1</v>
      </c>
      <c r="K1246" s="1" t="n">
        <v>4</v>
      </c>
      <c r="L1246" s="1" t="s">
        <v>6262</v>
      </c>
      <c r="M1246" s="1" t="s">
        <v>6263</v>
      </c>
      <c r="N1246" s="1" t="n">
        <v>1561</v>
      </c>
      <c r="O1246" s="1" t="s">
        <v>6264</v>
      </c>
      <c r="P1246" s="1" t="n">
        <v>94921</v>
      </c>
      <c r="Q1246" s="1" t="s">
        <v>6265</v>
      </c>
      <c r="R1246" s="1" t="s">
        <v>23</v>
      </c>
      <c r="S1246" s="1" t="s">
        <v>6266</v>
      </c>
      <c r="T1246" s="1" t="s">
        <v>4732</v>
      </c>
      <c r="U1246" s="1" t="s">
        <v>23</v>
      </c>
    </row>
    <row r="1247" customFormat="false" ht="13.8" hidden="false" customHeight="false" outlineLevel="0" collapsed="false">
      <c r="A1247" s="1" t="n">
        <v>1246</v>
      </c>
      <c r="B1247" s="2" t="s">
        <v>6267</v>
      </c>
      <c r="C1247" s="1" t="n">
        <v>10</v>
      </c>
      <c r="D1247" s="1" t="n">
        <v>37</v>
      </c>
      <c r="E1247" s="1" t="n">
        <v>40</v>
      </c>
      <c r="F1247" s="1" t="n">
        <v>43</v>
      </c>
      <c r="G1247" s="1" t="n">
        <v>57</v>
      </c>
      <c r="H1247" s="1" t="n">
        <v>59</v>
      </c>
      <c r="I1247" s="1" t="str">
        <f aca="false">RIGHT(("0"&amp;C1247),2)&amp;RIGHT(("0"&amp;D1247),2)&amp;RIGHT(("0"&amp;E1247),2)&amp;RIGHT(("0"&amp;F1247),2)&amp;RIGHT(("0"&amp;G1247),2)&amp;RIGHT(("0"&amp;H1247),2)</f>
        <v>103740435759</v>
      </c>
      <c r="J1247" s="1" t="n">
        <f aca="false">COUNTIF(I:I,I1247)</f>
        <v>1</v>
      </c>
      <c r="K1247" s="1" t="n">
        <v>0</v>
      </c>
      <c r="M1247" s="1" t="s">
        <v>23</v>
      </c>
      <c r="N1247" s="1" t="n">
        <v>46</v>
      </c>
      <c r="O1247" s="1" t="s">
        <v>6268</v>
      </c>
      <c r="P1247" s="1" t="n">
        <v>3939</v>
      </c>
      <c r="Q1247" s="1" t="s">
        <v>6269</v>
      </c>
      <c r="R1247" s="1" t="s">
        <v>6270</v>
      </c>
      <c r="S1247" s="1" t="s">
        <v>6271</v>
      </c>
      <c r="T1247" s="1" t="s">
        <v>6272</v>
      </c>
      <c r="U1247" s="1" t="s">
        <v>6273</v>
      </c>
    </row>
    <row r="1248" customFormat="false" ht="13.8" hidden="false" customHeight="false" outlineLevel="0" collapsed="false">
      <c r="A1248" s="1" t="n">
        <v>1247</v>
      </c>
      <c r="B1248" s="2" t="s">
        <v>6274</v>
      </c>
      <c r="C1248" s="1" t="n">
        <v>3</v>
      </c>
      <c r="D1248" s="1" t="n">
        <v>9</v>
      </c>
      <c r="E1248" s="1" t="n">
        <v>11</v>
      </c>
      <c r="F1248" s="1" t="n">
        <v>24</v>
      </c>
      <c r="G1248" s="1" t="n">
        <v>36</v>
      </c>
      <c r="H1248" s="1" t="n">
        <v>51</v>
      </c>
      <c r="I1248" s="1" t="str">
        <f aca="false">RIGHT(("0"&amp;C1248),2)&amp;RIGHT(("0"&amp;D1248),2)&amp;RIGHT(("0"&amp;E1248),2)&amp;RIGHT(("0"&amp;F1248),2)&amp;RIGHT(("0"&amp;G1248),2)&amp;RIGHT(("0"&amp;H1248),2)</f>
        <v>030911243651</v>
      </c>
      <c r="J1248" s="1" t="n">
        <f aca="false">COUNTIF(I:I,I1248)</f>
        <v>1</v>
      </c>
      <c r="K1248" s="1" t="n">
        <v>0</v>
      </c>
      <c r="M1248" s="1" t="s">
        <v>23</v>
      </c>
      <c r="N1248" s="1" t="n">
        <v>164</v>
      </c>
      <c r="O1248" s="1" t="s">
        <v>6275</v>
      </c>
      <c r="P1248" s="1" t="n">
        <v>9543</v>
      </c>
      <c r="Q1248" s="1" t="s">
        <v>6276</v>
      </c>
      <c r="R1248" s="1" t="s">
        <v>6277</v>
      </c>
      <c r="S1248" s="1" t="s">
        <v>6278</v>
      </c>
      <c r="T1248" s="1" t="s">
        <v>4347</v>
      </c>
      <c r="U1248" s="1" t="s">
        <v>6279</v>
      </c>
    </row>
    <row r="1249" customFormat="false" ht="13.8" hidden="false" customHeight="false" outlineLevel="0" collapsed="false">
      <c r="A1249" s="1" t="n">
        <v>1248</v>
      </c>
      <c r="B1249" s="2" t="s">
        <v>6280</v>
      </c>
      <c r="C1249" s="1" t="n">
        <v>20</v>
      </c>
      <c r="D1249" s="1" t="n">
        <v>33</v>
      </c>
      <c r="E1249" s="1" t="n">
        <v>34</v>
      </c>
      <c r="F1249" s="1" t="n">
        <v>57</v>
      </c>
      <c r="G1249" s="1" t="n">
        <v>58</v>
      </c>
      <c r="H1249" s="1" t="n">
        <v>60</v>
      </c>
      <c r="I1249" s="1" t="str">
        <f aca="false">RIGHT(("0"&amp;C1249),2)&amp;RIGHT(("0"&amp;D1249),2)&amp;RIGHT(("0"&amp;E1249),2)&amp;RIGHT(("0"&amp;F1249),2)&amp;RIGHT(("0"&amp;G1249),2)&amp;RIGHT(("0"&amp;H1249),2)</f>
        <v>203334575860</v>
      </c>
      <c r="J1249" s="1" t="n">
        <f aca="false">COUNTIF(I:I,I1249)</f>
        <v>1</v>
      </c>
      <c r="K1249" s="1" t="n">
        <v>0</v>
      </c>
      <c r="M1249" s="1" t="s">
        <v>23</v>
      </c>
      <c r="N1249" s="1" t="n">
        <v>86</v>
      </c>
      <c r="O1249" s="1" t="s">
        <v>6281</v>
      </c>
      <c r="P1249" s="1" t="n">
        <v>3832</v>
      </c>
      <c r="Q1249" s="1" t="s">
        <v>6282</v>
      </c>
      <c r="R1249" s="1" t="s">
        <v>6283</v>
      </c>
      <c r="S1249" s="1" t="s">
        <v>6284</v>
      </c>
      <c r="T1249" s="1" t="s">
        <v>4461</v>
      </c>
      <c r="U1249" s="1" t="s">
        <v>6285</v>
      </c>
    </row>
    <row r="1250" customFormat="false" ht="13.8" hidden="false" customHeight="false" outlineLevel="0" collapsed="false">
      <c r="A1250" s="1" t="n">
        <v>1249</v>
      </c>
      <c r="B1250" s="2" t="s">
        <v>6286</v>
      </c>
      <c r="C1250" s="1" t="n">
        <v>3</v>
      </c>
      <c r="D1250" s="1" t="n">
        <v>8</v>
      </c>
      <c r="E1250" s="1" t="n">
        <v>36</v>
      </c>
      <c r="F1250" s="1" t="n">
        <v>40</v>
      </c>
      <c r="G1250" s="1" t="n">
        <v>51</v>
      </c>
      <c r="H1250" s="1" t="n">
        <v>53</v>
      </c>
      <c r="I1250" s="1" t="str">
        <f aca="false">RIGHT(("0"&amp;C1250),2)&amp;RIGHT(("0"&amp;D1250),2)&amp;RIGHT(("0"&amp;E1250),2)&amp;RIGHT(("0"&amp;F1250),2)&amp;RIGHT(("0"&amp;G1250),2)&amp;RIGHT(("0"&amp;H1250),2)</f>
        <v>030836405153</v>
      </c>
      <c r="J1250" s="1" t="n">
        <f aca="false">COUNTIF(I:I,I1250)</f>
        <v>1</v>
      </c>
      <c r="K1250" s="1" t="n">
        <v>1</v>
      </c>
      <c r="L1250" s="1" t="s">
        <v>5484</v>
      </c>
      <c r="M1250" s="1" t="s">
        <v>6287</v>
      </c>
      <c r="N1250" s="1" t="n">
        <v>103</v>
      </c>
      <c r="O1250" s="1" t="s">
        <v>6288</v>
      </c>
      <c r="P1250" s="1" t="n">
        <v>5887</v>
      </c>
      <c r="Q1250" s="1" t="s">
        <v>6289</v>
      </c>
      <c r="R1250" s="1" t="s">
        <v>23</v>
      </c>
      <c r="S1250" s="1" t="s">
        <v>6290</v>
      </c>
      <c r="T1250" s="1" t="s">
        <v>4190</v>
      </c>
      <c r="U1250" s="1" t="s">
        <v>6291</v>
      </c>
    </row>
    <row r="1251" customFormat="false" ht="13.8" hidden="false" customHeight="false" outlineLevel="0" collapsed="false">
      <c r="A1251" s="1" t="n">
        <v>1250</v>
      </c>
      <c r="B1251" s="2" t="s">
        <v>6292</v>
      </c>
      <c r="C1251" s="1" t="n">
        <v>1</v>
      </c>
      <c r="D1251" s="1" t="n">
        <v>2</v>
      </c>
      <c r="E1251" s="1" t="n">
        <v>24</v>
      </c>
      <c r="F1251" s="1" t="n">
        <v>40</v>
      </c>
      <c r="G1251" s="1" t="n">
        <v>51</v>
      </c>
      <c r="H1251" s="1" t="n">
        <v>59</v>
      </c>
      <c r="I1251" s="1" t="str">
        <f aca="false">RIGHT(("0"&amp;C1251),2)&amp;RIGHT(("0"&amp;D1251),2)&amp;RIGHT(("0"&amp;E1251),2)&amp;RIGHT(("0"&amp;F1251),2)&amp;RIGHT(("0"&amp;G1251),2)&amp;RIGHT(("0"&amp;H1251),2)</f>
        <v>010224405159</v>
      </c>
      <c r="J1251" s="1" t="n">
        <f aca="false">COUNTIF(I:I,I1251)</f>
        <v>1</v>
      </c>
      <c r="K1251" s="1" t="n">
        <v>0</v>
      </c>
      <c r="M1251" s="1" t="s">
        <v>23</v>
      </c>
      <c r="N1251" s="1" t="n">
        <v>61</v>
      </c>
      <c r="O1251" s="1" t="s">
        <v>6293</v>
      </c>
      <c r="P1251" s="1" t="n">
        <v>4394</v>
      </c>
      <c r="Q1251" s="1" t="s">
        <v>6294</v>
      </c>
      <c r="R1251" s="1" t="s">
        <v>6295</v>
      </c>
      <c r="S1251" s="1" t="s">
        <v>6296</v>
      </c>
      <c r="T1251" s="1" t="s">
        <v>3727</v>
      </c>
      <c r="U1251" s="1" t="s">
        <v>6297</v>
      </c>
    </row>
    <row r="1252" customFormat="false" ht="13.8" hidden="false" customHeight="false" outlineLevel="0" collapsed="false">
      <c r="A1252" s="1" t="n">
        <v>1251</v>
      </c>
      <c r="B1252" s="2" t="s">
        <v>6298</v>
      </c>
      <c r="C1252" s="1" t="n">
        <v>5</v>
      </c>
      <c r="D1252" s="1" t="n">
        <v>27</v>
      </c>
      <c r="E1252" s="1" t="n">
        <v>34</v>
      </c>
      <c r="F1252" s="1" t="n">
        <v>46</v>
      </c>
      <c r="G1252" s="1" t="n">
        <v>48</v>
      </c>
      <c r="H1252" s="1" t="n">
        <v>52</v>
      </c>
      <c r="I1252" s="1" t="str">
        <f aca="false">RIGHT(("0"&amp;C1252),2)&amp;RIGHT(("0"&amp;D1252),2)&amp;RIGHT(("0"&amp;E1252),2)&amp;RIGHT(("0"&amp;F1252),2)&amp;RIGHT(("0"&amp;G1252),2)&amp;RIGHT(("0"&amp;H1252),2)</f>
        <v>052734464852</v>
      </c>
      <c r="J1252" s="1" t="n">
        <f aca="false">COUNTIF(I:I,I1252)</f>
        <v>1</v>
      </c>
      <c r="K1252" s="1" t="n">
        <v>0</v>
      </c>
      <c r="M1252" s="1" t="s">
        <v>23</v>
      </c>
      <c r="N1252" s="1" t="n">
        <v>261</v>
      </c>
      <c r="O1252" s="1" t="s">
        <v>6299</v>
      </c>
      <c r="P1252" s="1" t="n">
        <v>9795</v>
      </c>
      <c r="Q1252" s="1" t="s">
        <v>6300</v>
      </c>
      <c r="R1252" s="1" t="s">
        <v>6301</v>
      </c>
      <c r="S1252" s="1" t="s">
        <v>6302</v>
      </c>
      <c r="T1252" s="1" t="s">
        <v>4208</v>
      </c>
      <c r="U1252" s="1" t="s">
        <v>6303</v>
      </c>
    </row>
    <row r="1253" customFormat="false" ht="13.8" hidden="false" customHeight="false" outlineLevel="0" collapsed="false">
      <c r="A1253" s="1" t="n">
        <v>1252</v>
      </c>
      <c r="B1253" s="2" t="s">
        <v>6304</v>
      </c>
      <c r="C1253" s="1" t="n">
        <v>2</v>
      </c>
      <c r="D1253" s="1" t="n">
        <v>14</v>
      </c>
      <c r="E1253" s="1" t="n">
        <v>35</v>
      </c>
      <c r="F1253" s="1" t="n">
        <v>39</v>
      </c>
      <c r="G1253" s="1" t="n">
        <v>49</v>
      </c>
      <c r="H1253" s="1" t="n">
        <v>51</v>
      </c>
      <c r="I1253" s="1" t="str">
        <f aca="false">RIGHT(("0"&amp;C1253),2)&amp;RIGHT(("0"&amp;D1253),2)&amp;RIGHT(("0"&amp;E1253),2)&amp;RIGHT(("0"&amp;F1253),2)&amp;RIGHT(("0"&amp;G1253),2)&amp;RIGHT(("0"&amp;H1253),2)</f>
        <v>021435394951</v>
      </c>
      <c r="J1253" s="1" t="n">
        <f aca="false">COUNTIF(I:I,I1253)</f>
        <v>1</v>
      </c>
      <c r="K1253" s="1" t="n">
        <v>0</v>
      </c>
      <c r="M1253" s="1" t="s">
        <v>23</v>
      </c>
      <c r="N1253" s="1" t="n">
        <v>67</v>
      </c>
      <c r="O1253" s="1" t="s">
        <v>6305</v>
      </c>
      <c r="P1253" s="1" t="n">
        <v>4975</v>
      </c>
      <c r="Q1253" s="1" t="s">
        <v>6306</v>
      </c>
      <c r="R1253" s="1" t="s">
        <v>6307</v>
      </c>
      <c r="S1253" s="1" t="s">
        <v>6308</v>
      </c>
      <c r="T1253" s="1" t="s">
        <v>4273</v>
      </c>
      <c r="U1253" s="1" t="s">
        <v>6309</v>
      </c>
    </row>
    <row r="1254" customFormat="false" ht="13.8" hidden="false" customHeight="false" outlineLevel="0" collapsed="false">
      <c r="A1254" s="1" t="n">
        <v>1253</v>
      </c>
      <c r="B1254" s="2" t="s">
        <v>6310</v>
      </c>
      <c r="C1254" s="1" t="n">
        <v>2</v>
      </c>
      <c r="D1254" s="1" t="n">
        <v>17</v>
      </c>
      <c r="E1254" s="1" t="n">
        <v>23</v>
      </c>
      <c r="F1254" s="1" t="n">
        <v>43</v>
      </c>
      <c r="G1254" s="1" t="n">
        <v>44</v>
      </c>
      <c r="H1254" s="1" t="n">
        <v>51</v>
      </c>
      <c r="I1254" s="1" t="str">
        <f aca="false">RIGHT(("0"&amp;C1254),2)&amp;RIGHT(("0"&amp;D1254),2)&amp;RIGHT(("0"&amp;E1254),2)&amp;RIGHT(("0"&amp;F1254),2)&amp;RIGHT(("0"&amp;G1254),2)&amp;RIGHT(("0"&amp;H1254),2)</f>
        <v>021723434451</v>
      </c>
      <c r="J1254" s="1" t="n">
        <f aca="false">COUNTIF(I:I,I1254)</f>
        <v>1</v>
      </c>
      <c r="K1254" s="1" t="n">
        <v>0</v>
      </c>
      <c r="M1254" s="1" t="s">
        <v>23</v>
      </c>
      <c r="N1254" s="1" t="n">
        <v>99</v>
      </c>
      <c r="O1254" s="1" t="s">
        <v>6311</v>
      </c>
      <c r="P1254" s="1" t="n">
        <v>7284</v>
      </c>
      <c r="Q1254" s="1" t="s">
        <v>6312</v>
      </c>
      <c r="R1254" s="1" t="s">
        <v>6313</v>
      </c>
      <c r="S1254" s="1" t="s">
        <v>6314</v>
      </c>
      <c r="T1254" s="1" t="s">
        <v>4328</v>
      </c>
      <c r="U1254" s="1" t="s">
        <v>6315</v>
      </c>
    </row>
    <row r="1255" customFormat="false" ht="13.8" hidden="false" customHeight="false" outlineLevel="0" collapsed="false">
      <c r="A1255" s="1" t="n">
        <v>1254</v>
      </c>
      <c r="B1255" s="2" t="s">
        <v>6316</v>
      </c>
      <c r="C1255" s="1" t="n">
        <v>7</v>
      </c>
      <c r="D1255" s="1" t="n">
        <v>9</v>
      </c>
      <c r="E1255" s="1" t="n">
        <v>14</v>
      </c>
      <c r="F1255" s="1" t="n">
        <v>18</v>
      </c>
      <c r="G1255" s="1" t="n">
        <v>29</v>
      </c>
      <c r="H1255" s="1" t="n">
        <v>39</v>
      </c>
      <c r="I1255" s="1" t="str">
        <f aca="false">RIGHT(("0"&amp;C1255),2)&amp;RIGHT(("0"&amp;D1255),2)&amp;RIGHT(("0"&amp;E1255),2)&amp;RIGHT(("0"&amp;F1255),2)&amp;RIGHT(("0"&amp;G1255),2)&amp;RIGHT(("0"&amp;H1255),2)</f>
        <v>070914182939</v>
      </c>
      <c r="J1255" s="1" t="n">
        <f aca="false">COUNTIF(I:I,I1255)</f>
        <v>1</v>
      </c>
      <c r="K1255" s="1" t="n">
        <v>0</v>
      </c>
      <c r="M1255" s="1" t="s">
        <v>23</v>
      </c>
      <c r="N1255" s="1" t="n">
        <v>142</v>
      </c>
      <c r="O1255" s="1" t="s">
        <v>6317</v>
      </c>
      <c r="P1255" s="1" t="n">
        <v>9454</v>
      </c>
      <c r="Q1255" s="1" t="s">
        <v>6318</v>
      </c>
      <c r="R1255" s="1" t="s">
        <v>6319</v>
      </c>
      <c r="S1255" s="1" t="s">
        <v>6320</v>
      </c>
      <c r="T1255" s="1" t="s">
        <v>4309</v>
      </c>
      <c r="U1255" s="1" t="s">
        <v>6321</v>
      </c>
    </row>
    <row r="1256" customFormat="false" ht="13.8" hidden="false" customHeight="false" outlineLevel="0" collapsed="false">
      <c r="A1256" s="1" t="n">
        <v>1255</v>
      </c>
      <c r="B1256" s="2" t="s">
        <v>6322</v>
      </c>
      <c r="C1256" s="1" t="n">
        <v>5</v>
      </c>
      <c r="D1256" s="1" t="n">
        <v>23</v>
      </c>
      <c r="E1256" s="1" t="n">
        <v>38</v>
      </c>
      <c r="F1256" s="1" t="n">
        <v>39</v>
      </c>
      <c r="G1256" s="1" t="n">
        <v>51</v>
      </c>
      <c r="H1256" s="1" t="n">
        <v>54</v>
      </c>
      <c r="I1256" s="1" t="str">
        <f aca="false">RIGHT(("0"&amp;C1256),2)&amp;RIGHT(("0"&amp;D1256),2)&amp;RIGHT(("0"&amp;E1256),2)&amp;RIGHT(("0"&amp;F1256),2)&amp;RIGHT(("0"&amp;G1256),2)&amp;RIGHT(("0"&amp;H1256),2)</f>
        <v>052338395154</v>
      </c>
      <c r="J1256" s="1" t="n">
        <f aca="false">COUNTIF(I:I,I1256)</f>
        <v>1</v>
      </c>
      <c r="K1256" s="1" t="n">
        <v>0</v>
      </c>
      <c r="M1256" s="1" t="s">
        <v>23</v>
      </c>
      <c r="N1256" s="1" t="n">
        <v>155</v>
      </c>
      <c r="O1256" s="1" t="s">
        <v>6323</v>
      </c>
      <c r="P1256" s="1" t="n">
        <v>11485</v>
      </c>
      <c r="Q1256" s="1" t="s">
        <v>6324</v>
      </c>
      <c r="R1256" s="1" t="s">
        <v>6325</v>
      </c>
      <c r="S1256" s="1" t="s">
        <v>6326</v>
      </c>
      <c r="T1256" s="1" t="s">
        <v>6077</v>
      </c>
      <c r="U1256" s="1" t="s">
        <v>6327</v>
      </c>
    </row>
    <row r="1257" customFormat="false" ht="13.8" hidden="false" customHeight="false" outlineLevel="0" collapsed="false">
      <c r="A1257" s="1" t="n">
        <v>1256</v>
      </c>
      <c r="B1257" s="2" t="s">
        <v>6328</v>
      </c>
      <c r="C1257" s="1" t="n">
        <v>26</v>
      </c>
      <c r="D1257" s="1" t="n">
        <v>33</v>
      </c>
      <c r="E1257" s="1" t="n">
        <v>35</v>
      </c>
      <c r="F1257" s="1" t="n">
        <v>38</v>
      </c>
      <c r="G1257" s="1" t="n">
        <v>43</v>
      </c>
      <c r="H1257" s="1" t="n">
        <v>53</v>
      </c>
      <c r="I1257" s="1" t="str">
        <f aca="false">RIGHT(("0"&amp;C1257),2)&amp;RIGHT(("0"&amp;D1257),2)&amp;RIGHT(("0"&amp;E1257),2)&amp;RIGHT(("0"&amp;F1257),2)&amp;RIGHT(("0"&amp;G1257),2)&amp;RIGHT(("0"&amp;H1257),2)</f>
        <v>263335384353</v>
      </c>
      <c r="J1257" s="1" t="n">
        <f aca="false">COUNTIF(I:I,I1257)</f>
        <v>1</v>
      </c>
      <c r="K1257" s="1" t="n">
        <v>0</v>
      </c>
      <c r="M1257" s="1" t="s">
        <v>23</v>
      </c>
      <c r="N1257" s="1" t="n">
        <v>121</v>
      </c>
      <c r="O1257" s="1" t="s">
        <v>6329</v>
      </c>
      <c r="P1257" s="1" t="n">
        <v>8843</v>
      </c>
      <c r="Q1257" s="1" t="s">
        <v>6330</v>
      </c>
      <c r="R1257" s="1" t="s">
        <v>6331</v>
      </c>
      <c r="S1257" s="1" t="s">
        <v>6332</v>
      </c>
      <c r="T1257" s="1" t="s">
        <v>4727</v>
      </c>
      <c r="U1257" s="1" t="s">
        <v>6333</v>
      </c>
    </row>
    <row r="1258" customFormat="false" ht="13.8" hidden="false" customHeight="false" outlineLevel="0" collapsed="false">
      <c r="A1258" s="1" t="n">
        <v>1257</v>
      </c>
      <c r="B1258" s="2" t="s">
        <v>6334</v>
      </c>
      <c r="C1258" s="1" t="n">
        <v>2</v>
      </c>
      <c r="D1258" s="1" t="n">
        <v>15</v>
      </c>
      <c r="E1258" s="1" t="n">
        <v>26</v>
      </c>
      <c r="F1258" s="1" t="n">
        <v>27</v>
      </c>
      <c r="G1258" s="1" t="n">
        <v>30</v>
      </c>
      <c r="H1258" s="1" t="n">
        <v>52</v>
      </c>
      <c r="I1258" s="1" t="str">
        <f aca="false">RIGHT(("0"&amp;C1258),2)&amp;RIGHT(("0"&amp;D1258),2)&amp;RIGHT(("0"&amp;E1258),2)&amp;RIGHT(("0"&amp;F1258),2)&amp;RIGHT(("0"&amp;G1258),2)&amp;RIGHT(("0"&amp;H1258),2)</f>
        <v>021526273052</v>
      </c>
      <c r="J1258" s="1" t="n">
        <f aca="false">COUNTIF(I:I,I1258)</f>
        <v>1</v>
      </c>
      <c r="K1258" s="1" t="n">
        <v>2</v>
      </c>
      <c r="L1258" s="1" t="s">
        <v>6335</v>
      </c>
      <c r="M1258" s="1" t="s">
        <v>6336</v>
      </c>
      <c r="N1258" s="1" t="n">
        <v>154</v>
      </c>
      <c r="O1258" s="1" t="s">
        <v>6337</v>
      </c>
      <c r="P1258" s="1" t="n">
        <v>11765</v>
      </c>
      <c r="Q1258" s="1" t="s">
        <v>6338</v>
      </c>
      <c r="R1258" s="1" t="s">
        <v>23</v>
      </c>
      <c r="S1258" s="1" t="s">
        <v>6339</v>
      </c>
      <c r="T1258" s="1" t="s">
        <v>4256</v>
      </c>
      <c r="U1258" s="1" t="s">
        <v>6340</v>
      </c>
    </row>
    <row r="1259" customFormat="false" ht="13.8" hidden="false" customHeight="false" outlineLevel="0" collapsed="false">
      <c r="A1259" s="1" t="n">
        <v>1258</v>
      </c>
      <c r="B1259" s="2" t="s">
        <v>6341</v>
      </c>
      <c r="C1259" s="1" t="n">
        <v>11</v>
      </c>
      <c r="D1259" s="1" t="n">
        <v>26</v>
      </c>
      <c r="E1259" s="1" t="n">
        <v>47</v>
      </c>
      <c r="F1259" s="1" t="n">
        <v>55</v>
      </c>
      <c r="G1259" s="1" t="n">
        <v>57</v>
      </c>
      <c r="H1259" s="1" t="n">
        <v>59</v>
      </c>
      <c r="I1259" s="1" t="str">
        <f aca="false">RIGHT(("0"&amp;C1259),2)&amp;RIGHT(("0"&amp;D1259),2)&amp;RIGHT(("0"&amp;E1259),2)&amp;RIGHT(("0"&amp;F1259),2)&amp;RIGHT(("0"&amp;G1259),2)&amp;RIGHT(("0"&amp;H1259),2)</f>
        <v>112647555759</v>
      </c>
      <c r="J1259" s="1" t="n">
        <f aca="false">COUNTIF(I:I,I1259)</f>
        <v>1</v>
      </c>
      <c r="K1259" s="1" t="n">
        <v>0</v>
      </c>
      <c r="M1259" s="1" t="s">
        <v>23</v>
      </c>
      <c r="N1259" s="1" t="n">
        <v>27</v>
      </c>
      <c r="O1259" s="1" t="s">
        <v>6342</v>
      </c>
      <c r="P1259" s="1" t="n">
        <v>2688</v>
      </c>
      <c r="Q1259" s="1" t="s">
        <v>6343</v>
      </c>
      <c r="R1259" s="1" t="s">
        <v>6344</v>
      </c>
      <c r="S1259" s="1" t="s">
        <v>6345</v>
      </c>
      <c r="T1259" s="1" t="s">
        <v>4227</v>
      </c>
      <c r="U1259" s="1" t="s">
        <v>6346</v>
      </c>
    </row>
    <row r="1260" customFormat="false" ht="13.8" hidden="false" customHeight="false" outlineLevel="0" collapsed="false">
      <c r="A1260" s="1" t="n">
        <v>1259</v>
      </c>
      <c r="B1260" s="2" t="s">
        <v>6347</v>
      </c>
      <c r="C1260" s="1" t="n">
        <v>4</v>
      </c>
      <c r="D1260" s="1" t="n">
        <v>6</v>
      </c>
      <c r="E1260" s="1" t="n">
        <v>39</v>
      </c>
      <c r="F1260" s="1" t="n">
        <v>46</v>
      </c>
      <c r="G1260" s="1" t="n">
        <v>54</v>
      </c>
      <c r="H1260" s="1" t="n">
        <v>58</v>
      </c>
      <c r="I1260" s="1" t="str">
        <f aca="false">RIGHT(("0"&amp;C1260),2)&amp;RIGHT(("0"&amp;D1260),2)&amp;RIGHT(("0"&amp;E1260),2)&amp;RIGHT(("0"&amp;F1260),2)&amp;RIGHT(("0"&amp;G1260),2)&amp;RIGHT(("0"&amp;H1260),2)</f>
        <v>040639465458</v>
      </c>
      <c r="J1260" s="1" t="n">
        <f aca="false">COUNTIF(I:I,I1260)</f>
        <v>1</v>
      </c>
      <c r="K1260" s="1" t="n">
        <v>0</v>
      </c>
      <c r="M1260" s="1" t="s">
        <v>23</v>
      </c>
      <c r="N1260" s="1" t="n">
        <v>74</v>
      </c>
      <c r="O1260" s="1" t="s">
        <v>6348</v>
      </c>
      <c r="P1260" s="1" t="n">
        <v>5240</v>
      </c>
      <c r="Q1260" s="1" t="s">
        <v>6349</v>
      </c>
      <c r="R1260" s="1" t="s">
        <v>6350</v>
      </c>
      <c r="S1260" s="1" t="s">
        <v>6351</v>
      </c>
      <c r="T1260" s="1" t="s">
        <v>4696</v>
      </c>
      <c r="U1260" s="1" t="s">
        <v>6352</v>
      </c>
    </row>
    <row r="1261" customFormat="false" ht="13.8" hidden="false" customHeight="false" outlineLevel="0" collapsed="false">
      <c r="A1261" s="1" t="n">
        <v>1260</v>
      </c>
      <c r="B1261" s="2" t="s">
        <v>6353</v>
      </c>
      <c r="C1261" s="1" t="n">
        <v>19</v>
      </c>
      <c r="D1261" s="1" t="n">
        <v>23</v>
      </c>
      <c r="E1261" s="1" t="n">
        <v>29</v>
      </c>
      <c r="F1261" s="1" t="n">
        <v>31</v>
      </c>
      <c r="G1261" s="1" t="n">
        <v>41</v>
      </c>
      <c r="H1261" s="1" t="n">
        <v>53</v>
      </c>
      <c r="I1261" s="1" t="str">
        <f aca="false">RIGHT(("0"&amp;C1261),2)&amp;RIGHT(("0"&amp;D1261),2)&amp;RIGHT(("0"&amp;E1261),2)&amp;RIGHT(("0"&amp;F1261),2)&amp;RIGHT(("0"&amp;G1261),2)&amp;RIGHT(("0"&amp;H1261),2)</f>
        <v>192329314153</v>
      </c>
      <c r="J1261" s="1" t="n">
        <f aca="false">COUNTIF(I:I,I1261)</f>
        <v>1</v>
      </c>
      <c r="K1261" s="1" t="n">
        <v>0</v>
      </c>
      <c r="M1261" s="1" t="s">
        <v>23</v>
      </c>
      <c r="N1261" s="1" t="n">
        <v>70</v>
      </c>
      <c r="O1261" s="1" t="s">
        <v>6354</v>
      </c>
      <c r="P1261" s="1" t="n">
        <v>5798</v>
      </c>
      <c r="Q1261" s="1" t="s">
        <v>6355</v>
      </c>
      <c r="R1261" s="1" t="s">
        <v>6356</v>
      </c>
      <c r="S1261" s="1" t="s">
        <v>6357</v>
      </c>
      <c r="T1261" s="1" t="s">
        <v>5242</v>
      </c>
      <c r="U1261" s="1" t="s">
        <v>6358</v>
      </c>
    </row>
    <row r="1262" customFormat="false" ht="13.8" hidden="false" customHeight="false" outlineLevel="0" collapsed="false">
      <c r="A1262" s="1" t="n">
        <v>1261</v>
      </c>
      <c r="B1262" s="2" t="s">
        <v>6359</v>
      </c>
      <c r="C1262" s="1" t="n">
        <v>10</v>
      </c>
      <c r="D1262" s="1" t="n">
        <v>14</v>
      </c>
      <c r="E1262" s="1" t="n">
        <v>22</v>
      </c>
      <c r="F1262" s="1" t="n">
        <v>41</v>
      </c>
      <c r="G1262" s="1" t="n">
        <v>42</v>
      </c>
      <c r="H1262" s="1" t="n">
        <v>53</v>
      </c>
      <c r="I1262" s="1" t="str">
        <f aca="false">RIGHT(("0"&amp;C1262),2)&amp;RIGHT(("0"&amp;D1262),2)&amp;RIGHT(("0"&amp;E1262),2)&amp;RIGHT(("0"&amp;F1262),2)&amp;RIGHT(("0"&amp;G1262),2)&amp;RIGHT(("0"&amp;H1262),2)</f>
        <v>101422414253</v>
      </c>
      <c r="J1262" s="1" t="n">
        <f aca="false">COUNTIF(I:I,I1262)</f>
        <v>1</v>
      </c>
      <c r="K1262" s="1" t="n">
        <v>0</v>
      </c>
      <c r="M1262" s="1" t="s">
        <v>23</v>
      </c>
      <c r="N1262" s="1" t="n">
        <v>78</v>
      </c>
      <c r="O1262" s="1" t="s">
        <v>6360</v>
      </c>
      <c r="P1262" s="1" t="n">
        <v>6490</v>
      </c>
      <c r="Q1262" s="1" t="s">
        <v>6361</v>
      </c>
      <c r="R1262" s="1" t="s">
        <v>6362</v>
      </c>
      <c r="S1262" s="1" t="s">
        <v>6363</v>
      </c>
      <c r="T1262" s="1" t="s">
        <v>4304</v>
      </c>
      <c r="U1262" s="1" t="s">
        <v>6364</v>
      </c>
    </row>
    <row r="1263" customFormat="false" ht="13.8" hidden="false" customHeight="false" outlineLevel="0" collapsed="false">
      <c r="A1263" s="1" t="n">
        <v>1262</v>
      </c>
      <c r="B1263" s="2" t="s">
        <v>6365</v>
      </c>
      <c r="C1263" s="1" t="n">
        <v>5</v>
      </c>
      <c r="D1263" s="1" t="n">
        <v>7</v>
      </c>
      <c r="E1263" s="1" t="n">
        <v>8</v>
      </c>
      <c r="F1263" s="1" t="n">
        <v>9</v>
      </c>
      <c r="G1263" s="1" t="n">
        <v>11</v>
      </c>
      <c r="H1263" s="1" t="n">
        <v>39</v>
      </c>
      <c r="I1263" s="1" t="str">
        <f aca="false">RIGHT(("0"&amp;C1263),2)&amp;RIGHT(("0"&amp;D1263),2)&amp;RIGHT(("0"&amp;E1263),2)&amp;RIGHT(("0"&amp;F1263),2)&amp;RIGHT(("0"&amp;G1263),2)&amp;RIGHT(("0"&amp;H1263),2)</f>
        <v>050708091139</v>
      </c>
      <c r="J1263" s="1" t="n">
        <f aca="false">COUNTIF(I:I,I1263)</f>
        <v>1</v>
      </c>
      <c r="K1263" s="1" t="n">
        <v>2</v>
      </c>
      <c r="L1263" s="1" t="s">
        <v>6366</v>
      </c>
      <c r="M1263" s="1" t="s">
        <v>6367</v>
      </c>
      <c r="N1263" s="1" t="n">
        <v>440</v>
      </c>
      <c r="O1263" s="1" t="s">
        <v>6368</v>
      </c>
      <c r="P1263" s="1" t="n">
        <v>25528</v>
      </c>
      <c r="Q1263" s="1" t="s">
        <v>6369</v>
      </c>
      <c r="R1263" s="1" t="s">
        <v>23</v>
      </c>
      <c r="S1263" s="1" t="s">
        <v>6370</v>
      </c>
      <c r="T1263" s="1" t="s">
        <v>4732</v>
      </c>
      <c r="U1263" s="1" t="s">
        <v>6371</v>
      </c>
    </row>
    <row r="1264" customFormat="false" ht="13.8" hidden="false" customHeight="false" outlineLevel="0" collapsed="false">
      <c r="A1264" s="1" t="n">
        <v>1263</v>
      </c>
      <c r="B1264" s="2" t="s">
        <v>6372</v>
      </c>
      <c r="C1264" s="1" t="n">
        <v>4</v>
      </c>
      <c r="D1264" s="1" t="n">
        <v>18</v>
      </c>
      <c r="E1264" s="1" t="n">
        <v>26</v>
      </c>
      <c r="F1264" s="1" t="n">
        <v>36</v>
      </c>
      <c r="G1264" s="1" t="n">
        <v>41</v>
      </c>
      <c r="H1264" s="1" t="n">
        <v>53</v>
      </c>
      <c r="I1264" s="1" t="str">
        <f aca="false">RIGHT(("0"&amp;C1264),2)&amp;RIGHT(("0"&amp;D1264),2)&amp;RIGHT(("0"&amp;E1264),2)&amp;RIGHT(("0"&amp;F1264),2)&amp;RIGHT(("0"&amp;G1264),2)&amp;RIGHT(("0"&amp;H1264),2)</f>
        <v>041826364153</v>
      </c>
      <c r="J1264" s="1" t="n">
        <f aca="false">COUNTIF(I:I,I1264)</f>
        <v>1</v>
      </c>
      <c r="K1264" s="1" t="n">
        <v>0</v>
      </c>
      <c r="M1264" s="1" t="s">
        <v>23</v>
      </c>
      <c r="N1264" s="1" t="n">
        <v>79</v>
      </c>
      <c r="O1264" s="1" t="s">
        <v>6373</v>
      </c>
      <c r="P1264" s="1" t="n">
        <v>4180</v>
      </c>
      <c r="Q1264" s="1" t="s">
        <v>6374</v>
      </c>
      <c r="R1264" s="1" t="s">
        <v>6375</v>
      </c>
      <c r="S1264" s="1" t="s">
        <v>6376</v>
      </c>
      <c r="T1264" s="1" t="s">
        <v>4227</v>
      </c>
      <c r="U1264" s="1" t="s">
        <v>6377</v>
      </c>
    </row>
    <row r="1265" customFormat="false" ht="13.8" hidden="false" customHeight="false" outlineLevel="0" collapsed="false">
      <c r="A1265" s="1" t="n">
        <v>1264</v>
      </c>
      <c r="B1265" s="2" t="s">
        <v>6378</v>
      </c>
      <c r="C1265" s="1" t="n">
        <v>4</v>
      </c>
      <c r="D1265" s="1" t="n">
        <v>17</v>
      </c>
      <c r="E1265" s="1" t="n">
        <v>36</v>
      </c>
      <c r="F1265" s="1" t="n">
        <v>37</v>
      </c>
      <c r="G1265" s="1" t="n">
        <v>51</v>
      </c>
      <c r="H1265" s="1" t="n">
        <v>56</v>
      </c>
      <c r="I1265" s="1" t="str">
        <f aca="false">RIGHT(("0"&amp;C1265),2)&amp;RIGHT(("0"&amp;D1265),2)&amp;RIGHT(("0"&amp;E1265),2)&amp;RIGHT(("0"&amp;F1265),2)&amp;RIGHT(("0"&amp;G1265),2)&amp;RIGHT(("0"&amp;H1265),2)</f>
        <v>041736375156</v>
      </c>
      <c r="J1265" s="1" t="n">
        <f aca="false">COUNTIF(I:I,I1265)</f>
        <v>1</v>
      </c>
      <c r="K1265" s="1" t="n">
        <v>0</v>
      </c>
      <c r="M1265" s="1" t="s">
        <v>23</v>
      </c>
      <c r="N1265" s="1" t="n">
        <v>29</v>
      </c>
      <c r="O1265" s="1" t="s">
        <v>6379</v>
      </c>
      <c r="P1265" s="1" t="n">
        <v>2583</v>
      </c>
      <c r="Q1265" s="1" t="s">
        <v>6380</v>
      </c>
      <c r="R1265" s="1" t="s">
        <v>6381</v>
      </c>
      <c r="S1265" s="1" t="s">
        <v>6382</v>
      </c>
      <c r="T1265" s="1" t="s">
        <v>4241</v>
      </c>
      <c r="U1265" s="1" t="s">
        <v>6383</v>
      </c>
    </row>
    <row r="1266" customFormat="false" ht="13.8" hidden="false" customHeight="false" outlineLevel="0" collapsed="false">
      <c r="A1266" s="1" t="n">
        <v>1265</v>
      </c>
      <c r="B1266" s="2" t="s">
        <v>6384</v>
      </c>
      <c r="C1266" s="1" t="n">
        <v>13</v>
      </c>
      <c r="D1266" s="1" t="n">
        <v>19</v>
      </c>
      <c r="E1266" s="1" t="n">
        <v>24</v>
      </c>
      <c r="F1266" s="1" t="n">
        <v>46</v>
      </c>
      <c r="G1266" s="1" t="n">
        <v>50</v>
      </c>
      <c r="H1266" s="1" t="n">
        <v>60</v>
      </c>
      <c r="I1266" s="1" t="str">
        <f aca="false">RIGHT(("0"&amp;C1266),2)&amp;RIGHT(("0"&amp;D1266),2)&amp;RIGHT(("0"&amp;E1266),2)&amp;RIGHT(("0"&amp;F1266),2)&amp;RIGHT(("0"&amp;G1266),2)&amp;RIGHT(("0"&amp;H1266),2)</f>
        <v>131924465060</v>
      </c>
      <c r="J1266" s="1" t="n">
        <f aca="false">COUNTIF(I:I,I1266)</f>
        <v>1</v>
      </c>
      <c r="K1266" s="1" t="n">
        <v>0</v>
      </c>
      <c r="M1266" s="1" t="s">
        <v>23</v>
      </c>
      <c r="N1266" s="1" t="n">
        <v>97</v>
      </c>
      <c r="O1266" s="1" t="s">
        <v>6385</v>
      </c>
      <c r="P1266" s="1" t="n">
        <v>7669</v>
      </c>
      <c r="Q1266" s="1" t="s">
        <v>6386</v>
      </c>
      <c r="R1266" s="1" t="s">
        <v>6387</v>
      </c>
      <c r="S1266" s="1" t="s">
        <v>6388</v>
      </c>
      <c r="T1266" s="1" t="s">
        <v>4696</v>
      </c>
      <c r="U1266" s="1" t="s">
        <v>6389</v>
      </c>
    </row>
    <row r="1267" customFormat="false" ht="13.8" hidden="false" customHeight="false" outlineLevel="0" collapsed="false">
      <c r="A1267" s="1" t="n">
        <v>1266</v>
      </c>
      <c r="B1267" s="2" t="s">
        <v>6390</v>
      </c>
      <c r="C1267" s="1" t="n">
        <v>6</v>
      </c>
      <c r="D1267" s="1" t="n">
        <v>10</v>
      </c>
      <c r="E1267" s="1" t="n">
        <v>33</v>
      </c>
      <c r="F1267" s="1" t="n">
        <v>39</v>
      </c>
      <c r="G1267" s="1" t="n">
        <v>42</v>
      </c>
      <c r="H1267" s="1" t="n">
        <v>60</v>
      </c>
      <c r="I1267" s="1" t="str">
        <f aca="false">RIGHT(("0"&amp;C1267),2)&amp;RIGHT(("0"&amp;D1267),2)&amp;RIGHT(("0"&amp;E1267),2)&amp;RIGHT(("0"&amp;F1267),2)&amp;RIGHT(("0"&amp;G1267),2)&amp;RIGHT(("0"&amp;H1267),2)</f>
        <v>061033394260</v>
      </c>
      <c r="J1267" s="1" t="n">
        <f aca="false">COUNTIF(I:I,I1267)</f>
        <v>1</v>
      </c>
      <c r="K1267" s="1" t="n">
        <v>0</v>
      </c>
      <c r="M1267" s="1" t="s">
        <v>23</v>
      </c>
      <c r="N1267" s="1" t="n">
        <v>106</v>
      </c>
      <c r="O1267" s="1" t="s">
        <v>6391</v>
      </c>
      <c r="P1267" s="1" t="n">
        <v>8019</v>
      </c>
      <c r="Q1267" s="1" t="s">
        <v>6392</v>
      </c>
      <c r="R1267" s="1" t="s">
        <v>6393</v>
      </c>
      <c r="S1267" s="1" t="s">
        <v>6394</v>
      </c>
      <c r="T1267" s="1" t="s">
        <v>5281</v>
      </c>
      <c r="U1267" s="1" t="s">
        <v>6395</v>
      </c>
    </row>
    <row r="1268" customFormat="false" ht="13.8" hidden="false" customHeight="false" outlineLevel="0" collapsed="false">
      <c r="A1268" s="1" t="n">
        <v>1267</v>
      </c>
      <c r="B1268" s="2" t="s">
        <v>6396</v>
      </c>
      <c r="C1268" s="1" t="n">
        <v>4</v>
      </c>
      <c r="D1268" s="1" t="n">
        <v>20</v>
      </c>
      <c r="E1268" s="1" t="n">
        <v>30</v>
      </c>
      <c r="F1268" s="1" t="n">
        <v>41</v>
      </c>
      <c r="G1268" s="1" t="n">
        <v>47</v>
      </c>
      <c r="H1268" s="1" t="n">
        <v>58</v>
      </c>
      <c r="I1268" s="1" t="str">
        <f aca="false">RIGHT(("0"&amp;C1268),2)&amp;RIGHT(("0"&amp;D1268),2)&amp;RIGHT(("0"&amp;E1268),2)&amp;RIGHT(("0"&amp;F1268),2)&amp;RIGHT(("0"&amp;G1268),2)&amp;RIGHT(("0"&amp;H1268),2)</f>
        <v>042030414758</v>
      </c>
      <c r="J1268" s="1" t="n">
        <f aca="false">COUNTIF(I:I,I1268)</f>
        <v>1</v>
      </c>
      <c r="K1268" s="1" t="n">
        <v>0</v>
      </c>
      <c r="M1268" s="1" t="s">
        <v>23</v>
      </c>
      <c r="N1268" s="1" t="n">
        <v>56</v>
      </c>
      <c r="O1268" s="1" t="s">
        <v>6397</v>
      </c>
      <c r="P1268" s="1" t="n">
        <v>5172</v>
      </c>
      <c r="Q1268" s="1" t="s">
        <v>6398</v>
      </c>
      <c r="R1268" s="1" t="s">
        <v>6399</v>
      </c>
      <c r="S1268" s="1" t="s">
        <v>6400</v>
      </c>
      <c r="T1268" s="1" t="s">
        <v>4304</v>
      </c>
      <c r="U1268" s="1" t="s">
        <v>6401</v>
      </c>
    </row>
    <row r="1269" customFormat="false" ht="13.8" hidden="false" customHeight="false" outlineLevel="0" collapsed="false">
      <c r="A1269" s="1" t="n">
        <v>1268</v>
      </c>
      <c r="B1269" s="2" t="s">
        <v>6402</v>
      </c>
      <c r="C1269" s="1" t="n">
        <v>3</v>
      </c>
      <c r="D1269" s="1" t="n">
        <v>16</v>
      </c>
      <c r="E1269" s="1" t="n">
        <v>17</v>
      </c>
      <c r="F1269" s="1" t="n">
        <v>44</v>
      </c>
      <c r="G1269" s="1" t="n">
        <v>53</v>
      </c>
      <c r="H1269" s="1" t="n">
        <v>60</v>
      </c>
      <c r="I1269" s="1" t="str">
        <f aca="false">RIGHT(("0"&amp;C1269),2)&amp;RIGHT(("0"&amp;D1269),2)&amp;RIGHT(("0"&amp;E1269),2)&amp;RIGHT(("0"&amp;F1269),2)&amp;RIGHT(("0"&amp;G1269),2)&amp;RIGHT(("0"&amp;H1269),2)</f>
        <v>031617445360</v>
      </c>
      <c r="J1269" s="1" t="n">
        <f aca="false">COUNTIF(I:I,I1269)</f>
        <v>1</v>
      </c>
      <c r="K1269" s="1" t="n">
        <v>0</v>
      </c>
      <c r="M1269" s="1" t="s">
        <v>23</v>
      </c>
      <c r="N1269" s="1" t="n">
        <v>123</v>
      </c>
      <c r="O1269" s="1" t="s">
        <v>6403</v>
      </c>
      <c r="P1269" s="1" t="n">
        <v>8836</v>
      </c>
      <c r="Q1269" s="1" t="s">
        <v>6404</v>
      </c>
      <c r="R1269" s="1" t="s">
        <v>6405</v>
      </c>
      <c r="S1269" s="1" t="s">
        <v>6406</v>
      </c>
      <c r="T1269" s="1" t="s">
        <v>5775</v>
      </c>
      <c r="U1269" s="1" t="s">
        <v>6407</v>
      </c>
    </row>
    <row r="1270" customFormat="false" ht="13.8" hidden="false" customHeight="false" outlineLevel="0" collapsed="false">
      <c r="A1270" s="1" t="n">
        <v>1269</v>
      </c>
      <c r="B1270" s="2" t="s">
        <v>6408</v>
      </c>
      <c r="C1270" s="1" t="n">
        <v>4</v>
      </c>
      <c r="D1270" s="1" t="n">
        <v>5</v>
      </c>
      <c r="E1270" s="1" t="n">
        <v>15</v>
      </c>
      <c r="F1270" s="1" t="n">
        <v>17</v>
      </c>
      <c r="G1270" s="1" t="n">
        <v>27</v>
      </c>
      <c r="H1270" s="1" t="n">
        <v>51</v>
      </c>
      <c r="I1270" s="1" t="str">
        <f aca="false">RIGHT(("0"&amp;C1270),2)&amp;RIGHT(("0"&amp;D1270),2)&amp;RIGHT(("0"&amp;E1270),2)&amp;RIGHT(("0"&amp;F1270),2)&amp;RIGHT(("0"&amp;G1270),2)&amp;RIGHT(("0"&amp;H1270),2)</f>
        <v>040515172751</v>
      </c>
      <c r="J1270" s="1" t="n">
        <f aca="false">COUNTIF(I:I,I1270)</f>
        <v>1</v>
      </c>
      <c r="K1270" s="1" t="n">
        <v>2</v>
      </c>
      <c r="L1270" s="1" t="s">
        <v>6409</v>
      </c>
      <c r="M1270" s="1" t="s">
        <v>6410</v>
      </c>
      <c r="N1270" s="1" t="n">
        <v>200</v>
      </c>
      <c r="O1270" s="1" t="s">
        <v>6411</v>
      </c>
      <c r="P1270" s="1" t="n">
        <v>15111</v>
      </c>
      <c r="Q1270" s="1" t="s">
        <v>6412</v>
      </c>
      <c r="R1270" s="1" t="s">
        <v>23</v>
      </c>
      <c r="S1270" s="1" t="s">
        <v>6413</v>
      </c>
      <c r="T1270" s="1" t="s">
        <v>4208</v>
      </c>
      <c r="U1270" s="1" t="s">
        <v>6414</v>
      </c>
    </row>
    <row r="1271" customFormat="false" ht="13.8" hidden="false" customHeight="false" outlineLevel="0" collapsed="false">
      <c r="A1271" s="1" t="n">
        <v>1270</v>
      </c>
      <c r="B1271" s="2" t="s">
        <v>6415</v>
      </c>
      <c r="C1271" s="1" t="n">
        <v>5</v>
      </c>
      <c r="D1271" s="1" t="n">
        <v>9</v>
      </c>
      <c r="E1271" s="1" t="n">
        <v>24</v>
      </c>
      <c r="F1271" s="1" t="n">
        <v>31</v>
      </c>
      <c r="G1271" s="1" t="n">
        <v>33</v>
      </c>
      <c r="H1271" s="1" t="n">
        <v>42</v>
      </c>
      <c r="I1271" s="1" t="str">
        <f aca="false">RIGHT(("0"&amp;C1271),2)&amp;RIGHT(("0"&amp;D1271),2)&amp;RIGHT(("0"&amp;E1271),2)&amp;RIGHT(("0"&amp;F1271),2)&amp;RIGHT(("0"&amp;G1271),2)&amp;RIGHT(("0"&amp;H1271),2)</f>
        <v>050924313342</v>
      </c>
      <c r="J1271" s="1" t="n">
        <f aca="false">COUNTIF(I:I,I1271)</f>
        <v>1</v>
      </c>
      <c r="K1271" s="1" t="n">
        <v>0</v>
      </c>
      <c r="M1271" s="1" t="s">
        <v>23</v>
      </c>
      <c r="N1271" s="1" t="n">
        <v>144</v>
      </c>
      <c r="O1271" s="1" t="s">
        <v>6416</v>
      </c>
      <c r="P1271" s="1" t="n">
        <v>9186</v>
      </c>
      <c r="Q1271" s="1" t="s">
        <v>6417</v>
      </c>
      <c r="R1271" s="1" t="s">
        <v>6418</v>
      </c>
      <c r="S1271" s="1" t="s">
        <v>6419</v>
      </c>
      <c r="T1271" s="1" t="s">
        <v>4299</v>
      </c>
      <c r="U1271" s="1" t="s">
        <v>6420</v>
      </c>
    </row>
    <row r="1272" customFormat="false" ht="13.8" hidden="false" customHeight="false" outlineLevel="0" collapsed="false">
      <c r="A1272" s="1" t="n">
        <v>1271</v>
      </c>
      <c r="B1272" s="2" t="s">
        <v>6421</v>
      </c>
      <c r="C1272" s="1" t="n">
        <v>1</v>
      </c>
      <c r="D1272" s="1" t="n">
        <v>2</v>
      </c>
      <c r="E1272" s="1" t="n">
        <v>39</v>
      </c>
      <c r="F1272" s="1" t="n">
        <v>48</v>
      </c>
      <c r="G1272" s="1" t="n">
        <v>52</v>
      </c>
      <c r="H1272" s="1" t="n">
        <v>59</v>
      </c>
      <c r="I1272" s="1" t="str">
        <f aca="false">RIGHT(("0"&amp;C1272),2)&amp;RIGHT(("0"&amp;D1272),2)&amp;RIGHT(("0"&amp;E1272),2)&amp;RIGHT(("0"&amp;F1272),2)&amp;RIGHT(("0"&amp;G1272),2)&amp;RIGHT(("0"&amp;H1272),2)</f>
        <v>010239485259</v>
      </c>
      <c r="J1272" s="1" t="n">
        <f aca="false">COUNTIF(I:I,I1272)</f>
        <v>1</v>
      </c>
      <c r="K1272" s="1" t="n">
        <v>0</v>
      </c>
      <c r="M1272" s="1" t="s">
        <v>23</v>
      </c>
      <c r="N1272" s="1" t="n">
        <v>65</v>
      </c>
      <c r="O1272" s="1" t="s">
        <v>6422</v>
      </c>
      <c r="P1272" s="1" t="n">
        <v>6281</v>
      </c>
      <c r="Q1272" s="1" t="s">
        <v>6423</v>
      </c>
      <c r="R1272" s="1" t="s">
        <v>6424</v>
      </c>
      <c r="S1272" s="1" t="s">
        <v>6425</v>
      </c>
      <c r="T1272" s="1" t="s">
        <v>5281</v>
      </c>
      <c r="U1272" s="1" t="s">
        <v>6426</v>
      </c>
    </row>
    <row r="1273" customFormat="false" ht="13.8" hidden="false" customHeight="false" outlineLevel="0" collapsed="false">
      <c r="A1273" s="1" t="n">
        <v>1272</v>
      </c>
      <c r="B1273" s="2" t="s">
        <v>6427</v>
      </c>
      <c r="C1273" s="1" t="n">
        <v>13</v>
      </c>
      <c r="D1273" s="1" t="n">
        <v>26</v>
      </c>
      <c r="E1273" s="1" t="n">
        <v>27</v>
      </c>
      <c r="F1273" s="1" t="n">
        <v>28</v>
      </c>
      <c r="G1273" s="1" t="n">
        <v>35</v>
      </c>
      <c r="H1273" s="1" t="n">
        <v>52</v>
      </c>
      <c r="I1273" s="1" t="str">
        <f aca="false">RIGHT(("0"&amp;C1273),2)&amp;RIGHT(("0"&amp;D1273),2)&amp;RIGHT(("0"&amp;E1273),2)&amp;RIGHT(("0"&amp;F1273),2)&amp;RIGHT(("0"&amp;G1273),2)&amp;RIGHT(("0"&amp;H1273),2)</f>
        <v>132627283552</v>
      </c>
      <c r="J1273" s="1" t="n">
        <f aca="false">COUNTIF(I:I,I1273)</f>
        <v>1</v>
      </c>
      <c r="K1273" s="1" t="n">
        <v>0</v>
      </c>
      <c r="M1273" s="1" t="s">
        <v>23</v>
      </c>
      <c r="N1273" s="1" t="n">
        <v>113</v>
      </c>
      <c r="O1273" s="1" t="s">
        <v>6428</v>
      </c>
      <c r="P1273" s="1" t="n">
        <v>9626</v>
      </c>
      <c r="Q1273" s="1" t="s">
        <v>6429</v>
      </c>
      <c r="R1273" s="1" t="s">
        <v>6430</v>
      </c>
      <c r="S1273" s="1" t="s">
        <v>6431</v>
      </c>
      <c r="T1273" s="1" t="s">
        <v>4304</v>
      </c>
      <c r="U1273" s="1" t="s">
        <v>6432</v>
      </c>
    </row>
    <row r="1274" customFormat="false" ht="13.8" hidden="false" customHeight="false" outlineLevel="0" collapsed="false">
      <c r="A1274" s="1" t="n">
        <v>1273</v>
      </c>
      <c r="B1274" s="2" t="s">
        <v>6433</v>
      </c>
      <c r="C1274" s="1" t="n">
        <v>13</v>
      </c>
      <c r="D1274" s="1" t="n">
        <v>19</v>
      </c>
      <c r="E1274" s="1" t="n">
        <v>26</v>
      </c>
      <c r="F1274" s="1" t="n">
        <v>40</v>
      </c>
      <c r="G1274" s="1" t="n">
        <v>58</v>
      </c>
      <c r="H1274" s="1" t="n">
        <v>60</v>
      </c>
      <c r="I1274" s="1" t="str">
        <f aca="false">RIGHT(("0"&amp;C1274),2)&amp;RIGHT(("0"&amp;D1274),2)&amp;RIGHT(("0"&amp;E1274),2)&amp;RIGHT(("0"&amp;F1274),2)&amp;RIGHT(("0"&amp;G1274),2)&amp;RIGHT(("0"&amp;H1274),2)</f>
        <v>131926405860</v>
      </c>
      <c r="J1274" s="1" t="n">
        <f aca="false">COUNTIF(I:I,I1274)</f>
        <v>1</v>
      </c>
      <c r="K1274" s="1" t="n">
        <v>0</v>
      </c>
      <c r="M1274" s="1" t="s">
        <v>23</v>
      </c>
      <c r="N1274" s="1" t="n">
        <v>118</v>
      </c>
      <c r="O1274" s="1" t="s">
        <v>6434</v>
      </c>
      <c r="P1274" s="1" t="n">
        <v>8910</v>
      </c>
      <c r="Q1274" s="1" t="s">
        <v>6435</v>
      </c>
      <c r="R1274" s="1" t="s">
        <v>6436</v>
      </c>
      <c r="S1274" s="1" t="s">
        <v>6437</v>
      </c>
      <c r="T1274" s="1" t="s">
        <v>5294</v>
      </c>
      <c r="U1274" s="1" t="s">
        <v>6438</v>
      </c>
    </row>
    <row r="1275" customFormat="false" ht="13.8" hidden="false" customHeight="false" outlineLevel="0" collapsed="false">
      <c r="A1275" s="1" t="n">
        <v>1274</v>
      </c>
      <c r="B1275" s="2" t="s">
        <v>6439</v>
      </c>
      <c r="C1275" s="1" t="n">
        <v>13</v>
      </c>
      <c r="D1275" s="1" t="n">
        <v>17</v>
      </c>
      <c r="E1275" s="1" t="n">
        <v>21</v>
      </c>
      <c r="F1275" s="1" t="n">
        <v>39</v>
      </c>
      <c r="G1275" s="1" t="n">
        <v>40</v>
      </c>
      <c r="H1275" s="1" t="n">
        <v>59</v>
      </c>
      <c r="I1275" s="1" t="str">
        <f aca="false">RIGHT(("0"&amp;C1275),2)&amp;RIGHT(("0"&amp;D1275),2)&amp;RIGHT(("0"&amp;E1275),2)&amp;RIGHT(("0"&amp;F1275),2)&amp;RIGHT(("0"&amp;G1275),2)&amp;RIGHT(("0"&amp;H1275),2)</f>
        <v>131721394059</v>
      </c>
      <c r="J1275" s="1" t="n">
        <f aca="false">COUNTIF(I:I,I1275)</f>
        <v>1</v>
      </c>
      <c r="K1275" s="1" t="n">
        <v>0</v>
      </c>
      <c r="M1275" s="1" t="s">
        <v>23</v>
      </c>
      <c r="N1275" s="1" t="n">
        <v>166</v>
      </c>
      <c r="O1275" s="1" t="s">
        <v>6440</v>
      </c>
      <c r="P1275" s="1" t="n">
        <v>11088</v>
      </c>
      <c r="Q1275" s="1" t="s">
        <v>6441</v>
      </c>
      <c r="R1275" s="1" t="s">
        <v>6442</v>
      </c>
      <c r="S1275" s="1" t="s">
        <v>6443</v>
      </c>
      <c r="T1275" s="1" t="s">
        <v>6444</v>
      </c>
      <c r="U1275" s="1" t="s">
        <v>6445</v>
      </c>
    </row>
    <row r="1276" customFormat="false" ht="13.8" hidden="false" customHeight="false" outlineLevel="0" collapsed="false">
      <c r="A1276" s="1" t="n">
        <v>1275</v>
      </c>
      <c r="B1276" s="2" t="s">
        <v>6446</v>
      </c>
      <c r="C1276" s="1" t="n">
        <v>2</v>
      </c>
      <c r="D1276" s="1" t="n">
        <v>14</v>
      </c>
      <c r="E1276" s="1" t="n">
        <v>48</v>
      </c>
      <c r="F1276" s="1" t="n">
        <v>55</v>
      </c>
      <c r="G1276" s="1" t="n">
        <v>58</v>
      </c>
      <c r="H1276" s="1" t="n">
        <v>60</v>
      </c>
      <c r="I1276" s="1" t="str">
        <f aca="false">RIGHT(("0"&amp;C1276),2)&amp;RIGHT(("0"&amp;D1276),2)&amp;RIGHT(("0"&amp;E1276),2)&amp;RIGHT(("0"&amp;F1276),2)&amp;RIGHT(("0"&amp;G1276),2)&amp;RIGHT(("0"&amp;H1276),2)</f>
        <v>021448555860</v>
      </c>
      <c r="J1276" s="1" t="n">
        <f aca="false">COUNTIF(I:I,I1276)</f>
        <v>1</v>
      </c>
      <c r="K1276" s="1" t="n">
        <v>0</v>
      </c>
      <c r="M1276" s="1" t="s">
        <v>23</v>
      </c>
      <c r="N1276" s="1" t="n">
        <v>111</v>
      </c>
      <c r="O1276" s="1" t="s">
        <v>6447</v>
      </c>
      <c r="P1276" s="1" t="n">
        <v>11630</v>
      </c>
      <c r="Q1276" s="1" t="s">
        <v>6448</v>
      </c>
      <c r="R1276" s="1" t="s">
        <v>6449</v>
      </c>
      <c r="S1276" s="1" t="s">
        <v>6450</v>
      </c>
      <c r="T1276" s="1" t="s">
        <v>5706</v>
      </c>
      <c r="U1276" s="1" t="s">
        <v>6451</v>
      </c>
    </row>
    <row r="1277" customFormat="false" ht="13.8" hidden="false" customHeight="false" outlineLevel="0" collapsed="false">
      <c r="A1277" s="1" t="n">
        <v>1276</v>
      </c>
      <c r="B1277" s="2" t="s">
        <v>6452</v>
      </c>
      <c r="C1277" s="1" t="n">
        <v>5</v>
      </c>
      <c r="D1277" s="1" t="n">
        <v>9</v>
      </c>
      <c r="E1277" s="1" t="n">
        <v>11</v>
      </c>
      <c r="F1277" s="1" t="n">
        <v>22</v>
      </c>
      <c r="G1277" s="1" t="n">
        <v>36</v>
      </c>
      <c r="H1277" s="1" t="n">
        <v>40</v>
      </c>
      <c r="I1277" s="1" t="str">
        <f aca="false">RIGHT(("0"&amp;C1277),2)&amp;RIGHT(("0"&amp;D1277),2)&amp;RIGHT(("0"&amp;E1277),2)&amp;RIGHT(("0"&amp;F1277),2)&amp;RIGHT(("0"&amp;G1277),2)&amp;RIGHT(("0"&amp;H1277),2)</f>
        <v>050911223640</v>
      </c>
      <c r="J1277" s="1" t="n">
        <f aca="false">COUNTIF(I:I,I1277)</f>
        <v>1</v>
      </c>
      <c r="K1277" s="1" t="n">
        <v>2</v>
      </c>
      <c r="L1277" s="1" t="s">
        <v>6453</v>
      </c>
      <c r="M1277" s="1" t="s">
        <v>6454</v>
      </c>
      <c r="N1277" s="1" t="n">
        <v>560</v>
      </c>
      <c r="O1277" s="1" t="s">
        <v>6455</v>
      </c>
      <c r="P1277" s="1" t="n">
        <v>30367</v>
      </c>
      <c r="Q1277" s="1" t="s">
        <v>6456</v>
      </c>
      <c r="R1277" s="1" t="s">
        <v>23</v>
      </c>
      <c r="S1277" s="1" t="s">
        <v>6457</v>
      </c>
      <c r="T1277" s="1" t="s">
        <v>4256</v>
      </c>
      <c r="U1277" s="1" t="s">
        <v>6458</v>
      </c>
    </row>
    <row r="1278" customFormat="false" ht="13.8" hidden="false" customHeight="false" outlineLevel="0" collapsed="false">
      <c r="A1278" s="1" t="n">
        <v>1277</v>
      </c>
      <c r="B1278" s="2" t="s">
        <v>6459</v>
      </c>
      <c r="C1278" s="1" t="n">
        <v>12</v>
      </c>
      <c r="D1278" s="1" t="n">
        <v>18</v>
      </c>
      <c r="E1278" s="1" t="n">
        <v>31</v>
      </c>
      <c r="F1278" s="1" t="n">
        <v>50</v>
      </c>
      <c r="G1278" s="1" t="n">
        <v>59</v>
      </c>
      <c r="H1278" s="1" t="n">
        <v>60</v>
      </c>
      <c r="I1278" s="1" t="str">
        <f aca="false">RIGHT(("0"&amp;C1278),2)&amp;RIGHT(("0"&amp;D1278),2)&amp;RIGHT(("0"&amp;E1278),2)&amp;RIGHT(("0"&amp;F1278),2)&amp;RIGHT(("0"&amp;G1278),2)&amp;RIGHT(("0"&amp;H1278),2)</f>
        <v>121831505960</v>
      </c>
      <c r="J1278" s="1" t="n">
        <f aca="false">COUNTIF(I:I,I1278)</f>
        <v>1</v>
      </c>
      <c r="K1278" s="1" t="n">
        <v>0</v>
      </c>
      <c r="M1278" s="1" t="s">
        <v>23</v>
      </c>
      <c r="N1278" s="1" t="n">
        <v>30</v>
      </c>
      <c r="O1278" s="1" t="s">
        <v>6460</v>
      </c>
      <c r="P1278" s="1" t="n">
        <v>1783</v>
      </c>
      <c r="Q1278" s="1" t="s">
        <v>6461</v>
      </c>
      <c r="R1278" s="1" t="s">
        <v>6462</v>
      </c>
      <c r="S1278" s="1" t="s">
        <v>6463</v>
      </c>
      <c r="T1278" s="1" t="s">
        <v>4409</v>
      </c>
      <c r="U1278" s="1" t="s">
        <v>6464</v>
      </c>
    </row>
    <row r="1279" customFormat="false" ht="13.8" hidden="false" customHeight="false" outlineLevel="0" collapsed="false">
      <c r="A1279" s="1" t="n">
        <v>1278</v>
      </c>
      <c r="B1279" s="2" t="s">
        <v>6465</v>
      </c>
      <c r="C1279" s="1" t="n">
        <v>4</v>
      </c>
      <c r="D1279" s="1" t="n">
        <v>16</v>
      </c>
      <c r="E1279" s="1" t="n">
        <v>24</v>
      </c>
      <c r="F1279" s="1" t="n">
        <v>25</v>
      </c>
      <c r="G1279" s="1" t="n">
        <v>30</v>
      </c>
      <c r="H1279" s="1" t="n">
        <v>56</v>
      </c>
      <c r="I1279" s="1" t="str">
        <f aca="false">RIGHT(("0"&amp;C1279),2)&amp;RIGHT(("0"&amp;D1279),2)&amp;RIGHT(("0"&amp;E1279),2)&amp;RIGHT(("0"&amp;F1279),2)&amp;RIGHT(("0"&amp;G1279),2)&amp;RIGHT(("0"&amp;H1279),2)</f>
        <v>041624253056</v>
      </c>
      <c r="J1279" s="1" t="n">
        <f aca="false">COUNTIF(I:I,I1279)</f>
        <v>1</v>
      </c>
      <c r="K1279" s="1" t="n">
        <v>0</v>
      </c>
      <c r="M1279" s="1" t="s">
        <v>23</v>
      </c>
      <c r="N1279" s="1" t="n">
        <v>187</v>
      </c>
      <c r="O1279" s="1" t="s">
        <v>6466</v>
      </c>
      <c r="P1279" s="1" t="n">
        <v>5455</v>
      </c>
      <c r="Q1279" s="1" t="s">
        <v>6467</v>
      </c>
      <c r="R1279" s="1" t="s">
        <v>6468</v>
      </c>
      <c r="S1279" s="1" t="s">
        <v>6469</v>
      </c>
      <c r="T1279" s="1" t="s">
        <v>4232</v>
      </c>
      <c r="U1279" s="1" t="s">
        <v>6470</v>
      </c>
    </row>
    <row r="1280" customFormat="false" ht="13.8" hidden="false" customHeight="false" outlineLevel="0" collapsed="false">
      <c r="A1280" s="1" t="n">
        <v>1279</v>
      </c>
      <c r="B1280" s="2" t="s">
        <v>6471</v>
      </c>
      <c r="C1280" s="1" t="n">
        <v>8</v>
      </c>
      <c r="D1280" s="1" t="n">
        <v>14</v>
      </c>
      <c r="E1280" s="1" t="n">
        <v>29</v>
      </c>
      <c r="F1280" s="1" t="n">
        <v>35</v>
      </c>
      <c r="G1280" s="1" t="n">
        <v>36</v>
      </c>
      <c r="H1280" s="1" t="n">
        <v>40</v>
      </c>
      <c r="I1280" s="1" t="str">
        <f aca="false">RIGHT(("0"&amp;C1280),2)&amp;RIGHT(("0"&amp;D1280),2)&amp;RIGHT(("0"&amp;E1280),2)&amp;RIGHT(("0"&amp;F1280),2)&amp;RIGHT(("0"&amp;G1280),2)&amp;RIGHT(("0"&amp;H1280),2)</f>
        <v>081429353640</v>
      </c>
      <c r="J1280" s="1" t="n">
        <f aca="false">COUNTIF(I:I,I1280)</f>
        <v>1</v>
      </c>
      <c r="K1280" s="1" t="n">
        <v>0</v>
      </c>
      <c r="M1280" s="1" t="s">
        <v>23</v>
      </c>
      <c r="N1280" s="1" t="n">
        <v>98</v>
      </c>
      <c r="O1280" s="1" t="s">
        <v>6472</v>
      </c>
      <c r="P1280" s="1" t="n">
        <v>5880</v>
      </c>
      <c r="Q1280" s="1" t="s">
        <v>6473</v>
      </c>
      <c r="R1280" s="1" t="s">
        <v>6474</v>
      </c>
      <c r="S1280" s="1" t="s">
        <v>6475</v>
      </c>
      <c r="T1280" s="1" t="s">
        <v>5242</v>
      </c>
      <c r="U1280" s="1" t="s">
        <v>6476</v>
      </c>
    </row>
    <row r="1281" customFormat="false" ht="13.8" hidden="false" customHeight="false" outlineLevel="0" collapsed="false">
      <c r="A1281" s="1" t="n">
        <v>1280</v>
      </c>
      <c r="B1281" s="2" t="s">
        <v>6477</v>
      </c>
      <c r="C1281" s="1" t="n">
        <v>6</v>
      </c>
      <c r="D1281" s="1" t="n">
        <v>10</v>
      </c>
      <c r="E1281" s="1" t="n">
        <v>16</v>
      </c>
      <c r="F1281" s="1" t="n">
        <v>20</v>
      </c>
      <c r="G1281" s="1" t="n">
        <v>29</v>
      </c>
      <c r="H1281" s="1" t="n">
        <v>54</v>
      </c>
      <c r="I1281" s="1" t="str">
        <f aca="false">RIGHT(("0"&amp;C1281),2)&amp;RIGHT(("0"&amp;D1281),2)&amp;RIGHT(("0"&amp;E1281),2)&amp;RIGHT(("0"&amp;F1281),2)&amp;RIGHT(("0"&amp;G1281),2)&amp;RIGHT(("0"&amp;H1281),2)</f>
        <v>061016202954</v>
      </c>
      <c r="J1281" s="1" t="n">
        <f aca="false">COUNTIF(I:I,I1281)</f>
        <v>1</v>
      </c>
      <c r="K1281" s="1" t="n">
        <v>0</v>
      </c>
      <c r="M1281" s="1" t="s">
        <v>23</v>
      </c>
      <c r="N1281" s="1" t="n">
        <v>97</v>
      </c>
      <c r="O1281" s="1" t="s">
        <v>6478</v>
      </c>
      <c r="P1281" s="1" t="n">
        <v>8585</v>
      </c>
      <c r="Q1281" s="1" t="s">
        <v>6479</v>
      </c>
      <c r="R1281" s="1" t="s">
        <v>6480</v>
      </c>
      <c r="S1281" s="1" t="s">
        <v>6481</v>
      </c>
      <c r="T1281" s="1" t="s">
        <v>4968</v>
      </c>
      <c r="U1281" s="1" t="s">
        <v>6482</v>
      </c>
    </row>
    <row r="1282" customFormat="false" ht="13.8" hidden="false" customHeight="false" outlineLevel="0" collapsed="false">
      <c r="A1282" s="1" t="n">
        <v>1281</v>
      </c>
      <c r="B1282" s="2" t="s">
        <v>6483</v>
      </c>
      <c r="C1282" s="1" t="n">
        <v>8</v>
      </c>
      <c r="D1282" s="1" t="n">
        <v>11</v>
      </c>
      <c r="E1282" s="1" t="n">
        <v>14</v>
      </c>
      <c r="F1282" s="1" t="n">
        <v>30</v>
      </c>
      <c r="G1282" s="1" t="n">
        <v>36</v>
      </c>
      <c r="H1282" s="1" t="n">
        <v>38</v>
      </c>
      <c r="I1282" s="1" t="str">
        <f aca="false">RIGHT(("0"&amp;C1282),2)&amp;RIGHT(("0"&amp;D1282),2)&amp;RIGHT(("0"&amp;E1282),2)&amp;RIGHT(("0"&amp;F1282),2)&amp;RIGHT(("0"&amp;G1282),2)&amp;RIGHT(("0"&amp;H1282),2)</f>
        <v>081114303638</v>
      </c>
      <c r="J1282" s="1" t="n">
        <f aca="false">COUNTIF(I:I,I1282)</f>
        <v>1</v>
      </c>
      <c r="K1282" s="1" t="n">
        <v>1</v>
      </c>
      <c r="L1282" s="1" t="s">
        <v>5310</v>
      </c>
      <c r="M1282" s="1" t="s">
        <v>6484</v>
      </c>
      <c r="N1282" s="1" t="n">
        <v>198</v>
      </c>
      <c r="O1282" s="1" t="s">
        <v>6485</v>
      </c>
      <c r="P1282" s="1" t="n">
        <v>12813</v>
      </c>
      <c r="Q1282" s="1" t="s">
        <v>6486</v>
      </c>
      <c r="R1282" s="1" t="s">
        <v>23</v>
      </c>
      <c r="S1282" s="1" t="s">
        <v>6487</v>
      </c>
      <c r="T1282" s="1" t="s">
        <v>4732</v>
      </c>
      <c r="U1282" s="1" t="s">
        <v>6488</v>
      </c>
    </row>
    <row r="1283" customFormat="false" ht="13.8" hidden="false" customHeight="false" outlineLevel="0" collapsed="false">
      <c r="A1283" s="1" t="n">
        <v>1282</v>
      </c>
      <c r="B1283" s="2" t="s">
        <v>6489</v>
      </c>
      <c r="C1283" s="1" t="n">
        <v>4</v>
      </c>
      <c r="D1283" s="1" t="n">
        <v>23</v>
      </c>
      <c r="E1283" s="1" t="n">
        <v>39</v>
      </c>
      <c r="F1283" s="1" t="n">
        <v>52</v>
      </c>
      <c r="G1283" s="1" t="n">
        <v>55</v>
      </c>
      <c r="H1283" s="1" t="n">
        <v>56</v>
      </c>
      <c r="I1283" s="1" t="str">
        <f aca="false">RIGHT(("0"&amp;C1283),2)&amp;RIGHT(("0"&amp;D1283),2)&amp;RIGHT(("0"&amp;E1283),2)&amp;RIGHT(("0"&amp;F1283),2)&amp;RIGHT(("0"&amp;G1283),2)&amp;RIGHT(("0"&amp;H1283),2)</f>
        <v>042339525556</v>
      </c>
      <c r="J1283" s="1" t="n">
        <f aca="false">COUNTIF(I:I,I1283)</f>
        <v>1</v>
      </c>
      <c r="K1283" s="1" t="n">
        <v>0</v>
      </c>
      <c r="M1283" s="1" t="s">
        <v>23</v>
      </c>
      <c r="N1283" s="1" t="n">
        <v>37</v>
      </c>
      <c r="O1283" s="1" t="s">
        <v>6490</v>
      </c>
      <c r="P1283" s="1" t="n">
        <v>4203</v>
      </c>
      <c r="Q1283" s="1" t="s">
        <v>6491</v>
      </c>
      <c r="R1283" s="1" t="s">
        <v>6492</v>
      </c>
      <c r="S1283" s="1" t="s">
        <v>6493</v>
      </c>
      <c r="T1283" s="1" t="s">
        <v>4227</v>
      </c>
      <c r="U1283" s="1" t="s">
        <v>6494</v>
      </c>
    </row>
    <row r="1284" customFormat="false" ht="13.8" hidden="false" customHeight="false" outlineLevel="0" collapsed="false">
      <c r="A1284" s="1" t="n">
        <v>1283</v>
      </c>
      <c r="B1284" s="2" t="s">
        <v>6495</v>
      </c>
      <c r="C1284" s="1" t="n">
        <v>8</v>
      </c>
      <c r="D1284" s="1" t="n">
        <v>30</v>
      </c>
      <c r="E1284" s="1" t="n">
        <v>40</v>
      </c>
      <c r="F1284" s="1" t="n">
        <v>44</v>
      </c>
      <c r="G1284" s="1" t="n">
        <v>59</v>
      </c>
      <c r="H1284" s="1" t="n">
        <v>60</v>
      </c>
      <c r="I1284" s="1" t="str">
        <f aca="false">RIGHT(("0"&amp;C1284),2)&amp;RIGHT(("0"&amp;D1284),2)&amp;RIGHT(("0"&amp;E1284),2)&amp;RIGHT(("0"&amp;F1284),2)&amp;RIGHT(("0"&amp;G1284),2)&amp;RIGHT(("0"&amp;H1284),2)</f>
        <v>083040445960</v>
      </c>
      <c r="J1284" s="1" t="n">
        <f aca="false">COUNTIF(I:I,I1284)</f>
        <v>1</v>
      </c>
      <c r="K1284" s="1" t="n">
        <v>0</v>
      </c>
      <c r="M1284" s="1" t="s">
        <v>23</v>
      </c>
      <c r="N1284" s="1" t="n">
        <v>57</v>
      </c>
      <c r="O1284" s="1" t="s">
        <v>6496</v>
      </c>
      <c r="P1284" s="1" t="n">
        <v>4333</v>
      </c>
      <c r="Q1284" s="1" t="s">
        <v>6497</v>
      </c>
      <c r="R1284" s="1" t="s">
        <v>6498</v>
      </c>
      <c r="S1284" s="1" t="s">
        <v>6499</v>
      </c>
      <c r="T1284" s="1" t="s">
        <v>4190</v>
      </c>
      <c r="U1284" s="1" t="s">
        <v>6500</v>
      </c>
    </row>
    <row r="1285" customFormat="false" ht="13.8" hidden="false" customHeight="false" outlineLevel="0" collapsed="false">
      <c r="A1285" s="1" t="n">
        <v>1284</v>
      </c>
      <c r="B1285" s="2" t="s">
        <v>6501</v>
      </c>
      <c r="C1285" s="1" t="n">
        <v>20</v>
      </c>
      <c r="D1285" s="1" t="n">
        <v>21</v>
      </c>
      <c r="E1285" s="1" t="n">
        <v>26</v>
      </c>
      <c r="F1285" s="1" t="n">
        <v>29</v>
      </c>
      <c r="G1285" s="1" t="n">
        <v>31</v>
      </c>
      <c r="H1285" s="1" t="n">
        <v>36</v>
      </c>
      <c r="I1285" s="1" t="str">
        <f aca="false">RIGHT(("0"&amp;C1285),2)&amp;RIGHT(("0"&amp;D1285),2)&amp;RIGHT(("0"&amp;E1285),2)&amp;RIGHT(("0"&amp;F1285),2)&amp;RIGHT(("0"&amp;G1285),2)&amp;RIGHT(("0"&amp;H1285),2)</f>
        <v>202126293136</v>
      </c>
      <c r="J1285" s="1" t="n">
        <f aca="false">COUNTIF(I:I,I1285)</f>
        <v>1</v>
      </c>
      <c r="K1285" s="1" t="n">
        <v>0</v>
      </c>
      <c r="M1285" s="1" t="s">
        <v>23</v>
      </c>
      <c r="N1285" s="1" t="n">
        <v>46</v>
      </c>
      <c r="O1285" s="1" t="s">
        <v>6502</v>
      </c>
      <c r="P1285" s="1" t="n">
        <v>3353</v>
      </c>
      <c r="Q1285" s="1" t="s">
        <v>6503</v>
      </c>
      <c r="R1285" s="1" t="s">
        <v>6504</v>
      </c>
      <c r="S1285" s="1" t="s">
        <v>6505</v>
      </c>
      <c r="T1285" s="1" t="s">
        <v>4213</v>
      </c>
      <c r="U1285" s="1" t="s">
        <v>6506</v>
      </c>
    </row>
    <row r="1286" customFormat="false" ht="13.8" hidden="false" customHeight="false" outlineLevel="0" collapsed="false">
      <c r="A1286" s="1" t="n">
        <v>1285</v>
      </c>
      <c r="B1286" s="2" t="s">
        <v>6507</v>
      </c>
      <c r="C1286" s="1" t="n">
        <v>10</v>
      </c>
      <c r="D1286" s="1" t="n">
        <v>15</v>
      </c>
      <c r="E1286" s="1" t="n">
        <v>28</v>
      </c>
      <c r="F1286" s="1" t="n">
        <v>31</v>
      </c>
      <c r="G1286" s="1" t="n">
        <v>33</v>
      </c>
      <c r="H1286" s="1" t="n">
        <v>38</v>
      </c>
      <c r="I1286" s="1" t="str">
        <f aca="false">RIGHT(("0"&amp;C1286),2)&amp;RIGHT(("0"&amp;D1286),2)&amp;RIGHT(("0"&amp;E1286),2)&amp;RIGHT(("0"&amp;F1286),2)&amp;RIGHT(("0"&amp;G1286),2)&amp;RIGHT(("0"&amp;H1286),2)</f>
        <v>101528313338</v>
      </c>
      <c r="J1286" s="1" t="n">
        <f aca="false">COUNTIF(I:I,I1286)</f>
        <v>1</v>
      </c>
      <c r="K1286" s="1" t="n">
        <v>0</v>
      </c>
      <c r="M1286" s="1" t="s">
        <v>23</v>
      </c>
      <c r="N1286" s="1" t="n">
        <v>127</v>
      </c>
      <c r="O1286" s="1" t="s">
        <v>6508</v>
      </c>
      <c r="P1286" s="1" t="n">
        <v>9744</v>
      </c>
      <c r="Q1286" s="1" t="s">
        <v>6509</v>
      </c>
      <c r="R1286" s="1" t="s">
        <v>6510</v>
      </c>
      <c r="S1286" s="1" t="s">
        <v>6511</v>
      </c>
      <c r="T1286" s="1" t="s">
        <v>4935</v>
      </c>
      <c r="U1286" s="1" t="s">
        <v>6512</v>
      </c>
    </row>
    <row r="1287" customFormat="false" ht="13.8" hidden="false" customHeight="false" outlineLevel="0" collapsed="false">
      <c r="A1287" s="1" t="n">
        <v>1286</v>
      </c>
      <c r="B1287" s="2" t="s">
        <v>6513</v>
      </c>
      <c r="C1287" s="1" t="n">
        <v>2</v>
      </c>
      <c r="D1287" s="1" t="n">
        <v>5</v>
      </c>
      <c r="E1287" s="1" t="n">
        <v>28</v>
      </c>
      <c r="F1287" s="1" t="n">
        <v>33</v>
      </c>
      <c r="G1287" s="1" t="n">
        <v>51</v>
      </c>
      <c r="H1287" s="1" t="n">
        <v>52</v>
      </c>
      <c r="I1287" s="1" t="str">
        <f aca="false">RIGHT(("0"&amp;C1287),2)&amp;RIGHT(("0"&amp;D1287),2)&amp;RIGHT(("0"&amp;E1287),2)&amp;RIGHT(("0"&amp;F1287),2)&amp;RIGHT(("0"&amp;G1287),2)&amp;RIGHT(("0"&amp;H1287),2)</f>
        <v>020528335152</v>
      </c>
      <c r="J1287" s="1" t="n">
        <f aca="false">COUNTIF(I:I,I1287)</f>
        <v>1</v>
      </c>
      <c r="K1287" s="1" t="n">
        <v>0</v>
      </c>
      <c r="M1287" s="1" t="s">
        <v>23</v>
      </c>
      <c r="N1287" s="1" t="n">
        <v>185</v>
      </c>
      <c r="O1287" s="1" t="s">
        <v>6514</v>
      </c>
      <c r="P1287" s="1" t="n">
        <v>12297</v>
      </c>
      <c r="Q1287" s="1" t="s">
        <v>6515</v>
      </c>
      <c r="R1287" s="1" t="s">
        <v>6516</v>
      </c>
      <c r="S1287" s="1" t="s">
        <v>6517</v>
      </c>
      <c r="T1287" s="1" t="s">
        <v>6025</v>
      </c>
      <c r="U1287" s="1" t="s">
        <v>6518</v>
      </c>
    </row>
    <row r="1288" customFormat="false" ht="13.8" hidden="false" customHeight="false" outlineLevel="0" collapsed="false">
      <c r="A1288" s="1" t="n">
        <v>1287</v>
      </c>
      <c r="B1288" s="2" t="s">
        <v>6519</v>
      </c>
      <c r="C1288" s="1" t="n">
        <v>11</v>
      </c>
      <c r="D1288" s="1" t="n">
        <v>12</v>
      </c>
      <c r="E1288" s="1" t="n">
        <v>31</v>
      </c>
      <c r="F1288" s="1" t="n">
        <v>33</v>
      </c>
      <c r="G1288" s="1" t="n">
        <v>42</v>
      </c>
      <c r="H1288" s="1" t="n">
        <v>52</v>
      </c>
      <c r="I1288" s="1" t="str">
        <f aca="false">RIGHT(("0"&amp;C1288),2)&amp;RIGHT(("0"&amp;D1288),2)&amp;RIGHT(("0"&amp;E1288),2)&amp;RIGHT(("0"&amp;F1288),2)&amp;RIGHT(("0"&amp;G1288),2)&amp;RIGHT(("0"&amp;H1288),2)</f>
        <v>111231334252</v>
      </c>
      <c r="J1288" s="1" t="n">
        <f aca="false">COUNTIF(I:I,I1288)</f>
        <v>1</v>
      </c>
      <c r="K1288" s="1" t="n">
        <v>0</v>
      </c>
      <c r="M1288" s="1" t="s">
        <v>23</v>
      </c>
      <c r="N1288" s="1" t="n">
        <v>137</v>
      </c>
      <c r="O1288" s="1" t="s">
        <v>6520</v>
      </c>
      <c r="P1288" s="1" t="n">
        <v>8177</v>
      </c>
      <c r="Q1288" s="1" t="s">
        <v>6361</v>
      </c>
      <c r="R1288" s="1" t="s">
        <v>6521</v>
      </c>
      <c r="S1288" s="1" t="s">
        <v>6522</v>
      </c>
      <c r="T1288" s="1" t="s">
        <v>6032</v>
      </c>
      <c r="U1288" s="1" t="s">
        <v>6523</v>
      </c>
    </row>
    <row r="1289" customFormat="false" ht="13.8" hidden="false" customHeight="false" outlineLevel="0" collapsed="false">
      <c r="A1289" s="1" t="n">
        <v>1288</v>
      </c>
      <c r="B1289" s="2" t="s">
        <v>6524</v>
      </c>
      <c r="C1289" s="1" t="n">
        <v>17</v>
      </c>
      <c r="D1289" s="1" t="n">
        <v>30</v>
      </c>
      <c r="E1289" s="1" t="n">
        <v>32</v>
      </c>
      <c r="F1289" s="1" t="n">
        <v>40</v>
      </c>
      <c r="G1289" s="1" t="n">
        <v>42</v>
      </c>
      <c r="H1289" s="1" t="n">
        <v>56</v>
      </c>
      <c r="I1289" s="1" t="str">
        <f aca="false">RIGHT(("0"&amp;C1289),2)&amp;RIGHT(("0"&amp;D1289),2)&amp;RIGHT(("0"&amp;E1289),2)&amp;RIGHT(("0"&amp;F1289),2)&amp;RIGHT(("0"&amp;G1289),2)&amp;RIGHT(("0"&amp;H1289),2)</f>
        <v>173032404256</v>
      </c>
      <c r="J1289" s="1" t="n">
        <f aca="false">COUNTIF(I:I,I1289)</f>
        <v>1</v>
      </c>
      <c r="K1289" s="1" t="n">
        <v>0</v>
      </c>
      <c r="M1289" s="1" t="s">
        <v>23</v>
      </c>
      <c r="N1289" s="1" t="n">
        <v>69</v>
      </c>
      <c r="O1289" s="1" t="s">
        <v>6525</v>
      </c>
      <c r="P1289" s="1" t="n">
        <v>7350</v>
      </c>
      <c r="Q1289" s="1" t="s">
        <v>6526</v>
      </c>
      <c r="R1289" s="1" t="s">
        <v>6527</v>
      </c>
      <c r="S1289" s="1" t="s">
        <v>6528</v>
      </c>
      <c r="T1289" s="1" t="s">
        <v>4727</v>
      </c>
      <c r="U1289" s="1" t="s">
        <v>6529</v>
      </c>
    </row>
    <row r="1290" customFormat="false" ht="13.8" hidden="false" customHeight="false" outlineLevel="0" collapsed="false">
      <c r="A1290" s="1" t="n">
        <v>1289</v>
      </c>
      <c r="B1290" s="2" t="s">
        <v>6530</v>
      </c>
      <c r="C1290" s="1" t="n">
        <v>1</v>
      </c>
      <c r="D1290" s="1" t="n">
        <v>3</v>
      </c>
      <c r="E1290" s="1" t="n">
        <v>8</v>
      </c>
      <c r="F1290" s="1" t="n">
        <v>13</v>
      </c>
      <c r="G1290" s="1" t="n">
        <v>27</v>
      </c>
      <c r="H1290" s="1" t="n">
        <v>52</v>
      </c>
      <c r="I1290" s="1" t="str">
        <f aca="false">RIGHT(("0"&amp;C1290),2)&amp;RIGHT(("0"&amp;D1290),2)&amp;RIGHT(("0"&amp;E1290),2)&amp;RIGHT(("0"&amp;F1290),2)&amp;RIGHT(("0"&amp;G1290),2)&amp;RIGHT(("0"&amp;H1290),2)</f>
        <v>010308132752</v>
      </c>
      <c r="J1290" s="1" t="n">
        <f aca="false">COUNTIF(I:I,I1290)</f>
        <v>1</v>
      </c>
      <c r="K1290" s="1" t="n">
        <v>2</v>
      </c>
      <c r="L1290" s="1" t="s">
        <v>6531</v>
      </c>
      <c r="M1290" s="1" t="s">
        <v>6532</v>
      </c>
      <c r="N1290" s="1" t="n">
        <v>436</v>
      </c>
      <c r="O1290" s="1" t="s">
        <v>6533</v>
      </c>
      <c r="P1290" s="1" t="n">
        <v>30724</v>
      </c>
      <c r="Q1290" s="1" t="s">
        <v>3440</v>
      </c>
      <c r="R1290" s="1" t="s">
        <v>23</v>
      </c>
      <c r="S1290" s="1" t="s">
        <v>6534</v>
      </c>
      <c r="T1290" s="1" t="s">
        <v>4696</v>
      </c>
      <c r="U1290" s="1" t="s">
        <v>6535</v>
      </c>
    </row>
    <row r="1291" customFormat="false" ht="13.8" hidden="false" customHeight="false" outlineLevel="0" collapsed="false">
      <c r="A1291" s="1" t="n">
        <v>1290</v>
      </c>
      <c r="B1291" s="2" t="s">
        <v>6536</v>
      </c>
      <c r="C1291" s="1" t="n">
        <v>2</v>
      </c>
      <c r="D1291" s="1" t="n">
        <v>3</v>
      </c>
      <c r="E1291" s="1" t="n">
        <v>14</v>
      </c>
      <c r="F1291" s="1" t="n">
        <v>23</v>
      </c>
      <c r="G1291" s="1" t="n">
        <v>34</v>
      </c>
      <c r="H1291" s="1" t="n">
        <v>50</v>
      </c>
      <c r="I1291" s="1" t="str">
        <f aca="false">RIGHT(("0"&amp;C1291),2)&amp;RIGHT(("0"&amp;D1291),2)&amp;RIGHT(("0"&amp;E1291),2)&amp;RIGHT(("0"&amp;F1291),2)&amp;RIGHT(("0"&amp;G1291),2)&amp;RIGHT(("0"&amp;H1291),2)</f>
        <v>020314233450</v>
      </c>
      <c r="J1291" s="1" t="n">
        <f aca="false">COUNTIF(I:I,I1291)</f>
        <v>1</v>
      </c>
      <c r="K1291" s="1" t="n">
        <v>0</v>
      </c>
      <c r="M1291" s="1" t="s">
        <v>23</v>
      </c>
      <c r="N1291" s="1" t="n">
        <v>93</v>
      </c>
      <c r="O1291" s="1" t="s">
        <v>6537</v>
      </c>
      <c r="P1291" s="1" t="n">
        <v>7535</v>
      </c>
      <c r="Q1291" s="1" t="s">
        <v>6538</v>
      </c>
      <c r="R1291" s="1" t="s">
        <v>6539</v>
      </c>
      <c r="S1291" s="1" t="s">
        <v>6540</v>
      </c>
      <c r="T1291" s="1" t="s">
        <v>3892</v>
      </c>
      <c r="U1291" s="1" t="s">
        <v>6541</v>
      </c>
    </row>
    <row r="1292" customFormat="false" ht="13.8" hidden="false" customHeight="false" outlineLevel="0" collapsed="false">
      <c r="A1292" s="1" t="n">
        <v>1291</v>
      </c>
      <c r="B1292" s="2" t="s">
        <v>6542</v>
      </c>
      <c r="C1292" s="1" t="n">
        <v>18</v>
      </c>
      <c r="D1292" s="1" t="n">
        <v>40</v>
      </c>
      <c r="E1292" s="1" t="n">
        <v>47</v>
      </c>
      <c r="F1292" s="1" t="n">
        <v>54</v>
      </c>
      <c r="G1292" s="1" t="n">
        <v>57</v>
      </c>
      <c r="H1292" s="1" t="n">
        <v>58</v>
      </c>
      <c r="I1292" s="1" t="str">
        <f aca="false">RIGHT(("0"&amp;C1292),2)&amp;RIGHT(("0"&amp;D1292),2)&amp;RIGHT(("0"&amp;E1292),2)&amp;RIGHT(("0"&amp;F1292),2)&amp;RIGHT(("0"&amp;G1292),2)&amp;RIGHT(("0"&amp;H1292),2)</f>
        <v>184047545758</v>
      </c>
      <c r="J1292" s="1" t="n">
        <f aca="false">COUNTIF(I:I,I1292)</f>
        <v>1</v>
      </c>
      <c r="K1292" s="1" t="n">
        <v>0</v>
      </c>
      <c r="M1292" s="1" t="s">
        <v>23</v>
      </c>
      <c r="N1292" s="1" t="n">
        <v>49</v>
      </c>
      <c r="O1292" s="1" t="s">
        <v>6543</v>
      </c>
      <c r="P1292" s="1" t="n">
        <v>5416</v>
      </c>
      <c r="Q1292" s="1" t="s">
        <v>6544</v>
      </c>
      <c r="R1292" s="1" t="s">
        <v>6545</v>
      </c>
      <c r="S1292" s="1" t="s">
        <v>6546</v>
      </c>
      <c r="T1292" s="1" t="s">
        <v>4968</v>
      </c>
      <c r="U1292" s="1" t="s">
        <v>6547</v>
      </c>
    </row>
    <row r="1293" customFormat="false" ht="13.8" hidden="false" customHeight="false" outlineLevel="0" collapsed="false">
      <c r="A1293" s="1" t="n">
        <v>1292</v>
      </c>
      <c r="B1293" s="2" t="s">
        <v>6548</v>
      </c>
      <c r="C1293" s="1" t="n">
        <v>9</v>
      </c>
      <c r="D1293" s="1" t="n">
        <v>11</v>
      </c>
      <c r="E1293" s="1" t="n">
        <v>23</v>
      </c>
      <c r="F1293" s="1" t="n">
        <v>30</v>
      </c>
      <c r="G1293" s="1" t="n">
        <v>31</v>
      </c>
      <c r="H1293" s="1" t="n">
        <v>54</v>
      </c>
      <c r="I1293" s="1" t="str">
        <f aca="false">RIGHT(("0"&amp;C1293),2)&amp;RIGHT(("0"&amp;D1293),2)&amp;RIGHT(("0"&amp;E1293),2)&amp;RIGHT(("0"&amp;F1293),2)&amp;RIGHT(("0"&amp;G1293),2)&amp;RIGHT(("0"&amp;H1293),2)</f>
        <v>091123303154</v>
      </c>
      <c r="J1293" s="1" t="n">
        <f aca="false">COUNTIF(I:I,I1293)</f>
        <v>1</v>
      </c>
      <c r="K1293" s="1" t="n">
        <v>0</v>
      </c>
      <c r="M1293" s="1" t="s">
        <v>23</v>
      </c>
      <c r="N1293" s="1" t="n">
        <v>128</v>
      </c>
      <c r="O1293" s="1" t="s">
        <v>6549</v>
      </c>
      <c r="P1293" s="1" t="n">
        <v>10397</v>
      </c>
      <c r="Q1293" s="1" t="s">
        <v>6550</v>
      </c>
      <c r="R1293" s="1" t="s">
        <v>6551</v>
      </c>
      <c r="S1293" s="1" t="s">
        <v>6552</v>
      </c>
      <c r="T1293" s="1" t="s">
        <v>4309</v>
      </c>
      <c r="U1293" s="1" t="s">
        <v>6553</v>
      </c>
    </row>
    <row r="1294" customFormat="false" ht="13.8" hidden="false" customHeight="false" outlineLevel="0" collapsed="false">
      <c r="A1294" s="1" t="n">
        <v>1293</v>
      </c>
      <c r="B1294" s="2" t="s">
        <v>6554</v>
      </c>
      <c r="C1294" s="1" t="n">
        <v>1</v>
      </c>
      <c r="D1294" s="1" t="n">
        <v>13</v>
      </c>
      <c r="E1294" s="1" t="n">
        <v>24</v>
      </c>
      <c r="F1294" s="1" t="n">
        <v>40</v>
      </c>
      <c r="G1294" s="1" t="n">
        <v>44</v>
      </c>
      <c r="H1294" s="1" t="n">
        <v>50</v>
      </c>
      <c r="I1294" s="1" t="str">
        <f aca="false">RIGHT(("0"&amp;C1294),2)&amp;RIGHT(("0"&amp;D1294),2)&amp;RIGHT(("0"&amp;E1294),2)&amp;RIGHT(("0"&amp;F1294),2)&amp;RIGHT(("0"&amp;G1294),2)&amp;RIGHT(("0"&amp;H1294),2)</f>
        <v>011324404450</v>
      </c>
      <c r="J1294" s="1" t="n">
        <f aca="false">COUNTIF(I:I,I1294)</f>
        <v>1</v>
      </c>
      <c r="K1294" s="1" t="n">
        <v>0</v>
      </c>
      <c r="M1294" s="1" t="s">
        <v>23</v>
      </c>
      <c r="N1294" s="1" t="n">
        <v>163</v>
      </c>
      <c r="O1294" s="1" t="s">
        <v>6555</v>
      </c>
      <c r="P1294" s="1" t="n">
        <v>11182</v>
      </c>
      <c r="Q1294" s="1" t="s">
        <v>6556</v>
      </c>
      <c r="R1294" s="1" t="s">
        <v>6557</v>
      </c>
      <c r="S1294" s="1" t="s">
        <v>6558</v>
      </c>
      <c r="T1294" s="1" t="s">
        <v>6559</v>
      </c>
      <c r="U1294" s="1" t="s">
        <v>6560</v>
      </c>
    </row>
    <row r="1295" customFormat="false" ht="13.8" hidden="false" customHeight="false" outlineLevel="0" collapsed="false">
      <c r="A1295" s="1" t="n">
        <v>1294</v>
      </c>
      <c r="B1295" s="2" t="s">
        <v>6561</v>
      </c>
      <c r="C1295" s="1" t="n">
        <v>4</v>
      </c>
      <c r="D1295" s="1" t="n">
        <v>6</v>
      </c>
      <c r="E1295" s="1" t="n">
        <v>29</v>
      </c>
      <c r="F1295" s="1" t="n">
        <v>48</v>
      </c>
      <c r="G1295" s="1" t="n">
        <v>50</v>
      </c>
      <c r="H1295" s="1" t="n">
        <v>51</v>
      </c>
      <c r="I1295" s="1" t="str">
        <f aca="false">RIGHT(("0"&amp;C1295),2)&amp;RIGHT(("0"&amp;D1295),2)&amp;RIGHT(("0"&amp;E1295),2)&amp;RIGHT(("0"&amp;F1295),2)&amp;RIGHT(("0"&amp;G1295),2)&amp;RIGHT(("0"&amp;H1295),2)</f>
        <v>040629485051</v>
      </c>
      <c r="J1295" s="1" t="n">
        <f aca="false">COUNTIF(I:I,I1295)</f>
        <v>1</v>
      </c>
      <c r="K1295" s="1" t="n">
        <v>0</v>
      </c>
      <c r="M1295" s="1" t="s">
        <v>23</v>
      </c>
      <c r="N1295" s="1" t="n">
        <v>148</v>
      </c>
      <c r="O1295" s="1" t="s">
        <v>6562</v>
      </c>
      <c r="P1295" s="1" t="n">
        <v>10401</v>
      </c>
      <c r="Q1295" s="1" t="s">
        <v>6563</v>
      </c>
      <c r="R1295" s="1" t="s">
        <v>6564</v>
      </c>
      <c r="S1295" s="1" t="s">
        <v>6565</v>
      </c>
      <c r="T1295" s="1" t="s">
        <v>6566</v>
      </c>
      <c r="U1295" s="1" t="s">
        <v>6567</v>
      </c>
    </row>
    <row r="1296" customFormat="false" ht="13.8" hidden="false" customHeight="false" outlineLevel="0" collapsed="false">
      <c r="A1296" s="1" t="n">
        <v>1295</v>
      </c>
      <c r="B1296" s="2" t="s">
        <v>6568</v>
      </c>
      <c r="C1296" s="1" t="n">
        <v>2</v>
      </c>
      <c r="D1296" s="1" t="n">
        <v>5</v>
      </c>
      <c r="E1296" s="1" t="n">
        <v>15</v>
      </c>
      <c r="F1296" s="1" t="n">
        <v>20</v>
      </c>
      <c r="G1296" s="1" t="n">
        <v>43</v>
      </c>
      <c r="H1296" s="1" t="n">
        <v>57</v>
      </c>
      <c r="I1296" s="1" t="str">
        <f aca="false">RIGHT(("0"&amp;C1296),2)&amp;RIGHT(("0"&amp;D1296),2)&amp;RIGHT(("0"&amp;E1296),2)&amp;RIGHT(("0"&amp;F1296),2)&amp;RIGHT(("0"&amp;G1296),2)&amp;RIGHT(("0"&amp;H1296),2)</f>
        <v>020515204357</v>
      </c>
      <c r="J1296" s="1" t="n">
        <f aca="false">COUNTIF(I:I,I1296)</f>
        <v>1</v>
      </c>
      <c r="K1296" s="1" t="n">
        <v>1</v>
      </c>
      <c r="L1296" s="1" t="s">
        <v>6569</v>
      </c>
      <c r="M1296" s="1" t="s">
        <v>6570</v>
      </c>
      <c r="N1296" s="1" t="n">
        <v>314</v>
      </c>
      <c r="O1296" s="1" t="s">
        <v>6571</v>
      </c>
      <c r="P1296" s="1" t="n">
        <v>20014</v>
      </c>
      <c r="Q1296" s="1" t="s">
        <v>6572</v>
      </c>
      <c r="R1296" s="1" t="s">
        <v>23</v>
      </c>
      <c r="S1296" s="1" t="s">
        <v>6573</v>
      </c>
      <c r="T1296" s="1" t="s">
        <v>4256</v>
      </c>
      <c r="U1296" s="1" t="s">
        <v>6574</v>
      </c>
    </row>
    <row r="1297" customFormat="false" ht="13.8" hidden="false" customHeight="false" outlineLevel="0" collapsed="false">
      <c r="A1297" s="1" t="n">
        <v>1296</v>
      </c>
      <c r="B1297" s="2" t="s">
        <v>6575</v>
      </c>
      <c r="C1297" s="1" t="n">
        <v>10</v>
      </c>
      <c r="D1297" s="1" t="n">
        <v>14</v>
      </c>
      <c r="E1297" s="1" t="n">
        <v>43</v>
      </c>
      <c r="F1297" s="1" t="n">
        <v>46</v>
      </c>
      <c r="G1297" s="1" t="n">
        <v>49</v>
      </c>
      <c r="H1297" s="1" t="n">
        <v>53</v>
      </c>
      <c r="I1297" s="1" t="str">
        <f aca="false">RIGHT(("0"&amp;C1297),2)&amp;RIGHT(("0"&amp;D1297),2)&amp;RIGHT(("0"&amp;E1297),2)&amp;RIGHT(("0"&amp;F1297),2)&amp;RIGHT(("0"&amp;G1297),2)&amp;RIGHT(("0"&amp;H1297),2)</f>
        <v>101443464953</v>
      </c>
      <c r="J1297" s="1" t="n">
        <f aca="false">COUNTIF(I:I,I1297)</f>
        <v>1</v>
      </c>
      <c r="K1297" s="1" t="n">
        <v>0</v>
      </c>
      <c r="M1297" s="1" t="s">
        <v>23</v>
      </c>
      <c r="N1297" s="1" t="n">
        <v>48</v>
      </c>
      <c r="O1297" s="1" t="s">
        <v>6576</v>
      </c>
      <c r="P1297" s="1" t="n">
        <v>3607</v>
      </c>
      <c r="Q1297" s="1" t="s">
        <v>6577</v>
      </c>
      <c r="R1297" s="1" t="s">
        <v>6578</v>
      </c>
      <c r="S1297" s="1" t="s">
        <v>6579</v>
      </c>
      <c r="T1297" s="1" t="s">
        <v>4227</v>
      </c>
      <c r="U1297" s="1" t="s">
        <v>6580</v>
      </c>
    </row>
    <row r="1298" customFormat="false" ht="13.8" hidden="false" customHeight="false" outlineLevel="0" collapsed="false">
      <c r="A1298" s="1" t="n">
        <v>1297</v>
      </c>
      <c r="B1298" s="2" t="s">
        <v>6581</v>
      </c>
      <c r="C1298" s="1" t="n">
        <v>2</v>
      </c>
      <c r="D1298" s="1" t="n">
        <v>5</v>
      </c>
      <c r="E1298" s="1" t="n">
        <v>11</v>
      </c>
      <c r="F1298" s="1" t="n">
        <v>13</v>
      </c>
      <c r="G1298" s="1" t="n">
        <v>56</v>
      </c>
      <c r="H1298" s="1" t="n">
        <v>59</v>
      </c>
      <c r="I1298" s="1" t="str">
        <f aca="false">RIGHT(("0"&amp;C1298),2)&amp;RIGHT(("0"&amp;D1298),2)&amp;RIGHT(("0"&amp;E1298),2)&amp;RIGHT(("0"&amp;F1298),2)&amp;RIGHT(("0"&amp;G1298),2)&amp;RIGHT(("0"&amp;H1298),2)</f>
        <v>020511135659</v>
      </c>
      <c r="J1298" s="1" t="n">
        <f aca="false">COUNTIF(I:I,I1298)</f>
        <v>1</v>
      </c>
      <c r="K1298" s="1" t="n">
        <v>0</v>
      </c>
      <c r="M1298" s="1" t="s">
        <v>23</v>
      </c>
      <c r="N1298" s="1" t="n">
        <v>100</v>
      </c>
      <c r="O1298" s="1" t="s">
        <v>6582</v>
      </c>
      <c r="P1298" s="1" t="n">
        <v>9538</v>
      </c>
      <c r="Q1298" s="1" t="s">
        <v>6583</v>
      </c>
      <c r="R1298" s="1" t="s">
        <v>6584</v>
      </c>
      <c r="S1298" s="1" t="s">
        <v>6585</v>
      </c>
      <c r="T1298" s="1" t="s">
        <v>4190</v>
      </c>
      <c r="U1298" s="1" t="s">
        <v>6586</v>
      </c>
    </row>
    <row r="1299" customFormat="false" ht="13.8" hidden="false" customHeight="false" outlineLevel="0" collapsed="false">
      <c r="A1299" s="1" t="n">
        <v>1298</v>
      </c>
      <c r="B1299" s="2" t="s">
        <v>6587</v>
      </c>
      <c r="C1299" s="1" t="n">
        <v>14</v>
      </c>
      <c r="D1299" s="1" t="n">
        <v>15</v>
      </c>
      <c r="E1299" s="1" t="n">
        <v>30</v>
      </c>
      <c r="F1299" s="1" t="n">
        <v>53</v>
      </c>
      <c r="G1299" s="1" t="n">
        <v>55</v>
      </c>
      <c r="H1299" s="1" t="n">
        <v>60</v>
      </c>
      <c r="I1299" s="1" t="str">
        <f aca="false">RIGHT(("0"&amp;C1299),2)&amp;RIGHT(("0"&amp;D1299),2)&amp;RIGHT(("0"&amp;E1299),2)&amp;RIGHT(("0"&amp;F1299),2)&amp;RIGHT(("0"&amp;G1299),2)&amp;RIGHT(("0"&amp;H1299),2)</f>
        <v>141530535560</v>
      </c>
      <c r="J1299" s="1" t="n">
        <f aca="false">COUNTIF(I:I,I1299)</f>
        <v>1</v>
      </c>
      <c r="K1299" s="1" t="n">
        <v>1</v>
      </c>
      <c r="L1299" s="1" t="s">
        <v>6588</v>
      </c>
      <c r="M1299" s="1" t="s">
        <v>6589</v>
      </c>
      <c r="N1299" s="1" t="n">
        <v>38</v>
      </c>
      <c r="O1299" s="1" t="s">
        <v>6590</v>
      </c>
      <c r="P1299" s="1" t="n">
        <v>4046</v>
      </c>
      <c r="Q1299" s="1" t="s">
        <v>6591</v>
      </c>
      <c r="R1299" s="1" t="s">
        <v>23</v>
      </c>
      <c r="S1299" s="1" t="s">
        <v>6592</v>
      </c>
      <c r="T1299" s="1" t="s">
        <v>4732</v>
      </c>
      <c r="U1299" s="1" t="s">
        <v>6593</v>
      </c>
    </row>
    <row r="1300" customFormat="false" ht="13.8" hidden="false" customHeight="false" outlineLevel="0" collapsed="false">
      <c r="A1300" s="1" t="n">
        <v>1299</v>
      </c>
      <c r="B1300" s="2" t="s">
        <v>6594</v>
      </c>
      <c r="C1300" s="1" t="n">
        <v>8</v>
      </c>
      <c r="D1300" s="1" t="n">
        <v>22</v>
      </c>
      <c r="E1300" s="1" t="n">
        <v>32</v>
      </c>
      <c r="F1300" s="1" t="n">
        <v>43</v>
      </c>
      <c r="G1300" s="1" t="n">
        <v>53</v>
      </c>
      <c r="H1300" s="1" t="n">
        <v>56</v>
      </c>
      <c r="I1300" s="1" t="str">
        <f aca="false">RIGHT(("0"&amp;C1300),2)&amp;RIGHT(("0"&amp;D1300),2)&amp;RIGHT(("0"&amp;E1300),2)&amp;RIGHT(("0"&amp;F1300),2)&amp;RIGHT(("0"&amp;G1300),2)&amp;RIGHT(("0"&amp;H1300),2)</f>
        <v>082232435356</v>
      </c>
      <c r="J1300" s="1" t="n">
        <f aca="false">COUNTIF(I:I,I1300)</f>
        <v>1</v>
      </c>
      <c r="K1300" s="1" t="n">
        <v>0</v>
      </c>
      <c r="M1300" s="1" t="s">
        <v>23</v>
      </c>
      <c r="N1300" s="1" t="n">
        <v>35</v>
      </c>
      <c r="O1300" s="1" t="s">
        <v>6595</v>
      </c>
      <c r="P1300" s="1" t="n">
        <v>3035</v>
      </c>
      <c r="Q1300" s="1" t="s">
        <v>6596</v>
      </c>
      <c r="R1300" s="1" t="s">
        <v>6597</v>
      </c>
      <c r="S1300" s="1" t="s">
        <v>6598</v>
      </c>
      <c r="T1300" s="1" t="s">
        <v>4241</v>
      </c>
      <c r="U1300" s="1" t="s">
        <v>6599</v>
      </c>
    </row>
    <row r="1301" customFormat="false" ht="13.8" hidden="false" customHeight="false" outlineLevel="0" collapsed="false">
      <c r="A1301" s="1" t="n">
        <v>1300</v>
      </c>
      <c r="B1301" s="2" t="s">
        <v>6600</v>
      </c>
      <c r="C1301" s="1" t="n">
        <v>43</v>
      </c>
      <c r="D1301" s="1" t="n">
        <v>44</v>
      </c>
      <c r="E1301" s="1" t="n">
        <v>46</v>
      </c>
      <c r="F1301" s="1" t="n">
        <v>53</v>
      </c>
      <c r="G1301" s="1" t="n">
        <v>54</v>
      </c>
      <c r="H1301" s="1" t="n">
        <v>59</v>
      </c>
      <c r="I1301" s="1" t="str">
        <f aca="false">RIGHT(("0"&amp;C1301),2)&amp;RIGHT(("0"&amp;D1301),2)&amp;RIGHT(("0"&amp;E1301),2)&amp;RIGHT(("0"&amp;F1301),2)&amp;RIGHT(("0"&amp;G1301),2)&amp;RIGHT(("0"&amp;H1301),2)</f>
        <v>434446535459</v>
      </c>
      <c r="J1301" s="1" t="n">
        <f aca="false">COUNTIF(I:I,I1301)</f>
        <v>1</v>
      </c>
      <c r="K1301" s="1" t="n">
        <v>2</v>
      </c>
      <c r="L1301" s="1" t="s">
        <v>6601</v>
      </c>
      <c r="M1301" s="1" t="s">
        <v>6602</v>
      </c>
      <c r="N1301" s="1" t="n">
        <v>58</v>
      </c>
      <c r="O1301" s="1" t="s">
        <v>6603</v>
      </c>
      <c r="P1301" s="1" t="n">
        <v>3652</v>
      </c>
      <c r="Q1301" s="1" t="s">
        <v>6604</v>
      </c>
      <c r="R1301" s="1" t="s">
        <v>23</v>
      </c>
      <c r="S1301" s="1" t="s">
        <v>6605</v>
      </c>
      <c r="T1301" s="1" t="s">
        <v>4256</v>
      </c>
      <c r="U1301" s="1" t="s">
        <v>6606</v>
      </c>
    </row>
    <row r="1302" customFormat="false" ht="13.8" hidden="false" customHeight="false" outlineLevel="0" collapsed="false">
      <c r="A1302" s="1" t="n">
        <v>1301</v>
      </c>
      <c r="B1302" s="2" t="s">
        <v>6607</v>
      </c>
      <c r="C1302" s="1" t="n">
        <v>3</v>
      </c>
      <c r="D1302" s="1" t="n">
        <v>16</v>
      </c>
      <c r="E1302" s="1" t="n">
        <v>23</v>
      </c>
      <c r="F1302" s="1" t="n">
        <v>25</v>
      </c>
      <c r="G1302" s="1" t="n">
        <v>51</v>
      </c>
      <c r="H1302" s="1" t="n">
        <v>56</v>
      </c>
      <c r="I1302" s="1" t="str">
        <f aca="false">RIGHT(("0"&amp;C1302),2)&amp;RIGHT(("0"&amp;D1302),2)&amp;RIGHT(("0"&amp;E1302),2)&amp;RIGHT(("0"&amp;F1302),2)&amp;RIGHT(("0"&amp;G1302),2)&amp;RIGHT(("0"&amp;H1302),2)</f>
        <v>031623255156</v>
      </c>
      <c r="J1302" s="1" t="n">
        <f aca="false">COUNTIF(I:I,I1302)</f>
        <v>1</v>
      </c>
      <c r="K1302" s="1" t="n">
        <v>1</v>
      </c>
      <c r="L1302" s="1" t="s">
        <v>6608</v>
      </c>
      <c r="M1302" s="1" t="s">
        <v>6609</v>
      </c>
      <c r="N1302" s="1" t="n">
        <v>74</v>
      </c>
      <c r="O1302" s="1" t="s">
        <v>6610</v>
      </c>
      <c r="P1302" s="1" t="n">
        <v>5155</v>
      </c>
      <c r="Q1302" s="1" t="s">
        <v>6611</v>
      </c>
      <c r="R1302" s="1" t="s">
        <v>23</v>
      </c>
      <c r="S1302" s="1" t="s">
        <v>6612</v>
      </c>
      <c r="T1302" s="1" t="s">
        <v>4732</v>
      </c>
      <c r="U1302" s="1" t="s">
        <v>6613</v>
      </c>
    </row>
    <row r="1303" customFormat="false" ht="13.8" hidden="false" customHeight="false" outlineLevel="0" collapsed="false">
      <c r="A1303" s="1" t="n">
        <v>1302</v>
      </c>
      <c r="B1303" s="2" t="s">
        <v>6614</v>
      </c>
      <c r="C1303" s="1" t="n">
        <v>2</v>
      </c>
      <c r="D1303" s="1" t="n">
        <v>10</v>
      </c>
      <c r="E1303" s="1" t="n">
        <v>15</v>
      </c>
      <c r="F1303" s="1" t="n">
        <v>44</v>
      </c>
      <c r="G1303" s="1" t="n">
        <v>56</v>
      </c>
      <c r="H1303" s="1" t="n">
        <v>57</v>
      </c>
      <c r="I1303" s="1" t="str">
        <f aca="false">RIGHT(("0"&amp;C1303),2)&amp;RIGHT(("0"&amp;D1303),2)&amp;RIGHT(("0"&amp;E1303),2)&amp;RIGHT(("0"&amp;F1303),2)&amp;RIGHT(("0"&amp;G1303),2)&amp;RIGHT(("0"&amp;H1303),2)</f>
        <v>021015445657</v>
      </c>
      <c r="J1303" s="1" t="n">
        <f aca="false">COUNTIF(I:I,I1303)</f>
        <v>1</v>
      </c>
      <c r="K1303" s="1" t="n">
        <v>0</v>
      </c>
      <c r="M1303" s="1" t="s">
        <v>23</v>
      </c>
      <c r="N1303" s="1" t="n">
        <v>63</v>
      </c>
      <c r="O1303" s="1" t="s">
        <v>6615</v>
      </c>
      <c r="P1303" s="1" t="n">
        <v>5084</v>
      </c>
      <c r="Q1303" s="1" t="s">
        <v>6616</v>
      </c>
      <c r="R1303" s="1" t="s">
        <v>6617</v>
      </c>
      <c r="S1303" s="1" t="s">
        <v>6618</v>
      </c>
      <c r="T1303" s="1" t="s">
        <v>4227</v>
      </c>
      <c r="U1303" s="1" t="s">
        <v>6619</v>
      </c>
    </row>
    <row r="1304" customFormat="false" ht="13.8" hidden="false" customHeight="false" outlineLevel="0" collapsed="false">
      <c r="A1304" s="1" t="n">
        <v>1303</v>
      </c>
      <c r="B1304" s="2" t="s">
        <v>6620</v>
      </c>
      <c r="C1304" s="1" t="n">
        <v>8</v>
      </c>
      <c r="D1304" s="1" t="n">
        <v>19</v>
      </c>
      <c r="E1304" s="1" t="n">
        <v>46</v>
      </c>
      <c r="F1304" s="1" t="n">
        <v>51</v>
      </c>
      <c r="G1304" s="1" t="n">
        <v>52</v>
      </c>
      <c r="H1304" s="1" t="n">
        <v>54</v>
      </c>
      <c r="I1304" s="1" t="str">
        <f aca="false">RIGHT(("0"&amp;C1304),2)&amp;RIGHT(("0"&amp;D1304),2)&amp;RIGHT(("0"&amp;E1304),2)&amp;RIGHT(("0"&amp;F1304),2)&amp;RIGHT(("0"&amp;G1304),2)&amp;RIGHT(("0"&amp;H1304),2)</f>
        <v>081946515254</v>
      </c>
      <c r="J1304" s="1" t="n">
        <f aca="false">COUNTIF(I:I,I1304)</f>
        <v>1</v>
      </c>
      <c r="K1304" s="1" t="n">
        <v>0</v>
      </c>
      <c r="M1304" s="1" t="s">
        <v>23</v>
      </c>
      <c r="N1304" s="1" t="n">
        <v>40</v>
      </c>
      <c r="O1304" s="1" t="s">
        <v>6621</v>
      </c>
      <c r="P1304" s="1" t="n">
        <v>3573</v>
      </c>
      <c r="Q1304" s="1" t="s">
        <v>6622</v>
      </c>
      <c r="R1304" s="1" t="s">
        <v>6623</v>
      </c>
      <c r="S1304" s="1" t="s">
        <v>6624</v>
      </c>
      <c r="T1304" s="1" t="s">
        <v>4190</v>
      </c>
      <c r="U1304" s="1" t="s">
        <v>6625</v>
      </c>
    </row>
    <row r="1305" customFormat="false" ht="13.8" hidden="false" customHeight="false" outlineLevel="0" collapsed="false">
      <c r="A1305" s="1" t="n">
        <v>1304</v>
      </c>
      <c r="B1305" s="2" t="s">
        <v>6626</v>
      </c>
      <c r="C1305" s="1" t="n">
        <v>7</v>
      </c>
      <c r="D1305" s="1" t="n">
        <v>14</v>
      </c>
      <c r="E1305" s="1" t="n">
        <v>15</v>
      </c>
      <c r="F1305" s="1" t="n">
        <v>20</v>
      </c>
      <c r="G1305" s="1" t="n">
        <v>23</v>
      </c>
      <c r="H1305" s="1" t="n">
        <v>35</v>
      </c>
      <c r="I1305" s="1" t="str">
        <f aca="false">RIGHT(("0"&amp;C1305),2)&amp;RIGHT(("0"&amp;D1305),2)&amp;RIGHT(("0"&amp;E1305),2)&amp;RIGHT(("0"&amp;F1305),2)&amp;RIGHT(("0"&amp;G1305),2)&amp;RIGHT(("0"&amp;H1305),2)</f>
        <v>071415202335</v>
      </c>
      <c r="J1305" s="1" t="n">
        <f aca="false">COUNTIF(I:I,I1305)</f>
        <v>1</v>
      </c>
      <c r="K1305" s="1" t="n">
        <v>0</v>
      </c>
      <c r="M1305" s="1" t="s">
        <v>23</v>
      </c>
      <c r="N1305" s="1" t="n">
        <v>79</v>
      </c>
      <c r="O1305" s="1" t="s">
        <v>6627</v>
      </c>
      <c r="P1305" s="1" t="n">
        <v>7568</v>
      </c>
      <c r="Q1305" s="1" t="s">
        <v>6628</v>
      </c>
      <c r="R1305" s="1" t="s">
        <v>6629</v>
      </c>
      <c r="S1305" s="1" t="s">
        <v>6630</v>
      </c>
      <c r="T1305" s="1" t="s">
        <v>4299</v>
      </c>
      <c r="U1305" s="1" t="s">
        <v>6631</v>
      </c>
    </row>
    <row r="1306" customFormat="false" ht="13.8" hidden="false" customHeight="false" outlineLevel="0" collapsed="false">
      <c r="A1306" s="1" t="n">
        <v>1305</v>
      </c>
      <c r="B1306" s="2" t="s">
        <v>6632</v>
      </c>
      <c r="C1306" s="1" t="n">
        <v>3</v>
      </c>
      <c r="D1306" s="1" t="n">
        <v>5</v>
      </c>
      <c r="E1306" s="1" t="n">
        <v>11</v>
      </c>
      <c r="F1306" s="1" t="n">
        <v>36</v>
      </c>
      <c r="G1306" s="1" t="n">
        <v>44</v>
      </c>
      <c r="H1306" s="1" t="n">
        <v>46</v>
      </c>
      <c r="I1306" s="1" t="str">
        <f aca="false">RIGHT(("0"&amp;C1306),2)&amp;RIGHT(("0"&amp;D1306),2)&amp;RIGHT(("0"&amp;E1306),2)&amp;RIGHT(("0"&amp;F1306),2)&amp;RIGHT(("0"&amp;G1306),2)&amp;RIGHT(("0"&amp;H1306),2)</f>
        <v>030511364446</v>
      </c>
      <c r="J1306" s="1" t="n">
        <f aca="false">COUNTIF(I:I,I1306)</f>
        <v>1</v>
      </c>
      <c r="K1306" s="1" t="n">
        <v>0</v>
      </c>
      <c r="M1306" s="1" t="s">
        <v>23</v>
      </c>
      <c r="N1306" s="1" t="n">
        <v>136</v>
      </c>
      <c r="O1306" s="1" t="s">
        <v>6633</v>
      </c>
      <c r="P1306" s="1" t="n">
        <v>9982</v>
      </c>
      <c r="Q1306" s="1" t="s">
        <v>6634</v>
      </c>
      <c r="R1306" s="1" t="s">
        <v>6635</v>
      </c>
      <c r="S1306" s="1" t="s">
        <v>6636</v>
      </c>
      <c r="T1306" s="1" t="s">
        <v>5281</v>
      </c>
      <c r="U1306" s="1" t="s">
        <v>6637</v>
      </c>
    </row>
    <row r="1307" customFormat="false" ht="13.8" hidden="false" customHeight="false" outlineLevel="0" collapsed="false">
      <c r="A1307" s="1" t="n">
        <v>1306</v>
      </c>
      <c r="B1307" s="2" t="s">
        <v>6638</v>
      </c>
      <c r="C1307" s="1" t="n">
        <v>6</v>
      </c>
      <c r="D1307" s="1" t="n">
        <v>19</v>
      </c>
      <c r="E1307" s="1" t="n">
        <v>22</v>
      </c>
      <c r="F1307" s="1" t="n">
        <v>34</v>
      </c>
      <c r="G1307" s="1" t="n">
        <v>43</v>
      </c>
      <c r="H1307" s="1" t="n">
        <v>45</v>
      </c>
      <c r="I1307" s="1" t="str">
        <f aca="false">RIGHT(("0"&amp;C1307),2)&amp;RIGHT(("0"&amp;D1307),2)&amp;RIGHT(("0"&amp;E1307),2)&amp;RIGHT(("0"&amp;F1307),2)&amp;RIGHT(("0"&amp;G1307),2)&amp;RIGHT(("0"&amp;H1307),2)</f>
        <v>061922344345</v>
      </c>
      <c r="J1307" s="1" t="n">
        <f aca="false">COUNTIF(I:I,I1307)</f>
        <v>1</v>
      </c>
      <c r="K1307" s="1" t="n">
        <v>0</v>
      </c>
      <c r="M1307" s="1" t="s">
        <v>23</v>
      </c>
      <c r="N1307" s="1" t="n">
        <v>167</v>
      </c>
      <c r="O1307" s="1" t="s">
        <v>6639</v>
      </c>
      <c r="P1307" s="1" t="n">
        <v>10694</v>
      </c>
      <c r="Q1307" s="1" t="s">
        <v>6640</v>
      </c>
      <c r="R1307" s="1" t="s">
        <v>6641</v>
      </c>
      <c r="S1307" s="1" t="s">
        <v>6642</v>
      </c>
      <c r="T1307" s="1" t="s">
        <v>4935</v>
      </c>
      <c r="U1307" s="1" t="s">
        <v>6643</v>
      </c>
    </row>
    <row r="1308" customFormat="false" ht="13.8" hidden="false" customHeight="false" outlineLevel="0" collapsed="false">
      <c r="A1308" s="1" t="n">
        <v>1307</v>
      </c>
      <c r="B1308" s="2" t="s">
        <v>6644</v>
      </c>
      <c r="C1308" s="1" t="n">
        <v>7</v>
      </c>
      <c r="D1308" s="1" t="n">
        <v>10</v>
      </c>
      <c r="E1308" s="1" t="n">
        <v>32</v>
      </c>
      <c r="F1308" s="1" t="n">
        <v>43</v>
      </c>
      <c r="G1308" s="1" t="n">
        <v>47</v>
      </c>
      <c r="H1308" s="1" t="n">
        <v>54</v>
      </c>
      <c r="I1308" s="1" t="str">
        <f aca="false">RIGHT(("0"&amp;C1308),2)&amp;RIGHT(("0"&amp;D1308),2)&amp;RIGHT(("0"&amp;E1308),2)&amp;RIGHT(("0"&amp;F1308),2)&amp;RIGHT(("0"&amp;G1308),2)&amp;RIGHT(("0"&amp;H1308),2)</f>
        <v>071032434754</v>
      </c>
      <c r="J1308" s="1" t="n">
        <f aca="false">COUNTIF(I:I,I1308)</f>
        <v>1</v>
      </c>
      <c r="K1308" s="1" t="n">
        <v>1</v>
      </c>
      <c r="L1308" s="1" t="s">
        <v>6645</v>
      </c>
      <c r="M1308" s="1" t="s">
        <v>6646</v>
      </c>
      <c r="N1308" s="1" t="n">
        <v>153</v>
      </c>
      <c r="O1308" s="1" t="s">
        <v>6647</v>
      </c>
      <c r="P1308" s="1" t="n">
        <v>11019</v>
      </c>
      <c r="Q1308" s="1" t="s">
        <v>6648</v>
      </c>
      <c r="R1308" s="1" t="s">
        <v>23</v>
      </c>
      <c r="S1308" s="1" t="s">
        <v>6649</v>
      </c>
      <c r="T1308" s="1" t="s">
        <v>4732</v>
      </c>
      <c r="U1308" s="1" t="s">
        <v>6650</v>
      </c>
      <c r="V1308" s="1" t="s">
        <v>6651</v>
      </c>
    </row>
    <row r="1309" customFormat="false" ht="13.8" hidden="false" customHeight="false" outlineLevel="0" collapsed="false">
      <c r="A1309" s="1" t="n">
        <v>1308</v>
      </c>
      <c r="B1309" s="2" t="s">
        <v>6652</v>
      </c>
      <c r="C1309" s="1" t="n">
        <v>7</v>
      </c>
      <c r="D1309" s="1" t="n">
        <v>8</v>
      </c>
      <c r="E1309" s="1" t="n">
        <v>24</v>
      </c>
      <c r="F1309" s="1" t="n">
        <v>30</v>
      </c>
      <c r="G1309" s="1" t="n">
        <v>33</v>
      </c>
      <c r="H1309" s="1" t="n">
        <v>47</v>
      </c>
      <c r="I1309" s="1" t="str">
        <f aca="false">RIGHT(("0"&amp;C1309),2)&amp;RIGHT(("0"&amp;D1309),2)&amp;RIGHT(("0"&amp;E1309),2)&amp;RIGHT(("0"&amp;F1309),2)&amp;RIGHT(("0"&amp;G1309),2)&amp;RIGHT(("0"&amp;H1309),2)</f>
        <v>070824303347</v>
      </c>
      <c r="J1309" s="1" t="n">
        <f aca="false">COUNTIF(I:I,I1309)</f>
        <v>1</v>
      </c>
      <c r="K1309" s="1" t="n">
        <v>0</v>
      </c>
      <c r="M1309" s="1" t="s">
        <v>23</v>
      </c>
      <c r="N1309" s="1" t="n">
        <v>75</v>
      </c>
      <c r="O1309" s="1" t="s">
        <v>6653</v>
      </c>
      <c r="P1309" s="1" t="n">
        <v>4417</v>
      </c>
      <c r="Q1309" s="1" t="s">
        <v>6654</v>
      </c>
      <c r="R1309" s="1" t="s">
        <v>6655</v>
      </c>
      <c r="S1309" s="1" t="s">
        <v>6656</v>
      </c>
      <c r="T1309" s="1" t="s">
        <v>6657</v>
      </c>
      <c r="U1309" s="1" t="s">
        <v>6658</v>
      </c>
    </row>
    <row r="1310" customFormat="false" ht="13.8" hidden="false" customHeight="false" outlineLevel="0" collapsed="false">
      <c r="A1310" s="1" t="n">
        <v>1309</v>
      </c>
      <c r="B1310" s="2" t="s">
        <v>6659</v>
      </c>
      <c r="C1310" s="1" t="n">
        <v>7</v>
      </c>
      <c r="D1310" s="1" t="n">
        <v>12</v>
      </c>
      <c r="E1310" s="1" t="n">
        <v>25</v>
      </c>
      <c r="F1310" s="1" t="n">
        <v>26</v>
      </c>
      <c r="G1310" s="1" t="n">
        <v>32</v>
      </c>
      <c r="H1310" s="1" t="n">
        <v>39</v>
      </c>
      <c r="I1310" s="1" t="str">
        <f aca="false">RIGHT(("0"&amp;C1310),2)&amp;RIGHT(("0"&amp;D1310),2)&amp;RIGHT(("0"&amp;E1310),2)&amp;RIGHT(("0"&amp;F1310),2)&amp;RIGHT(("0"&amp;G1310),2)&amp;RIGHT(("0"&amp;H1310),2)</f>
        <v>071225263239</v>
      </c>
      <c r="J1310" s="1" t="n">
        <f aca="false">COUNTIF(I:I,I1310)</f>
        <v>1</v>
      </c>
      <c r="K1310" s="1" t="n">
        <v>0</v>
      </c>
      <c r="M1310" s="1" t="s">
        <v>23</v>
      </c>
      <c r="N1310" s="1" t="n">
        <v>100</v>
      </c>
      <c r="O1310" s="1" t="s">
        <v>6660</v>
      </c>
      <c r="P1310" s="1" t="n">
        <v>6163</v>
      </c>
      <c r="Q1310" s="1" t="s">
        <v>6661</v>
      </c>
      <c r="R1310" s="1" t="s">
        <v>6662</v>
      </c>
      <c r="S1310" s="1" t="s">
        <v>6663</v>
      </c>
      <c r="T1310" s="1" t="s">
        <v>4241</v>
      </c>
      <c r="U1310" s="1" t="s">
        <v>6664</v>
      </c>
    </row>
    <row r="1311" customFormat="false" ht="13.8" hidden="false" customHeight="false" outlineLevel="0" collapsed="false">
      <c r="A1311" s="1" t="n">
        <v>1310</v>
      </c>
      <c r="B1311" s="2" t="s">
        <v>6665</v>
      </c>
      <c r="C1311" s="1" t="n">
        <v>8</v>
      </c>
      <c r="D1311" s="1" t="n">
        <v>9</v>
      </c>
      <c r="E1311" s="1" t="n">
        <v>14</v>
      </c>
      <c r="F1311" s="1" t="n">
        <v>32</v>
      </c>
      <c r="G1311" s="1" t="n">
        <v>53</v>
      </c>
      <c r="H1311" s="1" t="n">
        <v>59</v>
      </c>
      <c r="I1311" s="1" t="str">
        <f aca="false">RIGHT(("0"&amp;C1311),2)&amp;RIGHT(("0"&amp;D1311),2)&amp;RIGHT(("0"&amp;E1311),2)&amp;RIGHT(("0"&amp;F1311),2)&amp;RIGHT(("0"&amp;G1311),2)&amp;RIGHT(("0"&amp;H1311),2)</f>
        <v>080914325359</v>
      </c>
      <c r="J1311" s="1" t="n">
        <f aca="false">COUNTIF(I:I,I1311)</f>
        <v>1</v>
      </c>
      <c r="K1311" s="1" t="n">
        <v>0</v>
      </c>
      <c r="M1311" s="1" t="s">
        <v>23</v>
      </c>
      <c r="N1311" s="1" t="n">
        <v>107</v>
      </c>
      <c r="O1311" s="1" t="s">
        <v>6666</v>
      </c>
      <c r="P1311" s="1" t="n">
        <v>7570</v>
      </c>
      <c r="Q1311" s="1" t="s">
        <v>6667</v>
      </c>
      <c r="R1311" s="1" t="s">
        <v>6668</v>
      </c>
      <c r="S1311" s="1" t="s">
        <v>6669</v>
      </c>
      <c r="T1311" s="1" t="s">
        <v>4328</v>
      </c>
      <c r="U1311" s="1" t="s">
        <v>6670</v>
      </c>
    </row>
    <row r="1312" customFormat="false" ht="13.8" hidden="false" customHeight="false" outlineLevel="0" collapsed="false">
      <c r="A1312" s="1" t="n">
        <v>1311</v>
      </c>
      <c r="B1312" s="2" t="s">
        <v>6671</v>
      </c>
      <c r="C1312" s="1" t="n">
        <v>7</v>
      </c>
      <c r="D1312" s="1" t="n">
        <v>9</v>
      </c>
      <c r="E1312" s="1" t="n">
        <v>12</v>
      </c>
      <c r="F1312" s="1" t="n">
        <v>19</v>
      </c>
      <c r="G1312" s="1" t="n">
        <v>45</v>
      </c>
      <c r="H1312" s="1" t="n">
        <v>54</v>
      </c>
      <c r="I1312" s="1" t="str">
        <f aca="false">RIGHT(("0"&amp;C1312),2)&amp;RIGHT(("0"&amp;D1312),2)&amp;RIGHT(("0"&amp;E1312),2)&amp;RIGHT(("0"&amp;F1312),2)&amp;RIGHT(("0"&amp;G1312),2)&amp;RIGHT(("0"&amp;H1312),2)</f>
        <v>070912194554</v>
      </c>
      <c r="J1312" s="1" t="n">
        <f aca="false">COUNTIF(I:I,I1312)</f>
        <v>1</v>
      </c>
      <c r="K1312" s="1" t="n">
        <v>0</v>
      </c>
      <c r="M1312" s="1" t="s">
        <v>23</v>
      </c>
      <c r="N1312" s="1" t="n">
        <v>253</v>
      </c>
      <c r="O1312" s="1" t="s">
        <v>6672</v>
      </c>
      <c r="P1312" s="1" t="n">
        <v>13609</v>
      </c>
      <c r="Q1312" s="1" t="s">
        <v>6673</v>
      </c>
      <c r="R1312" s="1" t="s">
        <v>6674</v>
      </c>
      <c r="S1312" s="1" t="s">
        <v>6675</v>
      </c>
      <c r="T1312" s="1" t="s">
        <v>5321</v>
      </c>
      <c r="U1312" s="1" t="s">
        <v>6676</v>
      </c>
    </row>
    <row r="1313" customFormat="false" ht="13.8" hidden="false" customHeight="false" outlineLevel="0" collapsed="false">
      <c r="A1313" s="1" t="n">
        <v>1312</v>
      </c>
      <c r="B1313" s="2" t="s">
        <v>6677</v>
      </c>
      <c r="C1313" s="1" t="n">
        <v>5</v>
      </c>
      <c r="D1313" s="1" t="n">
        <v>20</v>
      </c>
      <c r="E1313" s="1" t="n">
        <v>22</v>
      </c>
      <c r="F1313" s="1" t="n">
        <v>28</v>
      </c>
      <c r="G1313" s="1" t="n">
        <v>29</v>
      </c>
      <c r="H1313" s="1" t="n">
        <v>30</v>
      </c>
      <c r="I1313" s="1" t="str">
        <f aca="false">RIGHT(("0"&amp;C1313),2)&amp;RIGHT(("0"&amp;D1313),2)&amp;RIGHT(("0"&amp;E1313),2)&amp;RIGHT(("0"&amp;F1313),2)&amp;RIGHT(("0"&amp;G1313),2)&amp;RIGHT(("0"&amp;H1313),2)</f>
        <v>052022282930</v>
      </c>
      <c r="J1313" s="1" t="n">
        <f aca="false">COUNTIF(I:I,I1313)</f>
        <v>1</v>
      </c>
      <c r="K1313" s="1" t="n">
        <v>0</v>
      </c>
      <c r="M1313" s="1" t="s">
        <v>23</v>
      </c>
      <c r="N1313" s="1" t="n">
        <v>201</v>
      </c>
      <c r="O1313" s="1" t="s">
        <v>6678</v>
      </c>
      <c r="P1313" s="1" t="n">
        <v>10377</v>
      </c>
      <c r="Q1313" s="1" t="s">
        <v>6679</v>
      </c>
      <c r="R1313" s="1" t="s">
        <v>6680</v>
      </c>
      <c r="S1313" s="1" t="s">
        <v>6681</v>
      </c>
      <c r="T1313" s="1" t="s">
        <v>4304</v>
      </c>
      <c r="U1313" s="1" t="s">
        <v>6682</v>
      </c>
    </row>
    <row r="1314" customFormat="false" ht="13.8" hidden="false" customHeight="false" outlineLevel="0" collapsed="false">
      <c r="A1314" s="1" t="n">
        <v>1313</v>
      </c>
      <c r="B1314" s="2" t="s">
        <v>6683</v>
      </c>
      <c r="C1314" s="1" t="n">
        <v>1</v>
      </c>
      <c r="D1314" s="1" t="n">
        <v>4</v>
      </c>
      <c r="E1314" s="1" t="n">
        <v>26</v>
      </c>
      <c r="F1314" s="1" t="n">
        <v>39</v>
      </c>
      <c r="G1314" s="1" t="n">
        <v>43</v>
      </c>
      <c r="H1314" s="1" t="n">
        <v>49</v>
      </c>
      <c r="I1314" s="1" t="str">
        <f aca="false">RIGHT(("0"&amp;C1314),2)&amp;RIGHT(("0"&amp;D1314),2)&amp;RIGHT(("0"&amp;E1314),2)&amp;RIGHT(("0"&amp;F1314),2)&amp;RIGHT(("0"&amp;G1314),2)&amp;RIGHT(("0"&amp;H1314),2)</f>
        <v>010426394349</v>
      </c>
      <c r="J1314" s="1" t="n">
        <f aca="false">COUNTIF(I:I,I1314)</f>
        <v>1</v>
      </c>
      <c r="K1314" s="1" t="n">
        <v>0</v>
      </c>
      <c r="M1314" s="1" t="s">
        <v>23</v>
      </c>
      <c r="N1314" s="1" t="n">
        <v>140</v>
      </c>
      <c r="O1314" s="1" t="s">
        <v>6684</v>
      </c>
      <c r="P1314" s="1" t="n">
        <v>9036</v>
      </c>
      <c r="Q1314" s="1" t="s">
        <v>5712</v>
      </c>
      <c r="R1314" s="1" t="s">
        <v>6685</v>
      </c>
      <c r="S1314" s="1" t="s">
        <v>6686</v>
      </c>
      <c r="T1314" s="1" t="s">
        <v>5775</v>
      </c>
      <c r="U1314" s="1" t="s">
        <v>6687</v>
      </c>
    </row>
    <row r="1315" customFormat="false" ht="13.8" hidden="false" customHeight="false" outlineLevel="0" collapsed="false">
      <c r="A1315" s="1" t="n">
        <v>1314</v>
      </c>
      <c r="B1315" s="2" t="s">
        <v>6688</v>
      </c>
      <c r="C1315" s="1" t="n">
        <v>38</v>
      </c>
      <c r="D1315" s="1" t="n">
        <v>42</v>
      </c>
      <c r="E1315" s="1" t="n">
        <v>44</v>
      </c>
      <c r="F1315" s="1" t="n">
        <v>52</v>
      </c>
      <c r="G1315" s="1" t="n">
        <v>58</v>
      </c>
      <c r="H1315" s="1" t="n">
        <v>60</v>
      </c>
      <c r="I1315" s="1" t="str">
        <f aca="false">RIGHT(("0"&amp;C1315),2)&amp;RIGHT(("0"&amp;D1315),2)&amp;RIGHT(("0"&amp;E1315),2)&amp;RIGHT(("0"&amp;F1315),2)&amp;RIGHT(("0"&amp;G1315),2)&amp;RIGHT(("0"&amp;H1315),2)</f>
        <v>384244525860</v>
      </c>
      <c r="J1315" s="1" t="n">
        <f aca="false">COUNTIF(I:I,I1315)</f>
        <v>1</v>
      </c>
      <c r="K1315" s="1" t="n">
        <v>0</v>
      </c>
      <c r="M1315" s="1" t="s">
        <v>23</v>
      </c>
      <c r="N1315" s="1" t="n">
        <v>122</v>
      </c>
      <c r="O1315" s="1" t="s">
        <v>6689</v>
      </c>
      <c r="P1315" s="1" t="n">
        <v>7797</v>
      </c>
      <c r="Q1315" s="1" t="s">
        <v>6690</v>
      </c>
      <c r="R1315" s="1" t="s">
        <v>6691</v>
      </c>
      <c r="S1315" s="1" t="s">
        <v>6692</v>
      </c>
      <c r="T1315" s="1" t="s">
        <v>6693</v>
      </c>
      <c r="U1315" s="1" t="s">
        <v>6694</v>
      </c>
    </row>
    <row r="1316" customFormat="false" ht="13.8" hidden="false" customHeight="false" outlineLevel="0" collapsed="false">
      <c r="A1316" s="1" t="n">
        <v>1315</v>
      </c>
      <c r="B1316" s="2" t="s">
        <v>6695</v>
      </c>
      <c r="C1316" s="1" t="n">
        <v>1</v>
      </c>
      <c r="D1316" s="1" t="n">
        <v>27</v>
      </c>
      <c r="E1316" s="1" t="n">
        <v>29</v>
      </c>
      <c r="F1316" s="1" t="n">
        <v>38</v>
      </c>
      <c r="G1316" s="1" t="n">
        <v>50</v>
      </c>
      <c r="H1316" s="1" t="n">
        <v>52</v>
      </c>
      <c r="I1316" s="1" t="str">
        <f aca="false">RIGHT(("0"&amp;C1316),2)&amp;RIGHT(("0"&amp;D1316),2)&amp;RIGHT(("0"&amp;E1316),2)&amp;RIGHT(("0"&amp;F1316),2)&amp;RIGHT(("0"&amp;G1316),2)&amp;RIGHT(("0"&amp;H1316),2)</f>
        <v>012729385052</v>
      </c>
      <c r="J1316" s="1" t="n">
        <f aca="false">COUNTIF(I:I,I1316)</f>
        <v>1</v>
      </c>
      <c r="K1316" s="1" t="n">
        <v>1</v>
      </c>
      <c r="L1316" s="1" t="s">
        <v>6696</v>
      </c>
      <c r="M1316" s="1" t="s">
        <v>6697</v>
      </c>
      <c r="N1316" s="1" t="n">
        <v>108</v>
      </c>
      <c r="O1316" s="1" t="s">
        <v>6698</v>
      </c>
      <c r="P1316" s="1" t="n">
        <v>9003</v>
      </c>
      <c r="Q1316" s="1" t="s">
        <v>6699</v>
      </c>
      <c r="R1316" s="1" t="s">
        <v>23</v>
      </c>
      <c r="S1316" s="1" t="s">
        <v>6700</v>
      </c>
      <c r="T1316" s="1" t="s">
        <v>4256</v>
      </c>
      <c r="U1316" s="1" t="s">
        <v>6701</v>
      </c>
    </row>
    <row r="1317" customFormat="false" ht="13.8" hidden="false" customHeight="false" outlineLevel="0" collapsed="false">
      <c r="A1317" s="1" t="n">
        <v>1316</v>
      </c>
      <c r="B1317" s="2" t="s">
        <v>6702</v>
      </c>
      <c r="C1317" s="1" t="n">
        <v>8</v>
      </c>
      <c r="D1317" s="1" t="n">
        <v>13</v>
      </c>
      <c r="E1317" s="1" t="n">
        <v>25</v>
      </c>
      <c r="F1317" s="1" t="n">
        <v>34</v>
      </c>
      <c r="G1317" s="1" t="n">
        <v>42</v>
      </c>
      <c r="H1317" s="1" t="n">
        <v>48</v>
      </c>
      <c r="I1317" s="1" t="str">
        <f aca="false">RIGHT(("0"&amp;C1317),2)&amp;RIGHT(("0"&amp;D1317),2)&amp;RIGHT(("0"&amp;E1317),2)&amp;RIGHT(("0"&amp;F1317),2)&amp;RIGHT(("0"&amp;G1317),2)&amp;RIGHT(("0"&amp;H1317),2)</f>
        <v>081325344248</v>
      </c>
      <c r="J1317" s="1" t="n">
        <f aca="false">COUNTIF(I:I,I1317)</f>
        <v>1</v>
      </c>
      <c r="K1317" s="1" t="n">
        <v>1</v>
      </c>
      <c r="L1317" s="1" t="s">
        <v>6703</v>
      </c>
      <c r="M1317" s="1" t="s">
        <v>6704</v>
      </c>
      <c r="N1317" s="1" t="n">
        <v>241</v>
      </c>
      <c r="O1317" s="1" t="s">
        <v>6705</v>
      </c>
      <c r="P1317" s="1" t="n">
        <v>9757</v>
      </c>
      <c r="Q1317" s="1" t="s">
        <v>6706</v>
      </c>
      <c r="R1317" s="1" t="s">
        <v>23</v>
      </c>
      <c r="S1317" s="1" t="s">
        <v>6707</v>
      </c>
      <c r="T1317" s="1" t="s">
        <v>4732</v>
      </c>
      <c r="U1317" s="1" t="s">
        <v>6708</v>
      </c>
    </row>
    <row r="1318" customFormat="false" ht="13.8" hidden="false" customHeight="false" outlineLevel="0" collapsed="false">
      <c r="A1318" s="1" t="n">
        <v>1317</v>
      </c>
      <c r="B1318" s="2" t="s">
        <v>6709</v>
      </c>
      <c r="C1318" s="1" t="n">
        <v>6</v>
      </c>
      <c r="D1318" s="1" t="n">
        <v>13</v>
      </c>
      <c r="E1318" s="1" t="n">
        <v>29</v>
      </c>
      <c r="F1318" s="1" t="n">
        <v>30</v>
      </c>
      <c r="G1318" s="1" t="n">
        <v>35</v>
      </c>
      <c r="H1318" s="1" t="n">
        <v>37</v>
      </c>
      <c r="I1318" s="1" t="str">
        <f aca="false">RIGHT(("0"&amp;C1318),2)&amp;RIGHT(("0"&amp;D1318),2)&amp;RIGHT(("0"&amp;E1318),2)&amp;RIGHT(("0"&amp;F1318),2)&amp;RIGHT(("0"&amp;G1318),2)&amp;RIGHT(("0"&amp;H1318),2)</f>
        <v>061329303537</v>
      </c>
      <c r="J1318" s="1" t="n">
        <f aca="false">COUNTIF(I:I,I1318)</f>
        <v>1</v>
      </c>
      <c r="K1318" s="1" t="n">
        <v>0</v>
      </c>
      <c r="M1318" s="1" t="s">
        <v>23</v>
      </c>
      <c r="N1318" s="1" t="n">
        <v>67</v>
      </c>
      <c r="O1318" s="1" t="s">
        <v>6710</v>
      </c>
      <c r="P1318" s="1" t="n">
        <v>5004</v>
      </c>
      <c r="Q1318" s="1" t="s">
        <v>6711</v>
      </c>
      <c r="R1318" s="1" t="s">
        <v>6712</v>
      </c>
      <c r="S1318" s="1" t="s">
        <v>6713</v>
      </c>
      <c r="T1318" s="1" t="s">
        <v>6272</v>
      </c>
      <c r="U1318" s="1" t="s">
        <v>6714</v>
      </c>
    </row>
    <row r="1319" customFormat="false" ht="13.8" hidden="false" customHeight="false" outlineLevel="0" collapsed="false">
      <c r="A1319" s="1" t="n">
        <v>1318</v>
      </c>
      <c r="B1319" s="2" t="s">
        <v>6715</v>
      </c>
      <c r="C1319" s="1" t="n">
        <v>11</v>
      </c>
      <c r="D1319" s="1" t="n">
        <v>14</v>
      </c>
      <c r="E1319" s="1" t="n">
        <v>16</v>
      </c>
      <c r="F1319" s="1" t="n">
        <v>28</v>
      </c>
      <c r="G1319" s="1" t="n">
        <v>34</v>
      </c>
      <c r="H1319" s="1" t="n">
        <v>46</v>
      </c>
      <c r="I1319" s="1" t="str">
        <f aca="false">RIGHT(("0"&amp;C1319),2)&amp;RIGHT(("0"&amp;D1319),2)&amp;RIGHT(("0"&amp;E1319),2)&amp;RIGHT(("0"&amp;F1319),2)&amp;RIGHT(("0"&amp;G1319),2)&amp;RIGHT(("0"&amp;H1319),2)</f>
        <v>111416283446</v>
      </c>
      <c r="J1319" s="1" t="n">
        <f aca="false">COUNTIF(I:I,I1319)</f>
        <v>1</v>
      </c>
      <c r="K1319" s="1" t="n">
        <v>0</v>
      </c>
      <c r="M1319" s="1" t="s">
        <v>23</v>
      </c>
      <c r="N1319" s="1" t="n">
        <v>140</v>
      </c>
      <c r="O1319" s="1" t="s">
        <v>6716</v>
      </c>
      <c r="P1319" s="1" t="n">
        <v>6962</v>
      </c>
      <c r="Q1319" s="1" t="s">
        <v>6717</v>
      </c>
      <c r="R1319" s="1" t="s">
        <v>6718</v>
      </c>
      <c r="S1319" s="1" t="s">
        <v>6719</v>
      </c>
      <c r="T1319" s="1" t="s">
        <v>4347</v>
      </c>
      <c r="U1319" s="1" t="s">
        <v>6720</v>
      </c>
    </row>
    <row r="1320" customFormat="false" ht="13.8" hidden="false" customHeight="false" outlineLevel="0" collapsed="false">
      <c r="A1320" s="1" t="n">
        <v>1319</v>
      </c>
      <c r="B1320" s="2" t="s">
        <v>6721</v>
      </c>
      <c r="C1320" s="1" t="n">
        <v>4</v>
      </c>
      <c r="D1320" s="1" t="n">
        <v>5</v>
      </c>
      <c r="E1320" s="1" t="n">
        <v>16</v>
      </c>
      <c r="F1320" s="1" t="n">
        <v>18</v>
      </c>
      <c r="G1320" s="1" t="n">
        <v>27</v>
      </c>
      <c r="H1320" s="1" t="n">
        <v>51</v>
      </c>
      <c r="I1320" s="1" t="str">
        <f aca="false">RIGHT(("0"&amp;C1320),2)&amp;RIGHT(("0"&amp;D1320),2)&amp;RIGHT(("0"&amp;E1320),2)&amp;RIGHT(("0"&amp;F1320),2)&amp;RIGHT(("0"&amp;G1320),2)&amp;RIGHT(("0"&amp;H1320),2)</f>
        <v>040516182751</v>
      </c>
      <c r="J1320" s="1" t="n">
        <f aca="false">COUNTIF(I:I,I1320)</f>
        <v>1</v>
      </c>
      <c r="K1320" s="1" t="n">
        <v>0</v>
      </c>
      <c r="M1320" s="1" t="s">
        <v>23</v>
      </c>
      <c r="N1320" s="1" t="n">
        <v>103</v>
      </c>
      <c r="O1320" s="1" t="s">
        <v>6722</v>
      </c>
      <c r="P1320" s="1" t="n">
        <v>7798</v>
      </c>
      <c r="Q1320" s="1" t="s">
        <v>6723</v>
      </c>
      <c r="R1320" s="1" t="s">
        <v>6724</v>
      </c>
      <c r="S1320" s="1" t="s">
        <v>6725</v>
      </c>
      <c r="T1320" s="1" t="s">
        <v>4718</v>
      </c>
      <c r="U1320" s="1" t="s">
        <v>6726</v>
      </c>
    </row>
    <row r="1321" customFormat="false" ht="13.8" hidden="false" customHeight="false" outlineLevel="0" collapsed="false">
      <c r="A1321" s="1" t="n">
        <v>1320</v>
      </c>
      <c r="B1321" s="2" t="s">
        <v>6727</v>
      </c>
      <c r="C1321" s="1" t="n">
        <v>17</v>
      </c>
      <c r="D1321" s="1" t="n">
        <v>24</v>
      </c>
      <c r="E1321" s="1" t="n">
        <v>25</v>
      </c>
      <c r="F1321" s="1" t="n">
        <v>38</v>
      </c>
      <c r="G1321" s="1" t="n">
        <v>41</v>
      </c>
      <c r="H1321" s="1" t="n">
        <v>55</v>
      </c>
      <c r="I1321" s="1" t="str">
        <f aca="false">RIGHT(("0"&amp;C1321),2)&amp;RIGHT(("0"&amp;D1321),2)&amp;RIGHT(("0"&amp;E1321),2)&amp;RIGHT(("0"&amp;F1321),2)&amp;RIGHT(("0"&amp;G1321),2)&amp;RIGHT(("0"&amp;H1321),2)</f>
        <v>172425384155</v>
      </c>
      <c r="J1321" s="1" t="n">
        <f aca="false">COUNTIF(I:I,I1321)</f>
        <v>1</v>
      </c>
      <c r="K1321" s="1" t="n">
        <v>0</v>
      </c>
      <c r="M1321" s="1" t="s">
        <v>23</v>
      </c>
      <c r="N1321" s="1" t="n">
        <v>128</v>
      </c>
      <c r="O1321" s="1" t="s">
        <v>6728</v>
      </c>
      <c r="P1321" s="1" t="n">
        <v>8496</v>
      </c>
      <c r="Q1321" s="1" t="s">
        <v>6729</v>
      </c>
      <c r="R1321" s="1" t="s">
        <v>6730</v>
      </c>
      <c r="S1321" s="1" t="s">
        <v>6731</v>
      </c>
      <c r="T1321" s="1" t="s">
        <v>6018</v>
      </c>
      <c r="U1321" s="1" t="s">
        <v>6732</v>
      </c>
    </row>
    <row r="1322" customFormat="false" ht="13.8" hidden="false" customHeight="false" outlineLevel="0" collapsed="false">
      <c r="A1322" s="1" t="n">
        <v>1321</v>
      </c>
      <c r="B1322" s="2" t="s">
        <v>6733</v>
      </c>
      <c r="C1322" s="1" t="n">
        <v>10</v>
      </c>
      <c r="D1322" s="1" t="n">
        <v>47</v>
      </c>
      <c r="E1322" s="1" t="n">
        <v>51</v>
      </c>
      <c r="F1322" s="1" t="n">
        <v>53</v>
      </c>
      <c r="G1322" s="1" t="n">
        <v>59</v>
      </c>
      <c r="H1322" s="1" t="n">
        <v>60</v>
      </c>
      <c r="I1322" s="1" t="str">
        <f aca="false">RIGHT(("0"&amp;C1322),2)&amp;RIGHT(("0"&amp;D1322),2)&amp;RIGHT(("0"&amp;E1322),2)&amp;RIGHT(("0"&amp;F1322),2)&amp;RIGHT(("0"&amp;G1322),2)&amp;RIGHT(("0"&amp;H1322),2)</f>
        <v>104751535960</v>
      </c>
      <c r="J1322" s="1" t="n">
        <f aca="false">COUNTIF(I:I,I1322)</f>
        <v>1</v>
      </c>
      <c r="K1322" s="1" t="n">
        <v>1</v>
      </c>
      <c r="L1322" s="1" t="s">
        <v>6734</v>
      </c>
      <c r="M1322" s="1" t="s">
        <v>6735</v>
      </c>
      <c r="N1322" s="1" t="n">
        <v>128</v>
      </c>
      <c r="O1322" s="1" t="s">
        <v>6736</v>
      </c>
      <c r="P1322" s="1" t="n">
        <v>11775</v>
      </c>
      <c r="Q1322" s="1" t="s">
        <v>6737</v>
      </c>
      <c r="R1322" s="1" t="s">
        <v>23</v>
      </c>
      <c r="S1322" s="1" t="s">
        <v>6738</v>
      </c>
      <c r="T1322" s="1" t="s">
        <v>4732</v>
      </c>
      <c r="U1322" s="1" t="s">
        <v>6739</v>
      </c>
    </row>
    <row r="1323" customFormat="false" ht="13.8" hidden="false" customHeight="false" outlineLevel="0" collapsed="false">
      <c r="A1323" s="1" t="n">
        <v>1322</v>
      </c>
      <c r="B1323" s="2" t="s">
        <v>6740</v>
      </c>
      <c r="C1323" s="1" t="n">
        <v>10</v>
      </c>
      <c r="D1323" s="1" t="n">
        <v>21</v>
      </c>
      <c r="E1323" s="1" t="n">
        <v>43</v>
      </c>
      <c r="F1323" s="1" t="n">
        <v>47</v>
      </c>
      <c r="G1323" s="1" t="n">
        <v>53</v>
      </c>
      <c r="H1323" s="1" t="n">
        <v>55</v>
      </c>
      <c r="I1323" s="1" t="str">
        <f aca="false">RIGHT(("0"&amp;C1323),2)&amp;RIGHT(("0"&amp;D1323),2)&amp;RIGHT(("0"&amp;E1323),2)&amp;RIGHT(("0"&amp;F1323),2)&amp;RIGHT(("0"&amp;G1323),2)&amp;RIGHT(("0"&amp;H1323),2)</f>
        <v>102143475355</v>
      </c>
      <c r="J1323" s="1" t="n">
        <f aca="false">COUNTIF(I:I,I1323)</f>
        <v>1</v>
      </c>
      <c r="K1323" s="1" t="n">
        <v>0</v>
      </c>
      <c r="M1323" s="1" t="s">
        <v>23</v>
      </c>
      <c r="N1323" s="1" t="n">
        <v>54</v>
      </c>
      <c r="O1323" s="1" t="s">
        <v>6741</v>
      </c>
      <c r="P1323" s="1" t="n">
        <v>3738</v>
      </c>
      <c r="Q1323" s="1" t="s">
        <v>6742</v>
      </c>
      <c r="R1323" s="1" t="s">
        <v>6743</v>
      </c>
      <c r="S1323" s="1" t="s">
        <v>6744</v>
      </c>
      <c r="T1323" s="1" t="s">
        <v>6745</v>
      </c>
      <c r="U1323" s="1" t="s">
        <v>6746</v>
      </c>
    </row>
    <row r="1324" customFormat="false" ht="13.8" hidden="false" customHeight="false" outlineLevel="0" collapsed="false">
      <c r="A1324" s="1" t="n">
        <v>1323</v>
      </c>
      <c r="B1324" s="2" t="s">
        <v>6747</v>
      </c>
      <c r="C1324" s="1" t="n">
        <v>6</v>
      </c>
      <c r="D1324" s="1" t="n">
        <v>15</v>
      </c>
      <c r="E1324" s="1" t="n">
        <v>25</v>
      </c>
      <c r="F1324" s="1" t="n">
        <v>37</v>
      </c>
      <c r="G1324" s="1" t="n">
        <v>48</v>
      </c>
      <c r="H1324" s="1" t="n">
        <v>55</v>
      </c>
      <c r="I1324" s="1" t="str">
        <f aca="false">RIGHT(("0"&amp;C1324),2)&amp;RIGHT(("0"&amp;D1324),2)&amp;RIGHT(("0"&amp;E1324),2)&amp;RIGHT(("0"&amp;F1324),2)&amp;RIGHT(("0"&amp;G1324),2)&amp;RIGHT(("0"&amp;H1324),2)</f>
        <v>061525374855</v>
      </c>
      <c r="J1324" s="1" t="n">
        <f aca="false">COUNTIF(I:I,I1324)</f>
        <v>1</v>
      </c>
      <c r="K1324" s="1" t="n">
        <v>0</v>
      </c>
      <c r="M1324" s="1" t="s">
        <v>23</v>
      </c>
      <c r="N1324" s="1" t="n">
        <v>58</v>
      </c>
      <c r="O1324" s="1" t="s">
        <v>6748</v>
      </c>
      <c r="P1324" s="1" t="n">
        <v>5387</v>
      </c>
      <c r="Q1324" s="1" t="s">
        <v>6749</v>
      </c>
      <c r="R1324" s="1" t="s">
        <v>6750</v>
      </c>
      <c r="S1324" s="1" t="s">
        <v>6751</v>
      </c>
      <c r="T1324" s="1" t="s">
        <v>4190</v>
      </c>
      <c r="U1324" s="1" t="s">
        <v>6752</v>
      </c>
    </row>
    <row r="1325" customFormat="false" ht="13.8" hidden="false" customHeight="false" outlineLevel="0" collapsed="false">
      <c r="A1325" s="1" t="n">
        <v>1324</v>
      </c>
      <c r="B1325" s="2" t="s">
        <v>6753</v>
      </c>
      <c r="C1325" s="1" t="n">
        <v>18</v>
      </c>
      <c r="D1325" s="1" t="n">
        <v>29</v>
      </c>
      <c r="E1325" s="1" t="n">
        <v>31</v>
      </c>
      <c r="F1325" s="1" t="n">
        <v>44</v>
      </c>
      <c r="G1325" s="1" t="n">
        <v>51</v>
      </c>
      <c r="H1325" s="1" t="n">
        <v>57</v>
      </c>
      <c r="I1325" s="1" t="str">
        <f aca="false">RIGHT(("0"&amp;C1325),2)&amp;RIGHT(("0"&amp;D1325),2)&amp;RIGHT(("0"&amp;E1325),2)&amp;RIGHT(("0"&amp;F1325),2)&amp;RIGHT(("0"&amp;G1325),2)&amp;RIGHT(("0"&amp;H1325),2)</f>
        <v>182931445157</v>
      </c>
      <c r="J1325" s="1" t="n">
        <f aca="false">COUNTIF(I:I,I1325)</f>
        <v>1</v>
      </c>
      <c r="K1325" s="1" t="n">
        <v>0</v>
      </c>
      <c r="M1325" s="1" t="s">
        <v>23</v>
      </c>
      <c r="N1325" s="1" t="n">
        <v>86</v>
      </c>
      <c r="O1325" s="1" t="s">
        <v>6754</v>
      </c>
      <c r="P1325" s="1" t="n">
        <v>5421</v>
      </c>
      <c r="Q1325" s="1" t="s">
        <v>6755</v>
      </c>
      <c r="R1325" s="1" t="s">
        <v>6756</v>
      </c>
      <c r="S1325" s="1" t="s">
        <v>6757</v>
      </c>
      <c r="T1325" s="1" t="s">
        <v>4213</v>
      </c>
      <c r="U1325" s="1" t="s">
        <v>6758</v>
      </c>
    </row>
    <row r="1326" customFormat="false" ht="13.8" hidden="false" customHeight="false" outlineLevel="0" collapsed="false">
      <c r="A1326" s="1" t="n">
        <v>1325</v>
      </c>
      <c r="B1326" s="2" t="s">
        <v>6759</v>
      </c>
      <c r="C1326" s="1" t="n">
        <v>2</v>
      </c>
      <c r="D1326" s="1" t="n">
        <v>5</v>
      </c>
      <c r="E1326" s="1" t="n">
        <v>16</v>
      </c>
      <c r="F1326" s="1" t="n">
        <v>20</v>
      </c>
      <c r="G1326" s="1" t="n">
        <v>35</v>
      </c>
      <c r="H1326" s="1" t="n">
        <v>43</v>
      </c>
      <c r="I1326" s="1" t="str">
        <f aca="false">RIGHT(("0"&amp;C1326),2)&amp;RIGHT(("0"&amp;D1326),2)&amp;RIGHT(("0"&amp;E1326),2)&amp;RIGHT(("0"&amp;F1326),2)&amp;RIGHT(("0"&amp;G1326),2)&amp;RIGHT(("0"&amp;H1326),2)</f>
        <v>020516203543</v>
      </c>
      <c r="J1326" s="1" t="n">
        <f aca="false">COUNTIF(I:I,I1326)</f>
        <v>1</v>
      </c>
      <c r="K1326" s="1" t="n">
        <v>0</v>
      </c>
      <c r="M1326" s="1" t="s">
        <v>23</v>
      </c>
      <c r="N1326" s="1" t="n">
        <v>195</v>
      </c>
      <c r="O1326" s="1" t="s">
        <v>6760</v>
      </c>
      <c r="P1326" s="1" t="n">
        <v>14090</v>
      </c>
      <c r="Q1326" s="1" t="s">
        <v>6761</v>
      </c>
      <c r="R1326" s="1" t="s">
        <v>6762</v>
      </c>
      <c r="S1326" s="1" t="s">
        <v>6763</v>
      </c>
      <c r="T1326" s="1" t="s">
        <v>4935</v>
      </c>
      <c r="U1326" s="1" t="s">
        <v>6764</v>
      </c>
    </row>
    <row r="1327" customFormat="false" ht="13.8" hidden="false" customHeight="false" outlineLevel="0" collapsed="false">
      <c r="A1327" s="1" t="n">
        <v>1326</v>
      </c>
      <c r="B1327" s="2" t="s">
        <v>6765</v>
      </c>
      <c r="C1327" s="1" t="n">
        <v>10</v>
      </c>
      <c r="D1327" s="1" t="n">
        <v>11</v>
      </c>
      <c r="E1327" s="1" t="n">
        <v>18</v>
      </c>
      <c r="F1327" s="1" t="n">
        <v>19</v>
      </c>
      <c r="G1327" s="1" t="n">
        <v>30</v>
      </c>
      <c r="H1327" s="1" t="n">
        <v>50</v>
      </c>
      <c r="I1327" s="1" t="str">
        <f aca="false">RIGHT(("0"&amp;C1327),2)&amp;RIGHT(("0"&amp;D1327),2)&amp;RIGHT(("0"&amp;E1327),2)&amp;RIGHT(("0"&amp;F1327),2)&amp;RIGHT(("0"&amp;G1327),2)&amp;RIGHT(("0"&amp;H1327),2)</f>
        <v>101118193050</v>
      </c>
      <c r="J1327" s="1" t="n">
        <f aca="false">COUNTIF(I:I,I1327)</f>
        <v>1</v>
      </c>
      <c r="K1327" s="1" t="n">
        <v>0</v>
      </c>
      <c r="M1327" s="1" t="s">
        <v>23</v>
      </c>
      <c r="N1327" s="1" t="n">
        <v>179</v>
      </c>
      <c r="O1327" s="1" t="s">
        <v>6766</v>
      </c>
      <c r="P1327" s="1" t="n">
        <v>13207</v>
      </c>
      <c r="Q1327" s="1" t="s">
        <v>6767</v>
      </c>
      <c r="R1327" s="1" t="s">
        <v>6768</v>
      </c>
      <c r="S1327" s="1" t="s">
        <v>6769</v>
      </c>
      <c r="T1327" s="1" t="s">
        <v>5294</v>
      </c>
      <c r="U1327" s="1" t="s">
        <v>6770</v>
      </c>
    </row>
    <row r="1328" customFormat="false" ht="13.8" hidden="false" customHeight="false" outlineLevel="0" collapsed="false">
      <c r="A1328" s="1" t="n">
        <v>1327</v>
      </c>
      <c r="B1328" s="2" t="s">
        <v>6771</v>
      </c>
      <c r="C1328" s="1" t="n">
        <v>16</v>
      </c>
      <c r="D1328" s="1" t="n">
        <v>35</v>
      </c>
      <c r="E1328" s="1" t="n">
        <v>36</v>
      </c>
      <c r="F1328" s="1" t="n">
        <v>41</v>
      </c>
      <c r="G1328" s="1" t="n">
        <v>52</v>
      </c>
      <c r="H1328" s="1" t="n">
        <v>54</v>
      </c>
      <c r="I1328" s="1" t="str">
        <f aca="false">RIGHT(("0"&amp;C1328),2)&amp;RIGHT(("0"&amp;D1328),2)&amp;RIGHT(("0"&amp;E1328),2)&amp;RIGHT(("0"&amp;F1328),2)&amp;RIGHT(("0"&amp;G1328),2)&amp;RIGHT(("0"&amp;H1328),2)</f>
        <v>163536415254</v>
      </c>
      <c r="J1328" s="1" t="n">
        <f aca="false">COUNTIF(I:I,I1328)</f>
        <v>1</v>
      </c>
      <c r="K1328" s="1" t="n">
        <v>0</v>
      </c>
      <c r="M1328" s="1" t="s">
        <v>23</v>
      </c>
      <c r="N1328" s="1" t="n">
        <v>89</v>
      </c>
      <c r="O1328" s="1" t="s">
        <v>6772</v>
      </c>
      <c r="P1328" s="1" t="n">
        <v>7175</v>
      </c>
      <c r="Q1328" s="1" t="s">
        <v>6773</v>
      </c>
      <c r="R1328" s="1" t="s">
        <v>6774</v>
      </c>
      <c r="S1328" s="1" t="s">
        <v>6775</v>
      </c>
      <c r="T1328" s="1" t="s">
        <v>6077</v>
      </c>
      <c r="U1328" s="1" t="s">
        <v>6776</v>
      </c>
      <c r="V1328" s="1" t="s">
        <v>6777</v>
      </c>
    </row>
    <row r="1329" customFormat="false" ht="13.8" hidden="false" customHeight="false" outlineLevel="0" collapsed="false">
      <c r="A1329" s="1" t="n">
        <v>1328</v>
      </c>
      <c r="B1329" s="2" t="s">
        <v>6778</v>
      </c>
      <c r="C1329" s="1" t="n">
        <v>10</v>
      </c>
      <c r="D1329" s="1" t="n">
        <v>23</v>
      </c>
      <c r="E1329" s="1" t="n">
        <v>27</v>
      </c>
      <c r="F1329" s="1" t="n">
        <v>43</v>
      </c>
      <c r="G1329" s="1" t="n">
        <v>53</v>
      </c>
      <c r="H1329" s="1" t="n">
        <v>59</v>
      </c>
      <c r="I1329" s="1" t="str">
        <f aca="false">RIGHT(("0"&amp;C1329),2)&amp;RIGHT(("0"&amp;D1329),2)&amp;RIGHT(("0"&amp;E1329),2)&amp;RIGHT(("0"&amp;F1329),2)&amp;RIGHT(("0"&amp;G1329),2)&amp;RIGHT(("0"&amp;H1329),2)</f>
        <v>102327435359</v>
      </c>
      <c r="J1329" s="1" t="n">
        <f aca="false">COUNTIF(I:I,I1329)</f>
        <v>1</v>
      </c>
      <c r="K1329" s="1" t="n">
        <v>1</v>
      </c>
      <c r="L1329" s="1" t="s">
        <v>6779</v>
      </c>
      <c r="M1329" s="1" t="s">
        <v>6780</v>
      </c>
      <c r="N1329" s="1" t="n">
        <v>213</v>
      </c>
      <c r="O1329" s="1" t="s">
        <v>6781</v>
      </c>
      <c r="P1329" s="1" t="n">
        <v>14179</v>
      </c>
      <c r="Q1329" s="1" t="s">
        <v>6782</v>
      </c>
      <c r="R1329" s="1" t="s">
        <v>23</v>
      </c>
      <c r="S1329" s="1" t="s">
        <v>6783</v>
      </c>
      <c r="T1329" s="1" t="s">
        <v>4732</v>
      </c>
      <c r="U1329" s="1" t="s">
        <v>6784</v>
      </c>
    </row>
    <row r="1330" customFormat="false" ht="13.8" hidden="false" customHeight="false" outlineLevel="0" collapsed="false">
      <c r="A1330" s="1" t="n">
        <v>1329</v>
      </c>
      <c r="B1330" s="2" t="s">
        <v>6785</v>
      </c>
      <c r="C1330" s="1" t="n">
        <v>7</v>
      </c>
      <c r="D1330" s="1" t="n">
        <v>8</v>
      </c>
      <c r="E1330" s="1" t="n">
        <v>11</v>
      </c>
      <c r="F1330" s="1" t="n">
        <v>39</v>
      </c>
      <c r="G1330" s="1" t="n">
        <v>43</v>
      </c>
      <c r="H1330" s="1" t="n">
        <v>50</v>
      </c>
      <c r="I1330" s="1" t="str">
        <f aca="false">RIGHT(("0"&amp;C1330),2)&amp;RIGHT(("0"&amp;D1330),2)&amp;RIGHT(("0"&amp;E1330),2)&amp;RIGHT(("0"&amp;F1330),2)&amp;RIGHT(("0"&amp;G1330),2)&amp;RIGHT(("0"&amp;H1330),2)</f>
        <v>070811394350</v>
      </c>
      <c r="J1330" s="1" t="n">
        <f aca="false">COUNTIF(I:I,I1330)</f>
        <v>1</v>
      </c>
      <c r="K1330" s="1" t="n">
        <v>0</v>
      </c>
      <c r="M1330" s="1" t="s">
        <v>23</v>
      </c>
      <c r="N1330" s="1" t="n">
        <v>66</v>
      </c>
      <c r="O1330" s="1" t="s">
        <v>6786</v>
      </c>
      <c r="P1330" s="1" t="n">
        <v>5244</v>
      </c>
      <c r="Q1330" s="1" t="s">
        <v>6787</v>
      </c>
      <c r="R1330" s="1" t="s">
        <v>6788</v>
      </c>
      <c r="S1330" s="1" t="s">
        <v>6789</v>
      </c>
      <c r="T1330" s="1" t="s">
        <v>4696</v>
      </c>
      <c r="U1330" s="1" t="s">
        <v>6790</v>
      </c>
    </row>
    <row r="1331" customFormat="false" ht="13.8" hidden="false" customHeight="false" outlineLevel="0" collapsed="false">
      <c r="A1331" s="1" t="n">
        <v>1330</v>
      </c>
      <c r="B1331" s="2" t="s">
        <v>6791</v>
      </c>
      <c r="C1331" s="1" t="n">
        <v>8</v>
      </c>
      <c r="D1331" s="1" t="n">
        <v>18</v>
      </c>
      <c r="E1331" s="1" t="n">
        <v>21</v>
      </c>
      <c r="F1331" s="1" t="n">
        <v>30</v>
      </c>
      <c r="G1331" s="1" t="n">
        <v>48</v>
      </c>
      <c r="H1331" s="1" t="n">
        <v>49</v>
      </c>
      <c r="I1331" s="1" t="str">
        <f aca="false">RIGHT(("0"&amp;C1331),2)&amp;RIGHT(("0"&amp;D1331),2)&amp;RIGHT(("0"&amp;E1331),2)&amp;RIGHT(("0"&amp;F1331),2)&amp;RIGHT(("0"&amp;G1331),2)&amp;RIGHT(("0"&amp;H1331),2)</f>
        <v>081821304849</v>
      </c>
      <c r="J1331" s="1" t="n">
        <f aca="false">COUNTIF(I:I,I1331)</f>
        <v>1</v>
      </c>
      <c r="K1331" s="1" t="n">
        <v>0</v>
      </c>
      <c r="M1331" s="1" t="s">
        <v>23</v>
      </c>
      <c r="N1331" s="1" t="n">
        <v>76</v>
      </c>
      <c r="O1331" s="1" t="s">
        <v>6792</v>
      </c>
      <c r="P1331" s="1" t="n">
        <v>6768</v>
      </c>
      <c r="Q1331" s="1" t="s">
        <v>6793</v>
      </c>
      <c r="R1331" s="1" t="s">
        <v>6794</v>
      </c>
      <c r="S1331" s="1" t="s">
        <v>6795</v>
      </c>
      <c r="T1331" s="1" t="s">
        <v>3892</v>
      </c>
      <c r="U1331" s="1" t="s">
        <v>6796</v>
      </c>
    </row>
    <row r="1332" customFormat="false" ht="13.8" hidden="false" customHeight="false" outlineLevel="0" collapsed="false">
      <c r="A1332" s="1" t="n">
        <v>1331</v>
      </c>
      <c r="B1332" s="2" t="s">
        <v>6797</v>
      </c>
      <c r="C1332" s="1" t="n">
        <v>9</v>
      </c>
      <c r="D1332" s="1" t="n">
        <v>24</v>
      </c>
      <c r="E1332" s="1" t="n">
        <v>26</v>
      </c>
      <c r="F1332" s="1" t="n">
        <v>39</v>
      </c>
      <c r="G1332" s="1" t="n">
        <v>46</v>
      </c>
      <c r="H1332" s="1" t="n">
        <v>57</v>
      </c>
      <c r="I1332" s="1" t="str">
        <f aca="false">RIGHT(("0"&amp;C1332),2)&amp;RIGHT(("0"&amp;D1332),2)&amp;RIGHT(("0"&amp;E1332),2)&amp;RIGHT(("0"&amp;F1332),2)&amp;RIGHT(("0"&amp;G1332),2)&amp;RIGHT(("0"&amp;H1332),2)</f>
        <v>092426394657</v>
      </c>
      <c r="J1332" s="1" t="n">
        <f aca="false">COUNTIF(I:I,I1332)</f>
        <v>1</v>
      </c>
      <c r="K1332" s="1" t="n">
        <v>1</v>
      </c>
      <c r="L1332" s="1" t="s">
        <v>6798</v>
      </c>
      <c r="M1332" s="1" t="s">
        <v>6799</v>
      </c>
      <c r="N1332" s="1" t="n">
        <v>157</v>
      </c>
      <c r="O1332" s="1" t="s">
        <v>6800</v>
      </c>
      <c r="P1332" s="1" t="n">
        <v>11461</v>
      </c>
      <c r="Q1332" s="1" t="s">
        <v>6801</v>
      </c>
      <c r="R1332" s="1" t="s">
        <v>23</v>
      </c>
      <c r="S1332" s="1" t="s">
        <v>6802</v>
      </c>
      <c r="T1332" s="1" t="s">
        <v>4732</v>
      </c>
      <c r="U1332" s="1" t="s">
        <v>6803</v>
      </c>
    </row>
    <row r="1333" customFormat="false" ht="13.8" hidden="false" customHeight="false" outlineLevel="0" collapsed="false">
      <c r="A1333" s="1" t="n">
        <v>1332</v>
      </c>
      <c r="B1333" s="2" t="s">
        <v>6804</v>
      </c>
      <c r="C1333" s="1" t="n">
        <v>3</v>
      </c>
      <c r="D1333" s="1" t="n">
        <v>5</v>
      </c>
      <c r="E1333" s="1" t="n">
        <v>13</v>
      </c>
      <c r="F1333" s="1" t="n">
        <v>24</v>
      </c>
      <c r="G1333" s="1" t="n">
        <v>35</v>
      </c>
      <c r="H1333" s="1" t="n">
        <v>59</v>
      </c>
      <c r="I1333" s="1" t="str">
        <f aca="false">RIGHT(("0"&amp;C1333),2)&amp;RIGHT(("0"&amp;D1333),2)&amp;RIGHT(("0"&amp;E1333),2)&amp;RIGHT(("0"&amp;F1333),2)&amp;RIGHT(("0"&amp;G1333),2)&amp;RIGHT(("0"&amp;H1333),2)</f>
        <v>030513243559</v>
      </c>
      <c r="J1333" s="1" t="n">
        <f aca="false">COUNTIF(I:I,I1333)</f>
        <v>1</v>
      </c>
      <c r="K1333" s="1" t="n">
        <v>1</v>
      </c>
      <c r="L1333" s="1" t="s">
        <v>5633</v>
      </c>
      <c r="M1333" s="1" t="s">
        <v>6805</v>
      </c>
      <c r="N1333" s="1" t="n">
        <v>150</v>
      </c>
      <c r="O1333" s="1" t="s">
        <v>6806</v>
      </c>
      <c r="P1333" s="1" t="n">
        <v>10790</v>
      </c>
      <c r="Q1333" s="1" t="s">
        <v>6807</v>
      </c>
      <c r="R1333" s="1" t="s">
        <v>23</v>
      </c>
      <c r="S1333" s="1" t="s">
        <v>6808</v>
      </c>
      <c r="T1333" s="1" t="s">
        <v>4732</v>
      </c>
      <c r="U1333" s="1" t="s">
        <v>6809</v>
      </c>
    </row>
    <row r="1334" customFormat="false" ht="13.8" hidden="false" customHeight="false" outlineLevel="0" collapsed="false">
      <c r="A1334" s="1" t="n">
        <v>1333</v>
      </c>
      <c r="B1334" s="2" t="s">
        <v>6810</v>
      </c>
      <c r="C1334" s="1" t="n">
        <v>25</v>
      </c>
      <c r="D1334" s="1" t="n">
        <v>26</v>
      </c>
      <c r="E1334" s="1" t="n">
        <v>28</v>
      </c>
      <c r="F1334" s="1" t="n">
        <v>33</v>
      </c>
      <c r="G1334" s="1" t="n">
        <v>42</v>
      </c>
      <c r="H1334" s="1" t="n">
        <v>51</v>
      </c>
      <c r="I1334" s="1" t="str">
        <f aca="false">RIGHT(("0"&amp;C1334),2)&amp;RIGHT(("0"&amp;D1334),2)&amp;RIGHT(("0"&amp;E1334),2)&amp;RIGHT(("0"&amp;F1334),2)&amp;RIGHT(("0"&amp;G1334),2)&amp;RIGHT(("0"&amp;H1334),2)</f>
        <v>252628334251</v>
      </c>
      <c r="J1334" s="1" t="n">
        <f aca="false">COUNTIF(I:I,I1334)</f>
        <v>1</v>
      </c>
      <c r="K1334" s="1" t="n">
        <v>0</v>
      </c>
      <c r="M1334" s="1" t="s">
        <v>23</v>
      </c>
      <c r="N1334" s="1" t="n">
        <v>54</v>
      </c>
      <c r="O1334" s="1" t="s">
        <v>6811</v>
      </c>
      <c r="P1334" s="1" t="n">
        <v>3893</v>
      </c>
      <c r="Q1334" s="1" t="s">
        <v>6812</v>
      </c>
      <c r="R1334" s="1" t="s">
        <v>6813</v>
      </c>
      <c r="S1334" s="1" t="s">
        <v>6814</v>
      </c>
      <c r="T1334" s="1" t="s">
        <v>4227</v>
      </c>
      <c r="U1334" s="1" t="s">
        <v>6815</v>
      </c>
    </row>
    <row r="1335" customFormat="false" ht="13.8" hidden="false" customHeight="false" outlineLevel="0" collapsed="false">
      <c r="A1335" s="1" t="n">
        <v>1334</v>
      </c>
      <c r="B1335" s="2" t="s">
        <v>6816</v>
      </c>
      <c r="C1335" s="1" t="n">
        <v>1</v>
      </c>
      <c r="D1335" s="1" t="n">
        <v>6</v>
      </c>
      <c r="E1335" s="1" t="n">
        <v>8</v>
      </c>
      <c r="F1335" s="1" t="n">
        <v>10</v>
      </c>
      <c r="G1335" s="1" t="n">
        <v>25</v>
      </c>
      <c r="H1335" s="1" t="n">
        <v>27</v>
      </c>
      <c r="I1335" s="1" t="str">
        <f aca="false">RIGHT(("0"&amp;C1335),2)&amp;RIGHT(("0"&amp;D1335),2)&amp;RIGHT(("0"&amp;E1335),2)&amp;RIGHT(("0"&amp;F1335),2)&amp;RIGHT(("0"&amp;G1335),2)&amp;RIGHT(("0"&amp;H1335),2)</f>
        <v>010608102527</v>
      </c>
      <c r="J1335" s="1" t="n">
        <f aca="false">COUNTIF(I:I,I1335)</f>
        <v>1</v>
      </c>
      <c r="K1335" s="1" t="n">
        <v>0</v>
      </c>
      <c r="M1335" s="1" t="s">
        <v>23</v>
      </c>
      <c r="N1335" s="1" t="n">
        <v>392</v>
      </c>
      <c r="O1335" s="1" t="s">
        <v>6817</v>
      </c>
      <c r="P1335" s="1" t="n">
        <v>16794</v>
      </c>
      <c r="Q1335" s="1" t="s">
        <v>6818</v>
      </c>
      <c r="R1335" s="1" t="s">
        <v>6819</v>
      </c>
      <c r="S1335" s="1" t="s">
        <v>6820</v>
      </c>
      <c r="T1335" s="1" t="s">
        <v>4299</v>
      </c>
      <c r="U1335" s="1" t="s">
        <v>6821</v>
      </c>
      <c r="V1335" s="1" t="s">
        <v>6777</v>
      </c>
    </row>
    <row r="1336" customFormat="false" ht="13.8" hidden="false" customHeight="false" outlineLevel="0" collapsed="false">
      <c r="A1336" s="1" t="n">
        <v>1335</v>
      </c>
      <c r="B1336" s="2" t="s">
        <v>6822</v>
      </c>
      <c r="C1336" s="1" t="n">
        <v>3</v>
      </c>
      <c r="D1336" s="1" t="n">
        <v>14</v>
      </c>
      <c r="E1336" s="1" t="n">
        <v>20</v>
      </c>
      <c r="F1336" s="1" t="n">
        <v>22</v>
      </c>
      <c r="G1336" s="1" t="n">
        <v>49</v>
      </c>
      <c r="H1336" s="1" t="n">
        <v>51</v>
      </c>
      <c r="I1336" s="1" t="str">
        <f aca="false">RIGHT(("0"&amp;C1336),2)&amp;RIGHT(("0"&amp;D1336),2)&amp;RIGHT(("0"&amp;E1336),2)&amp;RIGHT(("0"&amp;F1336),2)&amp;RIGHT(("0"&amp;G1336),2)&amp;RIGHT(("0"&amp;H1336),2)</f>
        <v>031420224951</v>
      </c>
      <c r="J1336" s="1" t="n">
        <f aca="false">COUNTIF(I:I,I1336)</f>
        <v>1</v>
      </c>
      <c r="K1336" s="1" t="n">
        <v>1</v>
      </c>
      <c r="L1336" s="1" t="s">
        <v>6823</v>
      </c>
      <c r="M1336" s="1" t="s">
        <v>6824</v>
      </c>
      <c r="N1336" s="1" t="n">
        <v>94</v>
      </c>
      <c r="O1336" s="1" t="s">
        <v>6825</v>
      </c>
      <c r="P1336" s="1" t="n">
        <v>7457</v>
      </c>
      <c r="Q1336" s="1" t="s">
        <v>6826</v>
      </c>
      <c r="R1336" s="1" t="s">
        <v>23</v>
      </c>
      <c r="S1336" s="1" t="s">
        <v>6827</v>
      </c>
      <c r="T1336" s="1" t="s">
        <v>4256</v>
      </c>
      <c r="U1336" s="1" t="s">
        <v>6828</v>
      </c>
      <c r="V1336" s="1" t="s">
        <v>6777</v>
      </c>
    </row>
    <row r="1337" customFormat="false" ht="13.8" hidden="false" customHeight="false" outlineLevel="0" collapsed="false">
      <c r="A1337" s="1" t="n">
        <v>1336</v>
      </c>
      <c r="B1337" s="2" t="s">
        <v>6829</v>
      </c>
      <c r="C1337" s="1" t="n">
        <v>1</v>
      </c>
      <c r="D1337" s="1" t="n">
        <v>32</v>
      </c>
      <c r="E1337" s="1" t="n">
        <v>38</v>
      </c>
      <c r="F1337" s="1" t="n">
        <v>47</v>
      </c>
      <c r="G1337" s="1" t="n">
        <v>51</v>
      </c>
      <c r="H1337" s="1" t="n">
        <v>54</v>
      </c>
      <c r="I1337" s="1" t="str">
        <f aca="false">RIGHT(("0"&amp;C1337),2)&amp;RIGHT(("0"&amp;D1337),2)&amp;RIGHT(("0"&amp;E1337),2)&amp;RIGHT(("0"&amp;F1337),2)&amp;RIGHT(("0"&amp;G1337),2)&amp;RIGHT(("0"&amp;H1337),2)</f>
        <v>013238475154</v>
      </c>
      <c r="J1337" s="1" t="n">
        <f aca="false">COUNTIF(I:I,I1337)</f>
        <v>1</v>
      </c>
      <c r="K1337" s="1" t="n">
        <v>1</v>
      </c>
      <c r="L1337" s="1" t="s">
        <v>6830</v>
      </c>
      <c r="M1337" s="1" t="s">
        <v>6831</v>
      </c>
      <c r="N1337" s="1" t="n">
        <v>38</v>
      </c>
      <c r="O1337" s="1" t="s">
        <v>6832</v>
      </c>
      <c r="P1337" s="1" t="n">
        <v>3539</v>
      </c>
      <c r="Q1337" s="1" t="s">
        <v>6833</v>
      </c>
      <c r="R1337" s="1" t="s">
        <v>23</v>
      </c>
      <c r="S1337" s="1" t="s">
        <v>6834</v>
      </c>
      <c r="T1337" s="1" t="s">
        <v>4732</v>
      </c>
      <c r="U1337" s="1" t="s">
        <v>6835</v>
      </c>
    </row>
    <row r="1338" customFormat="false" ht="13.8" hidden="false" customHeight="false" outlineLevel="0" collapsed="false">
      <c r="A1338" s="1" t="n">
        <v>1337</v>
      </c>
      <c r="B1338" s="2" t="s">
        <v>6836</v>
      </c>
      <c r="C1338" s="1" t="n">
        <v>2</v>
      </c>
      <c r="D1338" s="1" t="n">
        <v>20</v>
      </c>
      <c r="E1338" s="1" t="n">
        <v>35</v>
      </c>
      <c r="F1338" s="1" t="n">
        <v>38</v>
      </c>
      <c r="G1338" s="1" t="n">
        <v>45</v>
      </c>
      <c r="H1338" s="1" t="n">
        <v>51</v>
      </c>
      <c r="I1338" s="1" t="str">
        <f aca="false">RIGHT(("0"&amp;C1338),2)&amp;RIGHT(("0"&amp;D1338),2)&amp;RIGHT(("0"&amp;E1338),2)&amp;RIGHT(("0"&amp;F1338),2)&amp;RIGHT(("0"&amp;G1338),2)&amp;RIGHT(("0"&amp;H1338),2)</f>
        <v>022035384551</v>
      </c>
      <c r="J1338" s="1" t="n">
        <f aca="false">COUNTIF(I:I,I1338)</f>
        <v>1</v>
      </c>
      <c r="K1338" s="1" t="n">
        <v>0</v>
      </c>
      <c r="M1338" s="1" t="s">
        <v>23</v>
      </c>
      <c r="N1338" s="1" t="n">
        <v>30</v>
      </c>
      <c r="O1338" s="1" t="s">
        <v>6837</v>
      </c>
      <c r="P1338" s="1" t="n">
        <v>2680</v>
      </c>
      <c r="Q1338" s="1" t="s">
        <v>6838</v>
      </c>
      <c r="R1338" s="1" t="s">
        <v>6839</v>
      </c>
      <c r="S1338" s="1" t="s">
        <v>6840</v>
      </c>
      <c r="T1338" s="1" t="s">
        <v>4227</v>
      </c>
      <c r="U1338" s="1" t="s">
        <v>6841</v>
      </c>
    </row>
    <row r="1339" customFormat="false" ht="13.8" hidden="false" customHeight="false" outlineLevel="0" collapsed="false">
      <c r="A1339" s="1" t="n">
        <v>1338</v>
      </c>
      <c r="B1339" s="2" t="s">
        <v>6842</v>
      </c>
      <c r="C1339" s="1" t="n">
        <v>1</v>
      </c>
      <c r="D1339" s="1" t="n">
        <v>18</v>
      </c>
      <c r="E1339" s="1" t="n">
        <v>19</v>
      </c>
      <c r="F1339" s="1" t="n">
        <v>33</v>
      </c>
      <c r="G1339" s="1" t="n">
        <v>43</v>
      </c>
      <c r="H1339" s="1" t="n">
        <v>60</v>
      </c>
      <c r="I1339" s="1" t="str">
        <f aca="false">RIGHT(("0"&amp;C1339),2)&amp;RIGHT(("0"&amp;D1339),2)&amp;RIGHT(("0"&amp;E1339),2)&amp;RIGHT(("0"&amp;F1339),2)&amp;RIGHT(("0"&amp;G1339),2)&amp;RIGHT(("0"&amp;H1339),2)</f>
        <v>011819334360</v>
      </c>
      <c r="J1339" s="1" t="n">
        <f aca="false">COUNTIF(I:I,I1339)</f>
        <v>1</v>
      </c>
      <c r="K1339" s="1" t="n">
        <v>1</v>
      </c>
      <c r="L1339" s="1" t="s">
        <v>6843</v>
      </c>
      <c r="M1339" s="1" t="s">
        <v>6844</v>
      </c>
      <c r="N1339" s="1" t="n">
        <v>102</v>
      </c>
      <c r="O1339" s="1" t="s">
        <v>6845</v>
      </c>
      <c r="P1339" s="1" t="n">
        <v>6329</v>
      </c>
      <c r="Q1339" s="1" t="s">
        <v>6846</v>
      </c>
      <c r="R1339" s="1" t="s">
        <v>23</v>
      </c>
      <c r="S1339" s="1" t="s">
        <v>6847</v>
      </c>
      <c r="T1339" s="1" t="s">
        <v>4612</v>
      </c>
      <c r="U1339" s="1" t="s">
        <v>6848</v>
      </c>
    </row>
    <row r="1340" customFormat="false" ht="13.8" hidden="false" customHeight="false" outlineLevel="0" collapsed="false">
      <c r="A1340" s="1" t="n">
        <v>1339</v>
      </c>
      <c r="B1340" s="2" t="s">
        <v>6849</v>
      </c>
      <c r="C1340" s="1" t="n">
        <v>7</v>
      </c>
      <c r="D1340" s="1" t="n">
        <v>10</v>
      </c>
      <c r="E1340" s="1" t="n">
        <v>14</v>
      </c>
      <c r="F1340" s="1" t="n">
        <v>16</v>
      </c>
      <c r="G1340" s="1" t="n">
        <v>54</v>
      </c>
      <c r="H1340" s="1" t="n">
        <v>59</v>
      </c>
      <c r="I1340" s="1" t="str">
        <f aca="false">RIGHT(("0"&amp;C1340),2)&amp;RIGHT(("0"&amp;D1340),2)&amp;RIGHT(("0"&amp;E1340),2)&amp;RIGHT(("0"&amp;F1340),2)&amp;RIGHT(("0"&amp;G1340),2)&amp;RIGHT(("0"&amp;H1340),2)</f>
        <v>071014165459</v>
      </c>
      <c r="J1340" s="1" t="n">
        <f aca="false">COUNTIF(I:I,I1340)</f>
        <v>1</v>
      </c>
      <c r="K1340" s="1" t="n">
        <v>0</v>
      </c>
      <c r="M1340" s="1" t="s">
        <v>23</v>
      </c>
      <c r="N1340" s="1" t="n">
        <v>58</v>
      </c>
      <c r="O1340" s="1" t="s">
        <v>6850</v>
      </c>
      <c r="P1340" s="1" t="n">
        <v>5087</v>
      </c>
      <c r="Q1340" s="1" t="s">
        <v>6851</v>
      </c>
      <c r="R1340" s="1" t="s">
        <v>6852</v>
      </c>
      <c r="S1340" s="1" t="s">
        <v>6853</v>
      </c>
      <c r="T1340" s="1" t="s">
        <v>3928</v>
      </c>
      <c r="U1340" s="1" t="s">
        <v>6854</v>
      </c>
    </row>
    <row r="1341" customFormat="false" ht="13.8" hidden="false" customHeight="false" outlineLevel="0" collapsed="false">
      <c r="A1341" s="1" t="n">
        <v>1340</v>
      </c>
      <c r="B1341" s="2" t="s">
        <v>6855</v>
      </c>
      <c r="C1341" s="1" t="n">
        <v>13</v>
      </c>
      <c r="D1341" s="1" t="n">
        <v>21</v>
      </c>
      <c r="E1341" s="1" t="n">
        <v>30</v>
      </c>
      <c r="F1341" s="1" t="n">
        <v>36</v>
      </c>
      <c r="G1341" s="1" t="n">
        <v>59</v>
      </c>
      <c r="H1341" s="1" t="n">
        <v>60</v>
      </c>
      <c r="I1341" s="1" t="str">
        <f aca="false">RIGHT(("0"&amp;C1341),2)&amp;RIGHT(("0"&amp;D1341),2)&amp;RIGHT(("0"&amp;E1341),2)&amp;RIGHT(("0"&amp;F1341),2)&amp;RIGHT(("0"&amp;G1341),2)&amp;RIGHT(("0"&amp;H1341),2)</f>
        <v>132130365960</v>
      </c>
      <c r="J1341" s="1" t="n">
        <f aca="false">COUNTIF(I:I,I1341)</f>
        <v>1</v>
      </c>
      <c r="K1341" s="1" t="n">
        <v>0</v>
      </c>
      <c r="M1341" s="1" t="s">
        <v>23</v>
      </c>
      <c r="N1341" s="1" t="n">
        <v>71</v>
      </c>
      <c r="O1341" s="1" t="s">
        <v>6856</v>
      </c>
      <c r="P1341" s="1" t="n">
        <v>6148</v>
      </c>
      <c r="Q1341" s="1" t="s">
        <v>6857</v>
      </c>
      <c r="R1341" s="1" t="s">
        <v>6858</v>
      </c>
      <c r="S1341" s="1" t="s">
        <v>6859</v>
      </c>
      <c r="T1341" s="1" t="s">
        <v>4273</v>
      </c>
      <c r="U1341" s="1" t="s">
        <v>6860</v>
      </c>
    </row>
    <row r="1342" customFormat="false" ht="13.8" hidden="false" customHeight="false" outlineLevel="0" collapsed="false">
      <c r="A1342" s="1" t="n">
        <v>1341</v>
      </c>
      <c r="B1342" s="2" t="s">
        <v>6861</v>
      </c>
      <c r="C1342" s="1" t="n">
        <v>1</v>
      </c>
      <c r="D1342" s="1" t="n">
        <v>11</v>
      </c>
      <c r="E1342" s="1" t="n">
        <v>20</v>
      </c>
      <c r="F1342" s="1" t="n">
        <v>37</v>
      </c>
      <c r="G1342" s="1" t="n">
        <v>40</v>
      </c>
      <c r="H1342" s="1" t="n">
        <v>52</v>
      </c>
      <c r="I1342" s="1" t="str">
        <f aca="false">RIGHT(("0"&amp;C1342),2)&amp;RIGHT(("0"&amp;D1342),2)&amp;RIGHT(("0"&amp;E1342),2)&amp;RIGHT(("0"&amp;F1342),2)&amp;RIGHT(("0"&amp;G1342),2)&amp;RIGHT(("0"&amp;H1342),2)</f>
        <v>011120374052</v>
      </c>
      <c r="J1342" s="1" t="n">
        <f aca="false">COUNTIF(I:I,I1342)</f>
        <v>1</v>
      </c>
      <c r="K1342" s="1" t="n">
        <v>0</v>
      </c>
      <c r="M1342" s="1" t="s">
        <v>23</v>
      </c>
      <c r="N1342" s="1" t="n">
        <v>90</v>
      </c>
      <c r="O1342" s="1" t="s">
        <v>6862</v>
      </c>
      <c r="P1342" s="1" t="n">
        <v>6566</v>
      </c>
      <c r="Q1342" s="1" t="s">
        <v>6863</v>
      </c>
      <c r="R1342" s="1" t="s">
        <v>6864</v>
      </c>
      <c r="S1342" s="1" t="s">
        <v>6865</v>
      </c>
      <c r="T1342" s="1" t="s">
        <v>4718</v>
      </c>
      <c r="U1342" s="1" t="s">
        <v>6866</v>
      </c>
    </row>
    <row r="1343" customFormat="false" ht="13.8" hidden="false" customHeight="false" outlineLevel="0" collapsed="false">
      <c r="A1343" s="1" t="n">
        <v>1342</v>
      </c>
      <c r="B1343" s="2" t="s">
        <v>6867</v>
      </c>
      <c r="C1343" s="1" t="n">
        <v>5</v>
      </c>
      <c r="D1343" s="1" t="n">
        <v>7</v>
      </c>
      <c r="E1343" s="1" t="n">
        <v>42</v>
      </c>
      <c r="F1343" s="1" t="n">
        <v>46</v>
      </c>
      <c r="G1343" s="1" t="n">
        <v>50</v>
      </c>
      <c r="H1343" s="1" t="n">
        <v>60</v>
      </c>
      <c r="I1343" s="1" t="str">
        <f aca="false">RIGHT(("0"&amp;C1343),2)&amp;RIGHT(("0"&amp;D1343),2)&amp;RIGHT(("0"&amp;E1343),2)&amp;RIGHT(("0"&amp;F1343),2)&amp;RIGHT(("0"&amp;G1343),2)&amp;RIGHT(("0"&amp;H1343),2)</f>
        <v>050742465060</v>
      </c>
      <c r="J1343" s="1" t="n">
        <f aca="false">COUNTIF(I:I,I1343)</f>
        <v>1</v>
      </c>
      <c r="K1343" s="1" t="n">
        <v>0</v>
      </c>
      <c r="M1343" s="1" t="s">
        <v>23</v>
      </c>
      <c r="N1343" s="1" t="n">
        <v>102</v>
      </c>
      <c r="O1343" s="1" t="s">
        <v>6868</v>
      </c>
      <c r="P1343" s="1" t="n">
        <v>8092</v>
      </c>
      <c r="Q1343" s="1" t="s">
        <v>6869</v>
      </c>
      <c r="R1343" s="1" t="s">
        <v>6870</v>
      </c>
      <c r="S1343" s="1" t="s">
        <v>6871</v>
      </c>
      <c r="T1343" s="1" t="s">
        <v>6018</v>
      </c>
      <c r="U1343" s="1" t="s">
        <v>6872</v>
      </c>
    </row>
    <row r="1344" customFormat="false" ht="13.8" hidden="false" customHeight="false" outlineLevel="0" collapsed="false">
      <c r="A1344" s="1" t="n">
        <v>1343</v>
      </c>
      <c r="B1344" s="2" t="s">
        <v>6873</v>
      </c>
      <c r="C1344" s="1" t="n">
        <v>19</v>
      </c>
      <c r="D1344" s="1" t="n">
        <v>20</v>
      </c>
      <c r="E1344" s="1" t="n">
        <v>31</v>
      </c>
      <c r="F1344" s="1" t="n">
        <v>42</v>
      </c>
      <c r="G1344" s="1" t="n">
        <v>51</v>
      </c>
      <c r="H1344" s="1" t="n">
        <v>56</v>
      </c>
      <c r="I1344" s="1" t="str">
        <f aca="false">RIGHT(("0"&amp;C1344),2)&amp;RIGHT(("0"&amp;D1344),2)&amp;RIGHT(("0"&amp;E1344),2)&amp;RIGHT(("0"&amp;F1344),2)&amp;RIGHT(("0"&amp;G1344),2)&amp;RIGHT(("0"&amp;H1344),2)</f>
        <v>192031425156</v>
      </c>
      <c r="J1344" s="1" t="n">
        <f aca="false">COUNTIF(I:I,I1344)</f>
        <v>1</v>
      </c>
      <c r="K1344" s="1" t="n">
        <v>0</v>
      </c>
      <c r="M1344" s="1" t="s">
        <v>23</v>
      </c>
      <c r="N1344" s="1" t="n">
        <v>58</v>
      </c>
      <c r="O1344" s="1" t="s">
        <v>6874</v>
      </c>
      <c r="P1344" s="1" t="n">
        <v>6113</v>
      </c>
      <c r="Q1344" s="1" t="s">
        <v>6875</v>
      </c>
      <c r="R1344" s="1" t="s">
        <v>6876</v>
      </c>
      <c r="S1344" s="1" t="s">
        <v>6877</v>
      </c>
      <c r="T1344" s="1" t="s">
        <v>6025</v>
      </c>
      <c r="U1344" s="1" t="s">
        <v>6878</v>
      </c>
    </row>
    <row r="1345" customFormat="false" ht="13.8" hidden="false" customHeight="false" outlineLevel="0" collapsed="false">
      <c r="A1345" s="1" t="n">
        <v>1344</v>
      </c>
      <c r="B1345" s="2" t="s">
        <v>6879</v>
      </c>
      <c r="C1345" s="1" t="n">
        <v>8</v>
      </c>
      <c r="D1345" s="1" t="n">
        <v>19</v>
      </c>
      <c r="E1345" s="1" t="n">
        <v>21</v>
      </c>
      <c r="F1345" s="1" t="n">
        <v>36</v>
      </c>
      <c r="G1345" s="1" t="n">
        <v>42</v>
      </c>
      <c r="H1345" s="1" t="n">
        <v>59</v>
      </c>
      <c r="I1345" s="1" t="str">
        <f aca="false">RIGHT(("0"&amp;C1345),2)&amp;RIGHT(("0"&amp;D1345),2)&amp;RIGHT(("0"&amp;E1345),2)&amp;RIGHT(("0"&amp;F1345),2)&amp;RIGHT(("0"&amp;G1345),2)&amp;RIGHT(("0"&amp;H1345),2)</f>
        <v>081921364259</v>
      </c>
      <c r="J1345" s="1" t="n">
        <f aca="false">COUNTIF(I:I,I1345)</f>
        <v>1</v>
      </c>
      <c r="K1345" s="1" t="n">
        <v>3</v>
      </c>
      <c r="L1345" s="1" t="s">
        <v>6880</v>
      </c>
      <c r="M1345" s="1" t="s">
        <v>6881</v>
      </c>
      <c r="N1345" s="1" t="n">
        <v>236</v>
      </c>
      <c r="O1345" s="1" t="s">
        <v>6882</v>
      </c>
      <c r="P1345" s="1" t="n">
        <v>13393</v>
      </c>
      <c r="Q1345" s="1" t="s">
        <v>6883</v>
      </c>
      <c r="R1345" s="1" t="s">
        <v>23</v>
      </c>
      <c r="S1345" s="1" t="s">
        <v>6884</v>
      </c>
      <c r="T1345" s="1" t="s">
        <v>4273</v>
      </c>
      <c r="U1345" s="1" t="s">
        <v>6885</v>
      </c>
    </row>
    <row r="1346" customFormat="false" ht="13.8" hidden="false" customHeight="false" outlineLevel="0" collapsed="false">
      <c r="A1346" s="1" t="n">
        <v>1345</v>
      </c>
      <c r="B1346" s="2" t="s">
        <v>6886</v>
      </c>
      <c r="C1346" s="1" t="n">
        <v>7</v>
      </c>
      <c r="D1346" s="1" t="n">
        <v>17</v>
      </c>
      <c r="E1346" s="1" t="n">
        <v>19</v>
      </c>
      <c r="F1346" s="1" t="n">
        <v>26</v>
      </c>
      <c r="G1346" s="1" t="n">
        <v>40</v>
      </c>
      <c r="H1346" s="1" t="n">
        <v>50</v>
      </c>
      <c r="I1346" s="1" t="str">
        <f aca="false">RIGHT(("0"&amp;C1346),2)&amp;RIGHT(("0"&amp;D1346),2)&amp;RIGHT(("0"&amp;E1346),2)&amp;RIGHT(("0"&amp;F1346),2)&amp;RIGHT(("0"&amp;G1346),2)&amp;RIGHT(("0"&amp;H1346),2)</f>
        <v>071719264050</v>
      </c>
      <c r="J1346" s="1" t="n">
        <f aca="false">COUNTIF(I:I,I1346)</f>
        <v>1</v>
      </c>
      <c r="K1346" s="1" t="n">
        <v>0</v>
      </c>
      <c r="M1346" s="1" t="s">
        <v>23</v>
      </c>
      <c r="N1346" s="1" t="n">
        <v>74</v>
      </c>
      <c r="O1346" s="1" t="s">
        <v>6887</v>
      </c>
      <c r="P1346" s="1" t="n">
        <v>6043</v>
      </c>
      <c r="Q1346" s="1" t="s">
        <v>6888</v>
      </c>
      <c r="R1346" s="1" t="s">
        <v>6889</v>
      </c>
      <c r="S1346" s="1" t="s">
        <v>6890</v>
      </c>
      <c r="T1346" s="1" t="s">
        <v>4328</v>
      </c>
      <c r="U1346" s="1" t="s">
        <v>6891</v>
      </c>
      <c r="V1346" s="1" t="s">
        <v>6777</v>
      </c>
    </row>
    <row r="1347" customFormat="false" ht="13.8" hidden="false" customHeight="false" outlineLevel="0" collapsed="false">
      <c r="A1347" s="1" t="n">
        <v>1346</v>
      </c>
      <c r="B1347" s="2" t="s">
        <v>6892</v>
      </c>
      <c r="C1347" s="1" t="n">
        <v>12</v>
      </c>
      <c r="D1347" s="1" t="n">
        <v>32</v>
      </c>
      <c r="E1347" s="1" t="n">
        <v>40</v>
      </c>
      <c r="F1347" s="1" t="n">
        <v>47</v>
      </c>
      <c r="G1347" s="1" t="n">
        <v>48</v>
      </c>
      <c r="H1347" s="1" t="n">
        <v>59</v>
      </c>
      <c r="I1347" s="1" t="str">
        <f aca="false">RIGHT(("0"&amp;C1347),2)&amp;RIGHT(("0"&amp;D1347),2)&amp;RIGHT(("0"&amp;E1347),2)&amp;RIGHT(("0"&amp;F1347),2)&amp;RIGHT(("0"&amp;G1347),2)&amp;RIGHT(("0"&amp;H1347),2)</f>
        <v>123240474859</v>
      </c>
      <c r="J1347" s="1" t="n">
        <f aca="false">COUNTIF(I:I,I1347)</f>
        <v>1</v>
      </c>
      <c r="K1347" s="1" t="n">
        <v>1</v>
      </c>
      <c r="L1347" s="1" t="s">
        <v>6893</v>
      </c>
      <c r="M1347" s="1" t="s">
        <v>6894</v>
      </c>
      <c r="N1347" s="1" t="n">
        <v>57</v>
      </c>
      <c r="O1347" s="1" t="s">
        <v>6895</v>
      </c>
      <c r="P1347" s="1" t="n">
        <v>5205</v>
      </c>
      <c r="Q1347" s="1" t="s">
        <v>6896</v>
      </c>
      <c r="R1347" s="1" t="s">
        <v>23</v>
      </c>
      <c r="S1347" s="1" t="s">
        <v>6897</v>
      </c>
      <c r="T1347" s="1" t="s">
        <v>4732</v>
      </c>
      <c r="U1347" s="1" t="s">
        <v>6898</v>
      </c>
    </row>
    <row r="1348" customFormat="false" ht="13.8" hidden="false" customHeight="false" outlineLevel="0" collapsed="false">
      <c r="A1348" s="1" t="n">
        <v>1347</v>
      </c>
      <c r="B1348" s="2" t="s">
        <v>6899</v>
      </c>
      <c r="C1348" s="1" t="n">
        <v>9</v>
      </c>
      <c r="D1348" s="1" t="n">
        <v>19</v>
      </c>
      <c r="E1348" s="1" t="n">
        <v>45</v>
      </c>
      <c r="F1348" s="1" t="n">
        <v>46</v>
      </c>
      <c r="G1348" s="1" t="n">
        <v>54</v>
      </c>
      <c r="H1348" s="1" t="n">
        <v>56</v>
      </c>
      <c r="I1348" s="1" t="str">
        <f aca="false">RIGHT(("0"&amp;C1348),2)&amp;RIGHT(("0"&amp;D1348),2)&amp;RIGHT(("0"&amp;E1348),2)&amp;RIGHT(("0"&amp;F1348),2)&amp;RIGHT(("0"&amp;G1348),2)&amp;RIGHT(("0"&amp;H1348),2)</f>
        <v>091945465456</v>
      </c>
      <c r="J1348" s="1" t="n">
        <f aca="false">COUNTIF(I:I,I1348)</f>
        <v>1</v>
      </c>
      <c r="K1348" s="1" t="n">
        <v>0</v>
      </c>
      <c r="M1348" s="1" t="s">
        <v>23</v>
      </c>
      <c r="N1348" s="1" t="n">
        <v>38</v>
      </c>
      <c r="O1348" s="1" t="s">
        <v>6900</v>
      </c>
      <c r="P1348" s="1" t="n">
        <v>2940</v>
      </c>
      <c r="Q1348" s="1" t="s">
        <v>6901</v>
      </c>
      <c r="R1348" s="1" t="s">
        <v>6902</v>
      </c>
      <c r="S1348" s="1" t="s">
        <v>6903</v>
      </c>
      <c r="T1348" s="1" t="s">
        <v>4409</v>
      </c>
      <c r="U1348" s="1" t="s">
        <v>6904</v>
      </c>
    </row>
    <row r="1349" customFormat="false" ht="13.8" hidden="false" customHeight="false" outlineLevel="0" collapsed="false">
      <c r="A1349" s="1" t="n">
        <v>1348</v>
      </c>
      <c r="B1349" s="2" t="s">
        <v>6905</v>
      </c>
      <c r="C1349" s="1" t="n">
        <v>7</v>
      </c>
      <c r="D1349" s="1" t="n">
        <v>12</v>
      </c>
      <c r="E1349" s="1" t="n">
        <v>38</v>
      </c>
      <c r="F1349" s="1" t="n">
        <v>39</v>
      </c>
      <c r="G1349" s="1" t="n">
        <v>45</v>
      </c>
      <c r="H1349" s="1" t="n">
        <v>56</v>
      </c>
      <c r="I1349" s="1" t="str">
        <f aca="false">RIGHT(("0"&amp;C1349),2)&amp;RIGHT(("0"&amp;D1349),2)&amp;RIGHT(("0"&amp;E1349),2)&amp;RIGHT(("0"&amp;F1349),2)&amp;RIGHT(("0"&amp;G1349),2)&amp;RIGHT(("0"&amp;H1349),2)</f>
        <v>071238394556</v>
      </c>
      <c r="J1349" s="1" t="n">
        <f aca="false">COUNTIF(I:I,I1349)</f>
        <v>1</v>
      </c>
      <c r="K1349" s="1" t="n">
        <v>0</v>
      </c>
      <c r="M1349" s="1" t="s">
        <v>23</v>
      </c>
      <c r="N1349" s="1" t="n">
        <v>89</v>
      </c>
      <c r="O1349" s="1" t="s">
        <v>6906</v>
      </c>
      <c r="P1349" s="1" t="n">
        <v>5009</v>
      </c>
      <c r="Q1349" s="1" t="s">
        <v>6907</v>
      </c>
      <c r="R1349" s="1" t="s">
        <v>6908</v>
      </c>
      <c r="S1349" s="1" t="s">
        <v>6909</v>
      </c>
      <c r="T1349" s="1" t="s">
        <v>4232</v>
      </c>
      <c r="U1349" s="1" t="s">
        <v>6910</v>
      </c>
      <c r="V1349" s="1" t="s">
        <v>6777</v>
      </c>
    </row>
    <row r="1350" customFormat="false" ht="13.8" hidden="false" customHeight="false" outlineLevel="0" collapsed="false">
      <c r="A1350" s="1" t="n">
        <v>1349</v>
      </c>
      <c r="B1350" s="2" t="s">
        <v>6911</v>
      </c>
      <c r="C1350" s="1" t="n">
        <v>9</v>
      </c>
      <c r="D1350" s="1" t="n">
        <v>19</v>
      </c>
      <c r="E1350" s="1" t="n">
        <v>20</v>
      </c>
      <c r="F1350" s="1" t="n">
        <v>50</v>
      </c>
      <c r="G1350" s="1" t="n">
        <v>51</v>
      </c>
      <c r="H1350" s="1" t="n">
        <v>60</v>
      </c>
      <c r="I1350" s="1" t="str">
        <f aca="false">RIGHT(("0"&amp;C1350),2)&amp;RIGHT(("0"&amp;D1350),2)&amp;RIGHT(("0"&amp;E1350),2)&amp;RIGHT(("0"&amp;F1350),2)&amp;RIGHT(("0"&amp;G1350),2)&amp;RIGHT(("0"&amp;H1350),2)</f>
        <v>091920505160</v>
      </c>
      <c r="J1350" s="1" t="n">
        <f aca="false">COUNTIF(I:I,I1350)</f>
        <v>1</v>
      </c>
      <c r="K1350" s="1" t="n">
        <v>1</v>
      </c>
      <c r="L1350" s="1" t="s">
        <v>6912</v>
      </c>
      <c r="M1350" s="1" t="s">
        <v>6913</v>
      </c>
      <c r="N1350" s="1" t="n">
        <v>168</v>
      </c>
      <c r="O1350" s="1" t="s">
        <v>6914</v>
      </c>
      <c r="P1350" s="1" t="n">
        <v>7012</v>
      </c>
      <c r="Q1350" s="1" t="s">
        <v>6572</v>
      </c>
      <c r="R1350" s="1" t="s">
        <v>23</v>
      </c>
      <c r="S1350" s="1" t="s">
        <v>6915</v>
      </c>
      <c r="T1350" s="1" t="s">
        <v>6916</v>
      </c>
      <c r="U1350" s="1" t="s">
        <v>6917</v>
      </c>
      <c r="V1350" s="1" t="s">
        <v>6918</v>
      </c>
    </row>
    <row r="1351" customFormat="false" ht="13.8" hidden="false" customHeight="false" outlineLevel="0" collapsed="false">
      <c r="A1351" s="1" t="n">
        <v>1350</v>
      </c>
      <c r="B1351" s="2" t="s">
        <v>6919</v>
      </c>
      <c r="C1351" s="1" t="n">
        <v>3</v>
      </c>
      <c r="D1351" s="1" t="n">
        <v>4</v>
      </c>
      <c r="E1351" s="1" t="n">
        <v>29</v>
      </c>
      <c r="F1351" s="1" t="n">
        <v>36</v>
      </c>
      <c r="G1351" s="1" t="n">
        <v>45</v>
      </c>
      <c r="H1351" s="1" t="n">
        <v>55</v>
      </c>
      <c r="I1351" s="1" t="str">
        <f aca="false">RIGHT(("0"&amp;C1351),2)&amp;RIGHT(("0"&amp;D1351),2)&amp;RIGHT(("0"&amp;E1351),2)&amp;RIGHT(("0"&amp;F1351),2)&amp;RIGHT(("0"&amp;G1351),2)&amp;RIGHT(("0"&amp;H1351),2)</f>
        <v>030429364555</v>
      </c>
      <c r="J1351" s="1" t="n">
        <f aca="false">COUNTIF(I:I,I1351)</f>
        <v>1</v>
      </c>
      <c r="K1351" s="1" t="n">
        <v>5</v>
      </c>
      <c r="L1351" s="1" t="s">
        <v>6920</v>
      </c>
      <c r="M1351" s="1" t="s">
        <v>6921</v>
      </c>
      <c r="N1351" s="1" t="n">
        <v>954</v>
      </c>
      <c r="O1351" s="1" t="s">
        <v>6922</v>
      </c>
      <c r="P1351" s="1" t="n">
        <v>85582</v>
      </c>
      <c r="Q1351" s="1" t="s">
        <v>6923</v>
      </c>
      <c r="R1351" s="1" t="s">
        <v>23</v>
      </c>
      <c r="S1351" s="1" t="s">
        <v>6924</v>
      </c>
      <c r="T1351" s="1" t="s">
        <v>4256</v>
      </c>
      <c r="U1351" s="1" t="s">
        <v>23</v>
      </c>
      <c r="V1351" s="1" t="s">
        <v>6777</v>
      </c>
    </row>
    <row r="1352" customFormat="false" ht="13.8" hidden="false" customHeight="false" outlineLevel="0" collapsed="false">
      <c r="A1352" s="1" t="n">
        <v>1351</v>
      </c>
      <c r="B1352" s="2" t="s">
        <v>6925</v>
      </c>
      <c r="C1352" s="1" t="n">
        <v>13</v>
      </c>
      <c r="D1352" s="1" t="n">
        <v>33</v>
      </c>
      <c r="E1352" s="1" t="n">
        <v>36</v>
      </c>
      <c r="F1352" s="1" t="n">
        <v>41</v>
      </c>
      <c r="G1352" s="1" t="n">
        <v>50</v>
      </c>
      <c r="H1352" s="1" t="n">
        <v>56</v>
      </c>
      <c r="I1352" s="1" t="str">
        <f aca="false">RIGHT(("0"&amp;C1352),2)&amp;RIGHT(("0"&amp;D1352),2)&amp;RIGHT(("0"&amp;E1352),2)&amp;RIGHT(("0"&amp;F1352),2)&amp;RIGHT(("0"&amp;G1352),2)&amp;RIGHT(("0"&amp;H1352),2)</f>
        <v>133336415056</v>
      </c>
      <c r="J1352" s="1" t="n">
        <f aca="false">COUNTIF(I:I,I1352)</f>
        <v>1</v>
      </c>
      <c r="K1352" s="1" t="n">
        <v>0</v>
      </c>
      <c r="M1352" s="1" t="s">
        <v>23</v>
      </c>
      <c r="N1352" s="1" t="n">
        <v>34</v>
      </c>
      <c r="O1352" s="1" t="s">
        <v>6926</v>
      </c>
      <c r="P1352" s="1" t="n">
        <v>3264</v>
      </c>
      <c r="Q1352" s="1" t="s">
        <v>6927</v>
      </c>
      <c r="R1352" s="1" t="s">
        <v>6928</v>
      </c>
      <c r="S1352" s="1" t="s">
        <v>6929</v>
      </c>
      <c r="T1352" s="1" t="s">
        <v>6272</v>
      </c>
      <c r="U1352" s="1" t="s">
        <v>6930</v>
      </c>
    </row>
    <row r="1353" customFormat="false" ht="13.8" hidden="false" customHeight="false" outlineLevel="0" collapsed="false">
      <c r="A1353" s="1" t="n">
        <v>1352</v>
      </c>
      <c r="B1353" s="2" t="s">
        <v>6931</v>
      </c>
      <c r="C1353" s="1" t="n">
        <v>9</v>
      </c>
      <c r="D1353" s="1" t="n">
        <v>18</v>
      </c>
      <c r="E1353" s="1" t="n">
        <v>24</v>
      </c>
      <c r="F1353" s="1" t="n">
        <v>35</v>
      </c>
      <c r="G1353" s="1" t="n">
        <v>36</v>
      </c>
      <c r="H1353" s="1" t="n">
        <v>59</v>
      </c>
      <c r="I1353" s="1" t="str">
        <f aca="false">RIGHT(("0"&amp;C1353),2)&amp;RIGHT(("0"&amp;D1353),2)&amp;RIGHT(("0"&amp;E1353),2)&amp;RIGHT(("0"&amp;F1353),2)&amp;RIGHT(("0"&amp;G1353),2)&amp;RIGHT(("0"&amp;H1353),2)</f>
        <v>091824353659</v>
      </c>
      <c r="J1353" s="1" t="n">
        <f aca="false">COUNTIF(I:I,I1353)</f>
        <v>1</v>
      </c>
      <c r="K1353" s="1" t="n">
        <v>0</v>
      </c>
      <c r="M1353" s="1" t="s">
        <v>23</v>
      </c>
      <c r="N1353" s="1" t="n">
        <v>75</v>
      </c>
      <c r="O1353" s="1" t="s">
        <v>6932</v>
      </c>
      <c r="P1353" s="1" t="n">
        <v>6632</v>
      </c>
      <c r="Q1353" s="1" t="s">
        <v>6933</v>
      </c>
      <c r="R1353" s="1" t="s">
        <v>6934</v>
      </c>
      <c r="S1353" s="1" t="s">
        <v>6935</v>
      </c>
      <c r="T1353" s="1" t="s">
        <v>4347</v>
      </c>
      <c r="U1353" s="1" t="s">
        <v>6936</v>
      </c>
    </row>
    <row r="1354" customFormat="false" ht="13.8" hidden="false" customHeight="false" outlineLevel="0" collapsed="false">
      <c r="A1354" s="1" t="n">
        <v>1353</v>
      </c>
      <c r="B1354" s="2" t="s">
        <v>6937</v>
      </c>
      <c r="C1354" s="1" t="n">
        <v>3</v>
      </c>
      <c r="D1354" s="1" t="n">
        <v>11</v>
      </c>
      <c r="E1354" s="1" t="n">
        <v>13</v>
      </c>
      <c r="F1354" s="1" t="n">
        <v>27</v>
      </c>
      <c r="G1354" s="1" t="n">
        <v>32</v>
      </c>
      <c r="H1354" s="1" t="n">
        <v>47</v>
      </c>
      <c r="I1354" s="1" t="str">
        <f aca="false">RIGHT(("0"&amp;C1354),2)&amp;RIGHT(("0"&amp;D1354),2)&amp;RIGHT(("0"&amp;E1354),2)&amp;RIGHT(("0"&amp;F1354),2)&amp;RIGHT(("0"&amp;G1354),2)&amp;RIGHT(("0"&amp;H1354),2)</f>
        <v>031113273247</v>
      </c>
      <c r="J1354" s="1" t="n">
        <f aca="false">COUNTIF(I:I,I1354)</f>
        <v>1</v>
      </c>
      <c r="K1354" s="1" t="n">
        <v>1</v>
      </c>
      <c r="L1354" s="1" t="s">
        <v>6938</v>
      </c>
      <c r="M1354" s="1" t="s">
        <v>6939</v>
      </c>
      <c r="N1354" s="1" t="n">
        <v>161</v>
      </c>
      <c r="O1354" s="1" t="s">
        <v>6940</v>
      </c>
      <c r="P1354" s="1" t="n">
        <v>10308</v>
      </c>
      <c r="Q1354" s="1" t="s">
        <v>6941</v>
      </c>
      <c r="R1354" s="1" t="s">
        <v>23</v>
      </c>
      <c r="S1354" s="1" t="s">
        <v>6942</v>
      </c>
      <c r="T1354" s="1" t="s">
        <v>4732</v>
      </c>
      <c r="U1354" s="1" t="s">
        <v>6943</v>
      </c>
    </row>
    <row r="1355" customFormat="false" ht="13.8" hidden="false" customHeight="false" outlineLevel="0" collapsed="false">
      <c r="A1355" s="1" t="n">
        <v>1354</v>
      </c>
      <c r="B1355" s="2" t="s">
        <v>6944</v>
      </c>
      <c r="C1355" s="1" t="n">
        <v>2</v>
      </c>
      <c r="D1355" s="1" t="n">
        <v>8</v>
      </c>
      <c r="E1355" s="1" t="n">
        <v>38</v>
      </c>
      <c r="F1355" s="1" t="n">
        <v>42</v>
      </c>
      <c r="G1355" s="1" t="n">
        <v>48</v>
      </c>
      <c r="H1355" s="1" t="n">
        <v>49</v>
      </c>
      <c r="I1355" s="1" t="str">
        <f aca="false">RIGHT(("0"&amp;C1355),2)&amp;RIGHT(("0"&amp;D1355),2)&amp;RIGHT(("0"&amp;E1355),2)&amp;RIGHT(("0"&amp;F1355),2)&amp;RIGHT(("0"&amp;G1355),2)&amp;RIGHT(("0"&amp;H1355),2)</f>
        <v>020838424849</v>
      </c>
      <c r="J1355" s="1" t="n">
        <f aca="false">COUNTIF(I:I,I1355)</f>
        <v>1</v>
      </c>
      <c r="K1355" s="1" t="n">
        <v>1</v>
      </c>
      <c r="L1355" s="1" t="s">
        <v>6945</v>
      </c>
      <c r="M1355" s="1" t="s">
        <v>6946</v>
      </c>
      <c r="N1355" s="1" t="n">
        <v>71</v>
      </c>
      <c r="O1355" s="1" t="s">
        <v>6947</v>
      </c>
      <c r="P1355" s="1" t="n">
        <v>4842</v>
      </c>
      <c r="Q1355" s="1" t="s">
        <v>6948</v>
      </c>
      <c r="R1355" s="1" t="s">
        <v>23</v>
      </c>
      <c r="S1355" s="1" t="s">
        <v>6949</v>
      </c>
      <c r="T1355" s="1" t="s">
        <v>5969</v>
      </c>
      <c r="U1355" s="1" t="s">
        <v>6950</v>
      </c>
    </row>
    <row r="1356" customFormat="false" ht="13.8" hidden="false" customHeight="false" outlineLevel="0" collapsed="false">
      <c r="A1356" s="1" t="n">
        <v>1355</v>
      </c>
      <c r="B1356" s="2" t="s">
        <v>6951</v>
      </c>
      <c r="C1356" s="1" t="n">
        <v>11</v>
      </c>
      <c r="D1356" s="1" t="n">
        <v>17</v>
      </c>
      <c r="E1356" s="1" t="n">
        <v>24</v>
      </c>
      <c r="F1356" s="1" t="n">
        <v>39</v>
      </c>
      <c r="G1356" s="1" t="n">
        <v>46</v>
      </c>
      <c r="H1356" s="1" t="n">
        <v>49</v>
      </c>
      <c r="I1356" s="1" t="str">
        <f aca="false">RIGHT(("0"&amp;C1356),2)&amp;RIGHT(("0"&amp;D1356),2)&amp;RIGHT(("0"&amp;E1356),2)&amp;RIGHT(("0"&amp;F1356),2)&amp;RIGHT(("0"&amp;G1356),2)&amp;RIGHT(("0"&amp;H1356),2)</f>
        <v>111724394649</v>
      </c>
      <c r="J1356" s="1" t="n">
        <f aca="false">COUNTIF(I:I,I1356)</f>
        <v>1</v>
      </c>
      <c r="K1356" s="1" t="n">
        <v>0</v>
      </c>
      <c r="M1356" s="1" t="s">
        <v>23</v>
      </c>
      <c r="N1356" s="1" t="n">
        <v>133</v>
      </c>
      <c r="O1356" s="1" t="s">
        <v>6952</v>
      </c>
      <c r="P1356" s="1" t="n">
        <v>6490</v>
      </c>
      <c r="Q1356" s="1" t="s">
        <v>6953</v>
      </c>
      <c r="R1356" s="1" t="s">
        <v>6954</v>
      </c>
      <c r="S1356" s="1" t="s">
        <v>6955</v>
      </c>
      <c r="T1356" s="1" t="s">
        <v>4504</v>
      </c>
      <c r="U1356" s="1" t="s">
        <v>6956</v>
      </c>
    </row>
    <row r="1357" customFormat="false" ht="13.8" hidden="false" customHeight="false" outlineLevel="0" collapsed="false">
      <c r="A1357" s="1" t="n">
        <v>1356</v>
      </c>
      <c r="B1357" s="2" t="s">
        <v>6957</v>
      </c>
      <c r="C1357" s="1" t="n">
        <v>6</v>
      </c>
      <c r="D1357" s="1" t="n">
        <v>13</v>
      </c>
      <c r="E1357" s="1" t="n">
        <v>21</v>
      </c>
      <c r="F1357" s="1" t="n">
        <v>22</v>
      </c>
      <c r="G1357" s="1" t="n">
        <v>31</v>
      </c>
      <c r="H1357" s="1" t="n">
        <v>46</v>
      </c>
      <c r="I1357" s="1" t="str">
        <f aca="false">RIGHT(("0"&amp;C1357),2)&amp;RIGHT(("0"&amp;D1357),2)&amp;RIGHT(("0"&amp;E1357),2)&amp;RIGHT(("0"&amp;F1357),2)&amp;RIGHT(("0"&amp;G1357),2)&amp;RIGHT(("0"&amp;H1357),2)</f>
        <v>061321223146</v>
      </c>
      <c r="J1357" s="1" t="n">
        <f aca="false">COUNTIF(I:I,I1357)</f>
        <v>1</v>
      </c>
      <c r="K1357" s="1" t="n">
        <v>0</v>
      </c>
      <c r="M1357" s="1" t="s">
        <v>23</v>
      </c>
      <c r="N1357" s="1" t="n">
        <v>90</v>
      </c>
      <c r="O1357" s="1" t="s">
        <v>6958</v>
      </c>
      <c r="P1357" s="1" t="n">
        <v>7070</v>
      </c>
      <c r="Q1357" s="1" t="s">
        <v>6959</v>
      </c>
      <c r="R1357" s="1" t="s">
        <v>6960</v>
      </c>
      <c r="S1357" s="1" t="s">
        <v>6961</v>
      </c>
      <c r="T1357" s="1" t="s">
        <v>4241</v>
      </c>
      <c r="U1357" s="1" t="s">
        <v>6962</v>
      </c>
    </row>
    <row r="1358" customFormat="false" ht="13.8" hidden="false" customHeight="false" outlineLevel="0" collapsed="false">
      <c r="A1358" s="1" t="n">
        <v>1357</v>
      </c>
      <c r="B1358" s="2" t="s">
        <v>6963</v>
      </c>
      <c r="C1358" s="1" t="n">
        <v>1</v>
      </c>
      <c r="D1358" s="1" t="n">
        <v>19</v>
      </c>
      <c r="E1358" s="1" t="n">
        <v>24</v>
      </c>
      <c r="F1358" s="1" t="n">
        <v>26</v>
      </c>
      <c r="G1358" s="1" t="n">
        <v>52</v>
      </c>
      <c r="H1358" s="1" t="n">
        <v>55</v>
      </c>
      <c r="I1358" s="1" t="str">
        <f aca="false">RIGHT(("0"&amp;C1358),2)&amp;RIGHT(("0"&amp;D1358),2)&amp;RIGHT(("0"&amp;E1358),2)&amp;RIGHT(("0"&amp;F1358),2)&amp;RIGHT(("0"&amp;G1358),2)&amp;RIGHT(("0"&amp;H1358),2)</f>
        <v>011924265255</v>
      </c>
      <c r="J1358" s="1" t="n">
        <f aca="false">COUNTIF(I:I,I1358)</f>
        <v>1</v>
      </c>
      <c r="K1358" s="1" t="n">
        <v>0</v>
      </c>
      <c r="M1358" s="1" t="s">
        <v>23</v>
      </c>
      <c r="N1358" s="1" t="n">
        <v>116</v>
      </c>
      <c r="O1358" s="1" t="s">
        <v>6964</v>
      </c>
      <c r="P1358" s="1" t="n">
        <v>6940</v>
      </c>
      <c r="Q1358" s="1" t="s">
        <v>6965</v>
      </c>
      <c r="R1358" s="1" t="s">
        <v>6966</v>
      </c>
      <c r="S1358" s="1" t="s">
        <v>6967</v>
      </c>
      <c r="T1358" s="1" t="s">
        <v>6968</v>
      </c>
      <c r="U1358" s="1" t="s">
        <v>6969</v>
      </c>
    </row>
    <row r="1359" customFormat="false" ht="13.8" hidden="false" customHeight="false" outlineLevel="0" collapsed="false">
      <c r="A1359" s="1" t="n">
        <v>1358</v>
      </c>
      <c r="B1359" s="2" t="s">
        <v>6970</v>
      </c>
      <c r="C1359" s="1" t="n">
        <v>3</v>
      </c>
      <c r="D1359" s="1" t="n">
        <v>15</v>
      </c>
      <c r="E1359" s="1" t="n">
        <v>16</v>
      </c>
      <c r="F1359" s="1" t="n">
        <v>35</v>
      </c>
      <c r="G1359" s="1" t="n">
        <v>37</v>
      </c>
      <c r="H1359" s="1" t="n">
        <v>47</v>
      </c>
      <c r="I1359" s="1" t="str">
        <f aca="false">RIGHT(("0"&amp;C1359),2)&amp;RIGHT(("0"&amp;D1359),2)&amp;RIGHT(("0"&amp;E1359),2)&amp;RIGHT(("0"&amp;F1359),2)&amp;RIGHT(("0"&amp;G1359),2)&amp;RIGHT(("0"&amp;H1359),2)</f>
        <v>031516353747</v>
      </c>
      <c r="J1359" s="1" t="n">
        <f aca="false">COUNTIF(I:I,I1359)</f>
        <v>1</v>
      </c>
      <c r="K1359" s="1" t="n">
        <v>0</v>
      </c>
      <c r="M1359" s="1" t="s">
        <v>23</v>
      </c>
      <c r="N1359" s="1" t="n">
        <v>145</v>
      </c>
      <c r="O1359" s="1" t="s">
        <v>6971</v>
      </c>
      <c r="P1359" s="1" t="n">
        <v>10440</v>
      </c>
      <c r="Q1359" s="1" t="s">
        <v>6972</v>
      </c>
      <c r="R1359" s="1" t="s">
        <v>6973</v>
      </c>
      <c r="S1359" s="1" t="s">
        <v>6974</v>
      </c>
      <c r="T1359" s="1" t="s">
        <v>5281</v>
      </c>
      <c r="U1359" s="1" t="s">
        <v>6975</v>
      </c>
    </row>
    <row r="1360" customFormat="false" ht="13.8" hidden="false" customHeight="false" outlineLevel="0" collapsed="false">
      <c r="A1360" s="1" t="n">
        <v>1359</v>
      </c>
      <c r="B1360" s="2" t="s">
        <v>6976</v>
      </c>
      <c r="C1360" s="1" t="n">
        <v>6</v>
      </c>
      <c r="D1360" s="1" t="n">
        <v>10</v>
      </c>
      <c r="E1360" s="1" t="n">
        <v>12</v>
      </c>
      <c r="F1360" s="1" t="n">
        <v>17</v>
      </c>
      <c r="G1360" s="1" t="n">
        <v>28</v>
      </c>
      <c r="H1360" s="1" t="n">
        <v>53</v>
      </c>
      <c r="I1360" s="1" t="str">
        <f aca="false">RIGHT(("0"&amp;C1360),2)&amp;RIGHT(("0"&amp;D1360),2)&amp;RIGHT(("0"&amp;E1360),2)&amp;RIGHT(("0"&amp;F1360),2)&amp;RIGHT(("0"&amp;G1360),2)&amp;RIGHT(("0"&amp;H1360),2)</f>
        <v>061012172853</v>
      </c>
      <c r="J1360" s="1" t="n">
        <f aca="false">COUNTIF(I:I,I1360)</f>
        <v>1</v>
      </c>
      <c r="K1360" s="1" t="n">
        <v>0</v>
      </c>
      <c r="M1360" s="1" t="s">
        <v>23</v>
      </c>
      <c r="N1360" s="1" t="n">
        <v>254</v>
      </c>
      <c r="O1360" s="1" t="s">
        <v>6977</v>
      </c>
      <c r="P1360" s="1" t="n">
        <v>13663</v>
      </c>
      <c r="Q1360" s="1" t="s">
        <v>6978</v>
      </c>
      <c r="R1360" s="1" t="s">
        <v>6979</v>
      </c>
      <c r="S1360" s="1" t="s">
        <v>6980</v>
      </c>
      <c r="T1360" s="1" t="s">
        <v>4314</v>
      </c>
      <c r="U1360" s="1" t="s">
        <v>6981</v>
      </c>
    </row>
    <row r="1361" customFormat="false" ht="13.8" hidden="false" customHeight="false" outlineLevel="0" collapsed="false">
      <c r="A1361" s="1" t="n">
        <v>1360</v>
      </c>
      <c r="B1361" s="2" t="s">
        <v>6982</v>
      </c>
      <c r="C1361" s="1" t="n">
        <v>2</v>
      </c>
      <c r="D1361" s="1" t="n">
        <v>16</v>
      </c>
      <c r="E1361" s="1" t="n">
        <v>17</v>
      </c>
      <c r="F1361" s="1" t="n">
        <v>25</v>
      </c>
      <c r="G1361" s="1" t="n">
        <v>50</v>
      </c>
      <c r="H1361" s="1" t="n">
        <v>54</v>
      </c>
      <c r="I1361" s="1" t="str">
        <f aca="false">RIGHT(("0"&amp;C1361),2)&amp;RIGHT(("0"&amp;D1361),2)&amp;RIGHT(("0"&amp;E1361),2)&amp;RIGHT(("0"&amp;F1361),2)&amp;RIGHT(("0"&amp;G1361),2)&amp;RIGHT(("0"&amp;H1361),2)</f>
        <v>021617255054</v>
      </c>
      <c r="J1361" s="1" t="n">
        <f aca="false">COUNTIF(I:I,I1361)</f>
        <v>1</v>
      </c>
      <c r="K1361" s="1" t="n">
        <v>2</v>
      </c>
      <c r="L1361" s="1" t="s">
        <v>6983</v>
      </c>
      <c r="M1361" s="1" t="s">
        <v>6984</v>
      </c>
      <c r="N1361" s="1" t="n">
        <v>112</v>
      </c>
      <c r="O1361" s="1" t="s">
        <v>6985</v>
      </c>
      <c r="P1361" s="1" t="n">
        <v>9880</v>
      </c>
      <c r="Q1361" s="1" t="s">
        <v>6986</v>
      </c>
      <c r="R1361" s="1" t="s">
        <v>23</v>
      </c>
      <c r="S1361" s="1" t="s">
        <v>6987</v>
      </c>
      <c r="T1361" s="1" t="s">
        <v>4256</v>
      </c>
      <c r="U1361" s="1" t="s">
        <v>6988</v>
      </c>
    </row>
    <row r="1362" customFormat="false" ht="13.8" hidden="false" customHeight="false" outlineLevel="0" collapsed="false">
      <c r="A1362" s="1" t="n">
        <v>1361</v>
      </c>
      <c r="B1362" s="2" t="s">
        <v>6989</v>
      </c>
      <c r="C1362" s="1" t="n">
        <v>23</v>
      </c>
      <c r="D1362" s="1" t="n">
        <v>27</v>
      </c>
      <c r="E1362" s="1" t="n">
        <v>30</v>
      </c>
      <c r="F1362" s="1" t="n">
        <v>37</v>
      </c>
      <c r="G1362" s="1" t="n">
        <v>38</v>
      </c>
      <c r="H1362" s="1" t="n">
        <v>44</v>
      </c>
      <c r="I1362" s="1" t="str">
        <f aca="false">RIGHT(("0"&amp;C1362),2)&amp;RIGHT(("0"&amp;D1362),2)&amp;RIGHT(("0"&amp;E1362),2)&amp;RIGHT(("0"&amp;F1362),2)&amp;RIGHT(("0"&amp;G1362),2)&amp;RIGHT(("0"&amp;H1362),2)</f>
        <v>232730373844</v>
      </c>
      <c r="J1362" s="1" t="n">
        <f aca="false">COUNTIF(I:I,I1362)</f>
        <v>1</v>
      </c>
      <c r="K1362" s="1" t="n">
        <v>0</v>
      </c>
      <c r="M1362" s="1" t="s">
        <v>23</v>
      </c>
      <c r="N1362" s="1" t="n">
        <v>38</v>
      </c>
      <c r="O1362" s="1" t="s">
        <v>6990</v>
      </c>
      <c r="P1362" s="1" t="n">
        <v>3381</v>
      </c>
      <c r="Q1362" s="1" t="s">
        <v>6991</v>
      </c>
      <c r="R1362" s="1" t="s">
        <v>6992</v>
      </c>
      <c r="S1362" s="1" t="s">
        <v>6993</v>
      </c>
      <c r="T1362" s="1" t="s">
        <v>4227</v>
      </c>
      <c r="U1362" s="1" t="s">
        <v>6994</v>
      </c>
    </row>
    <row r="1363" customFormat="false" ht="13.8" hidden="false" customHeight="false" outlineLevel="0" collapsed="false">
      <c r="A1363" s="1" t="n">
        <v>1362</v>
      </c>
      <c r="B1363" s="2" t="s">
        <v>6995</v>
      </c>
      <c r="C1363" s="1" t="n">
        <v>2</v>
      </c>
      <c r="D1363" s="1" t="n">
        <v>12</v>
      </c>
      <c r="E1363" s="1" t="n">
        <v>19</v>
      </c>
      <c r="F1363" s="1" t="n">
        <v>22</v>
      </c>
      <c r="G1363" s="1" t="n">
        <v>36</v>
      </c>
      <c r="H1363" s="1" t="n">
        <v>58</v>
      </c>
      <c r="I1363" s="1" t="str">
        <f aca="false">RIGHT(("0"&amp;C1363),2)&amp;RIGHT(("0"&amp;D1363),2)&amp;RIGHT(("0"&amp;E1363),2)&amp;RIGHT(("0"&amp;F1363),2)&amp;RIGHT(("0"&amp;G1363),2)&amp;RIGHT(("0"&amp;H1363),2)</f>
        <v>021219223658</v>
      </c>
      <c r="J1363" s="1" t="n">
        <f aca="false">COUNTIF(I:I,I1363)</f>
        <v>1</v>
      </c>
      <c r="K1363" s="1" t="n">
        <v>3</v>
      </c>
      <c r="L1363" s="1" t="s">
        <v>6996</v>
      </c>
      <c r="M1363" s="1" t="s">
        <v>6997</v>
      </c>
      <c r="N1363" s="1" t="n">
        <v>129</v>
      </c>
      <c r="O1363" s="1" t="s">
        <v>6998</v>
      </c>
      <c r="P1363" s="1" t="n">
        <v>8825</v>
      </c>
      <c r="Q1363" s="1" t="s">
        <v>6999</v>
      </c>
      <c r="R1363" s="1" t="s">
        <v>23</v>
      </c>
      <c r="S1363" s="1" t="s">
        <v>7000</v>
      </c>
      <c r="T1363" s="1" t="s">
        <v>4732</v>
      </c>
      <c r="U1363" s="1" t="s">
        <v>7001</v>
      </c>
    </row>
    <row r="1364" customFormat="false" ht="13.8" hidden="false" customHeight="false" outlineLevel="0" collapsed="false">
      <c r="A1364" s="1" t="n">
        <v>1363</v>
      </c>
      <c r="B1364" s="2" t="s">
        <v>7002</v>
      </c>
      <c r="C1364" s="1" t="n">
        <v>25</v>
      </c>
      <c r="D1364" s="1" t="n">
        <v>35</v>
      </c>
      <c r="E1364" s="1" t="n">
        <v>42</v>
      </c>
      <c r="F1364" s="1" t="n">
        <v>45</v>
      </c>
      <c r="G1364" s="1" t="n">
        <v>52</v>
      </c>
      <c r="H1364" s="1" t="n">
        <v>57</v>
      </c>
      <c r="I1364" s="1" t="str">
        <f aca="false">RIGHT(("0"&amp;C1364),2)&amp;RIGHT(("0"&amp;D1364),2)&amp;RIGHT(("0"&amp;E1364),2)&amp;RIGHT(("0"&amp;F1364),2)&amp;RIGHT(("0"&amp;G1364),2)&amp;RIGHT(("0"&amp;H1364),2)</f>
        <v>253542455257</v>
      </c>
      <c r="J1364" s="1" t="n">
        <f aca="false">COUNTIF(I:I,I1364)</f>
        <v>1</v>
      </c>
      <c r="K1364" s="1" t="n">
        <v>0</v>
      </c>
      <c r="M1364" s="1" t="s">
        <v>23</v>
      </c>
      <c r="N1364" s="1" t="n">
        <v>36</v>
      </c>
      <c r="O1364" s="1" t="s">
        <v>7003</v>
      </c>
      <c r="P1364" s="1" t="n">
        <v>2744</v>
      </c>
      <c r="Q1364" s="1" t="s">
        <v>7004</v>
      </c>
      <c r="R1364" s="1" t="s">
        <v>7005</v>
      </c>
      <c r="S1364" s="1" t="s">
        <v>7006</v>
      </c>
      <c r="T1364" s="1" t="s">
        <v>4227</v>
      </c>
      <c r="U1364" s="1" t="s">
        <v>7007</v>
      </c>
    </row>
    <row r="1365" customFormat="false" ht="13.8" hidden="false" customHeight="false" outlineLevel="0" collapsed="false">
      <c r="A1365" s="1" t="n">
        <v>1364</v>
      </c>
      <c r="B1365" s="2" t="s">
        <v>7008</v>
      </c>
      <c r="C1365" s="1" t="n">
        <v>10</v>
      </c>
      <c r="D1365" s="1" t="n">
        <v>13</v>
      </c>
      <c r="E1365" s="1" t="n">
        <v>20</v>
      </c>
      <c r="F1365" s="1" t="n">
        <v>40</v>
      </c>
      <c r="G1365" s="1" t="n">
        <v>44</v>
      </c>
      <c r="H1365" s="1" t="n">
        <v>53</v>
      </c>
      <c r="I1365" s="1" t="str">
        <f aca="false">RIGHT(("0"&amp;C1365),2)&amp;RIGHT(("0"&amp;D1365),2)&amp;RIGHT(("0"&amp;E1365),2)&amp;RIGHT(("0"&amp;F1365),2)&amp;RIGHT(("0"&amp;G1365),2)&amp;RIGHT(("0"&amp;H1365),2)</f>
        <v>101320404453</v>
      </c>
      <c r="J1365" s="1" t="n">
        <f aca="false">COUNTIF(I:I,I1365)</f>
        <v>1</v>
      </c>
      <c r="K1365" s="1" t="n">
        <v>0</v>
      </c>
      <c r="M1365" s="1" t="s">
        <v>23</v>
      </c>
      <c r="N1365" s="1" t="n">
        <v>60</v>
      </c>
      <c r="O1365" s="1" t="s">
        <v>7009</v>
      </c>
      <c r="P1365" s="1" t="n">
        <v>4436</v>
      </c>
      <c r="Q1365" s="1" t="s">
        <v>7010</v>
      </c>
      <c r="R1365" s="1" t="s">
        <v>7011</v>
      </c>
      <c r="S1365" s="1" t="s">
        <v>7012</v>
      </c>
      <c r="T1365" s="1" t="s">
        <v>4691</v>
      </c>
      <c r="U1365" s="1" t="s">
        <v>7013</v>
      </c>
    </row>
    <row r="1366" customFormat="false" ht="13.8" hidden="false" customHeight="false" outlineLevel="0" collapsed="false">
      <c r="A1366" s="1" t="n">
        <v>1365</v>
      </c>
      <c r="B1366" s="2" t="s">
        <v>7014</v>
      </c>
      <c r="C1366" s="1" t="n">
        <v>2</v>
      </c>
      <c r="D1366" s="1" t="n">
        <v>24</v>
      </c>
      <c r="E1366" s="1" t="n">
        <v>26</v>
      </c>
      <c r="F1366" s="1" t="n">
        <v>32</v>
      </c>
      <c r="G1366" s="1" t="n">
        <v>35</v>
      </c>
      <c r="H1366" s="1" t="n">
        <v>50</v>
      </c>
      <c r="I1366" s="1" t="str">
        <f aca="false">RIGHT(("0"&amp;C1366),2)&amp;RIGHT(("0"&amp;D1366),2)&amp;RIGHT(("0"&amp;E1366),2)&amp;RIGHT(("0"&amp;F1366),2)&amp;RIGHT(("0"&amp;G1366),2)&amp;RIGHT(("0"&amp;H1366),2)</f>
        <v>022426323550</v>
      </c>
      <c r="J1366" s="1" t="n">
        <f aca="false">COUNTIF(I:I,I1366)</f>
        <v>1</v>
      </c>
      <c r="K1366" s="1" t="n">
        <v>0</v>
      </c>
      <c r="M1366" s="1" t="s">
        <v>23</v>
      </c>
      <c r="N1366" s="1" t="n">
        <v>52</v>
      </c>
      <c r="O1366" s="1" t="s">
        <v>7015</v>
      </c>
      <c r="P1366" s="1" t="n">
        <v>3368</v>
      </c>
      <c r="Q1366" s="1" t="s">
        <v>7016</v>
      </c>
      <c r="R1366" s="1" t="s">
        <v>7017</v>
      </c>
      <c r="S1366" s="1" t="s">
        <v>7018</v>
      </c>
      <c r="T1366" s="1" t="s">
        <v>4246</v>
      </c>
      <c r="U1366" s="1" t="s">
        <v>7019</v>
      </c>
      <c r="V1366" s="1" t="s">
        <v>6777</v>
      </c>
    </row>
    <row r="1367" customFormat="false" ht="13.8" hidden="false" customHeight="false" outlineLevel="0" collapsed="false">
      <c r="A1367" s="1" t="n">
        <v>1366</v>
      </c>
      <c r="B1367" s="2" t="s">
        <v>7020</v>
      </c>
      <c r="C1367" s="1" t="n">
        <v>12</v>
      </c>
      <c r="D1367" s="1" t="n">
        <v>27</v>
      </c>
      <c r="E1367" s="1" t="n">
        <v>37</v>
      </c>
      <c r="F1367" s="1" t="n">
        <v>44</v>
      </c>
      <c r="G1367" s="1" t="n">
        <v>54</v>
      </c>
      <c r="H1367" s="1" t="n">
        <v>59</v>
      </c>
      <c r="I1367" s="1" t="str">
        <f aca="false">RIGHT(("0"&amp;C1367),2)&amp;RIGHT(("0"&amp;D1367),2)&amp;RIGHT(("0"&amp;E1367),2)&amp;RIGHT(("0"&amp;F1367),2)&amp;RIGHT(("0"&amp;G1367),2)&amp;RIGHT(("0"&amp;H1367),2)</f>
        <v>122737445459</v>
      </c>
      <c r="J1367" s="1" t="n">
        <f aca="false">COUNTIF(I:I,I1367)</f>
        <v>1</v>
      </c>
      <c r="K1367" s="1" t="n">
        <v>1</v>
      </c>
      <c r="L1367" s="1" t="s">
        <v>7021</v>
      </c>
      <c r="M1367" s="1" t="s">
        <v>7022</v>
      </c>
      <c r="N1367" s="1" t="n">
        <v>124</v>
      </c>
      <c r="O1367" s="1" t="s">
        <v>7023</v>
      </c>
      <c r="P1367" s="1" t="n">
        <v>7974</v>
      </c>
      <c r="Q1367" s="1" t="s">
        <v>7024</v>
      </c>
      <c r="R1367" s="1" t="s">
        <v>23</v>
      </c>
      <c r="S1367" s="1" t="s">
        <v>7025</v>
      </c>
      <c r="T1367" s="1" t="s">
        <v>4732</v>
      </c>
      <c r="U1367" s="1" t="s">
        <v>7026</v>
      </c>
    </row>
    <row r="1368" customFormat="false" ht="13.8" hidden="false" customHeight="false" outlineLevel="0" collapsed="false">
      <c r="A1368" s="1" t="n">
        <v>1367</v>
      </c>
      <c r="B1368" s="2" t="s">
        <v>7027</v>
      </c>
      <c r="C1368" s="1" t="n">
        <v>2</v>
      </c>
      <c r="D1368" s="1" t="n">
        <v>7</v>
      </c>
      <c r="E1368" s="1" t="n">
        <v>13</v>
      </c>
      <c r="F1368" s="1" t="n">
        <v>29</v>
      </c>
      <c r="G1368" s="1" t="n">
        <v>38</v>
      </c>
      <c r="H1368" s="1" t="n">
        <v>43</v>
      </c>
      <c r="I1368" s="1" t="str">
        <f aca="false">RIGHT(("0"&amp;C1368),2)&amp;RIGHT(("0"&amp;D1368),2)&amp;RIGHT(("0"&amp;E1368),2)&amp;RIGHT(("0"&amp;F1368),2)&amp;RIGHT(("0"&amp;G1368),2)&amp;RIGHT(("0"&amp;H1368),2)</f>
        <v>020713293843</v>
      </c>
      <c r="J1368" s="1" t="n">
        <f aca="false">COUNTIF(I:I,I1368)</f>
        <v>1</v>
      </c>
      <c r="K1368" s="1" t="n">
        <v>0</v>
      </c>
      <c r="M1368" s="1" t="s">
        <v>23</v>
      </c>
      <c r="N1368" s="1" t="n">
        <v>111</v>
      </c>
      <c r="O1368" s="1" t="s">
        <v>7028</v>
      </c>
      <c r="P1368" s="1" t="n">
        <v>6443</v>
      </c>
      <c r="Q1368" s="1" t="s">
        <v>7029</v>
      </c>
      <c r="R1368" s="1" t="s">
        <v>7030</v>
      </c>
      <c r="S1368" s="1" t="s">
        <v>7031</v>
      </c>
      <c r="T1368" s="1" t="s">
        <v>6657</v>
      </c>
      <c r="U1368" s="1" t="s">
        <v>7032</v>
      </c>
    </row>
    <row r="1369" customFormat="false" ht="13.8" hidden="false" customHeight="false" outlineLevel="0" collapsed="false">
      <c r="A1369" s="1" t="n">
        <v>1368</v>
      </c>
      <c r="B1369" s="2" t="s">
        <v>7033</v>
      </c>
      <c r="C1369" s="1" t="n">
        <v>10</v>
      </c>
      <c r="D1369" s="1" t="n">
        <v>21</v>
      </c>
      <c r="E1369" s="1" t="n">
        <v>26</v>
      </c>
      <c r="F1369" s="1" t="n">
        <v>29</v>
      </c>
      <c r="G1369" s="1" t="n">
        <v>32</v>
      </c>
      <c r="H1369" s="1" t="n">
        <v>38</v>
      </c>
      <c r="I1369" s="1" t="str">
        <f aca="false">RIGHT(("0"&amp;C1369),2)&amp;RIGHT(("0"&amp;D1369),2)&amp;RIGHT(("0"&amp;E1369),2)&amp;RIGHT(("0"&amp;F1369),2)&amp;RIGHT(("0"&amp;G1369),2)&amp;RIGHT(("0"&amp;H1369),2)</f>
        <v>102126293238</v>
      </c>
      <c r="J1369" s="1" t="n">
        <f aca="false">COUNTIF(I:I,I1369)</f>
        <v>1</v>
      </c>
      <c r="K1369" s="1" t="n">
        <v>1</v>
      </c>
      <c r="L1369" s="1" t="s">
        <v>7034</v>
      </c>
      <c r="M1369" s="1" t="s">
        <v>7035</v>
      </c>
      <c r="N1369" s="1" t="n">
        <v>34</v>
      </c>
      <c r="O1369" s="1" t="s">
        <v>7036</v>
      </c>
      <c r="P1369" s="1" t="n">
        <v>4447</v>
      </c>
      <c r="Q1369" s="1" t="s">
        <v>7037</v>
      </c>
      <c r="R1369" s="1" t="s">
        <v>23</v>
      </c>
      <c r="S1369" s="1" t="s">
        <v>7038</v>
      </c>
      <c r="T1369" s="1" t="s">
        <v>4732</v>
      </c>
      <c r="U1369" s="1" t="s">
        <v>7039</v>
      </c>
    </row>
    <row r="1370" customFormat="false" ht="13.8" hidden="false" customHeight="false" outlineLevel="0" collapsed="false">
      <c r="A1370" s="1" t="n">
        <v>1369</v>
      </c>
      <c r="B1370" s="2" t="s">
        <v>7040</v>
      </c>
      <c r="C1370" s="1" t="n">
        <v>5</v>
      </c>
      <c r="D1370" s="1" t="n">
        <v>16</v>
      </c>
      <c r="E1370" s="1" t="n">
        <v>24</v>
      </c>
      <c r="F1370" s="1" t="n">
        <v>32</v>
      </c>
      <c r="G1370" s="1" t="n">
        <v>38</v>
      </c>
      <c r="H1370" s="1" t="n">
        <v>46</v>
      </c>
      <c r="I1370" s="1" t="str">
        <f aca="false">RIGHT(("0"&amp;C1370),2)&amp;RIGHT(("0"&amp;D1370),2)&amp;RIGHT(("0"&amp;E1370),2)&amp;RIGHT(("0"&amp;F1370),2)&amp;RIGHT(("0"&amp;G1370),2)&amp;RIGHT(("0"&amp;H1370),2)</f>
        <v>051624323846</v>
      </c>
      <c r="J1370" s="1" t="n">
        <f aca="false">COUNTIF(I:I,I1370)</f>
        <v>1</v>
      </c>
      <c r="K1370" s="1" t="n">
        <v>0</v>
      </c>
      <c r="M1370" s="1" t="s">
        <v>23</v>
      </c>
      <c r="N1370" s="1" t="n">
        <v>195</v>
      </c>
      <c r="O1370" s="1" t="s">
        <v>7041</v>
      </c>
      <c r="P1370" s="1" t="n">
        <v>7636</v>
      </c>
      <c r="Q1370" s="1" t="s">
        <v>3061</v>
      </c>
      <c r="R1370" s="1" t="s">
        <v>7042</v>
      </c>
      <c r="S1370" s="1" t="s">
        <v>7043</v>
      </c>
      <c r="T1370" s="1" t="s">
        <v>7044</v>
      </c>
      <c r="U1370" s="1" t="s">
        <v>7045</v>
      </c>
    </row>
    <row r="1371" customFormat="false" ht="13.8" hidden="false" customHeight="false" outlineLevel="0" collapsed="false">
      <c r="A1371" s="1" t="n">
        <v>1370</v>
      </c>
      <c r="B1371" s="2" t="s">
        <v>7046</v>
      </c>
      <c r="C1371" s="1" t="n">
        <v>2</v>
      </c>
      <c r="D1371" s="1" t="n">
        <v>4</v>
      </c>
      <c r="E1371" s="1" t="n">
        <v>5</v>
      </c>
      <c r="F1371" s="1" t="n">
        <v>27</v>
      </c>
      <c r="G1371" s="1" t="n">
        <v>49</v>
      </c>
      <c r="H1371" s="1" t="n">
        <v>59</v>
      </c>
      <c r="I1371" s="1" t="str">
        <f aca="false">RIGHT(("0"&amp;C1371),2)&amp;RIGHT(("0"&amp;D1371),2)&amp;RIGHT(("0"&amp;E1371),2)&amp;RIGHT(("0"&amp;F1371),2)&amp;RIGHT(("0"&amp;G1371),2)&amp;RIGHT(("0"&amp;H1371),2)</f>
        <v>020405274959</v>
      </c>
      <c r="J1371" s="1" t="n">
        <f aca="false">COUNTIF(I:I,I1371)</f>
        <v>1</v>
      </c>
      <c r="K1371" s="1" t="n">
        <v>2</v>
      </c>
      <c r="L1371" s="1" t="s">
        <v>6843</v>
      </c>
      <c r="M1371" s="1" t="s">
        <v>7047</v>
      </c>
      <c r="N1371" s="1" t="n">
        <v>115</v>
      </c>
      <c r="O1371" s="1" t="s">
        <v>7048</v>
      </c>
      <c r="P1371" s="1" t="n">
        <v>9979</v>
      </c>
      <c r="Q1371" s="1" t="s">
        <v>7049</v>
      </c>
      <c r="R1371" s="1" t="s">
        <v>23</v>
      </c>
      <c r="S1371" s="1" t="s">
        <v>7050</v>
      </c>
      <c r="T1371" s="1" t="s">
        <v>4732</v>
      </c>
      <c r="U1371" s="1" t="s">
        <v>7051</v>
      </c>
    </row>
    <row r="1372" customFormat="false" ht="13.8" hidden="false" customHeight="false" outlineLevel="0" collapsed="false">
      <c r="A1372" s="1" t="n">
        <v>1371</v>
      </c>
      <c r="B1372" s="2" t="s">
        <v>7052</v>
      </c>
      <c r="C1372" s="1" t="n">
        <v>3</v>
      </c>
      <c r="D1372" s="1" t="n">
        <v>4</v>
      </c>
      <c r="E1372" s="1" t="n">
        <v>8</v>
      </c>
      <c r="F1372" s="1" t="n">
        <v>11</v>
      </c>
      <c r="G1372" s="1" t="n">
        <v>47</v>
      </c>
      <c r="H1372" s="1" t="n">
        <v>49</v>
      </c>
      <c r="I1372" s="1" t="str">
        <f aca="false">RIGHT(("0"&amp;C1372),2)&amp;RIGHT(("0"&amp;D1372),2)&amp;RIGHT(("0"&amp;E1372),2)&amp;RIGHT(("0"&amp;F1372),2)&amp;RIGHT(("0"&amp;G1372),2)&amp;RIGHT(("0"&amp;H1372),2)</f>
        <v>030408114749</v>
      </c>
      <c r="J1372" s="1" t="n">
        <f aca="false">COUNTIF(I:I,I1372)</f>
        <v>1</v>
      </c>
      <c r="K1372" s="1" t="n">
        <v>0</v>
      </c>
      <c r="M1372" s="1" t="s">
        <v>23</v>
      </c>
      <c r="N1372" s="1" t="n">
        <v>101</v>
      </c>
      <c r="O1372" s="1" t="s">
        <v>7053</v>
      </c>
      <c r="P1372" s="1" t="n">
        <v>7421</v>
      </c>
      <c r="Q1372" s="1" t="s">
        <v>7054</v>
      </c>
      <c r="R1372" s="1" t="s">
        <v>7055</v>
      </c>
      <c r="S1372" s="1" t="s">
        <v>7056</v>
      </c>
      <c r="T1372" s="1" t="s">
        <v>4227</v>
      </c>
      <c r="U1372" s="1" t="s">
        <v>7057</v>
      </c>
    </row>
    <row r="1373" customFormat="false" ht="13.8" hidden="false" customHeight="false" outlineLevel="0" collapsed="false">
      <c r="A1373" s="1" t="n">
        <v>1372</v>
      </c>
      <c r="B1373" s="2" t="s">
        <v>7058</v>
      </c>
      <c r="C1373" s="1" t="n">
        <v>3</v>
      </c>
      <c r="D1373" s="1" t="n">
        <v>36</v>
      </c>
      <c r="E1373" s="1" t="n">
        <v>40</v>
      </c>
      <c r="F1373" s="1" t="n">
        <v>46</v>
      </c>
      <c r="G1373" s="1" t="n">
        <v>58</v>
      </c>
      <c r="H1373" s="1" t="n">
        <v>60</v>
      </c>
      <c r="I1373" s="1" t="str">
        <f aca="false">RIGHT(("0"&amp;C1373),2)&amp;RIGHT(("0"&amp;D1373),2)&amp;RIGHT(("0"&amp;E1373),2)&amp;RIGHT(("0"&amp;F1373),2)&amp;RIGHT(("0"&amp;G1373),2)&amp;RIGHT(("0"&amp;H1373),2)</f>
        <v>033640465860</v>
      </c>
      <c r="J1373" s="1" t="n">
        <f aca="false">COUNTIF(I:I,I1373)</f>
        <v>1</v>
      </c>
      <c r="K1373" s="1" t="n">
        <v>0</v>
      </c>
      <c r="M1373" s="1" t="s">
        <v>23</v>
      </c>
      <c r="N1373" s="1" t="n">
        <v>48</v>
      </c>
      <c r="O1373" s="1" t="s">
        <v>7059</v>
      </c>
      <c r="P1373" s="1" t="n">
        <v>4069</v>
      </c>
      <c r="Q1373" s="1" t="s">
        <v>7060</v>
      </c>
      <c r="R1373" s="1" t="s">
        <v>7061</v>
      </c>
      <c r="S1373" s="1" t="s">
        <v>7062</v>
      </c>
      <c r="T1373" s="1" t="s">
        <v>4190</v>
      </c>
      <c r="U1373" s="1" t="s">
        <v>7063</v>
      </c>
    </row>
    <row r="1374" customFormat="false" ht="13.8" hidden="false" customHeight="false" outlineLevel="0" collapsed="false">
      <c r="A1374" s="1" t="n">
        <v>1373</v>
      </c>
      <c r="B1374" s="2" t="s">
        <v>7064</v>
      </c>
      <c r="C1374" s="1" t="n">
        <v>7</v>
      </c>
      <c r="D1374" s="1" t="n">
        <v>27</v>
      </c>
      <c r="E1374" s="1" t="n">
        <v>39</v>
      </c>
      <c r="F1374" s="1" t="n">
        <v>52</v>
      </c>
      <c r="G1374" s="1" t="n">
        <v>55</v>
      </c>
      <c r="H1374" s="1" t="n">
        <v>57</v>
      </c>
      <c r="I1374" s="1" t="str">
        <f aca="false">RIGHT(("0"&amp;C1374),2)&amp;RIGHT(("0"&amp;D1374),2)&amp;RIGHT(("0"&amp;E1374),2)&amp;RIGHT(("0"&amp;F1374),2)&amp;RIGHT(("0"&amp;G1374),2)&amp;RIGHT(("0"&amp;H1374),2)</f>
        <v>072739525557</v>
      </c>
      <c r="J1374" s="1" t="n">
        <f aca="false">COUNTIF(I:I,I1374)</f>
        <v>1</v>
      </c>
      <c r="K1374" s="1" t="n">
        <v>1</v>
      </c>
      <c r="L1374" s="1" t="s">
        <v>7065</v>
      </c>
      <c r="M1374" s="1" t="s">
        <v>7066</v>
      </c>
      <c r="N1374" s="1" t="n">
        <v>73</v>
      </c>
      <c r="O1374" s="1" t="s">
        <v>7067</v>
      </c>
      <c r="P1374" s="1" t="n">
        <v>6082</v>
      </c>
      <c r="Q1374" s="1" t="s">
        <v>7068</v>
      </c>
      <c r="R1374" s="1" t="s">
        <v>23</v>
      </c>
      <c r="S1374" s="1" t="s">
        <v>7069</v>
      </c>
      <c r="T1374" s="1" t="s">
        <v>4732</v>
      </c>
      <c r="U1374" s="1" t="s">
        <v>7070</v>
      </c>
      <c r="V1374" s="1" t="s">
        <v>6777</v>
      </c>
    </row>
    <row r="1375" customFormat="false" ht="13.8" hidden="false" customHeight="false" outlineLevel="0" collapsed="false">
      <c r="A1375" s="1" t="n">
        <v>1374</v>
      </c>
      <c r="B1375" s="2" t="s">
        <v>7071</v>
      </c>
      <c r="C1375" s="1" t="n">
        <v>6</v>
      </c>
      <c r="D1375" s="1" t="n">
        <v>21</v>
      </c>
      <c r="E1375" s="1" t="n">
        <v>28</v>
      </c>
      <c r="F1375" s="1" t="n">
        <v>31</v>
      </c>
      <c r="G1375" s="1" t="n">
        <v>33</v>
      </c>
      <c r="H1375" s="1" t="n">
        <v>43</v>
      </c>
      <c r="I1375" s="1" t="str">
        <f aca="false">RIGHT(("0"&amp;C1375),2)&amp;RIGHT(("0"&amp;D1375),2)&amp;RIGHT(("0"&amp;E1375),2)&amp;RIGHT(("0"&amp;F1375),2)&amp;RIGHT(("0"&amp;G1375),2)&amp;RIGHT(("0"&amp;H1375),2)</f>
        <v>062128313343</v>
      </c>
      <c r="J1375" s="1" t="n">
        <f aca="false">COUNTIF(I:I,I1375)</f>
        <v>1</v>
      </c>
      <c r="K1375" s="1" t="n">
        <v>0</v>
      </c>
      <c r="M1375" s="1" t="s">
        <v>23</v>
      </c>
      <c r="N1375" s="1" t="n">
        <v>32</v>
      </c>
      <c r="O1375" s="1" t="s">
        <v>7072</v>
      </c>
      <c r="P1375" s="1" t="n">
        <v>3575</v>
      </c>
      <c r="Q1375" s="1" t="s">
        <v>7073</v>
      </c>
      <c r="R1375" s="1" t="s">
        <v>7074</v>
      </c>
      <c r="S1375" s="1" t="s">
        <v>7075</v>
      </c>
      <c r="T1375" s="1" t="s">
        <v>3602</v>
      </c>
      <c r="U1375" s="1" t="s">
        <v>7076</v>
      </c>
    </row>
    <row r="1376" customFormat="false" ht="13.8" hidden="false" customHeight="false" outlineLevel="0" collapsed="false">
      <c r="A1376" s="1" t="n">
        <v>1375</v>
      </c>
      <c r="B1376" s="2" t="s">
        <v>7077</v>
      </c>
      <c r="C1376" s="1" t="n">
        <v>14</v>
      </c>
      <c r="D1376" s="1" t="n">
        <v>25</v>
      </c>
      <c r="E1376" s="1" t="n">
        <v>28</v>
      </c>
      <c r="F1376" s="1" t="n">
        <v>45</v>
      </c>
      <c r="G1376" s="1" t="n">
        <v>53</v>
      </c>
      <c r="H1376" s="1" t="n">
        <v>58</v>
      </c>
      <c r="I1376" s="1" t="str">
        <f aca="false">RIGHT(("0"&amp;C1376),2)&amp;RIGHT(("0"&amp;D1376),2)&amp;RIGHT(("0"&amp;E1376),2)&amp;RIGHT(("0"&amp;F1376),2)&amp;RIGHT(("0"&amp;G1376),2)&amp;RIGHT(("0"&amp;H1376),2)</f>
        <v>142528455358</v>
      </c>
      <c r="J1376" s="1" t="n">
        <f aca="false">COUNTIF(I:I,I1376)</f>
        <v>1</v>
      </c>
      <c r="K1376" s="1" t="n">
        <v>2</v>
      </c>
      <c r="L1376" s="1" t="s">
        <v>7078</v>
      </c>
      <c r="M1376" s="1" t="s">
        <v>7079</v>
      </c>
      <c r="N1376" s="1" t="n">
        <v>121</v>
      </c>
      <c r="O1376" s="1" t="s">
        <v>7080</v>
      </c>
      <c r="P1376" s="1" t="n">
        <v>7136</v>
      </c>
      <c r="Q1376" s="1" t="s">
        <v>7081</v>
      </c>
      <c r="R1376" s="1" t="s">
        <v>23</v>
      </c>
      <c r="S1376" s="1" t="s">
        <v>7082</v>
      </c>
      <c r="T1376" s="1" t="s">
        <v>4732</v>
      </c>
      <c r="U1376" s="1" t="s">
        <v>7083</v>
      </c>
    </row>
    <row r="1377" customFormat="false" ht="13.8" hidden="false" customHeight="false" outlineLevel="0" collapsed="false">
      <c r="A1377" s="1" t="n">
        <v>1376</v>
      </c>
      <c r="B1377" s="2" t="s">
        <v>7084</v>
      </c>
      <c r="C1377" s="1" t="n">
        <v>9</v>
      </c>
      <c r="D1377" s="1" t="n">
        <v>11</v>
      </c>
      <c r="E1377" s="1" t="n">
        <v>21</v>
      </c>
      <c r="F1377" s="1" t="n">
        <v>49</v>
      </c>
      <c r="G1377" s="1" t="n">
        <v>53</v>
      </c>
      <c r="H1377" s="1" t="n">
        <v>54</v>
      </c>
      <c r="I1377" s="1" t="str">
        <f aca="false">RIGHT(("0"&amp;C1377),2)&amp;RIGHT(("0"&amp;D1377),2)&amp;RIGHT(("0"&amp;E1377),2)&amp;RIGHT(("0"&amp;F1377),2)&amp;RIGHT(("0"&amp;G1377),2)&amp;RIGHT(("0"&amp;H1377),2)</f>
        <v>091121495354</v>
      </c>
      <c r="J1377" s="1" t="n">
        <f aca="false">COUNTIF(I:I,I1377)</f>
        <v>1</v>
      </c>
      <c r="K1377" s="1" t="n">
        <v>0</v>
      </c>
      <c r="M1377" s="1" t="s">
        <v>23</v>
      </c>
      <c r="N1377" s="1" t="n">
        <v>57</v>
      </c>
      <c r="O1377" s="1" t="s">
        <v>7085</v>
      </c>
      <c r="P1377" s="1" t="n">
        <v>4091</v>
      </c>
      <c r="Q1377" s="1" t="s">
        <v>7086</v>
      </c>
      <c r="R1377" s="1" t="s">
        <v>7087</v>
      </c>
      <c r="S1377" s="1" t="s">
        <v>7088</v>
      </c>
      <c r="T1377" s="1" t="s">
        <v>7089</v>
      </c>
      <c r="U1377" s="1" t="s">
        <v>7090</v>
      </c>
    </row>
    <row r="1378" customFormat="false" ht="13.8" hidden="false" customHeight="false" outlineLevel="0" collapsed="false">
      <c r="A1378" s="1" t="n">
        <v>1377</v>
      </c>
      <c r="B1378" s="2" t="s">
        <v>7091</v>
      </c>
      <c r="C1378" s="1" t="n">
        <v>2</v>
      </c>
      <c r="D1378" s="1" t="n">
        <v>5</v>
      </c>
      <c r="E1378" s="1" t="n">
        <v>12</v>
      </c>
      <c r="F1378" s="1" t="n">
        <v>13</v>
      </c>
      <c r="G1378" s="1" t="n">
        <v>25</v>
      </c>
      <c r="H1378" s="1" t="n">
        <v>35</v>
      </c>
      <c r="I1378" s="1" t="str">
        <f aca="false">RIGHT(("0"&amp;C1378),2)&amp;RIGHT(("0"&amp;D1378),2)&amp;RIGHT(("0"&amp;E1378),2)&amp;RIGHT(("0"&amp;F1378),2)&amp;RIGHT(("0"&amp;G1378),2)&amp;RIGHT(("0"&amp;H1378),2)</f>
        <v>020512132535</v>
      </c>
      <c r="J1378" s="1" t="n">
        <f aca="false">COUNTIF(I:I,I1378)</f>
        <v>1</v>
      </c>
      <c r="K1378" s="1" t="n">
        <v>1</v>
      </c>
      <c r="L1378" s="1" t="s">
        <v>5310</v>
      </c>
      <c r="M1378" s="1" t="s">
        <v>7092</v>
      </c>
      <c r="N1378" s="1" t="n">
        <v>175</v>
      </c>
      <c r="O1378" s="1" t="s">
        <v>7093</v>
      </c>
      <c r="P1378" s="1" t="n">
        <v>12352</v>
      </c>
      <c r="Q1378" s="1" t="s">
        <v>7094</v>
      </c>
      <c r="R1378" s="1" t="s">
        <v>23</v>
      </c>
      <c r="S1378" s="1" t="s">
        <v>7095</v>
      </c>
      <c r="T1378" s="1" t="s">
        <v>4732</v>
      </c>
      <c r="U1378" s="1" t="s">
        <v>7096</v>
      </c>
    </row>
    <row r="1379" customFormat="false" ht="13.8" hidden="false" customHeight="false" outlineLevel="0" collapsed="false">
      <c r="A1379" s="1" t="n">
        <v>1378</v>
      </c>
      <c r="B1379" s="2" t="s">
        <v>7097</v>
      </c>
      <c r="C1379" s="1" t="n">
        <v>2</v>
      </c>
      <c r="D1379" s="1" t="n">
        <v>5</v>
      </c>
      <c r="E1379" s="1" t="n">
        <v>17</v>
      </c>
      <c r="F1379" s="1" t="n">
        <v>18</v>
      </c>
      <c r="G1379" s="1" t="n">
        <v>54</v>
      </c>
      <c r="H1379" s="1" t="n">
        <v>59</v>
      </c>
      <c r="I1379" s="1" t="str">
        <f aca="false">RIGHT(("0"&amp;C1379),2)&amp;RIGHT(("0"&amp;D1379),2)&amp;RIGHT(("0"&amp;E1379),2)&amp;RIGHT(("0"&amp;F1379),2)&amp;RIGHT(("0"&amp;G1379),2)&amp;RIGHT(("0"&amp;H1379),2)</f>
        <v>020517185459</v>
      </c>
      <c r="J1379" s="1" t="n">
        <f aca="false">COUNTIF(I:I,I1379)</f>
        <v>1</v>
      </c>
      <c r="K1379" s="1" t="n">
        <v>0</v>
      </c>
      <c r="M1379" s="1" t="s">
        <v>23</v>
      </c>
      <c r="N1379" s="1" t="n">
        <v>74</v>
      </c>
      <c r="O1379" s="1" t="s">
        <v>7098</v>
      </c>
      <c r="P1379" s="1" t="n">
        <v>5614</v>
      </c>
      <c r="Q1379" s="1" t="s">
        <v>7099</v>
      </c>
      <c r="R1379" s="1" t="s">
        <v>7100</v>
      </c>
      <c r="S1379" s="1" t="s">
        <v>7101</v>
      </c>
      <c r="T1379" s="1" t="s">
        <v>4227</v>
      </c>
      <c r="U1379" s="1" t="s">
        <v>7102</v>
      </c>
    </row>
    <row r="1380" customFormat="false" ht="13.8" hidden="false" customHeight="false" outlineLevel="0" collapsed="false">
      <c r="A1380" s="1" t="n">
        <v>1379</v>
      </c>
      <c r="B1380" s="2" t="s">
        <v>7103</v>
      </c>
      <c r="C1380" s="1" t="n">
        <v>5</v>
      </c>
      <c r="D1380" s="1" t="n">
        <v>12</v>
      </c>
      <c r="E1380" s="1" t="n">
        <v>36</v>
      </c>
      <c r="F1380" s="1" t="n">
        <v>45</v>
      </c>
      <c r="G1380" s="1" t="n">
        <v>50</v>
      </c>
      <c r="H1380" s="1" t="n">
        <v>58</v>
      </c>
      <c r="I1380" s="1" t="str">
        <f aca="false">RIGHT(("0"&amp;C1380),2)&amp;RIGHT(("0"&amp;D1380),2)&amp;RIGHT(("0"&amp;E1380),2)&amp;RIGHT(("0"&amp;F1380),2)&amp;RIGHT(("0"&amp;G1380),2)&amp;RIGHT(("0"&amp;H1380),2)</f>
        <v>051236455058</v>
      </c>
      <c r="J1380" s="1" t="n">
        <f aca="false">COUNTIF(I:I,I1380)</f>
        <v>1</v>
      </c>
      <c r="K1380" s="1" t="n">
        <v>0</v>
      </c>
      <c r="M1380" s="1" t="s">
        <v>23</v>
      </c>
      <c r="N1380" s="1" t="n">
        <v>61</v>
      </c>
      <c r="O1380" s="1" t="s">
        <v>7104</v>
      </c>
      <c r="P1380" s="1" t="n">
        <v>5455</v>
      </c>
      <c r="Q1380" s="1" t="s">
        <v>7105</v>
      </c>
      <c r="R1380" s="1" t="s">
        <v>7106</v>
      </c>
      <c r="S1380" s="1" t="s">
        <v>7107</v>
      </c>
      <c r="T1380" s="1" t="s">
        <v>4208</v>
      </c>
      <c r="U1380" s="1" t="s">
        <v>7108</v>
      </c>
    </row>
    <row r="1381" customFormat="false" ht="13.8" hidden="false" customHeight="false" outlineLevel="0" collapsed="false">
      <c r="A1381" s="1" t="n">
        <v>1380</v>
      </c>
      <c r="B1381" s="2" t="s">
        <v>7109</v>
      </c>
      <c r="C1381" s="1" t="n">
        <v>3</v>
      </c>
      <c r="D1381" s="1" t="n">
        <v>14</v>
      </c>
      <c r="E1381" s="1" t="n">
        <v>52</v>
      </c>
      <c r="F1381" s="1" t="n">
        <v>55</v>
      </c>
      <c r="G1381" s="1" t="n">
        <v>57</v>
      </c>
      <c r="H1381" s="1" t="n">
        <v>60</v>
      </c>
      <c r="I1381" s="1" t="str">
        <f aca="false">RIGHT(("0"&amp;C1381),2)&amp;RIGHT(("0"&amp;D1381),2)&amp;RIGHT(("0"&amp;E1381),2)&amp;RIGHT(("0"&amp;F1381),2)&amp;RIGHT(("0"&amp;G1381),2)&amp;RIGHT(("0"&amp;H1381),2)</f>
        <v>031452555760</v>
      </c>
      <c r="J1381" s="1" t="n">
        <f aca="false">COUNTIF(I:I,I1381)</f>
        <v>1</v>
      </c>
      <c r="K1381" s="1" t="n">
        <v>0</v>
      </c>
      <c r="M1381" s="1" t="s">
        <v>23</v>
      </c>
      <c r="N1381" s="1" t="n">
        <v>100</v>
      </c>
      <c r="O1381" s="1" t="s">
        <v>7110</v>
      </c>
      <c r="P1381" s="1" t="n">
        <v>6994</v>
      </c>
      <c r="Q1381" s="1" t="s">
        <v>7111</v>
      </c>
      <c r="R1381" s="1" t="s">
        <v>7112</v>
      </c>
      <c r="S1381" s="1" t="s">
        <v>7113</v>
      </c>
      <c r="T1381" s="1" t="s">
        <v>4696</v>
      </c>
      <c r="U1381" s="1" t="s">
        <v>7114</v>
      </c>
    </row>
    <row r="1382" customFormat="false" ht="13.8" hidden="false" customHeight="false" outlineLevel="0" collapsed="false">
      <c r="A1382" s="1" t="n">
        <v>1381</v>
      </c>
      <c r="B1382" s="2" t="s">
        <v>7115</v>
      </c>
      <c r="C1382" s="1" t="n">
        <v>11</v>
      </c>
      <c r="D1382" s="1" t="n">
        <v>27</v>
      </c>
      <c r="E1382" s="1" t="n">
        <v>30</v>
      </c>
      <c r="F1382" s="1" t="n">
        <v>40</v>
      </c>
      <c r="G1382" s="1" t="n">
        <v>44</v>
      </c>
      <c r="H1382" s="1" t="n">
        <v>57</v>
      </c>
      <c r="I1382" s="1" t="str">
        <f aca="false">RIGHT(("0"&amp;C1382),2)&amp;RIGHT(("0"&amp;D1382),2)&amp;RIGHT(("0"&amp;E1382),2)&amp;RIGHT(("0"&amp;F1382),2)&amp;RIGHT(("0"&amp;G1382),2)&amp;RIGHT(("0"&amp;H1382),2)</f>
        <v>112730404457</v>
      </c>
      <c r="J1382" s="1" t="n">
        <f aca="false">COUNTIF(I:I,I1382)</f>
        <v>1</v>
      </c>
      <c r="K1382" s="1" t="n">
        <v>1</v>
      </c>
      <c r="L1382" s="1" t="s">
        <v>5484</v>
      </c>
      <c r="M1382" s="1" t="s">
        <v>7116</v>
      </c>
      <c r="N1382" s="1" t="n">
        <v>109</v>
      </c>
      <c r="O1382" s="1" t="s">
        <v>7117</v>
      </c>
      <c r="P1382" s="1" t="n">
        <v>7087</v>
      </c>
      <c r="Q1382" s="1" t="s">
        <v>7118</v>
      </c>
      <c r="R1382" s="1" t="s">
        <v>23</v>
      </c>
      <c r="S1382" s="1" t="s">
        <v>7119</v>
      </c>
      <c r="T1382" s="1" t="s">
        <v>4732</v>
      </c>
      <c r="U1382" s="1" t="s">
        <v>7120</v>
      </c>
    </row>
    <row r="1383" customFormat="false" ht="13.8" hidden="false" customHeight="false" outlineLevel="0" collapsed="false">
      <c r="A1383" s="1" t="n">
        <v>1382</v>
      </c>
      <c r="B1383" s="2" t="s">
        <v>7121</v>
      </c>
      <c r="C1383" s="1" t="n">
        <v>5</v>
      </c>
      <c r="D1383" s="1" t="n">
        <v>13</v>
      </c>
      <c r="E1383" s="1" t="n">
        <v>16</v>
      </c>
      <c r="F1383" s="1" t="n">
        <v>17</v>
      </c>
      <c r="G1383" s="1" t="n">
        <v>27</v>
      </c>
      <c r="H1383" s="1" t="n">
        <v>55</v>
      </c>
      <c r="I1383" s="1" t="str">
        <f aca="false">RIGHT(("0"&amp;C1383),2)&amp;RIGHT(("0"&amp;D1383),2)&amp;RIGHT(("0"&amp;E1383),2)&amp;RIGHT(("0"&amp;F1383),2)&amp;RIGHT(("0"&amp;G1383),2)&amp;RIGHT(("0"&amp;H1383),2)</f>
        <v>051316172755</v>
      </c>
      <c r="J1383" s="1" t="n">
        <f aca="false">COUNTIF(I:I,I1383)</f>
        <v>1</v>
      </c>
      <c r="K1383" s="1" t="n">
        <v>0</v>
      </c>
      <c r="M1383" s="1" t="s">
        <v>23</v>
      </c>
      <c r="N1383" s="1" t="n">
        <v>70</v>
      </c>
      <c r="O1383" s="1" t="s">
        <v>7122</v>
      </c>
      <c r="P1383" s="1" t="n">
        <v>6131</v>
      </c>
      <c r="Q1383" s="1" t="s">
        <v>7123</v>
      </c>
      <c r="R1383" s="1" t="s">
        <v>7124</v>
      </c>
      <c r="S1383" s="1" t="s">
        <v>7125</v>
      </c>
      <c r="T1383" s="1" t="s">
        <v>5013</v>
      </c>
      <c r="U1383" s="1" t="s">
        <v>7126</v>
      </c>
    </row>
    <row r="1384" customFormat="false" ht="13.8" hidden="false" customHeight="false" outlineLevel="0" collapsed="false">
      <c r="A1384" s="1" t="n">
        <v>1383</v>
      </c>
      <c r="B1384" s="2" t="s">
        <v>7127</v>
      </c>
      <c r="C1384" s="1" t="n">
        <v>7</v>
      </c>
      <c r="D1384" s="1" t="n">
        <v>9</v>
      </c>
      <c r="E1384" s="1" t="n">
        <v>23</v>
      </c>
      <c r="F1384" s="1" t="n">
        <v>44</v>
      </c>
      <c r="G1384" s="1" t="n">
        <v>46</v>
      </c>
      <c r="H1384" s="1" t="n">
        <v>55</v>
      </c>
      <c r="I1384" s="1" t="str">
        <f aca="false">RIGHT(("0"&amp;C1384),2)&amp;RIGHT(("0"&amp;D1384),2)&amp;RIGHT(("0"&amp;E1384),2)&amp;RIGHT(("0"&amp;F1384),2)&amp;RIGHT(("0"&amp;G1384),2)&amp;RIGHT(("0"&amp;H1384),2)</f>
        <v>070923444655</v>
      </c>
      <c r="J1384" s="1" t="n">
        <f aca="false">COUNTIF(I:I,I1384)</f>
        <v>1</v>
      </c>
      <c r="K1384" s="1" t="n">
        <v>0</v>
      </c>
      <c r="M1384" s="1" t="s">
        <v>23</v>
      </c>
      <c r="N1384" s="1" t="n">
        <v>106</v>
      </c>
      <c r="O1384" s="1" t="s">
        <v>7128</v>
      </c>
      <c r="P1384" s="1" t="n">
        <v>6224</v>
      </c>
      <c r="Q1384" s="1" t="s">
        <v>7129</v>
      </c>
      <c r="R1384" s="1" t="s">
        <v>7130</v>
      </c>
      <c r="S1384" s="1" t="s">
        <v>7131</v>
      </c>
      <c r="T1384" s="1" t="s">
        <v>4991</v>
      </c>
      <c r="U1384" s="1" t="s">
        <v>7132</v>
      </c>
    </row>
    <row r="1385" customFormat="false" ht="13.8" hidden="false" customHeight="false" outlineLevel="0" collapsed="false">
      <c r="A1385" s="1" t="n">
        <v>1384</v>
      </c>
      <c r="B1385" s="2" t="s">
        <v>7133</v>
      </c>
      <c r="C1385" s="1" t="n">
        <v>2</v>
      </c>
      <c r="D1385" s="1" t="n">
        <v>18</v>
      </c>
      <c r="E1385" s="1" t="n">
        <v>30</v>
      </c>
      <c r="F1385" s="1" t="n">
        <v>31</v>
      </c>
      <c r="G1385" s="1" t="n">
        <v>45</v>
      </c>
      <c r="H1385" s="1" t="n">
        <v>56</v>
      </c>
      <c r="I1385" s="1" t="str">
        <f aca="false">RIGHT(("0"&amp;C1385),2)&amp;RIGHT(("0"&amp;D1385),2)&amp;RIGHT(("0"&amp;E1385),2)&amp;RIGHT(("0"&amp;F1385),2)&amp;RIGHT(("0"&amp;G1385),2)&amp;RIGHT(("0"&amp;H1385),2)</f>
        <v>021830314556</v>
      </c>
      <c r="J1385" s="1" t="n">
        <f aca="false">COUNTIF(I:I,I1385)</f>
        <v>1</v>
      </c>
      <c r="K1385" s="1" t="n">
        <v>2</v>
      </c>
      <c r="L1385" s="1" t="s">
        <v>7134</v>
      </c>
      <c r="M1385" s="1" t="s">
        <v>7135</v>
      </c>
      <c r="N1385" s="1" t="n">
        <v>56</v>
      </c>
      <c r="O1385" s="1" t="s">
        <v>7136</v>
      </c>
      <c r="P1385" s="1" t="n">
        <v>5010</v>
      </c>
      <c r="Q1385" s="1" t="s">
        <v>7137</v>
      </c>
      <c r="R1385" s="1" t="s">
        <v>23</v>
      </c>
      <c r="S1385" s="1" t="s">
        <v>7138</v>
      </c>
      <c r="T1385" s="1" t="s">
        <v>4203</v>
      </c>
      <c r="U1385" s="1" t="s">
        <v>7139</v>
      </c>
    </row>
    <row r="1386" customFormat="false" ht="13.8" hidden="false" customHeight="false" outlineLevel="0" collapsed="false">
      <c r="A1386" s="1" t="n">
        <v>1385</v>
      </c>
      <c r="B1386" s="2" t="s">
        <v>7140</v>
      </c>
      <c r="C1386" s="1" t="n">
        <v>27</v>
      </c>
      <c r="D1386" s="1" t="n">
        <v>35</v>
      </c>
      <c r="E1386" s="1" t="n">
        <v>36</v>
      </c>
      <c r="F1386" s="1" t="n">
        <v>37</v>
      </c>
      <c r="G1386" s="1" t="n">
        <v>42</v>
      </c>
      <c r="H1386" s="1" t="n">
        <v>59</v>
      </c>
      <c r="I1386" s="1" t="str">
        <f aca="false">RIGHT(("0"&amp;C1386),2)&amp;RIGHT(("0"&amp;D1386),2)&amp;RIGHT(("0"&amp;E1386),2)&amp;RIGHT(("0"&amp;F1386),2)&amp;RIGHT(("0"&amp;G1386),2)&amp;RIGHT(("0"&amp;H1386),2)</f>
        <v>273536374259</v>
      </c>
      <c r="J1386" s="1" t="n">
        <f aca="false">COUNTIF(I:I,I1386)</f>
        <v>1</v>
      </c>
      <c r="K1386" s="1" t="n">
        <v>1</v>
      </c>
      <c r="L1386" s="1" t="s">
        <v>7141</v>
      </c>
      <c r="M1386" s="1" t="s">
        <v>7142</v>
      </c>
      <c r="N1386" s="1" t="n">
        <v>52</v>
      </c>
      <c r="O1386" s="1" t="s">
        <v>7143</v>
      </c>
      <c r="P1386" s="1" t="n">
        <v>4170</v>
      </c>
      <c r="Q1386" s="1" t="s">
        <v>7144</v>
      </c>
      <c r="R1386" s="1" t="s">
        <v>23</v>
      </c>
      <c r="S1386" s="1" t="s">
        <v>7145</v>
      </c>
      <c r="T1386" s="1" t="s">
        <v>4732</v>
      </c>
      <c r="U1386" s="1" t="s">
        <v>7146</v>
      </c>
    </row>
    <row r="1387" customFormat="false" ht="13.8" hidden="false" customHeight="false" outlineLevel="0" collapsed="false">
      <c r="A1387" s="1" t="n">
        <v>1386</v>
      </c>
      <c r="B1387" s="2" t="s">
        <v>7147</v>
      </c>
      <c r="C1387" s="1" t="n">
        <v>12</v>
      </c>
      <c r="D1387" s="1" t="n">
        <v>28</v>
      </c>
      <c r="E1387" s="1" t="n">
        <v>38</v>
      </c>
      <c r="F1387" s="1" t="n">
        <v>39</v>
      </c>
      <c r="G1387" s="1" t="n">
        <v>51</v>
      </c>
      <c r="H1387" s="1" t="n">
        <v>56</v>
      </c>
      <c r="I1387" s="1" t="str">
        <f aca="false">RIGHT(("0"&amp;C1387),2)&amp;RIGHT(("0"&amp;D1387),2)&amp;RIGHT(("0"&amp;E1387),2)&amp;RIGHT(("0"&amp;F1387),2)&amp;RIGHT(("0"&amp;G1387),2)&amp;RIGHT(("0"&amp;H1387),2)</f>
        <v>122838395156</v>
      </c>
      <c r="J1387" s="1" t="n">
        <f aca="false">COUNTIF(I:I,I1387)</f>
        <v>1</v>
      </c>
      <c r="K1387" s="1" t="n">
        <v>0</v>
      </c>
      <c r="M1387" s="1" t="s">
        <v>23</v>
      </c>
      <c r="N1387" s="1" t="n">
        <v>27</v>
      </c>
      <c r="O1387" s="1" t="s">
        <v>7148</v>
      </c>
      <c r="P1387" s="1" t="n">
        <v>3462</v>
      </c>
      <c r="Q1387" s="1" t="s">
        <v>7149</v>
      </c>
      <c r="R1387" s="1" t="s">
        <v>7150</v>
      </c>
      <c r="S1387" s="1" t="s">
        <v>7151</v>
      </c>
      <c r="T1387" s="1" t="s">
        <v>4342</v>
      </c>
      <c r="U1387" s="1" t="s">
        <v>7152</v>
      </c>
    </row>
    <row r="1388" customFormat="false" ht="13.8" hidden="false" customHeight="false" outlineLevel="0" collapsed="false">
      <c r="A1388" s="1" t="n">
        <v>1387</v>
      </c>
      <c r="B1388" s="2" t="s">
        <v>7153</v>
      </c>
      <c r="C1388" s="1" t="n">
        <v>18</v>
      </c>
      <c r="D1388" s="1" t="n">
        <v>27</v>
      </c>
      <c r="E1388" s="1" t="n">
        <v>32</v>
      </c>
      <c r="F1388" s="1" t="n">
        <v>43</v>
      </c>
      <c r="G1388" s="1" t="n">
        <v>50</v>
      </c>
      <c r="H1388" s="1" t="n">
        <v>52</v>
      </c>
      <c r="I1388" s="1" t="str">
        <f aca="false">RIGHT(("0"&amp;C1388),2)&amp;RIGHT(("0"&amp;D1388),2)&amp;RIGHT(("0"&amp;E1388),2)&amp;RIGHT(("0"&amp;F1388),2)&amp;RIGHT(("0"&amp;G1388),2)&amp;RIGHT(("0"&amp;H1388),2)</f>
        <v>182732435052</v>
      </c>
      <c r="J1388" s="1" t="n">
        <f aca="false">COUNTIF(I:I,I1388)</f>
        <v>1</v>
      </c>
      <c r="K1388" s="1" t="n">
        <v>0</v>
      </c>
      <c r="M1388" s="1" t="s">
        <v>23</v>
      </c>
      <c r="N1388" s="1" t="n">
        <v>47</v>
      </c>
      <c r="O1388" s="1" t="s">
        <v>7154</v>
      </c>
      <c r="P1388" s="1" t="n">
        <v>3492</v>
      </c>
      <c r="Q1388" s="1" t="s">
        <v>7155</v>
      </c>
      <c r="R1388" s="1" t="s">
        <v>7156</v>
      </c>
      <c r="S1388" s="1" t="s">
        <v>7157</v>
      </c>
      <c r="T1388" s="1" t="s">
        <v>4190</v>
      </c>
      <c r="U1388" s="1" t="s">
        <v>7158</v>
      </c>
      <c r="V1388" s="1" t="s">
        <v>6777</v>
      </c>
    </row>
    <row r="1389" customFormat="false" ht="13.8" hidden="false" customHeight="false" outlineLevel="0" collapsed="false">
      <c r="A1389" s="1" t="n">
        <v>1388</v>
      </c>
      <c r="B1389" s="2" t="s">
        <v>7159</v>
      </c>
      <c r="C1389" s="1" t="n">
        <v>22</v>
      </c>
      <c r="D1389" s="1" t="n">
        <v>29</v>
      </c>
      <c r="E1389" s="1" t="n">
        <v>31</v>
      </c>
      <c r="F1389" s="1" t="n">
        <v>43</v>
      </c>
      <c r="G1389" s="1" t="n">
        <v>50</v>
      </c>
      <c r="H1389" s="1" t="n">
        <v>54</v>
      </c>
      <c r="I1389" s="1" t="str">
        <f aca="false">RIGHT(("0"&amp;C1389),2)&amp;RIGHT(("0"&amp;D1389),2)&amp;RIGHT(("0"&amp;E1389),2)&amp;RIGHT(("0"&amp;F1389),2)&amp;RIGHT(("0"&amp;G1389),2)&amp;RIGHT(("0"&amp;H1389),2)</f>
        <v>222931435054</v>
      </c>
      <c r="J1389" s="1" t="n">
        <f aca="false">COUNTIF(I:I,I1389)</f>
        <v>1</v>
      </c>
      <c r="K1389" s="1" t="n">
        <v>0</v>
      </c>
      <c r="M1389" s="1" t="s">
        <v>23</v>
      </c>
      <c r="N1389" s="1" t="n">
        <v>48</v>
      </c>
      <c r="O1389" s="1" t="s">
        <v>7160</v>
      </c>
      <c r="P1389" s="1" t="n">
        <v>4047</v>
      </c>
      <c r="Q1389" s="1" t="s">
        <v>7161</v>
      </c>
      <c r="R1389" s="1" t="s">
        <v>7162</v>
      </c>
      <c r="S1389" s="1" t="s">
        <v>7163</v>
      </c>
      <c r="T1389" s="1" t="s">
        <v>4203</v>
      </c>
      <c r="U1389" s="1" t="s">
        <v>7164</v>
      </c>
    </row>
    <row r="1390" customFormat="false" ht="13.8" hidden="false" customHeight="false" outlineLevel="0" collapsed="false">
      <c r="A1390" s="1" t="n">
        <v>1389</v>
      </c>
      <c r="B1390" s="2" t="s">
        <v>7165</v>
      </c>
      <c r="C1390" s="1" t="n">
        <v>1</v>
      </c>
      <c r="D1390" s="1" t="n">
        <v>16</v>
      </c>
      <c r="E1390" s="1" t="n">
        <v>28</v>
      </c>
      <c r="F1390" s="1" t="n">
        <v>39</v>
      </c>
      <c r="G1390" s="1" t="n">
        <v>44</v>
      </c>
      <c r="H1390" s="1" t="n">
        <v>57</v>
      </c>
      <c r="I1390" s="1" t="str">
        <f aca="false">RIGHT(("0"&amp;C1390),2)&amp;RIGHT(("0"&amp;D1390),2)&amp;RIGHT(("0"&amp;E1390),2)&amp;RIGHT(("0"&amp;F1390),2)&amp;RIGHT(("0"&amp;G1390),2)&amp;RIGHT(("0"&amp;H1390),2)</f>
        <v>011628394457</v>
      </c>
      <c r="J1390" s="1" t="n">
        <f aca="false">COUNTIF(I:I,I1390)</f>
        <v>1</v>
      </c>
      <c r="K1390" s="1" t="n">
        <v>1</v>
      </c>
      <c r="L1390" s="1" t="s">
        <v>7166</v>
      </c>
      <c r="M1390" s="1" t="s">
        <v>7167</v>
      </c>
      <c r="N1390" s="1" t="n">
        <v>146</v>
      </c>
      <c r="O1390" s="1" t="s">
        <v>7168</v>
      </c>
      <c r="P1390" s="1" t="n">
        <v>7397</v>
      </c>
      <c r="Q1390" s="1" t="s">
        <v>7169</v>
      </c>
      <c r="R1390" s="1" t="s">
        <v>23</v>
      </c>
      <c r="S1390" s="1" t="s">
        <v>7170</v>
      </c>
      <c r="T1390" s="1" t="s">
        <v>4531</v>
      </c>
      <c r="U1390" s="1" t="s">
        <v>7171</v>
      </c>
    </row>
    <row r="1391" customFormat="false" ht="13.8" hidden="false" customHeight="false" outlineLevel="0" collapsed="false">
      <c r="A1391" s="1" t="n">
        <v>1390</v>
      </c>
      <c r="B1391" s="2" t="s">
        <v>7172</v>
      </c>
      <c r="C1391" s="1" t="n">
        <v>4</v>
      </c>
      <c r="D1391" s="1" t="n">
        <v>19</v>
      </c>
      <c r="E1391" s="1" t="n">
        <v>27</v>
      </c>
      <c r="F1391" s="1" t="n">
        <v>28</v>
      </c>
      <c r="G1391" s="1" t="n">
        <v>29</v>
      </c>
      <c r="H1391" s="1" t="n">
        <v>31</v>
      </c>
      <c r="I1391" s="1" t="str">
        <f aca="false">RIGHT(("0"&amp;C1391),2)&amp;RIGHT(("0"&amp;D1391),2)&amp;RIGHT(("0"&amp;E1391),2)&amp;RIGHT(("0"&amp;F1391),2)&amp;RIGHT(("0"&amp;G1391),2)&amp;RIGHT(("0"&amp;H1391),2)</f>
        <v>041927282931</v>
      </c>
      <c r="J1391" s="1" t="n">
        <f aca="false">COUNTIF(I:I,I1391)</f>
        <v>1</v>
      </c>
      <c r="K1391" s="1" t="n">
        <v>2</v>
      </c>
      <c r="L1391" s="1" t="s">
        <v>7173</v>
      </c>
      <c r="M1391" s="1" t="s">
        <v>7174</v>
      </c>
      <c r="N1391" s="1" t="n">
        <v>149</v>
      </c>
      <c r="O1391" s="1" t="s">
        <v>7175</v>
      </c>
      <c r="P1391" s="1" t="n">
        <v>7924</v>
      </c>
      <c r="Q1391" s="1" t="s">
        <v>7176</v>
      </c>
      <c r="R1391" s="1" t="s">
        <v>23</v>
      </c>
      <c r="S1391" s="1" t="s">
        <v>7177</v>
      </c>
      <c r="T1391" s="1" t="s">
        <v>4732</v>
      </c>
      <c r="U1391" s="1" t="s">
        <v>7178</v>
      </c>
    </row>
    <row r="1392" customFormat="false" ht="13.8" hidden="false" customHeight="false" outlineLevel="0" collapsed="false">
      <c r="A1392" s="1" t="n">
        <v>1391</v>
      </c>
      <c r="B1392" s="2" t="s">
        <v>7179</v>
      </c>
      <c r="C1392" s="1" t="n">
        <v>7</v>
      </c>
      <c r="D1392" s="1" t="n">
        <v>12</v>
      </c>
      <c r="E1392" s="1" t="n">
        <v>19</v>
      </c>
      <c r="F1392" s="1" t="n">
        <v>34</v>
      </c>
      <c r="G1392" s="1" t="n">
        <v>40</v>
      </c>
      <c r="H1392" s="1" t="n">
        <v>53</v>
      </c>
      <c r="I1392" s="1" t="str">
        <f aca="false">RIGHT(("0"&amp;C1392),2)&amp;RIGHT(("0"&amp;D1392),2)&amp;RIGHT(("0"&amp;E1392),2)&amp;RIGHT(("0"&amp;F1392),2)&amp;RIGHT(("0"&amp;G1392),2)&amp;RIGHT(("0"&amp;H1392),2)</f>
        <v>071219344053</v>
      </c>
      <c r="J1392" s="1" t="n">
        <f aca="false">COUNTIF(I:I,I1392)</f>
        <v>1</v>
      </c>
      <c r="K1392" s="1" t="n">
        <v>0</v>
      </c>
      <c r="M1392" s="1" t="s">
        <v>23</v>
      </c>
      <c r="N1392" s="1" t="n">
        <v>74</v>
      </c>
      <c r="O1392" s="1" t="s">
        <v>7180</v>
      </c>
      <c r="P1392" s="1" t="n">
        <v>5293</v>
      </c>
      <c r="Q1392" s="1" t="s">
        <v>7181</v>
      </c>
      <c r="R1392" s="1" t="s">
        <v>7182</v>
      </c>
      <c r="S1392" s="1" t="s">
        <v>7183</v>
      </c>
      <c r="T1392" s="1" t="s">
        <v>4227</v>
      </c>
      <c r="U1392" s="1" t="s">
        <v>7184</v>
      </c>
    </row>
    <row r="1393" customFormat="false" ht="13.8" hidden="false" customHeight="false" outlineLevel="0" collapsed="false">
      <c r="A1393" s="1" t="n">
        <v>1392</v>
      </c>
      <c r="B1393" s="2" t="s">
        <v>7185</v>
      </c>
      <c r="C1393" s="1" t="n">
        <v>2</v>
      </c>
      <c r="D1393" s="1" t="n">
        <v>8</v>
      </c>
      <c r="E1393" s="1" t="n">
        <v>12</v>
      </c>
      <c r="F1393" s="1" t="n">
        <v>28</v>
      </c>
      <c r="G1393" s="1" t="n">
        <v>33</v>
      </c>
      <c r="H1393" s="1" t="n">
        <v>43</v>
      </c>
      <c r="I1393" s="1" t="str">
        <f aca="false">RIGHT(("0"&amp;C1393),2)&amp;RIGHT(("0"&amp;D1393),2)&amp;RIGHT(("0"&amp;E1393),2)&amp;RIGHT(("0"&amp;F1393),2)&amp;RIGHT(("0"&amp;G1393),2)&amp;RIGHT(("0"&amp;H1393),2)</f>
        <v>020812283343</v>
      </c>
      <c r="J1393" s="1" t="n">
        <f aca="false">COUNTIF(I:I,I1393)</f>
        <v>1</v>
      </c>
      <c r="K1393" s="1" t="n">
        <v>0</v>
      </c>
      <c r="M1393" s="1" t="s">
        <v>23</v>
      </c>
      <c r="N1393" s="1" t="n">
        <v>116</v>
      </c>
      <c r="O1393" s="1" t="s">
        <v>7186</v>
      </c>
      <c r="P1393" s="1" t="n">
        <v>8651</v>
      </c>
      <c r="Q1393" s="1" t="s">
        <v>7187</v>
      </c>
      <c r="R1393" s="1" t="s">
        <v>7188</v>
      </c>
      <c r="S1393" s="1" t="s">
        <v>7189</v>
      </c>
      <c r="T1393" s="1" t="s">
        <v>4195</v>
      </c>
      <c r="U1393" s="1" t="s">
        <v>7190</v>
      </c>
    </row>
    <row r="1394" customFormat="false" ht="13.8" hidden="false" customHeight="false" outlineLevel="0" collapsed="false">
      <c r="A1394" s="1" t="n">
        <v>1393</v>
      </c>
      <c r="B1394" s="2" t="s">
        <v>7191</v>
      </c>
      <c r="C1394" s="1" t="n">
        <v>4</v>
      </c>
      <c r="D1394" s="1" t="n">
        <v>18</v>
      </c>
      <c r="E1394" s="1" t="n">
        <v>24</v>
      </c>
      <c r="F1394" s="1" t="n">
        <v>28</v>
      </c>
      <c r="G1394" s="1" t="n">
        <v>39</v>
      </c>
      <c r="H1394" s="1" t="n">
        <v>44</v>
      </c>
      <c r="I1394" s="1" t="str">
        <f aca="false">RIGHT(("0"&amp;C1394),2)&amp;RIGHT(("0"&amp;D1394),2)&amp;RIGHT(("0"&amp;E1394),2)&amp;RIGHT(("0"&amp;F1394),2)&amp;RIGHT(("0"&amp;G1394),2)&amp;RIGHT(("0"&amp;H1394),2)</f>
        <v>041824283944</v>
      </c>
      <c r="J1394" s="1" t="n">
        <f aca="false">COUNTIF(I:I,I1394)</f>
        <v>1</v>
      </c>
      <c r="K1394" s="1" t="n">
        <v>1</v>
      </c>
      <c r="L1394" s="1" t="s">
        <v>7192</v>
      </c>
      <c r="M1394" s="1" t="s">
        <v>7193</v>
      </c>
      <c r="N1394" s="1" t="n">
        <v>86</v>
      </c>
      <c r="O1394" s="1" t="s">
        <v>7194</v>
      </c>
      <c r="P1394" s="1" t="n">
        <v>5717</v>
      </c>
      <c r="Q1394" s="1" t="s">
        <v>7195</v>
      </c>
      <c r="R1394" s="1" t="s">
        <v>23</v>
      </c>
      <c r="S1394" s="1" t="s">
        <v>7196</v>
      </c>
      <c r="T1394" s="1" t="s">
        <v>4732</v>
      </c>
      <c r="U1394" s="1" t="s">
        <v>7197</v>
      </c>
    </row>
    <row r="1395" customFormat="false" ht="13.8" hidden="false" customHeight="false" outlineLevel="0" collapsed="false">
      <c r="A1395" s="1" t="n">
        <v>1394</v>
      </c>
      <c r="B1395" s="2" t="s">
        <v>7198</v>
      </c>
      <c r="C1395" s="1" t="n">
        <v>11</v>
      </c>
      <c r="D1395" s="1" t="n">
        <v>16</v>
      </c>
      <c r="E1395" s="1" t="n">
        <v>24</v>
      </c>
      <c r="F1395" s="1" t="n">
        <v>35</v>
      </c>
      <c r="G1395" s="1" t="n">
        <v>46</v>
      </c>
      <c r="H1395" s="1" t="n">
        <v>50</v>
      </c>
      <c r="I1395" s="1" t="str">
        <f aca="false">RIGHT(("0"&amp;C1395),2)&amp;RIGHT(("0"&amp;D1395),2)&amp;RIGHT(("0"&amp;E1395),2)&amp;RIGHT(("0"&amp;F1395),2)&amp;RIGHT(("0"&amp;G1395),2)&amp;RIGHT(("0"&amp;H1395),2)</f>
        <v>111624354650</v>
      </c>
      <c r="J1395" s="1" t="n">
        <f aca="false">COUNTIF(I:I,I1395)</f>
        <v>1</v>
      </c>
      <c r="K1395" s="1" t="n">
        <v>0</v>
      </c>
      <c r="M1395" s="1" t="s">
        <v>23</v>
      </c>
      <c r="N1395" s="1" t="n">
        <v>32</v>
      </c>
      <c r="O1395" s="1" t="s">
        <v>7199</v>
      </c>
      <c r="P1395" s="1" t="n">
        <v>4092</v>
      </c>
      <c r="Q1395" s="1" t="s">
        <v>7200</v>
      </c>
      <c r="R1395" s="1" t="s">
        <v>7201</v>
      </c>
      <c r="S1395" s="1" t="s">
        <v>7202</v>
      </c>
      <c r="T1395" s="1" t="s">
        <v>3602</v>
      </c>
      <c r="U1395" s="1" t="s">
        <v>7203</v>
      </c>
    </row>
    <row r="1396" customFormat="false" ht="13.8" hidden="false" customHeight="false" outlineLevel="0" collapsed="false">
      <c r="A1396" s="1" t="n">
        <v>1395</v>
      </c>
      <c r="B1396" s="2" t="s">
        <v>7204</v>
      </c>
      <c r="C1396" s="1" t="n">
        <v>5</v>
      </c>
      <c r="D1396" s="1" t="n">
        <v>11</v>
      </c>
      <c r="E1396" s="1" t="n">
        <v>17</v>
      </c>
      <c r="F1396" s="1" t="n">
        <v>19</v>
      </c>
      <c r="G1396" s="1" t="n">
        <v>44</v>
      </c>
      <c r="H1396" s="1" t="n">
        <v>48</v>
      </c>
      <c r="I1396" s="1" t="str">
        <f aca="false">RIGHT(("0"&amp;C1396),2)&amp;RIGHT(("0"&amp;D1396),2)&amp;RIGHT(("0"&amp;E1396),2)&amp;RIGHT(("0"&amp;F1396),2)&amp;RIGHT(("0"&amp;G1396),2)&amp;RIGHT(("0"&amp;H1396),2)</f>
        <v>051117194448</v>
      </c>
      <c r="J1396" s="1" t="n">
        <f aca="false">COUNTIF(I:I,I1396)</f>
        <v>1</v>
      </c>
      <c r="K1396" s="1" t="n">
        <v>0</v>
      </c>
      <c r="M1396" s="1" t="s">
        <v>23</v>
      </c>
      <c r="N1396" s="1" t="n">
        <v>245</v>
      </c>
      <c r="O1396" s="1" t="s">
        <v>7205</v>
      </c>
      <c r="P1396" s="1" t="n">
        <v>13657</v>
      </c>
      <c r="Q1396" s="1" t="s">
        <v>7206</v>
      </c>
      <c r="R1396" s="1" t="s">
        <v>7207</v>
      </c>
      <c r="S1396" s="1" t="s">
        <v>7208</v>
      </c>
      <c r="T1396" s="1" t="s">
        <v>4273</v>
      </c>
      <c r="U1396" s="1" t="s">
        <v>7209</v>
      </c>
    </row>
    <row r="1397" customFormat="false" ht="13.8" hidden="false" customHeight="false" outlineLevel="0" collapsed="false">
      <c r="A1397" s="1" t="n">
        <v>1396</v>
      </c>
      <c r="B1397" s="2" t="s">
        <v>7210</v>
      </c>
      <c r="C1397" s="1" t="n">
        <v>29</v>
      </c>
      <c r="D1397" s="1" t="n">
        <v>48</v>
      </c>
      <c r="E1397" s="1" t="n">
        <v>52</v>
      </c>
      <c r="F1397" s="1" t="n">
        <v>54</v>
      </c>
      <c r="G1397" s="1" t="n">
        <v>55</v>
      </c>
      <c r="H1397" s="1" t="n">
        <v>58</v>
      </c>
      <c r="I1397" s="1" t="str">
        <f aca="false">RIGHT(("0"&amp;C1397),2)&amp;RIGHT(("0"&amp;D1397),2)&amp;RIGHT(("0"&amp;E1397),2)&amp;RIGHT(("0"&amp;F1397),2)&amp;RIGHT(("0"&amp;G1397),2)&amp;RIGHT(("0"&amp;H1397),2)</f>
        <v>294852545558</v>
      </c>
      <c r="J1397" s="1" t="n">
        <f aca="false">COUNTIF(I:I,I1397)</f>
        <v>1</v>
      </c>
      <c r="K1397" s="1" t="n">
        <v>0</v>
      </c>
      <c r="M1397" s="1" t="s">
        <v>23</v>
      </c>
      <c r="N1397" s="1" t="n">
        <v>44</v>
      </c>
      <c r="O1397" s="1" t="s">
        <v>7211</v>
      </c>
      <c r="P1397" s="1" t="n">
        <v>4577</v>
      </c>
      <c r="Q1397" s="1" t="s">
        <v>7212</v>
      </c>
      <c r="R1397" s="1" t="s">
        <v>7213</v>
      </c>
      <c r="S1397" s="1" t="s">
        <v>7214</v>
      </c>
      <c r="T1397" s="1" t="s">
        <v>4718</v>
      </c>
      <c r="U1397" s="1" t="s">
        <v>7215</v>
      </c>
    </row>
    <row r="1398" customFormat="false" ht="13.8" hidden="false" customHeight="false" outlineLevel="0" collapsed="false">
      <c r="A1398" s="1" t="n">
        <v>1397</v>
      </c>
      <c r="B1398" s="2" t="s">
        <v>7216</v>
      </c>
      <c r="C1398" s="1" t="n">
        <v>3</v>
      </c>
      <c r="D1398" s="1" t="n">
        <v>4</v>
      </c>
      <c r="E1398" s="1" t="n">
        <v>7</v>
      </c>
      <c r="F1398" s="1" t="n">
        <v>15</v>
      </c>
      <c r="G1398" s="1" t="n">
        <v>27</v>
      </c>
      <c r="H1398" s="1" t="n">
        <v>56</v>
      </c>
      <c r="I1398" s="1" t="str">
        <f aca="false">RIGHT(("0"&amp;C1398),2)&amp;RIGHT(("0"&amp;D1398),2)&amp;RIGHT(("0"&amp;E1398),2)&amp;RIGHT(("0"&amp;F1398),2)&amp;RIGHT(("0"&amp;G1398),2)&amp;RIGHT(("0"&amp;H1398),2)</f>
        <v>030407152756</v>
      </c>
      <c r="J1398" s="1" t="n">
        <f aca="false">COUNTIF(I:I,I1398)</f>
        <v>1</v>
      </c>
      <c r="K1398" s="1" t="n">
        <v>0</v>
      </c>
      <c r="M1398" s="1" t="s">
        <v>23</v>
      </c>
      <c r="N1398" s="1" t="n">
        <v>249</v>
      </c>
      <c r="O1398" s="1" t="s">
        <v>7217</v>
      </c>
      <c r="P1398" s="1" t="n">
        <v>18115</v>
      </c>
      <c r="Q1398" s="1" t="s">
        <v>7218</v>
      </c>
      <c r="R1398" s="1" t="s">
        <v>7219</v>
      </c>
      <c r="S1398" s="1" t="s">
        <v>7220</v>
      </c>
      <c r="T1398" s="1" t="s">
        <v>6018</v>
      </c>
      <c r="U1398" s="1" t="s">
        <v>7221</v>
      </c>
    </row>
    <row r="1399" customFormat="false" ht="13.8" hidden="false" customHeight="false" outlineLevel="0" collapsed="false">
      <c r="A1399" s="1" t="n">
        <v>1398</v>
      </c>
      <c r="B1399" s="2" t="s">
        <v>7222</v>
      </c>
      <c r="C1399" s="1" t="n">
        <v>14</v>
      </c>
      <c r="D1399" s="1" t="n">
        <v>32</v>
      </c>
      <c r="E1399" s="1" t="n">
        <v>33</v>
      </c>
      <c r="F1399" s="1" t="n">
        <v>40</v>
      </c>
      <c r="G1399" s="1" t="n">
        <v>42</v>
      </c>
      <c r="H1399" s="1" t="n">
        <v>51</v>
      </c>
      <c r="I1399" s="1" t="str">
        <f aca="false">RIGHT(("0"&amp;C1399),2)&amp;RIGHT(("0"&amp;D1399),2)&amp;RIGHT(("0"&amp;E1399),2)&amp;RIGHT(("0"&amp;F1399),2)&amp;RIGHT(("0"&amp;G1399),2)&amp;RIGHT(("0"&amp;H1399),2)</f>
        <v>143233404251</v>
      </c>
      <c r="J1399" s="1" t="n">
        <f aca="false">COUNTIF(I:I,I1399)</f>
        <v>1</v>
      </c>
      <c r="K1399" s="1" t="n">
        <v>0</v>
      </c>
      <c r="M1399" s="1" t="s">
        <v>23</v>
      </c>
      <c r="N1399" s="1" t="n">
        <v>75</v>
      </c>
      <c r="O1399" s="1" t="s">
        <v>7223</v>
      </c>
      <c r="P1399" s="1" t="n">
        <v>7149</v>
      </c>
      <c r="Q1399" s="1" t="s">
        <v>7224</v>
      </c>
      <c r="R1399" s="1" t="s">
        <v>7225</v>
      </c>
      <c r="S1399" s="1" t="s">
        <v>7226</v>
      </c>
      <c r="T1399" s="1" t="s">
        <v>6025</v>
      </c>
      <c r="U1399" s="1" t="s">
        <v>7227</v>
      </c>
    </row>
    <row r="1400" customFormat="false" ht="13.8" hidden="false" customHeight="false" outlineLevel="0" collapsed="false">
      <c r="A1400" s="1" t="n">
        <v>1399</v>
      </c>
      <c r="B1400" s="2" t="s">
        <v>7228</v>
      </c>
      <c r="C1400" s="1" t="n">
        <v>34</v>
      </c>
      <c r="D1400" s="1" t="n">
        <v>39</v>
      </c>
      <c r="E1400" s="1" t="n">
        <v>43</v>
      </c>
      <c r="F1400" s="1" t="n">
        <v>56</v>
      </c>
      <c r="G1400" s="1" t="n">
        <v>57</v>
      </c>
      <c r="H1400" s="1" t="n">
        <v>60</v>
      </c>
      <c r="I1400" s="1" t="str">
        <f aca="false">RIGHT(("0"&amp;C1400),2)&amp;RIGHT(("0"&amp;D1400),2)&amp;RIGHT(("0"&amp;E1400),2)&amp;RIGHT(("0"&amp;F1400),2)&amp;RIGHT(("0"&amp;G1400),2)&amp;RIGHT(("0"&amp;H1400),2)</f>
        <v>343943565760</v>
      </c>
      <c r="J1400" s="1" t="n">
        <f aca="false">COUNTIF(I:I,I1400)</f>
        <v>1</v>
      </c>
      <c r="K1400" s="1" t="n">
        <v>2</v>
      </c>
      <c r="L1400" s="1" t="s">
        <v>7229</v>
      </c>
      <c r="M1400" s="1" t="s">
        <v>7230</v>
      </c>
      <c r="N1400" s="1" t="n">
        <v>648</v>
      </c>
      <c r="O1400" s="1" t="s">
        <v>7231</v>
      </c>
      <c r="P1400" s="1" t="n">
        <v>9834</v>
      </c>
      <c r="Q1400" s="1" t="s">
        <v>7232</v>
      </c>
      <c r="R1400" s="1" t="s">
        <v>23</v>
      </c>
      <c r="S1400" s="1" t="s">
        <v>7233</v>
      </c>
      <c r="T1400" s="1" t="s">
        <v>4273</v>
      </c>
      <c r="U1400" s="1" t="s">
        <v>7234</v>
      </c>
      <c r="V1400" s="1" t="s">
        <v>6777</v>
      </c>
    </row>
    <row r="1401" customFormat="false" ht="13.8" hidden="false" customHeight="false" outlineLevel="0" collapsed="false">
      <c r="A1401" s="1" t="n">
        <v>1400</v>
      </c>
      <c r="B1401" s="2" t="s">
        <v>7235</v>
      </c>
      <c r="C1401" s="1" t="n">
        <v>9</v>
      </c>
      <c r="D1401" s="1" t="n">
        <v>26</v>
      </c>
      <c r="E1401" s="1" t="n">
        <v>34</v>
      </c>
      <c r="F1401" s="1" t="n">
        <v>43</v>
      </c>
      <c r="G1401" s="1" t="n">
        <v>53</v>
      </c>
      <c r="H1401" s="1" t="n">
        <v>54</v>
      </c>
      <c r="I1401" s="1" t="str">
        <f aca="false">RIGHT(("0"&amp;C1401),2)&amp;RIGHT(("0"&amp;D1401),2)&amp;RIGHT(("0"&amp;E1401),2)&amp;RIGHT(("0"&amp;F1401),2)&amp;RIGHT(("0"&amp;G1401),2)&amp;RIGHT(("0"&amp;H1401),2)</f>
        <v>092634435354</v>
      </c>
      <c r="J1401" s="1" t="n">
        <f aca="false">COUNTIF(I:I,I1401)</f>
        <v>1</v>
      </c>
      <c r="K1401" s="1" t="n">
        <v>0</v>
      </c>
      <c r="M1401" s="1" t="s">
        <v>23</v>
      </c>
      <c r="N1401" s="1" t="n">
        <v>72</v>
      </c>
      <c r="O1401" s="1" t="s">
        <v>7236</v>
      </c>
      <c r="P1401" s="1" t="n">
        <v>6208</v>
      </c>
      <c r="Q1401" s="1" t="s">
        <v>7237</v>
      </c>
      <c r="R1401" s="1" t="s">
        <v>7238</v>
      </c>
      <c r="S1401" s="1" t="s">
        <v>7239</v>
      </c>
      <c r="T1401" s="1" t="s">
        <v>4718</v>
      </c>
      <c r="U1401" s="1" t="s">
        <v>7240</v>
      </c>
    </row>
    <row r="1402" customFormat="false" ht="13.8" hidden="false" customHeight="false" outlineLevel="0" collapsed="false">
      <c r="A1402" s="1" t="n">
        <v>1401</v>
      </c>
      <c r="B1402" s="2" t="s">
        <v>7241</v>
      </c>
      <c r="C1402" s="1" t="n">
        <v>11</v>
      </c>
      <c r="D1402" s="1" t="n">
        <v>12</v>
      </c>
      <c r="E1402" s="1" t="n">
        <v>25</v>
      </c>
      <c r="F1402" s="1" t="n">
        <v>33</v>
      </c>
      <c r="G1402" s="1" t="n">
        <v>48</v>
      </c>
      <c r="H1402" s="1" t="n">
        <v>54</v>
      </c>
      <c r="I1402" s="1" t="str">
        <f aca="false">RIGHT(("0"&amp;C1402),2)&amp;RIGHT(("0"&amp;D1402),2)&amp;RIGHT(("0"&amp;E1402),2)&amp;RIGHT(("0"&amp;F1402),2)&amp;RIGHT(("0"&amp;G1402),2)&amp;RIGHT(("0"&amp;H1402),2)</f>
        <v>111225334854</v>
      </c>
      <c r="J1402" s="1" t="n">
        <f aca="false">COUNTIF(I:I,I1402)</f>
        <v>1</v>
      </c>
      <c r="K1402" s="1" t="n">
        <v>1</v>
      </c>
      <c r="L1402" s="1" t="s">
        <v>7242</v>
      </c>
      <c r="M1402" s="1" t="s">
        <v>7243</v>
      </c>
      <c r="N1402" s="1" t="n">
        <v>233</v>
      </c>
      <c r="O1402" s="1" t="s">
        <v>7244</v>
      </c>
      <c r="P1402" s="1" t="n">
        <v>11965</v>
      </c>
      <c r="Q1402" s="1" t="s">
        <v>7245</v>
      </c>
      <c r="R1402" s="1" t="s">
        <v>23</v>
      </c>
      <c r="S1402" s="1" t="s">
        <v>7246</v>
      </c>
      <c r="T1402" s="1" t="s">
        <v>4732</v>
      </c>
      <c r="U1402" s="1" t="s">
        <v>7247</v>
      </c>
    </row>
    <row r="1403" customFormat="false" ht="13.8" hidden="false" customHeight="false" outlineLevel="0" collapsed="false">
      <c r="A1403" s="1" t="n">
        <v>1402</v>
      </c>
      <c r="B1403" s="2" t="s">
        <v>7248</v>
      </c>
      <c r="C1403" s="1" t="n">
        <v>2</v>
      </c>
      <c r="D1403" s="1" t="n">
        <v>9</v>
      </c>
      <c r="E1403" s="1" t="n">
        <v>10</v>
      </c>
      <c r="F1403" s="1" t="n">
        <v>21</v>
      </c>
      <c r="G1403" s="1" t="n">
        <v>27</v>
      </c>
      <c r="H1403" s="1" t="n">
        <v>38</v>
      </c>
      <c r="I1403" s="1" t="str">
        <f aca="false">RIGHT(("0"&amp;C1403),2)&amp;RIGHT(("0"&amp;D1403),2)&amp;RIGHT(("0"&amp;E1403),2)&amp;RIGHT(("0"&amp;F1403),2)&amp;RIGHT(("0"&amp;G1403),2)&amp;RIGHT(("0"&amp;H1403),2)</f>
        <v>020910212738</v>
      </c>
      <c r="J1403" s="1" t="n">
        <f aca="false">COUNTIF(I:I,I1403)</f>
        <v>1</v>
      </c>
      <c r="K1403" s="1" t="n">
        <v>0</v>
      </c>
      <c r="M1403" s="1" t="s">
        <v>23</v>
      </c>
      <c r="N1403" s="1" t="n">
        <v>101</v>
      </c>
      <c r="O1403" s="1" t="s">
        <v>7249</v>
      </c>
      <c r="P1403" s="1" t="n">
        <v>7929</v>
      </c>
      <c r="Q1403" s="1" t="s">
        <v>7250</v>
      </c>
      <c r="R1403" s="1" t="s">
        <v>7251</v>
      </c>
      <c r="S1403" s="1" t="s">
        <v>7252</v>
      </c>
      <c r="T1403" s="1" t="s">
        <v>4342</v>
      </c>
      <c r="U1403" s="1" t="s">
        <v>7253</v>
      </c>
    </row>
    <row r="1404" customFormat="false" ht="13.8" hidden="false" customHeight="false" outlineLevel="0" collapsed="false">
      <c r="A1404" s="1" t="n">
        <v>1403</v>
      </c>
      <c r="B1404" s="2" t="s">
        <v>7254</v>
      </c>
      <c r="C1404" s="1" t="n">
        <v>13</v>
      </c>
      <c r="D1404" s="1" t="n">
        <v>16</v>
      </c>
      <c r="E1404" s="1" t="n">
        <v>20</v>
      </c>
      <c r="F1404" s="1" t="n">
        <v>26</v>
      </c>
      <c r="G1404" s="1" t="n">
        <v>39</v>
      </c>
      <c r="H1404" s="1" t="n">
        <v>42</v>
      </c>
      <c r="I1404" s="1" t="str">
        <f aca="false">RIGHT(("0"&amp;C1404),2)&amp;RIGHT(("0"&amp;D1404),2)&amp;RIGHT(("0"&amp;E1404),2)&amp;RIGHT(("0"&amp;F1404),2)&amp;RIGHT(("0"&amp;G1404),2)&amp;RIGHT(("0"&amp;H1404),2)</f>
        <v>131620263942</v>
      </c>
      <c r="J1404" s="1" t="n">
        <f aca="false">COUNTIF(I:I,I1404)</f>
        <v>1</v>
      </c>
      <c r="K1404" s="1" t="n">
        <v>0</v>
      </c>
      <c r="M1404" s="1" t="s">
        <v>23</v>
      </c>
      <c r="N1404" s="1" t="n">
        <v>95</v>
      </c>
      <c r="O1404" s="1" t="s">
        <v>7255</v>
      </c>
      <c r="P1404" s="1" t="n">
        <v>6176</v>
      </c>
      <c r="Q1404" s="1" t="s">
        <v>7256</v>
      </c>
      <c r="R1404" s="1" t="s">
        <v>7257</v>
      </c>
      <c r="S1404" s="1" t="s">
        <v>7258</v>
      </c>
      <c r="T1404" s="1" t="s">
        <v>4195</v>
      </c>
      <c r="U1404" s="1" t="s">
        <v>7259</v>
      </c>
    </row>
    <row r="1405" customFormat="false" ht="13.8" hidden="false" customHeight="false" outlineLevel="0" collapsed="false">
      <c r="A1405" s="1" t="n">
        <v>1404</v>
      </c>
      <c r="B1405" s="2" t="s">
        <v>7260</v>
      </c>
      <c r="C1405" s="1" t="n">
        <v>7</v>
      </c>
      <c r="D1405" s="1" t="n">
        <v>8</v>
      </c>
      <c r="E1405" s="1" t="n">
        <v>27</v>
      </c>
      <c r="F1405" s="1" t="n">
        <v>31</v>
      </c>
      <c r="G1405" s="1" t="n">
        <v>32</v>
      </c>
      <c r="H1405" s="1" t="n">
        <v>51</v>
      </c>
      <c r="I1405" s="1" t="str">
        <f aca="false">RIGHT(("0"&amp;C1405),2)&amp;RIGHT(("0"&amp;D1405),2)&amp;RIGHT(("0"&amp;E1405),2)&amp;RIGHT(("0"&amp;F1405),2)&amp;RIGHT(("0"&amp;G1405),2)&amp;RIGHT(("0"&amp;H1405),2)</f>
        <v>070827313251</v>
      </c>
      <c r="J1405" s="1" t="n">
        <f aca="false">COUNTIF(I:I,I1405)</f>
        <v>1</v>
      </c>
      <c r="K1405" s="1" t="n">
        <v>0</v>
      </c>
      <c r="M1405" s="1" t="s">
        <v>23</v>
      </c>
      <c r="N1405" s="1" t="n">
        <v>88</v>
      </c>
      <c r="O1405" s="1" t="s">
        <v>7261</v>
      </c>
      <c r="P1405" s="1" t="n">
        <v>7470</v>
      </c>
      <c r="Q1405" s="1" t="s">
        <v>7262</v>
      </c>
      <c r="R1405" s="1" t="s">
        <v>7263</v>
      </c>
      <c r="S1405" s="1" t="s">
        <v>7264</v>
      </c>
      <c r="T1405" s="1" t="s">
        <v>5281</v>
      </c>
      <c r="U1405" s="1" t="s">
        <v>7265</v>
      </c>
    </row>
    <row r="1406" customFormat="false" ht="13.8" hidden="false" customHeight="false" outlineLevel="0" collapsed="false">
      <c r="A1406" s="1" t="n">
        <v>1405</v>
      </c>
      <c r="B1406" s="2" t="s">
        <v>7266</v>
      </c>
      <c r="C1406" s="1" t="n">
        <v>3</v>
      </c>
      <c r="D1406" s="1" t="n">
        <v>14</v>
      </c>
      <c r="E1406" s="1" t="n">
        <v>17</v>
      </c>
      <c r="F1406" s="1" t="n">
        <v>32</v>
      </c>
      <c r="G1406" s="1" t="n">
        <v>37</v>
      </c>
      <c r="H1406" s="1" t="n">
        <v>39</v>
      </c>
      <c r="I1406" s="1" t="str">
        <f aca="false">RIGHT(("0"&amp;C1406),2)&amp;RIGHT(("0"&amp;D1406),2)&amp;RIGHT(("0"&amp;E1406),2)&amp;RIGHT(("0"&amp;F1406),2)&amp;RIGHT(("0"&amp;G1406),2)&amp;RIGHT(("0"&amp;H1406),2)</f>
        <v>031417323739</v>
      </c>
      <c r="J1406" s="1" t="n">
        <f aca="false">COUNTIF(I:I,I1406)</f>
        <v>1</v>
      </c>
      <c r="K1406" s="1" t="n">
        <v>1</v>
      </c>
      <c r="L1406" s="1" t="s">
        <v>6893</v>
      </c>
      <c r="M1406" s="1" t="s">
        <v>7267</v>
      </c>
      <c r="N1406" s="1" t="n">
        <v>315</v>
      </c>
      <c r="O1406" s="1" t="s">
        <v>7268</v>
      </c>
      <c r="P1406" s="1" t="n">
        <v>15516</v>
      </c>
      <c r="Q1406" s="1" t="s">
        <v>7269</v>
      </c>
      <c r="R1406" s="1" t="s">
        <v>23</v>
      </c>
      <c r="S1406" s="1" t="s">
        <v>7270</v>
      </c>
      <c r="T1406" s="1" t="s">
        <v>4256</v>
      </c>
      <c r="U1406" s="1" t="s">
        <v>7271</v>
      </c>
    </row>
    <row r="1407" customFormat="false" ht="13.8" hidden="false" customHeight="false" outlineLevel="0" collapsed="false">
      <c r="A1407" s="1" t="n">
        <v>1406</v>
      </c>
      <c r="B1407" s="2" t="s">
        <v>7272</v>
      </c>
      <c r="C1407" s="1" t="n">
        <v>7</v>
      </c>
      <c r="D1407" s="1" t="n">
        <v>10</v>
      </c>
      <c r="E1407" s="1" t="n">
        <v>17</v>
      </c>
      <c r="F1407" s="1" t="n">
        <v>24</v>
      </c>
      <c r="G1407" s="1" t="n">
        <v>38</v>
      </c>
      <c r="H1407" s="1" t="n">
        <v>57</v>
      </c>
      <c r="I1407" s="1" t="str">
        <f aca="false">RIGHT(("0"&amp;C1407),2)&amp;RIGHT(("0"&amp;D1407),2)&amp;RIGHT(("0"&amp;E1407),2)&amp;RIGHT(("0"&amp;F1407),2)&amp;RIGHT(("0"&amp;G1407),2)&amp;RIGHT(("0"&amp;H1407),2)</f>
        <v>071017243857</v>
      </c>
      <c r="J1407" s="1" t="n">
        <f aca="false">COUNTIF(I:I,I1407)</f>
        <v>1</v>
      </c>
      <c r="K1407" s="1" t="n">
        <v>0</v>
      </c>
      <c r="M1407" s="1" t="s">
        <v>23</v>
      </c>
      <c r="N1407" s="1" t="n">
        <v>134</v>
      </c>
      <c r="O1407" s="1" t="s">
        <v>7273</v>
      </c>
      <c r="P1407" s="1" t="n">
        <v>9133</v>
      </c>
      <c r="Q1407" s="1" t="s">
        <v>7274</v>
      </c>
      <c r="R1407" s="1" t="s">
        <v>7275</v>
      </c>
      <c r="S1407" s="1" t="s">
        <v>7276</v>
      </c>
      <c r="T1407" s="1" t="s">
        <v>4342</v>
      </c>
      <c r="U1407" s="1" t="s">
        <v>7277</v>
      </c>
    </row>
    <row r="1408" customFormat="false" ht="13.8" hidden="false" customHeight="false" outlineLevel="0" collapsed="false">
      <c r="A1408" s="1" t="n">
        <v>1407</v>
      </c>
      <c r="B1408" s="2" t="s">
        <v>7278</v>
      </c>
      <c r="C1408" s="1" t="n">
        <v>18</v>
      </c>
      <c r="D1408" s="1" t="n">
        <v>29</v>
      </c>
      <c r="E1408" s="1" t="n">
        <v>31</v>
      </c>
      <c r="F1408" s="1" t="n">
        <v>42</v>
      </c>
      <c r="G1408" s="1" t="n">
        <v>43</v>
      </c>
      <c r="H1408" s="1" t="n">
        <v>53</v>
      </c>
      <c r="I1408" s="1" t="str">
        <f aca="false">RIGHT(("0"&amp;C1408),2)&amp;RIGHT(("0"&amp;D1408),2)&amp;RIGHT(("0"&amp;E1408),2)&amp;RIGHT(("0"&amp;F1408),2)&amp;RIGHT(("0"&amp;G1408),2)&amp;RIGHT(("0"&amp;H1408),2)</f>
        <v>182931424353</v>
      </c>
      <c r="J1408" s="1" t="n">
        <f aca="false">COUNTIF(I:I,I1408)</f>
        <v>1</v>
      </c>
      <c r="K1408" s="1" t="n">
        <v>0</v>
      </c>
      <c r="M1408" s="1" t="s">
        <v>23</v>
      </c>
      <c r="N1408" s="1" t="n">
        <v>53</v>
      </c>
      <c r="O1408" s="1" t="s">
        <v>7279</v>
      </c>
      <c r="P1408" s="1" t="n">
        <v>3583</v>
      </c>
      <c r="Q1408" s="1" t="s">
        <v>7280</v>
      </c>
      <c r="R1408" s="1" t="s">
        <v>7281</v>
      </c>
      <c r="S1408" s="1" t="s">
        <v>7282</v>
      </c>
      <c r="T1408" s="1" t="s">
        <v>4461</v>
      </c>
      <c r="U1408" s="1" t="s">
        <v>7283</v>
      </c>
    </row>
    <row r="1409" customFormat="false" ht="13.8" hidden="false" customHeight="false" outlineLevel="0" collapsed="false">
      <c r="A1409" s="1" t="n">
        <v>1408</v>
      </c>
      <c r="B1409" s="2" t="s">
        <v>7284</v>
      </c>
      <c r="C1409" s="1" t="n">
        <v>4</v>
      </c>
      <c r="D1409" s="1" t="n">
        <v>19</v>
      </c>
      <c r="E1409" s="1" t="n">
        <v>20</v>
      </c>
      <c r="F1409" s="1" t="n">
        <v>24</v>
      </c>
      <c r="G1409" s="1" t="n">
        <v>39</v>
      </c>
      <c r="H1409" s="1" t="n">
        <v>43</v>
      </c>
      <c r="I1409" s="1" t="str">
        <f aca="false">RIGHT(("0"&amp;C1409),2)&amp;RIGHT(("0"&amp;D1409),2)&amp;RIGHT(("0"&amp;E1409),2)&amp;RIGHT(("0"&amp;F1409),2)&amp;RIGHT(("0"&amp;G1409),2)&amp;RIGHT(("0"&amp;H1409),2)</f>
        <v>041920243943</v>
      </c>
      <c r="J1409" s="1" t="n">
        <f aca="false">COUNTIF(I:I,I1409)</f>
        <v>1</v>
      </c>
      <c r="K1409" s="1" t="n">
        <v>0</v>
      </c>
      <c r="M1409" s="1" t="s">
        <v>23</v>
      </c>
      <c r="N1409" s="1" t="n">
        <v>118</v>
      </c>
      <c r="O1409" s="1" t="s">
        <v>7285</v>
      </c>
      <c r="P1409" s="1" t="n">
        <v>8075</v>
      </c>
      <c r="Q1409" s="1" t="s">
        <v>7286</v>
      </c>
      <c r="R1409" s="1" t="s">
        <v>7287</v>
      </c>
      <c r="S1409" s="1" t="s">
        <v>7288</v>
      </c>
      <c r="T1409" s="1" t="s">
        <v>3928</v>
      </c>
      <c r="U1409" s="1" t="s">
        <v>7289</v>
      </c>
    </row>
    <row r="1410" customFormat="false" ht="13.8" hidden="false" customHeight="false" outlineLevel="0" collapsed="false">
      <c r="A1410" s="1" t="n">
        <v>1409</v>
      </c>
      <c r="B1410" s="2" t="s">
        <v>7290</v>
      </c>
      <c r="C1410" s="1" t="n">
        <v>6</v>
      </c>
      <c r="D1410" s="1" t="n">
        <v>19</v>
      </c>
      <c r="E1410" s="1" t="n">
        <v>26</v>
      </c>
      <c r="F1410" s="1" t="n">
        <v>47</v>
      </c>
      <c r="G1410" s="1" t="n">
        <v>50</v>
      </c>
      <c r="H1410" s="1" t="n">
        <v>58</v>
      </c>
      <c r="I1410" s="1" t="str">
        <f aca="false">RIGHT(("0"&amp;C1410),2)&amp;RIGHT(("0"&amp;D1410),2)&amp;RIGHT(("0"&amp;E1410),2)&amp;RIGHT(("0"&amp;F1410),2)&amp;RIGHT(("0"&amp;G1410),2)&amp;RIGHT(("0"&amp;H1410),2)</f>
        <v>061926475058</v>
      </c>
      <c r="J1410" s="1" t="n">
        <f aca="false">COUNTIF(I:I,I1410)</f>
        <v>1</v>
      </c>
      <c r="K1410" s="1" t="n">
        <v>0</v>
      </c>
      <c r="M1410" s="1" t="s">
        <v>23</v>
      </c>
      <c r="N1410" s="1" t="n">
        <v>96</v>
      </c>
      <c r="O1410" s="1" t="s">
        <v>7291</v>
      </c>
      <c r="P1410" s="1" t="n">
        <v>6846</v>
      </c>
      <c r="Q1410" s="1" t="s">
        <v>7292</v>
      </c>
      <c r="R1410" s="1" t="s">
        <v>7293</v>
      </c>
      <c r="S1410" s="1" t="s">
        <v>7294</v>
      </c>
      <c r="T1410" s="1" t="s">
        <v>4304</v>
      </c>
      <c r="U1410" s="1" t="s">
        <v>7295</v>
      </c>
    </row>
    <row r="1411" customFormat="false" ht="13.8" hidden="false" customHeight="false" outlineLevel="0" collapsed="false">
      <c r="A1411" s="1" t="n">
        <v>1410</v>
      </c>
      <c r="B1411" s="2" t="s">
        <v>7296</v>
      </c>
      <c r="C1411" s="1" t="n">
        <v>18</v>
      </c>
      <c r="D1411" s="1" t="n">
        <v>29</v>
      </c>
      <c r="E1411" s="1" t="n">
        <v>40</v>
      </c>
      <c r="F1411" s="1" t="n">
        <v>42</v>
      </c>
      <c r="G1411" s="1" t="n">
        <v>50</v>
      </c>
      <c r="H1411" s="1" t="n">
        <v>54</v>
      </c>
      <c r="I1411" s="1" t="str">
        <f aca="false">RIGHT(("0"&amp;C1411),2)&amp;RIGHT(("0"&amp;D1411),2)&amp;RIGHT(("0"&amp;E1411),2)&amp;RIGHT(("0"&amp;F1411),2)&amp;RIGHT(("0"&amp;G1411),2)&amp;RIGHT(("0"&amp;H1411),2)</f>
        <v>182940425054</v>
      </c>
      <c r="J1411" s="1" t="n">
        <f aca="false">COUNTIF(I:I,I1411)</f>
        <v>1</v>
      </c>
      <c r="K1411" s="1" t="n">
        <v>0</v>
      </c>
      <c r="M1411" s="1" t="s">
        <v>23</v>
      </c>
      <c r="N1411" s="1" t="n">
        <v>70</v>
      </c>
      <c r="O1411" s="1" t="s">
        <v>7297</v>
      </c>
      <c r="P1411" s="1" t="n">
        <v>6917</v>
      </c>
      <c r="Q1411" s="1" t="s">
        <v>7298</v>
      </c>
      <c r="R1411" s="1" t="s">
        <v>7299</v>
      </c>
      <c r="S1411" s="1" t="s">
        <v>7300</v>
      </c>
      <c r="T1411" s="1" t="s">
        <v>7301</v>
      </c>
      <c r="U1411" s="1" t="s">
        <v>7302</v>
      </c>
    </row>
    <row r="1412" customFormat="false" ht="13.8" hidden="false" customHeight="false" outlineLevel="0" collapsed="false">
      <c r="A1412" s="1" t="n">
        <v>1411</v>
      </c>
      <c r="B1412" s="2" t="s">
        <v>7303</v>
      </c>
      <c r="C1412" s="1" t="n">
        <v>8</v>
      </c>
      <c r="D1412" s="1" t="n">
        <v>12</v>
      </c>
      <c r="E1412" s="1" t="n">
        <v>32</v>
      </c>
      <c r="F1412" s="1" t="n">
        <v>44</v>
      </c>
      <c r="G1412" s="1" t="n">
        <v>46</v>
      </c>
      <c r="H1412" s="1" t="n">
        <v>48</v>
      </c>
      <c r="I1412" s="1" t="str">
        <f aca="false">RIGHT(("0"&amp;C1412),2)&amp;RIGHT(("0"&amp;D1412),2)&amp;RIGHT(("0"&amp;E1412),2)&amp;RIGHT(("0"&amp;F1412),2)&amp;RIGHT(("0"&amp;G1412),2)&amp;RIGHT(("0"&amp;H1412),2)</f>
        <v>081232444648</v>
      </c>
      <c r="J1412" s="1" t="n">
        <f aca="false">COUNTIF(I:I,I1412)</f>
        <v>1</v>
      </c>
      <c r="K1412" s="1" t="n">
        <v>2</v>
      </c>
      <c r="L1412" s="1" t="s">
        <v>7304</v>
      </c>
      <c r="M1412" s="1" t="s">
        <v>7305</v>
      </c>
      <c r="N1412" s="1" t="n">
        <v>360</v>
      </c>
      <c r="O1412" s="1" t="s">
        <v>7306</v>
      </c>
      <c r="P1412" s="1" t="n">
        <v>21016</v>
      </c>
      <c r="Q1412" s="1" t="s">
        <v>7307</v>
      </c>
      <c r="R1412" s="1" t="s">
        <v>23</v>
      </c>
      <c r="S1412" s="1" t="s">
        <v>7308</v>
      </c>
      <c r="T1412" s="1" t="s">
        <v>473</v>
      </c>
      <c r="U1412" s="1" t="s">
        <v>7309</v>
      </c>
    </row>
    <row r="1413" customFormat="false" ht="13.8" hidden="false" customHeight="false" outlineLevel="0" collapsed="false">
      <c r="A1413" s="1" t="n">
        <v>1412</v>
      </c>
      <c r="B1413" s="2" t="s">
        <v>7310</v>
      </c>
      <c r="C1413" s="1" t="n">
        <v>6</v>
      </c>
      <c r="D1413" s="1" t="n">
        <v>8</v>
      </c>
      <c r="E1413" s="1" t="n">
        <v>24</v>
      </c>
      <c r="F1413" s="1" t="n">
        <v>37</v>
      </c>
      <c r="G1413" s="1" t="n">
        <v>41</v>
      </c>
      <c r="H1413" s="1" t="n">
        <v>45</v>
      </c>
      <c r="I1413" s="1" t="str">
        <f aca="false">RIGHT(("0"&amp;C1413),2)&amp;RIGHT(("0"&amp;D1413),2)&amp;RIGHT(("0"&amp;E1413),2)&amp;RIGHT(("0"&amp;F1413),2)&amp;RIGHT(("0"&amp;G1413),2)&amp;RIGHT(("0"&amp;H1413),2)</f>
        <v>060824374145</v>
      </c>
      <c r="J1413" s="1" t="n">
        <f aca="false">COUNTIF(I:I,I1413)</f>
        <v>1</v>
      </c>
      <c r="K1413" s="1" t="n">
        <v>1</v>
      </c>
      <c r="L1413" s="1" t="s">
        <v>7311</v>
      </c>
      <c r="M1413" s="1" t="s">
        <v>7312</v>
      </c>
      <c r="N1413" s="1" t="n">
        <v>103</v>
      </c>
      <c r="O1413" s="1" t="s">
        <v>7313</v>
      </c>
      <c r="P1413" s="1" t="n">
        <v>6893</v>
      </c>
      <c r="Q1413" s="1" t="s">
        <v>7314</v>
      </c>
      <c r="R1413" s="1" t="s">
        <v>23</v>
      </c>
      <c r="S1413" s="1" t="s">
        <v>7315</v>
      </c>
      <c r="T1413" s="1" t="s">
        <v>4732</v>
      </c>
      <c r="U1413" s="1" t="s">
        <v>7316</v>
      </c>
    </row>
    <row r="1414" customFormat="false" ht="13.8" hidden="false" customHeight="false" outlineLevel="0" collapsed="false">
      <c r="A1414" s="1" t="n">
        <v>1413</v>
      </c>
      <c r="B1414" s="2" t="s">
        <v>7317</v>
      </c>
      <c r="C1414" s="1" t="n">
        <v>13</v>
      </c>
      <c r="D1414" s="1" t="n">
        <v>15</v>
      </c>
      <c r="E1414" s="1" t="n">
        <v>33</v>
      </c>
      <c r="F1414" s="1" t="n">
        <v>45</v>
      </c>
      <c r="G1414" s="1" t="n">
        <v>54</v>
      </c>
      <c r="H1414" s="1" t="n">
        <v>55</v>
      </c>
      <c r="I1414" s="1" t="str">
        <f aca="false">RIGHT(("0"&amp;C1414),2)&amp;RIGHT(("0"&amp;D1414),2)&amp;RIGHT(("0"&amp;E1414),2)&amp;RIGHT(("0"&amp;F1414),2)&amp;RIGHT(("0"&amp;G1414),2)&amp;RIGHT(("0"&amp;H1414),2)</f>
        <v>131533455455</v>
      </c>
      <c r="J1414" s="1" t="n">
        <f aca="false">COUNTIF(I:I,I1414)</f>
        <v>1</v>
      </c>
      <c r="K1414" s="1" t="n">
        <v>0</v>
      </c>
      <c r="M1414" s="1" t="s">
        <v>23</v>
      </c>
      <c r="N1414" s="1" t="n">
        <v>70</v>
      </c>
      <c r="O1414" s="1" t="s">
        <v>7318</v>
      </c>
      <c r="P1414" s="1" t="n">
        <v>3887</v>
      </c>
      <c r="Q1414" s="1" t="s">
        <v>7319</v>
      </c>
      <c r="R1414" s="1" t="s">
        <v>7320</v>
      </c>
      <c r="S1414" s="1" t="s">
        <v>7321</v>
      </c>
      <c r="T1414" s="1" t="s">
        <v>4409</v>
      </c>
      <c r="U1414" s="1" t="s">
        <v>7322</v>
      </c>
      <c r="V1414" s="1" t="s">
        <v>6777</v>
      </c>
    </row>
    <row r="1415" customFormat="false" ht="13.8" hidden="false" customHeight="false" outlineLevel="0" collapsed="false">
      <c r="A1415" s="1" t="n">
        <v>1414</v>
      </c>
      <c r="B1415" s="2" t="s">
        <v>7323</v>
      </c>
      <c r="C1415" s="1" t="n">
        <v>21</v>
      </c>
      <c r="D1415" s="1" t="n">
        <v>37</v>
      </c>
      <c r="E1415" s="1" t="n">
        <v>44</v>
      </c>
      <c r="F1415" s="1" t="n">
        <v>46</v>
      </c>
      <c r="G1415" s="1" t="n">
        <v>49</v>
      </c>
      <c r="H1415" s="1" t="n">
        <v>57</v>
      </c>
      <c r="I1415" s="1" t="str">
        <f aca="false">RIGHT(("0"&amp;C1415),2)&amp;RIGHT(("0"&amp;D1415),2)&amp;RIGHT(("0"&amp;E1415),2)&amp;RIGHT(("0"&amp;F1415),2)&amp;RIGHT(("0"&amp;G1415),2)&amp;RIGHT(("0"&amp;H1415),2)</f>
        <v>213744464957</v>
      </c>
      <c r="J1415" s="1" t="n">
        <f aca="false">COUNTIF(I:I,I1415)</f>
        <v>1</v>
      </c>
      <c r="K1415" s="1" t="n">
        <v>0</v>
      </c>
      <c r="M1415" s="1" t="s">
        <v>23</v>
      </c>
      <c r="N1415" s="1" t="n">
        <v>36</v>
      </c>
      <c r="O1415" s="1" t="s">
        <v>7324</v>
      </c>
      <c r="P1415" s="1" t="n">
        <v>3349</v>
      </c>
      <c r="Q1415" s="1" t="s">
        <v>7325</v>
      </c>
      <c r="R1415" s="1" t="s">
        <v>7326</v>
      </c>
      <c r="S1415" s="1" t="s">
        <v>7327</v>
      </c>
      <c r="T1415" s="1" t="s">
        <v>4246</v>
      </c>
      <c r="U1415" s="1" t="s">
        <v>7328</v>
      </c>
    </row>
    <row r="1416" customFormat="false" ht="13.8" hidden="false" customHeight="false" outlineLevel="0" collapsed="false">
      <c r="A1416" s="1" t="n">
        <v>1415</v>
      </c>
      <c r="B1416" s="2" t="s">
        <v>7329</v>
      </c>
      <c r="C1416" s="1" t="n">
        <v>26</v>
      </c>
      <c r="D1416" s="1" t="n">
        <v>36</v>
      </c>
      <c r="E1416" s="1" t="n">
        <v>40</v>
      </c>
      <c r="F1416" s="1" t="n">
        <v>46</v>
      </c>
      <c r="G1416" s="1" t="n">
        <v>49</v>
      </c>
      <c r="H1416" s="1" t="n">
        <v>51</v>
      </c>
      <c r="I1416" s="1" t="str">
        <f aca="false">RIGHT(("0"&amp;C1416),2)&amp;RIGHT(("0"&amp;D1416),2)&amp;RIGHT(("0"&amp;E1416),2)&amp;RIGHT(("0"&amp;F1416),2)&amp;RIGHT(("0"&amp;G1416),2)&amp;RIGHT(("0"&amp;H1416),2)</f>
        <v>263640464951</v>
      </c>
      <c r="J1416" s="1" t="n">
        <f aca="false">COUNTIF(I:I,I1416)</f>
        <v>1</v>
      </c>
      <c r="K1416" s="1" t="n">
        <v>0</v>
      </c>
      <c r="M1416" s="1" t="s">
        <v>23</v>
      </c>
      <c r="N1416" s="1" t="n">
        <v>39</v>
      </c>
      <c r="O1416" s="1" t="s">
        <v>7330</v>
      </c>
      <c r="P1416" s="1" t="n">
        <v>3766</v>
      </c>
      <c r="Q1416" s="1" t="s">
        <v>7331</v>
      </c>
      <c r="R1416" s="1" t="s">
        <v>7332</v>
      </c>
      <c r="S1416" s="1" t="s">
        <v>7333</v>
      </c>
      <c r="T1416" s="1" t="s">
        <v>5242</v>
      </c>
      <c r="U1416" s="1" t="s">
        <v>7334</v>
      </c>
    </row>
    <row r="1417" customFormat="false" ht="13.8" hidden="false" customHeight="false" outlineLevel="0" collapsed="false">
      <c r="A1417" s="1" t="n">
        <v>1416</v>
      </c>
      <c r="B1417" s="2" t="s">
        <v>7335</v>
      </c>
      <c r="C1417" s="1" t="n">
        <v>3</v>
      </c>
      <c r="D1417" s="1" t="n">
        <v>19</v>
      </c>
      <c r="E1417" s="1" t="n">
        <v>22</v>
      </c>
      <c r="F1417" s="1" t="n">
        <v>24</v>
      </c>
      <c r="G1417" s="1" t="n">
        <v>35</v>
      </c>
      <c r="H1417" s="1" t="n">
        <v>49</v>
      </c>
      <c r="I1417" s="1" t="str">
        <f aca="false">RIGHT(("0"&amp;C1417),2)&amp;RIGHT(("0"&amp;D1417),2)&amp;RIGHT(("0"&amp;E1417),2)&amp;RIGHT(("0"&amp;F1417),2)&amp;RIGHT(("0"&amp;G1417),2)&amp;RIGHT(("0"&amp;H1417),2)</f>
        <v>031922243549</v>
      </c>
      <c r="J1417" s="1" t="n">
        <f aca="false">COUNTIF(I:I,I1417)</f>
        <v>1</v>
      </c>
      <c r="K1417" s="1" t="n">
        <v>2</v>
      </c>
      <c r="L1417" s="1" t="s">
        <v>7336</v>
      </c>
      <c r="M1417" s="1" t="s">
        <v>7337</v>
      </c>
      <c r="N1417" s="1" t="n">
        <v>206</v>
      </c>
      <c r="O1417" s="1" t="s">
        <v>7338</v>
      </c>
      <c r="P1417" s="1" t="n">
        <v>14457</v>
      </c>
      <c r="Q1417" s="1" t="s">
        <v>7339</v>
      </c>
      <c r="R1417" s="1" t="s">
        <v>23</v>
      </c>
      <c r="S1417" s="1" t="s">
        <v>7340</v>
      </c>
      <c r="T1417" s="1" t="s">
        <v>4256</v>
      </c>
      <c r="U1417" s="1" t="s">
        <v>7341</v>
      </c>
    </row>
    <row r="1418" customFormat="false" ht="13.8" hidden="false" customHeight="false" outlineLevel="0" collapsed="false">
      <c r="A1418" s="1" t="n">
        <v>1417</v>
      </c>
      <c r="B1418" s="2" t="s">
        <v>7342</v>
      </c>
      <c r="C1418" s="1" t="n">
        <v>5</v>
      </c>
      <c r="D1418" s="1" t="n">
        <v>12</v>
      </c>
      <c r="E1418" s="1" t="n">
        <v>45</v>
      </c>
      <c r="F1418" s="1" t="n">
        <v>52</v>
      </c>
      <c r="G1418" s="1" t="n">
        <v>56</v>
      </c>
      <c r="H1418" s="1" t="n">
        <v>59</v>
      </c>
      <c r="I1418" s="1" t="str">
        <f aca="false">RIGHT(("0"&amp;C1418),2)&amp;RIGHT(("0"&amp;D1418),2)&amp;RIGHT(("0"&amp;E1418),2)&amp;RIGHT(("0"&amp;F1418),2)&amp;RIGHT(("0"&amp;G1418),2)&amp;RIGHT(("0"&amp;H1418),2)</f>
        <v>051245525659</v>
      </c>
      <c r="J1418" s="1" t="n">
        <f aca="false">COUNTIF(I:I,I1418)</f>
        <v>1</v>
      </c>
      <c r="K1418" s="1" t="n">
        <v>4</v>
      </c>
      <c r="L1418" s="1" t="s">
        <v>7343</v>
      </c>
      <c r="M1418" s="1" t="s">
        <v>7344</v>
      </c>
      <c r="N1418" s="1" t="n">
        <v>83</v>
      </c>
      <c r="O1418" s="1" t="s">
        <v>7345</v>
      </c>
      <c r="P1418" s="1" t="n">
        <v>6383</v>
      </c>
      <c r="Q1418" s="1" t="s">
        <v>7346</v>
      </c>
      <c r="R1418" s="1" t="s">
        <v>23</v>
      </c>
      <c r="S1418" s="1" t="s">
        <v>7347</v>
      </c>
      <c r="T1418" s="1" t="s">
        <v>4732</v>
      </c>
      <c r="U1418" s="1" t="s">
        <v>7348</v>
      </c>
    </row>
    <row r="1419" customFormat="false" ht="13.8" hidden="false" customHeight="false" outlineLevel="0" collapsed="false">
      <c r="A1419" s="1" t="n">
        <v>1418</v>
      </c>
      <c r="B1419" s="2" t="s">
        <v>7349</v>
      </c>
      <c r="C1419" s="1" t="n">
        <v>7</v>
      </c>
      <c r="D1419" s="1" t="n">
        <v>8</v>
      </c>
      <c r="E1419" s="1" t="n">
        <v>10</v>
      </c>
      <c r="F1419" s="1" t="n">
        <v>12</v>
      </c>
      <c r="G1419" s="1" t="n">
        <v>27</v>
      </c>
      <c r="H1419" s="1" t="n">
        <v>56</v>
      </c>
      <c r="I1419" s="1" t="str">
        <f aca="false">RIGHT(("0"&amp;C1419),2)&amp;RIGHT(("0"&amp;D1419),2)&amp;RIGHT(("0"&amp;E1419),2)&amp;RIGHT(("0"&amp;F1419),2)&amp;RIGHT(("0"&amp;G1419),2)&amp;RIGHT(("0"&amp;H1419),2)</f>
        <v>070810122756</v>
      </c>
      <c r="J1419" s="1" t="n">
        <f aca="false">COUNTIF(I:I,I1419)</f>
        <v>1</v>
      </c>
      <c r="K1419" s="1" t="n">
        <v>0</v>
      </c>
      <c r="M1419" s="1" t="s">
        <v>23</v>
      </c>
      <c r="N1419" s="1" t="n">
        <v>188</v>
      </c>
      <c r="O1419" s="1" t="s">
        <v>7350</v>
      </c>
      <c r="P1419" s="1" t="n">
        <v>11107</v>
      </c>
      <c r="Q1419" s="1" t="s">
        <v>7351</v>
      </c>
      <c r="R1419" s="1" t="s">
        <v>7352</v>
      </c>
      <c r="S1419" s="1" t="s">
        <v>7353</v>
      </c>
      <c r="T1419" s="1" t="s">
        <v>7354</v>
      </c>
      <c r="U1419" s="1" t="s">
        <v>7355</v>
      </c>
    </row>
    <row r="1420" customFormat="false" ht="13.8" hidden="false" customHeight="false" outlineLevel="0" collapsed="false">
      <c r="A1420" s="1" t="n">
        <v>1419</v>
      </c>
      <c r="B1420" s="2" t="s">
        <v>7356</v>
      </c>
      <c r="C1420" s="1" t="n">
        <v>17</v>
      </c>
      <c r="D1420" s="1" t="n">
        <v>21</v>
      </c>
      <c r="E1420" s="1" t="n">
        <v>30</v>
      </c>
      <c r="F1420" s="1" t="n">
        <v>48</v>
      </c>
      <c r="G1420" s="1" t="n">
        <v>52</v>
      </c>
      <c r="H1420" s="1" t="n">
        <v>58</v>
      </c>
      <c r="I1420" s="1" t="str">
        <f aca="false">RIGHT(("0"&amp;C1420),2)&amp;RIGHT(("0"&amp;D1420),2)&amp;RIGHT(("0"&amp;E1420),2)&amp;RIGHT(("0"&amp;F1420),2)&amp;RIGHT(("0"&amp;G1420),2)&amp;RIGHT(("0"&amp;H1420),2)</f>
        <v>172130485258</v>
      </c>
      <c r="J1420" s="1" t="n">
        <f aca="false">COUNTIF(I:I,I1420)</f>
        <v>1</v>
      </c>
      <c r="K1420" s="1" t="n">
        <v>0</v>
      </c>
      <c r="M1420" s="1" t="s">
        <v>23</v>
      </c>
      <c r="N1420" s="1" t="n">
        <v>56</v>
      </c>
      <c r="O1420" s="1" t="s">
        <v>7357</v>
      </c>
      <c r="P1420" s="1" t="n">
        <v>3828</v>
      </c>
      <c r="Q1420" s="1" t="s">
        <v>7358</v>
      </c>
      <c r="R1420" s="1" t="s">
        <v>7359</v>
      </c>
      <c r="S1420" s="1" t="s">
        <v>7360</v>
      </c>
      <c r="T1420" s="1" t="s">
        <v>4246</v>
      </c>
      <c r="U1420" s="1" t="s">
        <v>7361</v>
      </c>
    </row>
    <row r="1421" customFormat="false" ht="13.8" hidden="false" customHeight="false" outlineLevel="0" collapsed="false">
      <c r="A1421" s="1" t="n">
        <v>1420</v>
      </c>
      <c r="B1421" s="2" t="s">
        <v>7362</v>
      </c>
      <c r="C1421" s="1" t="n">
        <v>2</v>
      </c>
      <c r="D1421" s="1" t="n">
        <v>11</v>
      </c>
      <c r="E1421" s="1" t="n">
        <v>16</v>
      </c>
      <c r="F1421" s="1" t="n">
        <v>18</v>
      </c>
      <c r="G1421" s="1" t="n">
        <v>36</v>
      </c>
      <c r="H1421" s="1" t="n">
        <v>45</v>
      </c>
      <c r="I1421" s="1" t="str">
        <f aca="false">RIGHT(("0"&amp;C1421),2)&amp;RIGHT(("0"&amp;D1421),2)&amp;RIGHT(("0"&amp;E1421),2)&amp;RIGHT(("0"&amp;F1421),2)&amp;RIGHT(("0"&amp;G1421),2)&amp;RIGHT(("0"&amp;H1421),2)</f>
        <v>021116183645</v>
      </c>
      <c r="J1421" s="1" t="n">
        <f aca="false">COUNTIF(I:I,I1421)</f>
        <v>1</v>
      </c>
      <c r="K1421" s="1" t="n">
        <v>0</v>
      </c>
      <c r="M1421" s="1" t="s">
        <v>23</v>
      </c>
      <c r="N1421" s="1" t="n">
        <v>129</v>
      </c>
      <c r="O1421" s="1" t="s">
        <v>7363</v>
      </c>
      <c r="P1421" s="1" t="n">
        <v>9189</v>
      </c>
      <c r="Q1421" s="1" t="s">
        <v>7364</v>
      </c>
      <c r="R1421" s="1" t="s">
        <v>7365</v>
      </c>
      <c r="S1421" s="1" t="s">
        <v>7366</v>
      </c>
      <c r="T1421" s="1" t="s">
        <v>5242</v>
      </c>
      <c r="U1421" s="1" t="s">
        <v>7367</v>
      </c>
    </row>
    <row r="1422" customFormat="false" ht="13.8" hidden="false" customHeight="false" outlineLevel="0" collapsed="false">
      <c r="A1422" s="1" t="n">
        <v>1421</v>
      </c>
      <c r="B1422" s="2" t="s">
        <v>7368</v>
      </c>
      <c r="C1422" s="1" t="n">
        <v>19</v>
      </c>
      <c r="D1422" s="1" t="n">
        <v>31</v>
      </c>
      <c r="E1422" s="1" t="n">
        <v>39</v>
      </c>
      <c r="F1422" s="1" t="n">
        <v>44</v>
      </c>
      <c r="G1422" s="1" t="n">
        <v>53</v>
      </c>
      <c r="H1422" s="1" t="n">
        <v>59</v>
      </c>
      <c r="I1422" s="1" t="str">
        <f aca="false">RIGHT(("0"&amp;C1422),2)&amp;RIGHT(("0"&amp;D1422),2)&amp;RIGHT(("0"&amp;E1422),2)&amp;RIGHT(("0"&amp;F1422),2)&amp;RIGHT(("0"&amp;G1422),2)&amp;RIGHT(("0"&amp;H1422),2)</f>
        <v>193139445359</v>
      </c>
      <c r="J1422" s="1" t="n">
        <f aca="false">COUNTIF(I:I,I1422)</f>
        <v>1</v>
      </c>
      <c r="K1422" s="1" t="n">
        <v>1</v>
      </c>
      <c r="L1422" s="1" t="s">
        <v>5484</v>
      </c>
      <c r="M1422" s="1" t="s">
        <v>7369</v>
      </c>
      <c r="N1422" s="1" t="n">
        <v>142</v>
      </c>
      <c r="O1422" s="1" t="s">
        <v>7370</v>
      </c>
      <c r="P1422" s="1" t="n">
        <v>8046</v>
      </c>
      <c r="Q1422" s="1" t="s">
        <v>7371</v>
      </c>
      <c r="R1422" s="1" t="s">
        <v>23</v>
      </c>
      <c r="S1422" s="1" t="s">
        <v>7372</v>
      </c>
      <c r="T1422" s="1" t="s">
        <v>4256</v>
      </c>
      <c r="U1422" s="1" t="s">
        <v>7373</v>
      </c>
    </row>
    <row r="1423" customFormat="false" ht="13.8" hidden="false" customHeight="false" outlineLevel="0" collapsed="false">
      <c r="A1423" s="1" t="n">
        <v>1422</v>
      </c>
      <c r="B1423" s="2" t="s">
        <v>7374</v>
      </c>
      <c r="C1423" s="1" t="n">
        <v>2</v>
      </c>
      <c r="D1423" s="1" t="n">
        <v>5</v>
      </c>
      <c r="E1423" s="1" t="n">
        <v>13</v>
      </c>
      <c r="F1423" s="1" t="n">
        <v>17</v>
      </c>
      <c r="G1423" s="1" t="n">
        <v>39</v>
      </c>
      <c r="H1423" s="1" t="n">
        <v>44</v>
      </c>
      <c r="I1423" s="1" t="str">
        <f aca="false">RIGHT(("0"&amp;C1423),2)&amp;RIGHT(("0"&amp;D1423),2)&amp;RIGHT(("0"&amp;E1423),2)&amp;RIGHT(("0"&amp;F1423),2)&amp;RIGHT(("0"&amp;G1423),2)&amp;RIGHT(("0"&amp;H1423),2)</f>
        <v>020513173944</v>
      </c>
      <c r="J1423" s="1" t="n">
        <f aca="false">COUNTIF(I:I,I1423)</f>
        <v>1</v>
      </c>
      <c r="K1423" s="1" t="n">
        <v>1</v>
      </c>
      <c r="L1423" s="1" t="s">
        <v>7375</v>
      </c>
      <c r="M1423" s="1" t="s">
        <v>7376</v>
      </c>
      <c r="N1423" s="1" t="n">
        <v>250</v>
      </c>
      <c r="O1423" s="1" t="s">
        <v>7377</v>
      </c>
      <c r="P1423" s="1" t="n">
        <v>12007</v>
      </c>
      <c r="Q1423" s="1" t="s">
        <v>7378</v>
      </c>
      <c r="R1423" s="1" t="s">
        <v>23</v>
      </c>
      <c r="S1423" s="1" t="s">
        <v>7379</v>
      </c>
      <c r="T1423" s="1" t="s">
        <v>4732</v>
      </c>
      <c r="U1423" s="1" t="s">
        <v>7380</v>
      </c>
    </row>
    <row r="1424" customFormat="false" ht="13.8" hidden="false" customHeight="false" outlineLevel="0" collapsed="false">
      <c r="A1424" s="1" t="n">
        <v>1423</v>
      </c>
      <c r="B1424" s="2" t="s">
        <v>7381</v>
      </c>
      <c r="C1424" s="1" t="n">
        <v>3</v>
      </c>
      <c r="D1424" s="1" t="n">
        <v>8</v>
      </c>
      <c r="E1424" s="1" t="n">
        <v>21</v>
      </c>
      <c r="F1424" s="1" t="n">
        <v>25</v>
      </c>
      <c r="G1424" s="1" t="n">
        <v>27</v>
      </c>
      <c r="H1424" s="1" t="n">
        <v>43</v>
      </c>
      <c r="I1424" s="1" t="str">
        <f aca="false">RIGHT(("0"&amp;C1424),2)&amp;RIGHT(("0"&amp;D1424),2)&amp;RIGHT(("0"&amp;E1424),2)&amp;RIGHT(("0"&amp;F1424),2)&amp;RIGHT(("0"&amp;G1424),2)&amp;RIGHT(("0"&amp;H1424),2)</f>
        <v>030821252743</v>
      </c>
      <c r="J1424" s="1" t="n">
        <f aca="false">COUNTIF(I:I,I1424)</f>
        <v>1</v>
      </c>
      <c r="K1424" s="1" t="n">
        <v>3</v>
      </c>
      <c r="L1424" s="1" t="s">
        <v>7382</v>
      </c>
      <c r="M1424" s="1" t="s">
        <v>7383</v>
      </c>
      <c r="N1424" s="1" t="n">
        <v>187</v>
      </c>
      <c r="O1424" s="1" t="s">
        <v>7384</v>
      </c>
      <c r="P1424" s="1" t="n">
        <v>8340</v>
      </c>
      <c r="Q1424" s="1" t="s">
        <v>7385</v>
      </c>
      <c r="R1424" s="1" t="s">
        <v>23</v>
      </c>
      <c r="S1424" s="1" t="s">
        <v>7386</v>
      </c>
      <c r="T1424" s="1" t="s">
        <v>4732</v>
      </c>
      <c r="U1424" s="1" t="s">
        <v>7387</v>
      </c>
    </row>
    <row r="1425" customFormat="false" ht="13.8" hidden="false" customHeight="false" outlineLevel="0" collapsed="false">
      <c r="A1425" s="1" t="n">
        <v>1424</v>
      </c>
      <c r="B1425" s="2" t="s">
        <v>7388</v>
      </c>
      <c r="C1425" s="1" t="n">
        <v>3</v>
      </c>
      <c r="D1425" s="1" t="n">
        <v>7</v>
      </c>
      <c r="E1425" s="1" t="n">
        <v>15</v>
      </c>
      <c r="F1425" s="1" t="n">
        <v>29</v>
      </c>
      <c r="G1425" s="1" t="n">
        <v>38</v>
      </c>
      <c r="H1425" s="1" t="n">
        <v>60</v>
      </c>
      <c r="I1425" s="1" t="str">
        <f aca="false">RIGHT(("0"&amp;C1425),2)&amp;RIGHT(("0"&amp;D1425),2)&amp;RIGHT(("0"&amp;E1425),2)&amp;RIGHT(("0"&amp;F1425),2)&amp;RIGHT(("0"&amp;G1425),2)&amp;RIGHT(("0"&amp;H1425),2)</f>
        <v>030715293860</v>
      </c>
      <c r="J1425" s="1" t="n">
        <f aca="false">COUNTIF(I:I,I1425)</f>
        <v>1</v>
      </c>
      <c r="K1425" s="1" t="n">
        <v>0</v>
      </c>
      <c r="M1425" s="1" t="s">
        <v>23</v>
      </c>
      <c r="N1425" s="1" t="n">
        <v>83</v>
      </c>
      <c r="O1425" s="1" t="s">
        <v>7389</v>
      </c>
      <c r="P1425" s="1" t="n">
        <v>6625</v>
      </c>
      <c r="Q1425" s="1" t="s">
        <v>7390</v>
      </c>
      <c r="R1425" s="1" t="s">
        <v>7391</v>
      </c>
      <c r="S1425" s="1" t="s">
        <v>7392</v>
      </c>
      <c r="T1425" s="1" t="s">
        <v>4208</v>
      </c>
      <c r="U1425" s="1" t="s">
        <v>7393</v>
      </c>
      <c r="V1425" s="1" t="s">
        <v>6777</v>
      </c>
    </row>
    <row r="1426" customFormat="false" ht="13.8" hidden="false" customHeight="false" outlineLevel="0" collapsed="false">
      <c r="A1426" s="1" t="n">
        <v>1425</v>
      </c>
      <c r="B1426" s="2" t="s">
        <v>7394</v>
      </c>
      <c r="C1426" s="1" t="n">
        <v>7</v>
      </c>
      <c r="D1426" s="1" t="n">
        <v>16</v>
      </c>
      <c r="E1426" s="1" t="n">
        <v>29</v>
      </c>
      <c r="F1426" s="1" t="n">
        <v>36</v>
      </c>
      <c r="G1426" s="1" t="n">
        <v>38</v>
      </c>
      <c r="H1426" s="1" t="n">
        <v>50</v>
      </c>
      <c r="I1426" s="1" t="str">
        <f aca="false">RIGHT(("0"&amp;C1426),2)&amp;RIGHT(("0"&amp;D1426),2)&amp;RIGHT(("0"&amp;E1426),2)&amp;RIGHT(("0"&amp;F1426),2)&amp;RIGHT(("0"&amp;G1426),2)&amp;RIGHT(("0"&amp;H1426),2)</f>
        <v>071629363850</v>
      </c>
      <c r="J1426" s="1" t="n">
        <f aca="false">COUNTIF(I:I,I1426)</f>
        <v>1</v>
      </c>
      <c r="K1426" s="1" t="n">
        <v>1</v>
      </c>
      <c r="L1426" s="1" t="s">
        <v>5310</v>
      </c>
      <c r="M1426" s="1" t="s">
        <v>7395</v>
      </c>
      <c r="N1426" s="1" t="n">
        <v>82</v>
      </c>
      <c r="O1426" s="1" t="s">
        <v>7396</v>
      </c>
      <c r="P1426" s="1" t="n">
        <v>6460</v>
      </c>
      <c r="Q1426" s="1" t="s">
        <v>7397</v>
      </c>
      <c r="R1426" s="1" t="s">
        <v>23</v>
      </c>
      <c r="S1426" s="1" t="s">
        <v>7398</v>
      </c>
      <c r="T1426" s="1" t="s">
        <v>4732</v>
      </c>
      <c r="U1426" s="1" t="s">
        <v>7399</v>
      </c>
    </row>
    <row r="1427" customFormat="false" ht="13.8" hidden="false" customHeight="false" outlineLevel="0" collapsed="false">
      <c r="A1427" s="1" t="n">
        <v>1426</v>
      </c>
      <c r="B1427" s="2" t="s">
        <v>7400</v>
      </c>
      <c r="C1427" s="1" t="n">
        <v>6</v>
      </c>
      <c r="D1427" s="1" t="n">
        <v>15</v>
      </c>
      <c r="E1427" s="1" t="n">
        <v>18</v>
      </c>
      <c r="F1427" s="1" t="n">
        <v>24</v>
      </c>
      <c r="G1427" s="1" t="n">
        <v>30</v>
      </c>
      <c r="H1427" s="1" t="n">
        <v>44</v>
      </c>
      <c r="I1427" s="1" t="str">
        <f aca="false">RIGHT(("0"&amp;C1427),2)&amp;RIGHT(("0"&amp;D1427),2)&amp;RIGHT(("0"&amp;E1427),2)&amp;RIGHT(("0"&amp;F1427),2)&amp;RIGHT(("0"&amp;G1427),2)&amp;RIGHT(("0"&amp;H1427),2)</f>
        <v>061518243044</v>
      </c>
      <c r="J1427" s="1" t="n">
        <f aca="false">COUNTIF(I:I,I1427)</f>
        <v>1</v>
      </c>
      <c r="K1427" s="1" t="n">
        <v>0</v>
      </c>
      <c r="M1427" s="1" t="s">
        <v>23</v>
      </c>
      <c r="N1427" s="1" t="n">
        <v>67</v>
      </c>
      <c r="O1427" s="1" t="s">
        <v>7401</v>
      </c>
      <c r="P1427" s="1" t="n">
        <v>5957</v>
      </c>
      <c r="Q1427" s="1" t="s">
        <v>7402</v>
      </c>
      <c r="R1427" s="1" t="s">
        <v>7403</v>
      </c>
      <c r="S1427" s="1" t="s">
        <v>7404</v>
      </c>
      <c r="T1427" s="1" t="s">
        <v>7089</v>
      </c>
      <c r="U1427" s="1" t="s">
        <v>7405</v>
      </c>
    </row>
    <row r="1428" customFormat="false" ht="13.8" hidden="false" customHeight="false" outlineLevel="0" collapsed="false">
      <c r="A1428" s="1" t="n">
        <v>1427</v>
      </c>
      <c r="B1428" s="2" t="s">
        <v>7406</v>
      </c>
      <c r="C1428" s="1" t="n">
        <v>8</v>
      </c>
      <c r="D1428" s="1" t="n">
        <v>39</v>
      </c>
      <c r="E1428" s="1" t="n">
        <v>44</v>
      </c>
      <c r="F1428" s="1" t="n">
        <v>47</v>
      </c>
      <c r="G1428" s="1" t="n">
        <v>53</v>
      </c>
      <c r="H1428" s="1" t="n">
        <v>56</v>
      </c>
      <c r="I1428" s="1" t="str">
        <f aca="false">RIGHT(("0"&amp;C1428),2)&amp;RIGHT(("0"&amp;D1428),2)&amp;RIGHT(("0"&amp;E1428),2)&amp;RIGHT(("0"&amp;F1428),2)&amp;RIGHT(("0"&amp;G1428),2)&amp;RIGHT(("0"&amp;H1428),2)</f>
        <v>083944475356</v>
      </c>
      <c r="J1428" s="1" t="n">
        <f aca="false">COUNTIF(I:I,I1428)</f>
        <v>1</v>
      </c>
      <c r="K1428" s="1" t="n">
        <v>0</v>
      </c>
      <c r="M1428" s="1" t="s">
        <v>23</v>
      </c>
      <c r="N1428" s="1" t="n">
        <v>73</v>
      </c>
      <c r="O1428" s="1" t="s">
        <v>7407</v>
      </c>
      <c r="P1428" s="1" t="n">
        <v>4824</v>
      </c>
      <c r="Q1428" s="1" t="s">
        <v>7408</v>
      </c>
      <c r="R1428" s="1" t="s">
        <v>7409</v>
      </c>
      <c r="S1428" s="1" t="s">
        <v>7410</v>
      </c>
      <c r="T1428" s="1" t="s">
        <v>4190</v>
      </c>
      <c r="U1428" s="1" t="s">
        <v>7411</v>
      </c>
    </row>
    <row r="1429" customFormat="false" ht="13.8" hidden="false" customHeight="false" outlineLevel="0" collapsed="false">
      <c r="A1429" s="1" t="n">
        <v>1428</v>
      </c>
      <c r="B1429" s="2" t="s">
        <v>7412</v>
      </c>
      <c r="C1429" s="1" t="n">
        <v>7</v>
      </c>
      <c r="D1429" s="1" t="n">
        <v>15</v>
      </c>
      <c r="E1429" s="1" t="n">
        <v>19</v>
      </c>
      <c r="F1429" s="1" t="n">
        <v>34</v>
      </c>
      <c r="G1429" s="1" t="n">
        <v>37</v>
      </c>
      <c r="H1429" s="1" t="n">
        <v>55</v>
      </c>
      <c r="I1429" s="1" t="str">
        <f aca="false">RIGHT(("0"&amp;C1429),2)&amp;RIGHT(("0"&amp;D1429),2)&amp;RIGHT(("0"&amp;E1429),2)&amp;RIGHT(("0"&amp;F1429),2)&amp;RIGHT(("0"&amp;G1429),2)&amp;RIGHT(("0"&amp;H1429),2)</f>
        <v>071519343755</v>
      </c>
      <c r="J1429" s="1" t="n">
        <f aca="false">COUNTIF(I:I,I1429)</f>
        <v>1</v>
      </c>
      <c r="K1429" s="1" t="n">
        <v>1</v>
      </c>
      <c r="L1429" s="1" t="s">
        <v>5728</v>
      </c>
      <c r="M1429" s="1" t="s">
        <v>7413</v>
      </c>
      <c r="N1429" s="1" t="n">
        <v>204</v>
      </c>
      <c r="O1429" s="1" t="s">
        <v>7414</v>
      </c>
      <c r="P1429" s="1" t="n">
        <v>9777</v>
      </c>
      <c r="Q1429" s="1" t="s">
        <v>7415</v>
      </c>
      <c r="R1429" s="1" t="s">
        <v>23</v>
      </c>
      <c r="S1429" s="1" t="s">
        <v>7416</v>
      </c>
      <c r="T1429" s="1" t="s">
        <v>4732</v>
      </c>
      <c r="U1429" s="1" t="s">
        <v>7417</v>
      </c>
    </row>
    <row r="1430" customFormat="false" ht="13.8" hidden="false" customHeight="false" outlineLevel="0" collapsed="false">
      <c r="A1430" s="1" t="n">
        <v>1429</v>
      </c>
      <c r="B1430" s="2" t="s">
        <v>7418</v>
      </c>
      <c r="C1430" s="1" t="n">
        <v>9</v>
      </c>
      <c r="D1430" s="1" t="n">
        <v>12</v>
      </c>
      <c r="E1430" s="1" t="n">
        <v>22</v>
      </c>
      <c r="F1430" s="1" t="n">
        <v>39</v>
      </c>
      <c r="G1430" s="1" t="n">
        <v>48</v>
      </c>
      <c r="H1430" s="1" t="n">
        <v>60</v>
      </c>
      <c r="I1430" s="1" t="str">
        <f aca="false">RIGHT(("0"&amp;C1430),2)&amp;RIGHT(("0"&amp;D1430),2)&amp;RIGHT(("0"&amp;E1430),2)&amp;RIGHT(("0"&amp;F1430),2)&amp;RIGHT(("0"&amp;G1430),2)&amp;RIGHT(("0"&amp;H1430),2)</f>
        <v>091222394860</v>
      </c>
      <c r="J1430" s="1" t="n">
        <f aca="false">COUNTIF(I:I,I1430)</f>
        <v>1</v>
      </c>
      <c r="K1430" s="1" t="n">
        <v>0</v>
      </c>
      <c r="M1430" s="1" t="s">
        <v>23</v>
      </c>
      <c r="N1430" s="1" t="n">
        <v>59</v>
      </c>
      <c r="O1430" s="1" t="s">
        <v>7419</v>
      </c>
      <c r="P1430" s="1" t="n">
        <v>4805</v>
      </c>
      <c r="Q1430" s="1" t="s">
        <v>7420</v>
      </c>
      <c r="R1430" s="1" t="s">
        <v>7421</v>
      </c>
      <c r="S1430" s="1" t="s">
        <v>7422</v>
      </c>
      <c r="T1430" s="1" t="s">
        <v>3928</v>
      </c>
      <c r="U1430" s="1" t="s">
        <v>7423</v>
      </c>
    </row>
    <row r="1431" customFormat="false" ht="13.8" hidden="false" customHeight="false" outlineLevel="0" collapsed="false">
      <c r="A1431" s="1" t="n">
        <v>1430</v>
      </c>
      <c r="B1431" s="2" t="s">
        <v>7424</v>
      </c>
      <c r="C1431" s="1" t="n">
        <v>2</v>
      </c>
      <c r="D1431" s="1" t="n">
        <v>19</v>
      </c>
      <c r="E1431" s="1" t="n">
        <v>22</v>
      </c>
      <c r="F1431" s="1" t="n">
        <v>30</v>
      </c>
      <c r="G1431" s="1" t="n">
        <v>46</v>
      </c>
      <c r="H1431" s="1" t="n">
        <v>52</v>
      </c>
      <c r="I1431" s="1" t="str">
        <f aca="false">RIGHT(("0"&amp;C1431),2)&amp;RIGHT(("0"&amp;D1431),2)&amp;RIGHT(("0"&amp;E1431),2)&amp;RIGHT(("0"&amp;F1431),2)&amp;RIGHT(("0"&amp;G1431),2)&amp;RIGHT(("0"&amp;H1431),2)</f>
        <v>021922304652</v>
      </c>
      <c r="J1431" s="1" t="n">
        <f aca="false">COUNTIF(I:I,I1431)</f>
        <v>1</v>
      </c>
      <c r="K1431" s="1" t="n">
        <v>0</v>
      </c>
      <c r="M1431" s="1" t="s">
        <v>23</v>
      </c>
      <c r="N1431" s="1" t="n">
        <v>87</v>
      </c>
      <c r="O1431" s="1" t="s">
        <v>7425</v>
      </c>
      <c r="P1431" s="1" t="n">
        <v>6685</v>
      </c>
      <c r="Q1431" s="1" t="s">
        <v>7426</v>
      </c>
      <c r="R1431" s="1" t="s">
        <v>7427</v>
      </c>
      <c r="S1431" s="1" t="s">
        <v>7428</v>
      </c>
      <c r="T1431" s="1" t="s">
        <v>4246</v>
      </c>
      <c r="U1431" s="1" t="s">
        <v>7429</v>
      </c>
      <c r="V1431" s="1" t="s">
        <v>6777</v>
      </c>
    </row>
    <row r="1432" customFormat="false" ht="13.8" hidden="false" customHeight="false" outlineLevel="0" collapsed="false">
      <c r="A1432" s="1" t="n">
        <v>1431</v>
      </c>
      <c r="B1432" s="2" t="s">
        <v>7430</v>
      </c>
      <c r="C1432" s="1" t="n">
        <v>5</v>
      </c>
      <c r="D1432" s="1" t="n">
        <v>9</v>
      </c>
      <c r="E1432" s="1" t="n">
        <v>13</v>
      </c>
      <c r="F1432" s="1" t="n">
        <v>33</v>
      </c>
      <c r="G1432" s="1" t="n">
        <v>40</v>
      </c>
      <c r="H1432" s="1" t="n">
        <v>54</v>
      </c>
      <c r="I1432" s="1" t="str">
        <f aca="false">RIGHT(("0"&amp;C1432),2)&amp;RIGHT(("0"&amp;D1432),2)&amp;RIGHT(("0"&amp;E1432),2)&amp;RIGHT(("0"&amp;F1432),2)&amp;RIGHT(("0"&amp;G1432),2)&amp;RIGHT(("0"&amp;H1432),2)</f>
        <v>050913334054</v>
      </c>
      <c r="J1432" s="1" t="n">
        <f aca="false">COUNTIF(I:I,I1432)</f>
        <v>1</v>
      </c>
      <c r="K1432" s="1" t="n">
        <v>0</v>
      </c>
      <c r="M1432" s="1" t="s">
        <v>23</v>
      </c>
      <c r="N1432" s="1" t="n">
        <v>278</v>
      </c>
      <c r="O1432" s="1" t="s">
        <v>7431</v>
      </c>
      <c r="P1432" s="1" t="n">
        <v>17721</v>
      </c>
      <c r="Q1432" s="1" t="s">
        <v>7432</v>
      </c>
      <c r="R1432" s="1" t="s">
        <v>7433</v>
      </c>
      <c r="S1432" s="1" t="s">
        <v>7434</v>
      </c>
      <c r="T1432" s="1" t="s">
        <v>5242</v>
      </c>
      <c r="U1432" s="1" t="s">
        <v>7435</v>
      </c>
    </row>
    <row r="1433" customFormat="false" ht="13.8" hidden="false" customHeight="false" outlineLevel="0" collapsed="false">
      <c r="A1433" s="1" t="n">
        <v>1432</v>
      </c>
      <c r="B1433" s="2" t="s">
        <v>7436</v>
      </c>
      <c r="C1433" s="1" t="n">
        <v>16</v>
      </c>
      <c r="D1433" s="1" t="n">
        <v>24</v>
      </c>
      <c r="E1433" s="1" t="n">
        <v>25</v>
      </c>
      <c r="F1433" s="1" t="n">
        <v>42</v>
      </c>
      <c r="G1433" s="1" t="n">
        <v>45</v>
      </c>
      <c r="H1433" s="1" t="n">
        <v>59</v>
      </c>
      <c r="I1433" s="1" t="str">
        <f aca="false">RIGHT(("0"&amp;C1433),2)&amp;RIGHT(("0"&amp;D1433),2)&amp;RIGHT(("0"&amp;E1433),2)&amp;RIGHT(("0"&amp;F1433),2)&amp;RIGHT(("0"&amp;G1433),2)&amp;RIGHT(("0"&amp;H1433),2)</f>
        <v>162425424559</v>
      </c>
      <c r="J1433" s="1" t="n">
        <f aca="false">COUNTIF(I:I,I1433)</f>
        <v>1</v>
      </c>
      <c r="K1433" s="1" t="n">
        <v>0</v>
      </c>
      <c r="M1433" s="1" t="s">
        <v>23</v>
      </c>
      <c r="N1433" s="1" t="n">
        <v>124</v>
      </c>
      <c r="O1433" s="1" t="s">
        <v>7437</v>
      </c>
      <c r="P1433" s="1" t="n">
        <v>10268</v>
      </c>
      <c r="Q1433" s="1" t="s">
        <v>7438</v>
      </c>
      <c r="R1433" s="1" t="s">
        <v>7439</v>
      </c>
      <c r="S1433" s="1" t="s">
        <v>7440</v>
      </c>
      <c r="T1433" s="1" t="s">
        <v>4968</v>
      </c>
      <c r="U1433" s="1" t="s">
        <v>7441</v>
      </c>
    </row>
    <row r="1434" customFormat="false" ht="13.8" hidden="false" customHeight="false" outlineLevel="0" collapsed="false">
      <c r="A1434" s="1" t="n">
        <v>1433</v>
      </c>
      <c r="B1434" s="2" t="s">
        <v>7442</v>
      </c>
      <c r="C1434" s="1" t="n">
        <v>4</v>
      </c>
      <c r="D1434" s="1" t="n">
        <v>13</v>
      </c>
      <c r="E1434" s="1" t="n">
        <v>14</v>
      </c>
      <c r="F1434" s="1" t="n">
        <v>40</v>
      </c>
      <c r="G1434" s="1" t="n">
        <v>46</v>
      </c>
      <c r="H1434" s="1" t="n">
        <v>52</v>
      </c>
      <c r="I1434" s="1" t="str">
        <f aca="false">RIGHT(("0"&amp;C1434),2)&amp;RIGHT(("0"&amp;D1434),2)&amp;RIGHT(("0"&amp;E1434),2)&amp;RIGHT(("0"&amp;F1434),2)&amp;RIGHT(("0"&amp;G1434),2)&amp;RIGHT(("0"&amp;H1434),2)</f>
        <v>041314404652</v>
      </c>
      <c r="J1434" s="1" t="n">
        <f aca="false">COUNTIF(I:I,I1434)</f>
        <v>1</v>
      </c>
      <c r="K1434" s="1" t="n">
        <v>1</v>
      </c>
      <c r="L1434" s="1" t="s">
        <v>7443</v>
      </c>
      <c r="M1434" s="1" t="s">
        <v>7444</v>
      </c>
      <c r="N1434" s="1" t="n">
        <v>124</v>
      </c>
      <c r="O1434" s="1" t="s">
        <v>7445</v>
      </c>
      <c r="P1434" s="1" t="n">
        <v>9358</v>
      </c>
      <c r="Q1434" s="1" t="s">
        <v>7446</v>
      </c>
      <c r="R1434" s="1" t="s">
        <v>23</v>
      </c>
      <c r="S1434" s="1" t="s">
        <v>7447</v>
      </c>
      <c r="T1434" s="1" t="s">
        <v>4732</v>
      </c>
      <c r="U1434" s="1" t="s">
        <v>7448</v>
      </c>
    </row>
    <row r="1435" customFormat="false" ht="13.8" hidden="false" customHeight="false" outlineLevel="0" collapsed="false">
      <c r="A1435" s="1" t="n">
        <v>1434</v>
      </c>
      <c r="B1435" s="2" t="s">
        <v>7449</v>
      </c>
      <c r="C1435" s="1" t="n">
        <v>3</v>
      </c>
      <c r="D1435" s="1" t="n">
        <v>18</v>
      </c>
      <c r="E1435" s="1" t="n">
        <v>22</v>
      </c>
      <c r="F1435" s="1" t="n">
        <v>34</v>
      </c>
      <c r="G1435" s="1" t="n">
        <v>55</v>
      </c>
      <c r="H1435" s="1" t="n">
        <v>58</v>
      </c>
      <c r="I1435" s="1" t="str">
        <f aca="false">RIGHT(("0"&amp;C1435),2)&amp;RIGHT(("0"&amp;D1435),2)&amp;RIGHT(("0"&amp;E1435),2)&amp;RIGHT(("0"&amp;F1435),2)&amp;RIGHT(("0"&amp;G1435),2)&amp;RIGHT(("0"&amp;H1435),2)</f>
        <v>031822345558</v>
      </c>
      <c r="J1435" s="1" t="n">
        <f aca="false">COUNTIF(I:I,I1435)</f>
        <v>1</v>
      </c>
      <c r="K1435" s="1" t="n">
        <v>2</v>
      </c>
      <c r="L1435" s="1" t="s">
        <v>7450</v>
      </c>
      <c r="M1435" s="1" t="s">
        <v>7451</v>
      </c>
      <c r="N1435" s="1" t="n">
        <v>116</v>
      </c>
      <c r="O1435" s="1" t="s">
        <v>7452</v>
      </c>
      <c r="P1435" s="1" t="n">
        <v>6335</v>
      </c>
      <c r="Q1435" s="1" t="s">
        <v>7453</v>
      </c>
      <c r="R1435" s="1" t="s">
        <v>23</v>
      </c>
      <c r="S1435" s="1" t="s">
        <v>7454</v>
      </c>
      <c r="T1435" s="1" t="s">
        <v>4691</v>
      </c>
      <c r="U1435" s="1" t="s">
        <v>7455</v>
      </c>
    </row>
    <row r="1436" customFormat="false" ht="13.8" hidden="false" customHeight="false" outlineLevel="0" collapsed="false">
      <c r="A1436" s="1" t="n">
        <v>1435</v>
      </c>
      <c r="B1436" s="2" t="s">
        <v>7456</v>
      </c>
      <c r="C1436" s="1" t="n">
        <v>4</v>
      </c>
      <c r="D1436" s="1" t="n">
        <v>15</v>
      </c>
      <c r="E1436" s="1" t="n">
        <v>45</v>
      </c>
      <c r="F1436" s="1" t="n">
        <v>47</v>
      </c>
      <c r="G1436" s="1" t="n">
        <v>50</v>
      </c>
      <c r="H1436" s="1" t="n">
        <v>52</v>
      </c>
      <c r="I1436" s="1" t="str">
        <f aca="false">RIGHT(("0"&amp;C1436),2)&amp;RIGHT(("0"&amp;D1436),2)&amp;RIGHT(("0"&amp;E1436),2)&amp;RIGHT(("0"&amp;F1436),2)&amp;RIGHT(("0"&amp;G1436),2)&amp;RIGHT(("0"&amp;H1436),2)</f>
        <v>041545475052</v>
      </c>
      <c r="J1436" s="1" t="n">
        <f aca="false">COUNTIF(I:I,I1436)</f>
        <v>1</v>
      </c>
      <c r="K1436" s="1" t="n">
        <v>0</v>
      </c>
      <c r="M1436" s="1" t="s">
        <v>23</v>
      </c>
      <c r="N1436" s="1" t="n">
        <v>93</v>
      </c>
      <c r="O1436" s="1" t="s">
        <v>7457</v>
      </c>
      <c r="P1436" s="1" t="n">
        <v>6915</v>
      </c>
      <c r="Q1436" s="1" t="s">
        <v>7458</v>
      </c>
      <c r="R1436" s="1" t="s">
        <v>7459</v>
      </c>
      <c r="S1436" s="1" t="s">
        <v>7460</v>
      </c>
      <c r="T1436" s="1" t="s">
        <v>4718</v>
      </c>
      <c r="U1436" s="1" t="s">
        <v>7461</v>
      </c>
    </row>
    <row r="1437" customFormat="false" ht="13.8" hidden="false" customHeight="false" outlineLevel="0" collapsed="false">
      <c r="A1437" s="1" t="n">
        <v>1436</v>
      </c>
      <c r="B1437" s="2" t="s">
        <v>7462</v>
      </c>
      <c r="C1437" s="1" t="n">
        <v>1</v>
      </c>
      <c r="D1437" s="1" t="n">
        <v>13</v>
      </c>
      <c r="E1437" s="1" t="n">
        <v>23</v>
      </c>
      <c r="F1437" s="1" t="n">
        <v>24</v>
      </c>
      <c r="G1437" s="1" t="n">
        <v>30</v>
      </c>
      <c r="H1437" s="1" t="n">
        <v>57</v>
      </c>
      <c r="I1437" s="1" t="str">
        <f aca="false">RIGHT(("0"&amp;C1437),2)&amp;RIGHT(("0"&amp;D1437),2)&amp;RIGHT(("0"&amp;E1437),2)&amp;RIGHT(("0"&amp;F1437),2)&amp;RIGHT(("0"&amp;G1437),2)&amp;RIGHT(("0"&amp;H1437),2)</f>
        <v>011323243057</v>
      </c>
      <c r="J1437" s="1" t="n">
        <f aca="false">COUNTIF(I:I,I1437)</f>
        <v>1</v>
      </c>
      <c r="K1437" s="1" t="n">
        <v>0</v>
      </c>
      <c r="M1437" s="1" t="s">
        <v>23</v>
      </c>
      <c r="N1437" s="1" t="n">
        <v>127</v>
      </c>
      <c r="O1437" s="1" t="s">
        <v>7463</v>
      </c>
      <c r="P1437" s="1" t="n">
        <v>9275</v>
      </c>
      <c r="Q1437" s="1" t="s">
        <v>7464</v>
      </c>
      <c r="R1437" s="1" t="s">
        <v>7465</v>
      </c>
      <c r="S1437" s="1" t="s">
        <v>7466</v>
      </c>
      <c r="T1437" s="1" t="s">
        <v>3892</v>
      </c>
      <c r="U1437" s="1" t="s">
        <v>7467</v>
      </c>
    </row>
    <row r="1438" customFormat="false" ht="13.8" hidden="false" customHeight="false" outlineLevel="0" collapsed="false">
      <c r="A1438" s="1" t="n">
        <v>1437</v>
      </c>
      <c r="B1438" s="2" t="s">
        <v>7468</v>
      </c>
      <c r="C1438" s="1" t="n">
        <v>22</v>
      </c>
      <c r="D1438" s="1" t="n">
        <v>23</v>
      </c>
      <c r="E1438" s="1" t="n">
        <v>26</v>
      </c>
      <c r="F1438" s="1" t="n">
        <v>37</v>
      </c>
      <c r="G1438" s="1" t="n">
        <v>38</v>
      </c>
      <c r="H1438" s="1" t="n">
        <v>48</v>
      </c>
      <c r="I1438" s="1" t="str">
        <f aca="false">RIGHT(("0"&amp;C1438),2)&amp;RIGHT(("0"&amp;D1438),2)&amp;RIGHT(("0"&amp;E1438),2)&amp;RIGHT(("0"&amp;F1438),2)&amp;RIGHT(("0"&amp;G1438),2)&amp;RIGHT(("0"&amp;H1438),2)</f>
        <v>222326373848</v>
      </c>
      <c r="J1438" s="1" t="n">
        <f aca="false">COUNTIF(I:I,I1438)</f>
        <v>1</v>
      </c>
      <c r="K1438" s="1" t="n">
        <v>0</v>
      </c>
      <c r="M1438" s="1" t="s">
        <v>23</v>
      </c>
      <c r="N1438" s="1" t="n">
        <v>107</v>
      </c>
      <c r="O1438" s="1" t="s">
        <v>7469</v>
      </c>
      <c r="P1438" s="1" t="n">
        <v>8856</v>
      </c>
      <c r="Q1438" s="1" t="s">
        <v>7470</v>
      </c>
      <c r="R1438" s="1" t="s">
        <v>7471</v>
      </c>
      <c r="S1438" s="1" t="s">
        <v>7472</v>
      </c>
      <c r="T1438" s="1" t="s">
        <v>5294</v>
      </c>
      <c r="U1438" s="1" t="s">
        <v>7473</v>
      </c>
    </row>
    <row r="1439" customFormat="false" ht="13.8" hidden="false" customHeight="false" outlineLevel="0" collapsed="false">
      <c r="A1439" s="1" t="n">
        <v>1438</v>
      </c>
      <c r="B1439" s="2" t="s">
        <v>7474</v>
      </c>
      <c r="C1439" s="1" t="n">
        <v>7</v>
      </c>
      <c r="D1439" s="1" t="n">
        <v>14</v>
      </c>
      <c r="E1439" s="1" t="n">
        <v>31</v>
      </c>
      <c r="F1439" s="1" t="n">
        <v>33</v>
      </c>
      <c r="G1439" s="1" t="n">
        <v>36</v>
      </c>
      <c r="H1439" s="1" t="n">
        <v>49</v>
      </c>
      <c r="I1439" s="1" t="str">
        <f aca="false">RIGHT(("0"&amp;C1439),2)&amp;RIGHT(("0"&amp;D1439),2)&amp;RIGHT(("0"&amp;E1439),2)&amp;RIGHT(("0"&amp;F1439),2)&amp;RIGHT(("0"&amp;G1439),2)&amp;RIGHT(("0"&amp;H1439),2)</f>
        <v>071431333649</v>
      </c>
      <c r="J1439" s="1" t="n">
        <f aca="false">COUNTIF(I:I,I1439)</f>
        <v>1</v>
      </c>
      <c r="K1439" s="1" t="n">
        <v>2</v>
      </c>
      <c r="L1439" s="1" t="s">
        <v>5484</v>
      </c>
      <c r="M1439" s="1" t="s">
        <v>7475</v>
      </c>
      <c r="N1439" s="1" t="n">
        <v>712</v>
      </c>
      <c r="O1439" s="1" t="s">
        <v>7476</v>
      </c>
      <c r="P1439" s="1" t="n">
        <v>19524</v>
      </c>
      <c r="Q1439" s="1" t="s">
        <v>7477</v>
      </c>
      <c r="R1439" s="1" t="s">
        <v>23</v>
      </c>
      <c r="S1439" s="1" t="s">
        <v>7478</v>
      </c>
      <c r="T1439" s="1" t="s">
        <v>4256</v>
      </c>
      <c r="U1439" s="1" t="s">
        <v>7479</v>
      </c>
    </row>
    <row r="1440" customFormat="false" ht="13.8" hidden="false" customHeight="false" outlineLevel="0" collapsed="false">
      <c r="A1440" s="1" t="n">
        <v>1439</v>
      </c>
      <c r="B1440" s="2" t="s">
        <v>7480</v>
      </c>
      <c r="C1440" s="1" t="n">
        <v>2</v>
      </c>
      <c r="D1440" s="1" t="n">
        <v>34</v>
      </c>
      <c r="E1440" s="1" t="n">
        <v>35</v>
      </c>
      <c r="F1440" s="1" t="n">
        <v>42</v>
      </c>
      <c r="G1440" s="1" t="n">
        <v>43</v>
      </c>
      <c r="H1440" s="1" t="n">
        <v>55</v>
      </c>
      <c r="I1440" s="1" t="str">
        <f aca="false">RIGHT(("0"&amp;C1440),2)&amp;RIGHT(("0"&amp;D1440),2)&amp;RIGHT(("0"&amp;E1440),2)&amp;RIGHT(("0"&amp;F1440),2)&amp;RIGHT(("0"&amp;G1440),2)&amp;RIGHT(("0"&amp;H1440),2)</f>
        <v>023435424355</v>
      </c>
      <c r="J1440" s="1" t="n">
        <f aca="false">COUNTIF(I:I,I1440)</f>
        <v>1</v>
      </c>
      <c r="K1440" s="1" t="n">
        <v>0</v>
      </c>
      <c r="M1440" s="1" t="s">
        <v>23</v>
      </c>
      <c r="N1440" s="1" t="n">
        <v>45</v>
      </c>
      <c r="O1440" s="1" t="s">
        <v>7481</v>
      </c>
      <c r="P1440" s="1" t="n">
        <v>3961</v>
      </c>
      <c r="Q1440" s="1" t="s">
        <v>7482</v>
      </c>
      <c r="R1440" s="1" t="s">
        <v>7483</v>
      </c>
      <c r="S1440" s="1" t="s">
        <v>7484</v>
      </c>
      <c r="T1440" s="1" t="s">
        <v>4718</v>
      </c>
      <c r="U1440" s="1" t="s">
        <v>7485</v>
      </c>
    </row>
    <row r="1441" customFormat="false" ht="13.8" hidden="false" customHeight="false" outlineLevel="0" collapsed="false">
      <c r="A1441" s="1" t="n">
        <v>1440</v>
      </c>
      <c r="B1441" s="2" t="s">
        <v>7486</v>
      </c>
      <c r="C1441" s="1" t="n">
        <v>2</v>
      </c>
      <c r="D1441" s="1" t="n">
        <v>6</v>
      </c>
      <c r="E1441" s="1" t="n">
        <v>28</v>
      </c>
      <c r="F1441" s="1" t="n">
        <v>36</v>
      </c>
      <c r="G1441" s="1" t="n">
        <v>51</v>
      </c>
      <c r="H1441" s="1" t="n">
        <v>56</v>
      </c>
      <c r="I1441" s="1" t="str">
        <f aca="false">RIGHT(("0"&amp;C1441),2)&amp;RIGHT(("0"&amp;D1441),2)&amp;RIGHT(("0"&amp;E1441),2)&amp;RIGHT(("0"&amp;F1441),2)&amp;RIGHT(("0"&amp;G1441),2)&amp;RIGHT(("0"&amp;H1441),2)</f>
        <v>020628365156</v>
      </c>
      <c r="J1441" s="1" t="n">
        <f aca="false">COUNTIF(I:I,I1441)</f>
        <v>1</v>
      </c>
      <c r="K1441" s="1" t="n">
        <v>1</v>
      </c>
      <c r="L1441" s="1" t="s">
        <v>7487</v>
      </c>
      <c r="M1441" s="1" t="s">
        <v>7488</v>
      </c>
      <c r="N1441" s="1" t="n">
        <v>148</v>
      </c>
      <c r="O1441" s="1" t="s">
        <v>7489</v>
      </c>
      <c r="P1441" s="1" t="n">
        <v>11068</v>
      </c>
      <c r="Q1441" s="1" t="s">
        <v>7490</v>
      </c>
      <c r="R1441" s="1" t="s">
        <v>23</v>
      </c>
      <c r="S1441" s="1" t="s">
        <v>7491</v>
      </c>
      <c r="T1441" s="1" t="s">
        <v>4732</v>
      </c>
      <c r="U1441" s="1" t="s">
        <v>7492</v>
      </c>
    </row>
    <row r="1442" customFormat="false" ht="13.8" hidden="false" customHeight="false" outlineLevel="0" collapsed="false">
      <c r="A1442" s="1" t="n">
        <v>1441</v>
      </c>
      <c r="B1442" s="2" t="s">
        <v>7493</v>
      </c>
      <c r="C1442" s="1" t="n">
        <v>17</v>
      </c>
      <c r="D1442" s="1" t="n">
        <v>29</v>
      </c>
      <c r="E1442" s="1" t="n">
        <v>36</v>
      </c>
      <c r="F1442" s="1" t="n">
        <v>38</v>
      </c>
      <c r="G1442" s="1" t="n">
        <v>53</v>
      </c>
      <c r="H1442" s="1" t="n">
        <v>56</v>
      </c>
      <c r="I1442" s="1" t="str">
        <f aca="false">RIGHT(("0"&amp;C1442),2)&amp;RIGHT(("0"&amp;D1442),2)&amp;RIGHT(("0"&amp;E1442),2)&amp;RIGHT(("0"&amp;F1442),2)&amp;RIGHT(("0"&amp;G1442),2)&amp;RIGHT(("0"&amp;H1442),2)</f>
        <v>172936385356</v>
      </c>
      <c r="J1442" s="1" t="n">
        <f aca="false">COUNTIF(I:I,I1442)</f>
        <v>1</v>
      </c>
      <c r="K1442" s="1" t="n">
        <v>0</v>
      </c>
      <c r="M1442" s="1" t="s">
        <v>23</v>
      </c>
      <c r="N1442" s="1" t="n">
        <v>66</v>
      </c>
      <c r="O1442" s="1" t="s">
        <v>7494</v>
      </c>
      <c r="P1442" s="1" t="n">
        <v>5471</v>
      </c>
      <c r="Q1442" s="1" t="s">
        <v>7495</v>
      </c>
      <c r="R1442" s="1" t="s">
        <v>7496</v>
      </c>
      <c r="S1442" s="1" t="s">
        <v>7497</v>
      </c>
      <c r="T1442" s="1" t="s">
        <v>7498</v>
      </c>
      <c r="U1442" s="1" t="s">
        <v>7499</v>
      </c>
    </row>
    <row r="1443" customFormat="false" ht="13.8" hidden="false" customHeight="false" outlineLevel="0" collapsed="false">
      <c r="A1443" s="1" t="n">
        <v>1442</v>
      </c>
      <c r="B1443" s="2" t="s">
        <v>7500</v>
      </c>
      <c r="C1443" s="1" t="n">
        <v>12</v>
      </c>
      <c r="D1443" s="1" t="n">
        <v>13</v>
      </c>
      <c r="E1443" s="1" t="n">
        <v>20</v>
      </c>
      <c r="F1443" s="1" t="n">
        <v>30</v>
      </c>
      <c r="G1443" s="1" t="n">
        <v>34</v>
      </c>
      <c r="H1443" s="1" t="n">
        <v>49</v>
      </c>
      <c r="I1443" s="1" t="str">
        <f aca="false">RIGHT(("0"&amp;C1443),2)&amp;RIGHT(("0"&amp;D1443),2)&amp;RIGHT(("0"&amp;E1443),2)&amp;RIGHT(("0"&amp;F1443),2)&amp;RIGHT(("0"&amp;G1443),2)&amp;RIGHT(("0"&amp;H1443),2)</f>
        <v>121320303449</v>
      </c>
      <c r="J1443" s="1" t="n">
        <f aca="false">COUNTIF(I:I,I1443)</f>
        <v>1</v>
      </c>
      <c r="K1443" s="1" t="n">
        <v>0</v>
      </c>
      <c r="M1443" s="1" t="s">
        <v>23</v>
      </c>
      <c r="N1443" s="1" t="n">
        <v>80</v>
      </c>
      <c r="O1443" s="1" t="s">
        <v>7501</v>
      </c>
      <c r="P1443" s="1" t="n">
        <v>6274</v>
      </c>
      <c r="Q1443" s="1" t="s">
        <v>7502</v>
      </c>
      <c r="R1443" s="1" t="s">
        <v>7503</v>
      </c>
      <c r="S1443" s="1" t="s">
        <v>7504</v>
      </c>
      <c r="T1443" s="1" t="s">
        <v>4461</v>
      </c>
      <c r="U1443" s="1" t="s">
        <v>7505</v>
      </c>
    </row>
    <row r="1444" customFormat="false" ht="13.8" hidden="false" customHeight="false" outlineLevel="0" collapsed="false">
      <c r="A1444" s="1" t="n">
        <v>1443</v>
      </c>
      <c r="B1444" s="2" t="s">
        <v>7506</v>
      </c>
      <c r="C1444" s="1" t="n">
        <v>12</v>
      </c>
      <c r="D1444" s="1" t="n">
        <v>20</v>
      </c>
      <c r="E1444" s="1" t="n">
        <v>32</v>
      </c>
      <c r="F1444" s="1" t="n">
        <v>48</v>
      </c>
      <c r="G1444" s="1" t="n">
        <v>52</v>
      </c>
      <c r="H1444" s="1" t="n">
        <v>54</v>
      </c>
      <c r="I1444" s="1" t="str">
        <f aca="false">RIGHT(("0"&amp;C1444),2)&amp;RIGHT(("0"&amp;D1444),2)&amp;RIGHT(("0"&amp;E1444),2)&amp;RIGHT(("0"&amp;F1444),2)&amp;RIGHT(("0"&amp;G1444),2)&amp;RIGHT(("0"&amp;H1444),2)</f>
        <v>122032485254</v>
      </c>
      <c r="J1444" s="1" t="n">
        <f aca="false">COUNTIF(I:I,I1444)</f>
        <v>1</v>
      </c>
      <c r="K1444" s="1" t="n">
        <v>0</v>
      </c>
      <c r="M1444" s="1" t="s">
        <v>23</v>
      </c>
      <c r="N1444" s="1" t="n">
        <v>72</v>
      </c>
      <c r="O1444" s="1" t="s">
        <v>7507</v>
      </c>
      <c r="P1444" s="1" t="n">
        <v>5984</v>
      </c>
      <c r="Q1444" s="1" t="s">
        <v>7508</v>
      </c>
      <c r="R1444" s="1" t="s">
        <v>7509</v>
      </c>
      <c r="S1444" s="1" t="s">
        <v>7510</v>
      </c>
      <c r="T1444" s="1" t="s">
        <v>3602</v>
      </c>
      <c r="U1444" s="1" t="s">
        <v>7511</v>
      </c>
    </row>
    <row r="1445" customFormat="false" ht="13.8" hidden="false" customHeight="false" outlineLevel="0" collapsed="false">
      <c r="A1445" s="1" t="n">
        <v>1444</v>
      </c>
      <c r="B1445" s="2" t="s">
        <v>7512</v>
      </c>
      <c r="C1445" s="1" t="n">
        <v>2</v>
      </c>
      <c r="D1445" s="1" t="n">
        <v>5</v>
      </c>
      <c r="E1445" s="1" t="n">
        <v>27</v>
      </c>
      <c r="F1445" s="1" t="n">
        <v>28</v>
      </c>
      <c r="G1445" s="1" t="n">
        <v>48</v>
      </c>
      <c r="H1445" s="1" t="n">
        <v>55</v>
      </c>
      <c r="I1445" s="1" t="str">
        <f aca="false">RIGHT(("0"&amp;C1445),2)&amp;RIGHT(("0"&amp;D1445),2)&amp;RIGHT(("0"&amp;E1445),2)&amp;RIGHT(("0"&amp;F1445),2)&amp;RIGHT(("0"&amp;G1445),2)&amp;RIGHT(("0"&amp;H1445),2)</f>
        <v>020527284855</v>
      </c>
      <c r="J1445" s="1" t="n">
        <f aca="false">COUNTIF(I:I,I1445)</f>
        <v>1</v>
      </c>
      <c r="K1445" s="1" t="n">
        <v>0</v>
      </c>
      <c r="M1445" s="1" t="s">
        <v>23</v>
      </c>
      <c r="N1445" s="1" t="n">
        <v>175</v>
      </c>
      <c r="O1445" s="1" t="s">
        <v>7513</v>
      </c>
      <c r="P1445" s="1" t="n">
        <v>11165</v>
      </c>
      <c r="Q1445" s="1" t="s">
        <v>7514</v>
      </c>
      <c r="R1445" s="1" t="s">
        <v>7515</v>
      </c>
      <c r="S1445" s="1" t="s">
        <v>7516</v>
      </c>
      <c r="T1445" s="1" t="s">
        <v>4935</v>
      </c>
      <c r="U1445" s="1" t="s">
        <v>7517</v>
      </c>
    </row>
    <row r="1446" customFormat="false" ht="13.8" hidden="false" customHeight="false" outlineLevel="0" collapsed="false">
      <c r="A1446" s="1" t="n">
        <v>1445</v>
      </c>
      <c r="B1446" s="2" t="s">
        <v>7518</v>
      </c>
      <c r="C1446" s="1" t="n">
        <v>5</v>
      </c>
      <c r="D1446" s="1" t="n">
        <v>19</v>
      </c>
      <c r="E1446" s="1" t="n">
        <v>32</v>
      </c>
      <c r="F1446" s="1" t="n">
        <v>41</v>
      </c>
      <c r="G1446" s="1" t="n">
        <v>49</v>
      </c>
      <c r="H1446" s="1" t="n">
        <v>58</v>
      </c>
      <c r="I1446" s="1" t="str">
        <f aca="false">RIGHT(("0"&amp;C1446),2)&amp;RIGHT(("0"&amp;D1446),2)&amp;RIGHT(("0"&amp;E1446),2)&amp;RIGHT(("0"&amp;F1446),2)&amp;RIGHT(("0"&amp;G1446),2)&amp;RIGHT(("0"&amp;H1446),2)</f>
        <v>051932414958</v>
      </c>
      <c r="J1446" s="1" t="n">
        <f aca="false">COUNTIF(I:I,I1446)</f>
        <v>1</v>
      </c>
      <c r="K1446" s="1" t="n">
        <v>1</v>
      </c>
      <c r="L1446" s="1" t="s">
        <v>7519</v>
      </c>
      <c r="M1446" s="1" t="s">
        <v>7520</v>
      </c>
      <c r="N1446" s="1" t="n">
        <v>133</v>
      </c>
      <c r="O1446" s="1" t="s">
        <v>7521</v>
      </c>
      <c r="P1446" s="1" t="n">
        <v>10497</v>
      </c>
      <c r="Q1446" s="1" t="s">
        <v>7522</v>
      </c>
      <c r="R1446" s="1" t="s">
        <v>23</v>
      </c>
      <c r="S1446" s="1" t="s">
        <v>7523</v>
      </c>
      <c r="T1446" s="1" t="s">
        <v>4256</v>
      </c>
      <c r="U1446" s="1" t="s">
        <v>7524</v>
      </c>
    </row>
    <row r="1447" customFormat="false" ht="13.8" hidden="false" customHeight="false" outlineLevel="0" collapsed="false">
      <c r="A1447" s="1" t="n">
        <v>1446</v>
      </c>
      <c r="B1447" s="2" t="s">
        <v>7525</v>
      </c>
      <c r="C1447" s="1" t="n">
        <v>6</v>
      </c>
      <c r="D1447" s="1" t="n">
        <v>13</v>
      </c>
      <c r="E1447" s="1" t="n">
        <v>24</v>
      </c>
      <c r="F1447" s="1" t="n">
        <v>32</v>
      </c>
      <c r="G1447" s="1" t="n">
        <v>40</v>
      </c>
      <c r="H1447" s="1" t="n">
        <v>51</v>
      </c>
      <c r="I1447" s="1" t="str">
        <f aca="false">RIGHT(("0"&amp;C1447),2)&amp;RIGHT(("0"&amp;D1447),2)&amp;RIGHT(("0"&amp;E1447),2)&amp;RIGHT(("0"&amp;F1447),2)&amp;RIGHT(("0"&amp;G1447),2)&amp;RIGHT(("0"&amp;H1447),2)</f>
        <v>061324324051</v>
      </c>
      <c r="J1447" s="1" t="n">
        <f aca="false">COUNTIF(I:I,I1447)</f>
        <v>1</v>
      </c>
      <c r="K1447" s="1" t="n">
        <v>1</v>
      </c>
      <c r="L1447" s="1" t="s">
        <v>7526</v>
      </c>
      <c r="M1447" s="1" t="s">
        <v>7527</v>
      </c>
      <c r="N1447" s="1" t="n">
        <v>87</v>
      </c>
      <c r="O1447" s="1" t="s">
        <v>7528</v>
      </c>
      <c r="P1447" s="1" t="n">
        <v>5521</v>
      </c>
      <c r="Q1447" s="1" t="s">
        <v>7529</v>
      </c>
      <c r="R1447" s="1" t="s">
        <v>23</v>
      </c>
      <c r="S1447" s="1" t="s">
        <v>7530</v>
      </c>
      <c r="T1447" s="1" t="s">
        <v>4256</v>
      </c>
      <c r="U1447" s="1" t="s">
        <v>7531</v>
      </c>
    </row>
    <row r="1448" customFormat="false" ht="13.8" hidden="false" customHeight="false" outlineLevel="0" collapsed="false">
      <c r="A1448" s="1" t="n">
        <v>1447</v>
      </c>
      <c r="B1448" s="2" t="s">
        <v>7532</v>
      </c>
      <c r="C1448" s="1" t="n">
        <v>1</v>
      </c>
      <c r="D1448" s="1" t="n">
        <v>19</v>
      </c>
      <c r="E1448" s="1" t="n">
        <v>28</v>
      </c>
      <c r="F1448" s="1" t="n">
        <v>33</v>
      </c>
      <c r="G1448" s="1" t="n">
        <v>39</v>
      </c>
      <c r="H1448" s="1" t="n">
        <v>41</v>
      </c>
      <c r="I1448" s="1" t="str">
        <f aca="false">RIGHT(("0"&amp;C1448),2)&amp;RIGHT(("0"&amp;D1448),2)&amp;RIGHT(("0"&amp;E1448),2)&amp;RIGHT(("0"&amp;F1448),2)&amp;RIGHT(("0"&amp;G1448),2)&amp;RIGHT(("0"&amp;H1448),2)</f>
        <v>011928333941</v>
      </c>
      <c r="J1448" s="1" t="n">
        <f aca="false">COUNTIF(I:I,I1448)</f>
        <v>1</v>
      </c>
      <c r="K1448" s="1" t="n">
        <v>0</v>
      </c>
      <c r="M1448" s="1" t="s">
        <v>23</v>
      </c>
      <c r="N1448" s="1" t="n">
        <v>51</v>
      </c>
      <c r="O1448" s="1" t="s">
        <v>7533</v>
      </c>
      <c r="P1448" s="1" t="n">
        <v>4339</v>
      </c>
      <c r="Q1448" s="1" t="s">
        <v>7534</v>
      </c>
      <c r="R1448" s="1" t="s">
        <v>7535</v>
      </c>
      <c r="S1448" s="1" t="s">
        <v>7536</v>
      </c>
      <c r="T1448" s="1" t="s">
        <v>4342</v>
      </c>
      <c r="U1448" s="1" t="s">
        <v>7537</v>
      </c>
    </row>
    <row r="1449" customFormat="false" ht="13.8" hidden="false" customHeight="false" outlineLevel="0" collapsed="false">
      <c r="A1449" s="1" t="n">
        <v>1448</v>
      </c>
      <c r="B1449" s="2" t="s">
        <v>7538</v>
      </c>
      <c r="C1449" s="1" t="n">
        <v>1</v>
      </c>
      <c r="D1449" s="1" t="n">
        <v>25</v>
      </c>
      <c r="E1449" s="1" t="n">
        <v>29</v>
      </c>
      <c r="F1449" s="1" t="n">
        <v>36</v>
      </c>
      <c r="G1449" s="1" t="n">
        <v>56</v>
      </c>
      <c r="H1449" s="1" t="n">
        <v>60</v>
      </c>
      <c r="I1449" s="1" t="str">
        <f aca="false">RIGHT(("0"&amp;C1449),2)&amp;RIGHT(("0"&amp;D1449),2)&amp;RIGHT(("0"&amp;E1449),2)&amp;RIGHT(("0"&amp;F1449),2)&amp;RIGHT(("0"&amp;G1449),2)&amp;RIGHT(("0"&amp;H1449),2)</f>
        <v>012529365660</v>
      </c>
      <c r="J1449" s="1" t="n">
        <f aca="false">COUNTIF(I:I,I1449)</f>
        <v>1</v>
      </c>
      <c r="K1449" s="1" t="n">
        <v>0</v>
      </c>
      <c r="M1449" s="1" t="s">
        <v>23</v>
      </c>
      <c r="N1449" s="1" t="n">
        <v>83</v>
      </c>
      <c r="O1449" s="1" t="s">
        <v>7539</v>
      </c>
      <c r="P1449" s="1" t="n">
        <v>6212</v>
      </c>
      <c r="Q1449" s="1" t="s">
        <v>7540</v>
      </c>
      <c r="R1449" s="1" t="s">
        <v>7541</v>
      </c>
      <c r="S1449" s="1" t="s">
        <v>7542</v>
      </c>
      <c r="T1449" s="1" t="s">
        <v>4195</v>
      </c>
      <c r="U1449" s="1" t="s">
        <v>7543</v>
      </c>
      <c r="V1449" s="1" t="s">
        <v>6777</v>
      </c>
    </row>
    <row r="1450" customFormat="false" ht="13.8" hidden="false" customHeight="false" outlineLevel="0" collapsed="false">
      <c r="A1450" s="1" t="n">
        <v>1449</v>
      </c>
      <c r="B1450" s="2" t="s">
        <v>7544</v>
      </c>
      <c r="C1450" s="1" t="n">
        <v>2</v>
      </c>
      <c r="D1450" s="1" t="n">
        <v>6</v>
      </c>
      <c r="E1450" s="1" t="n">
        <v>18</v>
      </c>
      <c r="F1450" s="1" t="n">
        <v>30</v>
      </c>
      <c r="G1450" s="1" t="n">
        <v>52</v>
      </c>
      <c r="H1450" s="1" t="n">
        <v>56</v>
      </c>
      <c r="I1450" s="1" t="str">
        <f aca="false">RIGHT(("0"&amp;C1450),2)&amp;RIGHT(("0"&amp;D1450),2)&amp;RIGHT(("0"&amp;E1450),2)&amp;RIGHT(("0"&amp;F1450),2)&amp;RIGHT(("0"&amp;G1450),2)&amp;RIGHT(("0"&amp;H1450),2)</f>
        <v>020618305256</v>
      </c>
      <c r="J1450" s="1" t="n">
        <f aca="false">COUNTIF(I:I,I1450)</f>
        <v>1</v>
      </c>
      <c r="K1450" s="1" t="n">
        <v>0</v>
      </c>
      <c r="M1450" s="1" t="s">
        <v>23</v>
      </c>
      <c r="N1450" s="1" t="n">
        <v>116</v>
      </c>
      <c r="O1450" s="1" t="s">
        <v>7545</v>
      </c>
      <c r="P1450" s="1" t="n">
        <v>8481</v>
      </c>
      <c r="Q1450" s="1" t="s">
        <v>7546</v>
      </c>
      <c r="R1450" s="1" t="s">
        <v>7547</v>
      </c>
      <c r="S1450" s="1" t="s">
        <v>7548</v>
      </c>
      <c r="T1450" s="1" t="s">
        <v>5281</v>
      </c>
      <c r="U1450" s="1" t="s">
        <v>7549</v>
      </c>
      <c r="V1450" s="1" t="s">
        <v>6777</v>
      </c>
    </row>
    <row r="1451" customFormat="false" ht="13.8" hidden="false" customHeight="false" outlineLevel="0" collapsed="false">
      <c r="A1451" s="1" t="n">
        <v>1450</v>
      </c>
      <c r="B1451" s="2" t="s">
        <v>7550</v>
      </c>
      <c r="C1451" s="1" t="n">
        <v>26</v>
      </c>
      <c r="D1451" s="1" t="n">
        <v>27</v>
      </c>
      <c r="E1451" s="1" t="n">
        <v>31</v>
      </c>
      <c r="F1451" s="1" t="n">
        <v>38</v>
      </c>
      <c r="G1451" s="1" t="n">
        <v>44</v>
      </c>
      <c r="H1451" s="1" t="n">
        <v>45</v>
      </c>
      <c r="I1451" s="1" t="str">
        <f aca="false">RIGHT(("0"&amp;C1451),2)&amp;RIGHT(("0"&amp;D1451),2)&amp;RIGHT(("0"&amp;E1451),2)&amp;RIGHT(("0"&amp;F1451),2)&amp;RIGHT(("0"&amp;G1451),2)&amp;RIGHT(("0"&amp;H1451),2)</f>
        <v>262731384445</v>
      </c>
      <c r="J1451" s="1" t="n">
        <f aca="false">COUNTIF(I:I,I1451)</f>
        <v>1</v>
      </c>
      <c r="K1451" s="1" t="n">
        <v>0</v>
      </c>
      <c r="M1451" s="1" t="s">
        <v>23</v>
      </c>
      <c r="N1451" s="1" t="n">
        <v>88</v>
      </c>
      <c r="O1451" s="1" t="s">
        <v>7551</v>
      </c>
      <c r="P1451" s="1" t="n">
        <v>7146</v>
      </c>
      <c r="Q1451" s="1" t="s">
        <v>7552</v>
      </c>
      <c r="R1451" s="1" t="s">
        <v>7553</v>
      </c>
      <c r="S1451" s="1" t="s">
        <v>7554</v>
      </c>
      <c r="T1451" s="1" t="s">
        <v>4304</v>
      </c>
      <c r="U1451" s="1" t="s">
        <v>7555</v>
      </c>
    </row>
    <row r="1452" customFormat="false" ht="13.8" hidden="false" customHeight="false" outlineLevel="0" collapsed="false">
      <c r="A1452" s="1" t="n">
        <v>1451</v>
      </c>
      <c r="B1452" s="2" t="s">
        <v>7556</v>
      </c>
      <c r="C1452" s="1" t="n">
        <v>2</v>
      </c>
      <c r="D1452" s="1" t="n">
        <v>10</v>
      </c>
      <c r="E1452" s="1" t="n">
        <v>11</v>
      </c>
      <c r="F1452" s="1" t="n">
        <v>33</v>
      </c>
      <c r="G1452" s="1" t="n">
        <v>52</v>
      </c>
      <c r="H1452" s="1" t="n">
        <v>57</v>
      </c>
      <c r="I1452" s="1" t="str">
        <f aca="false">RIGHT(("0"&amp;C1452),2)&amp;RIGHT(("0"&amp;D1452),2)&amp;RIGHT(("0"&amp;E1452),2)&amp;RIGHT(("0"&amp;F1452),2)&amp;RIGHT(("0"&amp;G1452),2)&amp;RIGHT(("0"&amp;H1452),2)</f>
        <v>021011335257</v>
      </c>
      <c r="J1452" s="1" t="n">
        <f aca="false">COUNTIF(I:I,I1452)</f>
        <v>1</v>
      </c>
      <c r="K1452" s="1" t="n">
        <v>0</v>
      </c>
      <c r="M1452" s="1" t="s">
        <v>23</v>
      </c>
      <c r="N1452" s="1" t="n">
        <v>164</v>
      </c>
      <c r="O1452" s="1" t="s">
        <v>7557</v>
      </c>
      <c r="P1452" s="1" t="n">
        <v>12868</v>
      </c>
      <c r="Q1452" s="1" t="s">
        <v>7558</v>
      </c>
      <c r="R1452" s="1" t="s">
        <v>7559</v>
      </c>
      <c r="S1452" s="1" t="s">
        <v>7560</v>
      </c>
      <c r="T1452" s="1" t="s">
        <v>4309</v>
      </c>
      <c r="U1452" s="1" t="s">
        <v>7561</v>
      </c>
    </row>
    <row r="1453" customFormat="false" ht="13.8" hidden="false" customHeight="false" outlineLevel="0" collapsed="false">
      <c r="A1453" s="1" t="n">
        <v>1452</v>
      </c>
      <c r="B1453" s="2" t="s">
        <v>7562</v>
      </c>
      <c r="C1453" s="1" t="n">
        <v>2</v>
      </c>
      <c r="D1453" s="1" t="n">
        <v>14</v>
      </c>
      <c r="E1453" s="1" t="n">
        <v>28</v>
      </c>
      <c r="F1453" s="1" t="n">
        <v>50</v>
      </c>
      <c r="G1453" s="1" t="n">
        <v>57</v>
      </c>
      <c r="H1453" s="1" t="n">
        <v>58</v>
      </c>
      <c r="I1453" s="1" t="str">
        <f aca="false">RIGHT(("0"&amp;C1453),2)&amp;RIGHT(("0"&amp;D1453),2)&amp;RIGHT(("0"&amp;E1453),2)&amp;RIGHT(("0"&amp;F1453),2)&amp;RIGHT(("0"&amp;G1453),2)&amp;RIGHT(("0"&amp;H1453),2)</f>
        <v>021428505758</v>
      </c>
      <c r="J1453" s="1" t="n">
        <f aca="false">COUNTIF(I:I,I1453)</f>
        <v>1</v>
      </c>
      <c r="K1453" s="1" t="n">
        <v>0</v>
      </c>
      <c r="M1453" s="1" t="s">
        <v>23</v>
      </c>
      <c r="N1453" s="1" t="n">
        <v>60</v>
      </c>
      <c r="O1453" s="1" t="s">
        <v>7563</v>
      </c>
      <c r="P1453" s="1" t="n">
        <v>5878</v>
      </c>
      <c r="Q1453" s="1" t="s">
        <v>7564</v>
      </c>
      <c r="R1453" s="1" t="s">
        <v>7565</v>
      </c>
      <c r="S1453" s="1" t="s">
        <v>7566</v>
      </c>
      <c r="T1453" s="1" t="s">
        <v>7567</v>
      </c>
      <c r="U1453" s="1" t="s">
        <v>7568</v>
      </c>
      <c r="V1453" s="1" t="s">
        <v>6777</v>
      </c>
    </row>
    <row r="1454" customFormat="false" ht="13.8" hidden="false" customHeight="false" outlineLevel="0" collapsed="false">
      <c r="A1454" s="1" t="n">
        <v>1453</v>
      </c>
      <c r="B1454" s="2" t="s">
        <v>7569</v>
      </c>
      <c r="C1454" s="1" t="n">
        <v>6</v>
      </c>
      <c r="D1454" s="1" t="n">
        <v>13</v>
      </c>
      <c r="E1454" s="1" t="n">
        <v>25</v>
      </c>
      <c r="F1454" s="1" t="n">
        <v>32</v>
      </c>
      <c r="G1454" s="1" t="n">
        <v>47</v>
      </c>
      <c r="H1454" s="1" t="n">
        <v>57</v>
      </c>
      <c r="I1454" s="1" t="str">
        <f aca="false">RIGHT(("0"&amp;C1454),2)&amp;RIGHT(("0"&amp;D1454),2)&amp;RIGHT(("0"&amp;E1454),2)&amp;RIGHT(("0"&amp;F1454),2)&amp;RIGHT(("0"&amp;G1454),2)&amp;RIGHT(("0"&amp;H1454),2)</f>
        <v>061325324757</v>
      </c>
      <c r="J1454" s="1" t="n">
        <f aca="false">COUNTIF(I:I,I1454)</f>
        <v>1</v>
      </c>
      <c r="K1454" s="1" t="n">
        <v>0</v>
      </c>
      <c r="M1454" s="1" t="s">
        <v>23</v>
      </c>
      <c r="N1454" s="1" t="n">
        <v>282</v>
      </c>
      <c r="O1454" s="1" t="s">
        <v>7570</v>
      </c>
      <c r="P1454" s="1" t="n">
        <v>14237</v>
      </c>
      <c r="Q1454" s="1" t="s">
        <v>7571</v>
      </c>
      <c r="R1454" s="1" t="s">
        <v>7572</v>
      </c>
      <c r="S1454" s="1" t="s">
        <v>7573</v>
      </c>
      <c r="T1454" s="1" t="s">
        <v>7574</v>
      </c>
      <c r="U1454" s="1" t="s">
        <v>7575</v>
      </c>
    </row>
    <row r="1455" customFormat="false" ht="13.8" hidden="false" customHeight="false" outlineLevel="0" collapsed="false">
      <c r="A1455" s="1" t="n">
        <v>1454</v>
      </c>
      <c r="B1455" s="2" t="s">
        <v>7576</v>
      </c>
      <c r="C1455" s="1" t="n">
        <v>4</v>
      </c>
      <c r="D1455" s="1" t="n">
        <v>27</v>
      </c>
      <c r="E1455" s="1" t="n">
        <v>29</v>
      </c>
      <c r="F1455" s="1" t="n">
        <v>41</v>
      </c>
      <c r="G1455" s="1" t="n">
        <v>48</v>
      </c>
      <c r="H1455" s="1" t="n">
        <v>52</v>
      </c>
      <c r="I1455" s="1" t="str">
        <f aca="false">RIGHT(("0"&amp;C1455),2)&amp;RIGHT(("0"&amp;D1455),2)&amp;RIGHT(("0"&amp;E1455),2)&amp;RIGHT(("0"&amp;F1455),2)&amp;RIGHT(("0"&amp;G1455),2)&amp;RIGHT(("0"&amp;H1455),2)</f>
        <v>042729414852</v>
      </c>
      <c r="J1455" s="1" t="n">
        <f aca="false">COUNTIF(I:I,I1455)</f>
        <v>1</v>
      </c>
      <c r="K1455" s="1" t="n">
        <v>0</v>
      </c>
      <c r="M1455" s="1" t="s">
        <v>23</v>
      </c>
      <c r="N1455" s="1" t="n">
        <v>144</v>
      </c>
      <c r="O1455" s="1" t="s">
        <v>7577</v>
      </c>
      <c r="P1455" s="1" t="n">
        <v>11007</v>
      </c>
      <c r="Q1455" s="1" t="s">
        <v>7578</v>
      </c>
      <c r="R1455" s="1" t="s">
        <v>7579</v>
      </c>
      <c r="S1455" s="1" t="s">
        <v>7580</v>
      </c>
      <c r="T1455" s="1" t="s">
        <v>7581</v>
      </c>
      <c r="U1455" s="1" t="s">
        <v>7579</v>
      </c>
      <c r="V1455" s="1" t="s">
        <v>6777</v>
      </c>
    </row>
    <row r="1456" customFormat="false" ht="13.8" hidden="false" customHeight="false" outlineLevel="0" collapsed="false">
      <c r="A1456" s="1" t="n">
        <v>1455</v>
      </c>
      <c r="B1456" s="2" t="s">
        <v>7582</v>
      </c>
      <c r="C1456" s="1" t="n">
        <v>14</v>
      </c>
      <c r="D1456" s="1" t="n">
        <v>32</v>
      </c>
      <c r="E1456" s="1" t="n">
        <v>33</v>
      </c>
      <c r="F1456" s="1" t="n">
        <v>36</v>
      </c>
      <c r="G1456" s="1" t="n">
        <v>41</v>
      </c>
      <c r="H1456" s="1" t="n">
        <v>52</v>
      </c>
      <c r="I1456" s="1" t="str">
        <f aca="false">RIGHT(("0"&amp;C1456),2)&amp;RIGHT(("0"&amp;D1456),2)&amp;RIGHT(("0"&amp;E1456),2)&amp;RIGHT(("0"&amp;F1456),2)&amp;RIGHT(("0"&amp;G1456),2)&amp;RIGHT(("0"&amp;H1456),2)</f>
        <v>143233364152</v>
      </c>
      <c r="J1456" s="1" t="n">
        <f aca="false">COUNTIF(I:I,I1456)</f>
        <v>1</v>
      </c>
      <c r="K1456" s="1" t="n">
        <v>3</v>
      </c>
      <c r="L1456" s="1" t="s">
        <v>7583</v>
      </c>
      <c r="M1456" s="1" t="s">
        <v>7584</v>
      </c>
      <c r="N1456" s="1" t="n">
        <v>1368</v>
      </c>
      <c r="O1456" s="1" t="s">
        <v>7585</v>
      </c>
      <c r="P1456" s="1" t="n">
        <v>113258</v>
      </c>
      <c r="Q1456" s="1" t="s">
        <v>7586</v>
      </c>
      <c r="R1456" s="1" t="s">
        <v>23</v>
      </c>
      <c r="S1456" s="1" t="s">
        <v>7587</v>
      </c>
      <c r="T1456" s="1" t="s">
        <v>4256</v>
      </c>
      <c r="U1456" s="1" t="s">
        <v>23</v>
      </c>
      <c r="V1456" s="1" t="s">
        <v>6777</v>
      </c>
    </row>
    <row r="1457" customFormat="false" ht="13.8" hidden="false" customHeight="false" outlineLevel="0" collapsed="false">
      <c r="A1457" s="1" t="n">
        <v>1456</v>
      </c>
      <c r="B1457" s="2" t="s">
        <v>7588</v>
      </c>
      <c r="C1457" s="1" t="n">
        <v>6</v>
      </c>
      <c r="D1457" s="1" t="n">
        <v>8</v>
      </c>
      <c r="E1457" s="1" t="n">
        <v>14</v>
      </c>
      <c r="F1457" s="1" t="n">
        <v>26</v>
      </c>
      <c r="G1457" s="1" t="n">
        <v>36</v>
      </c>
      <c r="H1457" s="1" t="n">
        <v>40</v>
      </c>
      <c r="I1457" s="1" t="str">
        <f aca="false">RIGHT(("0"&amp;C1457),2)&amp;RIGHT(("0"&amp;D1457),2)&amp;RIGHT(("0"&amp;E1457),2)&amp;RIGHT(("0"&amp;F1457),2)&amp;RIGHT(("0"&amp;G1457),2)&amp;RIGHT(("0"&amp;H1457),2)</f>
        <v>060814263640</v>
      </c>
      <c r="J1457" s="1" t="n">
        <f aca="false">COUNTIF(I:I,I1457)</f>
        <v>1</v>
      </c>
      <c r="K1457" s="1" t="n">
        <v>0</v>
      </c>
      <c r="M1457" s="1" t="s">
        <v>23</v>
      </c>
      <c r="N1457" s="1" t="n">
        <v>24</v>
      </c>
      <c r="O1457" s="1" t="s">
        <v>7589</v>
      </c>
      <c r="P1457" s="1" t="n">
        <v>2685</v>
      </c>
      <c r="Q1457" s="1" t="s">
        <v>7590</v>
      </c>
      <c r="R1457" s="1" t="s">
        <v>7591</v>
      </c>
      <c r="S1457" s="1" t="s">
        <v>7592</v>
      </c>
      <c r="T1457" s="1" t="s">
        <v>4337</v>
      </c>
      <c r="U1457" s="1" t="s">
        <v>7593</v>
      </c>
      <c r="V1457" s="1" t="s">
        <v>6777</v>
      </c>
    </row>
    <row r="1458" customFormat="false" ht="13.8" hidden="false" customHeight="false" outlineLevel="0" collapsed="false">
      <c r="A1458" s="1" t="n">
        <v>1457</v>
      </c>
      <c r="B1458" s="2" t="s">
        <v>7594</v>
      </c>
      <c r="C1458" s="1" t="n">
        <v>15</v>
      </c>
      <c r="D1458" s="1" t="n">
        <v>16</v>
      </c>
      <c r="E1458" s="1" t="n">
        <v>34</v>
      </c>
      <c r="F1458" s="1" t="n">
        <v>42</v>
      </c>
      <c r="G1458" s="1" t="n">
        <v>46</v>
      </c>
      <c r="H1458" s="1" t="n">
        <v>59</v>
      </c>
      <c r="I1458" s="1" t="str">
        <f aca="false">RIGHT(("0"&amp;C1458),2)&amp;RIGHT(("0"&amp;D1458),2)&amp;RIGHT(("0"&amp;E1458),2)&amp;RIGHT(("0"&amp;F1458),2)&amp;RIGHT(("0"&amp;G1458),2)&amp;RIGHT(("0"&amp;H1458),2)</f>
        <v>151634424659</v>
      </c>
      <c r="J1458" s="1" t="n">
        <f aca="false">COUNTIF(I:I,I1458)</f>
        <v>1</v>
      </c>
      <c r="K1458" s="1" t="n">
        <v>0</v>
      </c>
      <c r="M1458" s="1" t="s">
        <v>23</v>
      </c>
      <c r="N1458" s="1" t="n">
        <v>96</v>
      </c>
      <c r="O1458" s="1" t="s">
        <v>7595</v>
      </c>
      <c r="P1458" s="1" t="n">
        <v>6867</v>
      </c>
      <c r="Q1458" s="1" t="s">
        <v>7596</v>
      </c>
      <c r="R1458" s="1" t="s">
        <v>7597</v>
      </c>
      <c r="S1458" s="1" t="s">
        <v>7598</v>
      </c>
      <c r="T1458" s="1" t="s">
        <v>4991</v>
      </c>
      <c r="U1458" s="1" t="s">
        <v>7599</v>
      </c>
    </row>
    <row r="1459" customFormat="false" ht="13.8" hidden="false" customHeight="false" outlineLevel="0" collapsed="false">
      <c r="A1459" s="1" t="n">
        <v>1458</v>
      </c>
      <c r="B1459" s="2" t="s">
        <v>7600</v>
      </c>
      <c r="C1459" s="1" t="n">
        <v>2</v>
      </c>
      <c r="D1459" s="1" t="n">
        <v>4</v>
      </c>
      <c r="E1459" s="1" t="n">
        <v>16</v>
      </c>
      <c r="F1459" s="1" t="n">
        <v>33</v>
      </c>
      <c r="G1459" s="1" t="n">
        <v>44</v>
      </c>
      <c r="H1459" s="1" t="n">
        <v>51</v>
      </c>
      <c r="I1459" s="1" t="str">
        <f aca="false">RIGHT(("0"&amp;C1459),2)&amp;RIGHT(("0"&amp;D1459),2)&amp;RIGHT(("0"&amp;E1459),2)&amp;RIGHT(("0"&amp;F1459),2)&amp;RIGHT(("0"&amp;G1459),2)&amp;RIGHT(("0"&amp;H1459),2)</f>
        <v>020416334451</v>
      </c>
      <c r="J1459" s="1" t="n">
        <f aca="false">COUNTIF(I:I,I1459)</f>
        <v>1</v>
      </c>
      <c r="K1459" s="1" t="n">
        <v>0</v>
      </c>
      <c r="M1459" s="1" t="s">
        <v>23</v>
      </c>
      <c r="N1459" s="1" t="n">
        <v>134</v>
      </c>
      <c r="O1459" s="1" t="s">
        <v>7601</v>
      </c>
      <c r="P1459" s="1" t="n">
        <v>9515</v>
      </c>
      <c r="Q1459" s="1" t="s">
        <v>7602</v>
      </c>
      <c r="R1459" s="1" t="s">
        <v>7603</v>
      </c>
      <c r="S1459" s="1" t="s">
        <v>7604</v>
      </c>
      <c r="T1459" s="1" t="s">
        <v>4531</v>
      </c>
      <c r="U1459" s="1" t="s">
        <v>7605</v>
      </c>
      <c r="V1459" s="1" t="s">
        <v>6777</v>
      </c>
    </row>
    <row r="1460" customFormat="false" ht="13.8" hidden="false" customHeight="false" outlineLevel="0" collapsed="false">
      <c r="A1460" s="1" t="n">
        <v>1459</v>
      </c>
      <c r="B1460" s="2" t="s">
        <v>7606</v>
      </c>
      <c r="C1460" s="1" t="n">
        <v>2</v>
      </c>
      <c r="D1460" s="1" t="n">
        <v>6</v>
      </c>
      <c r="E1460" s="1" t="n">
        <v>30</v>
      </c>
      <c r="F1460" s="1" t="n">
        <v>34</v>
      </c>
      <c r="G1460" s="1" t="n">
        <v>35</v>
      </c>
      <c r="H1460" s="1" t="n">
        <v>52</v>
      </c>
      <c r="I1460" s="1" t="str">
        <f aca="false">RIGHT(("0"&amp;C1460),2)&amp;RIGHT(("0"&amp;D1460),2)&amp;RIGHT(("0"&amp;E1460),2)&amp;RIGHT(("0"&amp;F1460),2)&amp;RIGHT(("0"&amp;G1460),2)&amp;RIGHT(("0"&amp;H1460),2)</f>
        <v>020630343552</v>
      </c>
      <c r="J1460" s="1" t="n">
        <f aca="false">COUNTIF(I:I,I1460)</f>
        <v>1</v>
      </c>
      <c r="K1460" s="1" t="n">
        <v>1</v>
      </c>
      <c r="L1460" s="1" t="s">
        <v>7607</v>
      </c>
      <c r="M1460" s="1" t="s">
        <v>7608</v>
      </c>
      <c r="N1460" s="1" t="n">
        <v>147</v>
      </c>
      <c r="O1460" s="1" t="s">
        <v>7609</v>
      </c>
      <c r="P1460" s="1" t="n">
        <v>11563</v>
      </c>
      <c r="Q1460" s="1" t="s">
        <v>7610</v>
      </c>
      <c r="R1460" s="1" t="s">
        <v>23</v>
      </c>
      <c r="S1460" s="1" t="s">
        <v>7611</v>
      </c>
      <c r="T1460" s="1" t="s">
        <v>4531</v>
      </c>
      <c r="U1460" s="1" t="s">
        <v>7612</v>
      </c>
    </row>
    <row r="1461" customFormat="false" ht="13.8" hidden="false" customHeight="false" outlineLevel="0" collapsed="false">
      <c r="A1461" s="1" t="n">
        <v>1460</v>
      </c>
      <c r="B1461" s="2" t="s">
        <v>7613</v>
      </c>
      <c r="C1461" s="1" t="n">
        <v>4</v>
      </c>
      <c r="D1461" s="1" t="n">
        <v>14</v>
      </c>
      <c r="E1461" s="1" t="n">
        <v>27</v>
      </c>
      <c r="F1461" s="1" t="n">
        <v>38</v>
      </c>
      <c r="G1461" s="1" t="n">
        <v>50</v>
      </c>
      <c r="H1461" s="1" t="n">
        <v>52</v>
      </c>
      <c r="I1461" s="1" t="str">
        <f aca="false">RIGHT(("0"&amp;C1461),2)&amp;RIGHT(("0"&amp;D1461),2)&amp;RIGHT(("0"&amp;E1461),2)&amp;RIGHT(("0"&amp;F1461),2)&amp;RIGHT(("0"&amp;G1461),2)&amp;RIGHT(("0"&amp;H1461),2)</f>
        <v>041427385052</v>
      </c>
      <c r="J1461" s="1" t="n">
        <f aca="false">COUNTIF(I:I,I1461)</f>
        <v>1</v>
      </c>
      <c r="K1461" s="1" t="n">
        <v>0</v>
      </c>
      <c r="M1461" s="1" t="s">
        <v>23</v>
      </c>
      <c r="N1461" s="1" t="n">
        <v>103</v>
      </c>
      <c r="O1461" s="1" t="s">
        <v>7614</v>
      </c>
      <c r="P1461" s="1" t="n">
        <v>7074</v>
      </c>
      <c r="Q1461" s="1" t="s">
        <v>7615</v>
      </c>
      <c r="R1461" s="1" t="s">
        <v>7616</v>
      </c>
      <c r="S1461" s="1" t="s">
        <v>7617</v>
      </c>
      <c r="T1461" s="1" t="s">
        <v>4208</v>
      </c>
      <c r="U1461" s="1" t="s">
        <v>7618</v>
      </c>
    </row>
    <row r="1462" customFormat="false" ht="13.8" hidden="false" customHeight="false" outlineLevel="0" collapsed="false">
      <c r="A1462" s="1" t="n">
        <v>1461</v>
      </c>
      <c r="B1462" s="2" t="s">
        <v>7619</v>
      </c>
      <c r="C1462" s="1" t="n">
        <v>31</v>
      </c>
      <c r="D1462" s="1" t="n">
        <v>36</v>
      </c>
      <c r="E1462" s="1" t="n">
        <v>44</v>
      </c>
      <c r="F1462" s="1" t="n">
        <v>47</v>
      </c>
      <c r="G1462" s="1" t="n">
        <v>49</v>
      </c>
      <c r="H1462" s="1" t="n">
        <v>54</v>
      </c>
      <c r="I1462" s="1" t="str">
        <f aca="false">RIGHT(("0"&amp;C1462),2)&amp;RIGHT(("0"&amp;D1462),2)&amp;RIGHT(("0"&amp;E1462),2)&amp;RIGHT(("0"&amp;F1462),2)&amp;RIGHT(("0"&amp;G1462),2)&amp;RIGHT(("0"&amp;H1462),2)</f>
        <v>313644474954</v>
      </c>
      <c r="J1462" s="1" t="n">
        <f aca="false">COUNTIF(I:I,I1462)</f>
        <v>1</v>
      </c>
      <c r="K1462" s="1" t="n">
        <v>0</v>
      </c>
      <c r="M1462" s="1" t="s">
        <v>23</v>
      </c>
      <c r="N1462" s="1" t="n">
        <v>99</v>
      </c>
      <c r="O1462" s="1" t="s">
        <v>7620</v>
      </c>
      <c r="P1462" s="1" t="n">
        <v>6683</v>
      </c>
      <c r="Q1462" s="1" t="s">
        <v>7621</v>
      </c>
      <c r="R1462" s="1" t="s">
        <v>7622</v>
      </c>
      <c r="S1462" s="1" t="s">
        <v>7623</v>
      </c>
      <c r="T1462" s="1" t="s">
        <v>4696</v>
      </c>
      <c r="U1462" s="1" t="s">
        <v>7624</v>
      </c>
    </row>
    <row r="1463" customFormat="false" ht="13.8" hidden="false" customHeight="false" outlineLevel="0" collapsed="false">
      <c r="A1463" s="1" t="n">
        <v>1462</v>
      </c>
      <c r="B1463" s="2" t="s">
        <v>7625</v>
      </c>
      <c r="C1463" s="1" t="n">
        <v>5</v>
      </c>
      <c r="D1463" s="1" t="n">
        <v>9</v>
      </c>
      <c r="E1463" s="1" t="n">
        <v>25</v>
      </c>
      <c r="F1463" s="1" t="n">
        <v>27</v>
      </c>
      <c r="G1463" s="1" t="n">
        <v>38</v>
      </c>
      <c r="H1463" s="1" t="n">
        <v>40</v>
      </c>
      <c r="I1463" s="1" t="str">
        <f aca="false">RIGHT(("0"&amp;C1463),2)&amp;RIGHT(("0"&amp;D1463),2)&amp;RIGHT(("0"&amp;E1463),2)&amp;RIGHT(("0"&amp;F1463),2)&amp;RIGHT(("0"&amp;G1463),2)&amp;RIGHT(("0"&amp;H1463),2)</f>
        <v>050925273840</v>
      </c>
      <c r="J1463" s="1" t="n">
        <f aca="false">COUNTIF(I:I,I1463)</f>
        <v>1</v>
      </c>
      <c r="K1463" s="1" t="n">
        <v>1</v>
      </c>
      <c r="L1463" s="1" t="s">
        <v>5484</v>
      </c>
      <c r="M1463" s="1" t="s">
        <v>7626</v>
      </c>
      <c r="N1463" s="1" t="n">
        <v>392</v>
      </c>
      <c r="O1463" s="1" t="s">
        <v>7627</v>
      </c>
      <c r="P1463" s="1" t="n">
        <v>12264</v>
      </c>
      <c r="Q1463" s="1" t="s">
        <v>7453</v>
      </c>
      <c r="R1463" s="1" t="s">
        <v>23</v>
      </c>
      <c r="S1463" s="1" t="s">
        <v>7628</v>
      </c>
      <c r="T1463" s="1" t="s">
        <v>4732</v>
      </c>
      <c r="U1463" s="1" t="s">
        <v>7629</v>
      </c>
      <c r="V1463" s="1" t="s">
        <v>6777</v>
      </c>
    </row>
    <row r="1464" customFormat="false" ht="13.8" hidden="false" customHeight="false" outlineLevel="0" collapsed="false">
      <c r="A1464" s="1" t="n">
        <v>1463</v>
      </c>
      <c r="B1464" s="2" t="s">
        <v>7630</v>
      </c>
      <c r="C1464" s="1" t="n">
        <v>13</v>
      </c>
      <c r="D1464" s="1" t="n">
        <v>22</v>
      </c>
      <c r="E1464" s="1" t="n">
        <v>28</v>
      </c>
      <c r="F1464" s="1" t="n">
        <v>29</v>
      </c>
      <c r="G1464" s="1" t="n">
        <v>40</v>
      </c>
      <c r="H1464" s="1" t="n">
        <v>48</v>
      </c>
      <c r="I1464" s="1" t="str">
        <f aca="false">RIGHT(("0"&amp;C1464),2)&amp;RIGHT(("0"&amp;D1464),2)&amp;RIGHT(("0"&amp;E1464),2)&amp;RIGHT(("0"&amp;F1464),2)&amp;RIGHT(("0"&amp;G1464),2)&amp;RIGHT(("0"&amp;H1464),2)</f>
        <v>132228294048</v>
      </c>
      <c r="J1464" s="1" t="n">
        <f aca="false">COUNTIF(I:I,I1464)</f>
        <v>1</v>
      </c>
      <c r="K1464" s="1" t="n">
        <v>0</v>
      </c>
      <c r="M1464" s="1" t="s">
        <v>23</v>
      </c>
      <c r="N1464" s="1" t="n">
        <v>46</v>
      </c>
      <c r="O1464" s="1" t="s">
        <v>7631</v>
      </c>
      <c r="P1464" s="1" t="n">
        <v>4520</v>
      </c>
      <c r="Q1464" s="1" t="s">
        <v>7632</v>
      </c>
      <c r="R1464" s="1" t="s">
        <v>7633</v>
      </c>
      <c r="S1464" s="1" t="s">
        <v>7634</v>
      </c>
      <c r="T1464" s="1" t="s">
        <v>4342</v>
      </c>
      <c r="U1464" s="1" t="s">
        <v>7635</v>
      </c>
    </row>
    <row r="1465" customFormat="false" ht="13.8" hidden="false" customHeight="false" outlineLevel="0" collapsed="false">
      <c r="A1465" s="1" t="n">
        <v>1464</v>
      </c>
      <c r="B1465" s="2" t="s">
        <v>7636</v>
      </c>
      <c r="C1465" s="1" t="n">
        <v>2</v>
      </c>
      <c r="D1465" s="1" t="n">
        <v>24</v>
      </c>
      <c r="E1465" s="1" t="n">
        <v>32</v>
      </c>
      <c r="F1465" s="1" t="n">
        <v>50</v>
      </c>
      <c r="G1465" s="1" t="n">
        <v>54</v>
      </c>
      <c r="H1465" s="1" t="n">
        <v>59</v>
      </c>
      <c r="I1465" s="1" t="str">
        <f aca="false">RIGHT(("0"&amp;C1465),2)&amp;RIGHT(("0"&amp;D1465),2)&amp;RIGHT(("0"&amp;E1465),2)&amp;RIGHT(("0"&amp;F1465),2)&amp;RIGHT(("0"&amp;G1465),2)&amp;RIGHT(("0"&amp;H1465),2)</f>
        <v>022432505459</v>
      </c>
      <c r="J1465" s="1" t="n">
        <f aca="false">COUNTIF(I:I,I1465)</f>
        <v>1</v>
      </c>
      <c r="K1465" s="1" t="n">
        <v>0</v>
      </c>
      <c r="M1465" s="1" t="s">
        <v>23</v>
      </c>
      <c r="N1465" s="1" t="n">
        <v>76</v>
      </c>
      <c r="O1465" s="1" t="s">
        <v>7637</v>
      </c>
      <c r="P1465" s="1" t="n">
        <v>5570</v>
      </c>
      <c r="Q1465" s="1" t="s">
        <v>7638</v>
      </c>
      <c r="R1465" s="1" t="s">
        <v>7639</v>
      </c>
      <c r="S1465" s="1" t="s">
        <v>7640</v>
      </c>
      <c r="T1465" s="1" t="s">
        <v>4718</v>
      </c>
      <c r="U1465" s="1" t="s">
        <v>7641</v>
      </c>
    </row>
    <row r="1466" customFormat="false" ht="13.8" hidden="false" customHeight="false" outlineLevel="0" collapsed="false">
      <c r="A1466" s="1" t="n">
        <v>1465</v>
      </c>
      <c r="B1466" s="2" t="s">
        <v>7642</v>
      </c>
      <c r="C1466" s="1" t="n">
        <v>6</v>
      </c>
      <c r="D1466" s="1" t="n">
        <v>11</v>
      </c>
      <c r="E1466" s="1" t="n">
        <v>16</v>
      </c>
      <c r="F1466" s="1" t="n">
        <v>26</v>
      </c>
      <c r="G1466" s="1" t="n">
        <v>44</v>
      </c>
      <c r="H1466" s="1" t="n">
        <v>53</v>
      </c>
      <c r="I1466" s="1" t="str">
        <f aca="false">RIGHT(("0"&amp;C1466),2)&amp;RIGHT(("0"&amp;D1466),2)&amp;RIGHT(("0"&amp;E1466),2)&amp;RIGHT(("0"&amp;F1466),2)&amp;RIGHT(("0"&amp;G1466),2)&amp;RIGHT(("0"&amp;H1466),2)</f>
        <v>061116264453</v>
      </c>
      <c r="J1466" s="1" t="n">
        <f aca="false">COUNTIF(I:I,I1466)</f>
        <v>1</v>
      </c>
      <c r="K1466" s="1" t="n">
        <v>0</v>
      </c>
      <c r="M1466" s="1" t="s">
        <v>23</v>
      </c>
      <c r="N1466" s="1" t="n">
        <v>117</v>
      </c>
      <c r="O1466" s="1" t="s">
        <v>7643</v>
      </c>
      <c r="P1466" s="1" t="n">
        <v>7939</v>
      </c>
      <c r="Q1466" s="1" t="s">
        <v>7644</v>
      </c>
      <c r="R1466" s="1" t="s">
        <v>7645</v>
      </c>
      <c r="S1466" s="1" t="s">
        <v>7646</v>
      </c>
      <c r="T1466" s="1" t="s">
        <v>3892</v>
      </c>
      <c r="U1466" s="1" t="s">
        <v>7647</v>
      </c>
    </row>
    <row r="1467" customFormat="false" ht="13.8" hidden="false" customHeight="false" outlineLevel="0" collapsed="false">
      <c r="A1467" s="1" t="n">
        <v>1466</v>
      </c>
      <c r="B1467" s="2" t="s">
        <v>7648</v>
      </c>
      <c r="C1467" s="1" t="n">
        <v>4</v>
      </c>
      <c r="D1467" s="1" t="n">
        <v>6</v>
      </c>
      <c r="E1467" s="1" t="n">
        <v>13</v>
      </c>
      <c r="F1467" s="1" t="n">
        <v>34</v>
      </c>
      <c r="G1467" s="1" t="n">
        <v>37</v>
      </c>
      <c r="H1467" s="1" t="n">
        <v>51</v>
      </c>
      <c r="I1467" s="1" t="str">
        <f aca="false">RIGHT(("0"&amp;C1467),2)&amp;RIGHT(("0"&amp;D1467),2)&amp;RIGHT(("0"&amp;E1467),2)&amp;RIGHT(("0"&amp;F1467),2)&amp;RIGHT(("0"&amp;G1467),2)&amp;RIGHT(("0"&amp;H1467),2)</f>
        <v>040613343751</v>
      </c>
      <c r="J1467" s="1" t="n">
        <f aca="false">COUNTIF(I:I,I1467)</f>
        <v>1</v>
      </c>
      <c r="K1467" s="1" t="n">
        <v>1</v>
      </c>
      <c r="L1467" s="1" t="s">
        <v>5310</v>
      </c>
      <c r="M1467" s="1" t="s">
        <v>7649</v>
      </c>
      <c r="N1467" s="1" t="n">
        <v>213</v>
      </c>
      <c r="O1467" s="1" t="s">
        <v>7650</v>
      </c>
      <c r="P1467" s="1" t="n">
        <v>15287</v>
      </c>
      <c r="Q1467" s="1" t="s">
        <v>7651</v>
      </c>
      <c r="R1467" s="1" t="s">
        <v>23</v>
      </c>
      <c r="S1467" s="1" t="s">
        <v>7652</v>
      </c>
      <c r="T1467" s="1" t="s">
        <v>473</v>
      </c>
      <c r="U1467" s="1" t="s">
        <v>7653</v>
      </c>
    </row>
    <row r="1468" customFormat="false" ht="13.8" hidden="false" customHeight="false" outlineLevel="0" collapsed="false">
      <c r="A1468" s="1" t="n">
        <v>1467</v>
      </c>
      <c r="B1468" s="2" t="s">
        <v>7654</v>
      </c>
      <c r="C1468" s="1" t="n">
        <v>23</v>
      </c>
      <c r="D1468" s="1" t="n">
        <v>24</v>
      </c>
      <c r="E1468" s="1" t="n">
        <v>26</v>
      </c>
      <c r="F1468" s="1" t="n">
        <v>41</v>
      </c>
      <c r="G1468" s="1" t="n">
        <v>52</v>
      </c>
      <c r="H1468" s="1" t="n">
        <v>53</v>
      </c>
      <c r="I1468" s="1" t="str">
        <f aca="false">RIGHT(("0"&amp;C1468),2)&amp;RIGHT(("0"&amp;D1468),2)&amp;RIGHT(("0"&amp;E1468),2)&amp;RIGHT(("0"&amp;F1468),2)&amp;RIGHT(("0"&amp;G1468),2)&amp;RIGHT(("0"&amp;H1468),2)</f>
        <v>232426415253</v>
      </c>
      <c r="J1468" s="1" t="n">
        <f aca="false">COUNTIF(I:I,I1468)</f>
        <v>1</v>
      </c>
      <c r="K1468" s="1" t="n">
        <v>1</v>
      </c>
      <c r="L1468" s="1" t="s">
        <v>7655</v>
      </c>
      <c r="M1468" s="1" t="s">
        <v>7656</v>
      </c>
      <c r="N1468" s="1" t="n">
        <v>75</v>
      </c>
      <c r="O1468" s="1" t="s">
        <v>7657</v>
      </c>
      <c r="P1468" s="1" t="n">
        <v>3925</v>
      </c>
      <c r="Q1468" s="1" t="s">
        <v>7658</v>
      </c>
      <c r="R1468" s="1" t="s">
        <v>23</v>
      </c>
      <c r="S1468" s="1" t="s">
        <v>7659</v>
      </c>
      <c r="T1468" s="1" t="s">
        <v>4218</v>
      </c>
      <c r="U1468" s="1" t="s">
        <v>7660</v>
      </c>
    </row>
    <row r="1469" customFormat="false" ht="13.8" hidden="false" customHeight="false" outlineLevel="0" collapsed="false">
      <c r="A1469" s="1" t="n">
        <v>1468</v>
      </c>
      <c r="B1469" s="2" t="s">
        <v>7661</v>
      </c>
      <c r="C1469" s="1" t="n">
        <v>1</v>
      </c>
      <c r="D1469" s="1" t="n">
        <v>2</v>
      </c>
      <c r="E1469" s="1" t="n">
        <v>10</v>
      </c>
      <c r="F1469" s="1" t="n">
        <v>19</v>
      </c>
      <c r="G1469" s="1" t="n">
        <v>20</v>
      </c>
      <c r="H1469" s="1" t="n">
        <v>37</v>
      </c>
      <c r="I1469" s="1" t="str">
        <f aca="false">RIGHT(("0"&amp;C1469),2)&amp;RIGHT(("0"&amp;D1469),2)&amp;RIGHT(("0"&amp;E1469),2)&amp;RIGHT(("0"&amp;F1469),2)&amp;RIGHT(("0"&amp;G1469),2)&amp;RIGHT(("0"&amp;H1469),2)</f>
        <v>010210192037</v>
      </c>
      <c r="J1469" s="1" t="n">
        <f aca="false">COUNTIF(I:I,I1469)</f>
        <v>1</v>
      </c>
      <c r="K1469" s="1" t="n">
        <v>1</v>
      </c>
      <c r="L1469" s="1" t="s">
        <v>7662</v>
      </c>
      <c r="M1469" s="1" t="s">
        <v>7663</v>
      </c>
      <c r="N1469" s="1" t="n">
        <v>179</v>
      </c>
      <c r="O1469" s="1" t="s">
        <v>7664</v>
      </c>
      <c r="P1469" s="1" t="n">
        <v>6493</v>
      </c>
      <c r="Q1469" s="1" t="s">
        <v>7665</v>
      </c>
      <c r="R1469" s="1" t="s">
        <v>23</v>
      </c>
      <c r="S1469" s="1" t="s">
        <v>7666</v>
      </c>
      <c r="T1469" s="1" t="s">
        <v>4732</v>
      </c>
      <c r="U1469" s="1" t="s">
        <v>7667</v>
      </c>
      <c r="V1469" s="1" t="s">
        <v>6777</v>
      </c>
    </row>
    <row r="1470" customFormat="false" ht="13.8" hidden="false" customHeight="false" outlineLevel="0" collapsed="false">
      <c r="A1470" s="1" t="n">
        <v>1469</v>
      </c>
      <c r="B1470" s="2" t="s">
        <v>7668</v>
      </c>
      <c r="C1470" s="1" t="n">
        <v>4</v>
      </c>
      <c r="D1470" s="1" t="n">
        <v>13</v>
      </c>
      <c r="E1470" s="1" t="n">
        <v>35</v>
      </c>
      <c r="F1470" s="1" t="n">
        <v>54</v>
      </c>
      <c r="G1470" s="1" t="n">
        <v>56</v>
      </c>
      <c r="H1470" s="1" t="n">
        <v>58</v>
      </c>
      <c r="I1470" s="1" t="str">
        <f aca="false">RIGHT(("0"&amp;C1470),2)&amp;RIGHT(("0"&amp;D1470),2)&amp;RIGHT(("0"&amp;E1470),2)&amp;RIGHT(("0"&amp;F1470),2)&amp;RIGHT(("0"&amp;G1470),2)&amp;RIGHT(("0"&amp;H1470),2)</f>
        <v>041335545658</v>
      </c>
      <c r="J1470" s="1" t="n">
        <f aca="false">COUNTIF(I:I,I1470)</f>
        <v>1</v>
      </c>
      <c r="K1470" s="1" t="n">
        <v>0</v>
      </c>
      <c r="M1470" s="1" t="s">
        <v>23</v>
      </c>
      <c r="N1470" s="1" t="n">
        <v>105</v>
      </c>
      <c r="O1470" s="1" t="s">
        <v>7669</v>
      </c>
      <c r="P1470" s="1" t="n">
        <v>6920</v>
      </c>
      <c r="Q1470" s="1" t="s">
        <v>7670</v>
      </c>
      <c r="R1470" s="1" t="s">
        <v>7671</v>
      </c>
      <c r="S1470" s="1" t="s">
        <v>7672</v>
      </c>
      <c r="T1470" s="1" t="s">
        <v>4691</v>
      </c>
      <c r="U1470" s="1" t="s">
        <v>7673</v>
      </c>
    </row>
    <row r="1471" customFormat="false" ht="13.8" hidden="false" customHeight="false" outlineLevel="0" collapsed="false">
      <c r="A1471" s="1" t="n">
        <v>1470</v>
      </c>
      <c r="B1471" s="2" t="s">
        <v>7674</v>
      </c>
      <c r="C1471" s="1" t="n">
        <v>2</v>
      </c>
      <c r="D1471" s="1" t="n">
        <v>34</v>
      </c>
      <c r="E1471" s="1" t="n">
        <v>36</v>
      </c>
      <c r="F1471" s="1" t="n">
        <v>38</v>
      </c>
      <c r="G1471" s="1" t="n">
        <v>51</v>
      </c>
      <c r="H1471" s="1" t="n">
        <v>55</v>
      </c>
      <c r="I1471" s="1" t="str">
        <f aca="false">RIGHT(("0"&amp;C1471),2)&amp;RIGHT(("0"&amp;D1471),2)&amp;RIGHT(("0"&amp;E1471),2)&amp;RIGHT(("0"&amp;F1471),2)&amp;RIGHT(("0"&amp;G1471),2)&amp;RIGHT(("0"&amp;H1471),2)</f>
        <v>023436385155</v>
      </c>
      <c r="J1471" s="1" t="n">
        <f aca="false">COUNTIF(I:I,I1471)</f>
        <v>1</v>
      </c>
      <c r="K1471" s="1" t="n">
        <v>2</v>
      </c>
      <c r="L1471" s="1" t="s">
        <v>7675</v>
      </c>
      <c r="M1471" s="1" t="s">
        <v>7676</v>
      </c>
      <c r="N1471" s="1" t="n">
        <v>172</v>
      </c>
      <c r="O1471" s="1" t="s">
        <v>7677</v>
      </c>
      <c r="P1471" s="1" t="n">
        <v>9203</v>
      </c>
      <c r="Q1471" s="1" t="s">
        <v>7678</v>
      </c>
      <c r="R1471" s="1" t="s">
        <v>23</v>
      </c>
      <c r="S1471" s="1" t="s">
        <v>7679</v>
      </c>
      <c r="T1471" s="1" t="s">
        <v>473</v>
      </c>
      <c r="U1471" s="1" t="s">
        <v>7680</v>
      </c>
      <c r="V1471" s="1" t="s">
        <v>6777</v>
      </c>
    </row>
    <row r="1472" customFormat="false" ht="13.8" hidden="false" customHeight="false" outlineLevel="0" collapsed="false">
      <c r="A1472" s="1" t="n">
        <v>1471</v>
      </c>
      <c r="B1472" s="2" t="s">
        <v>7681</v>
      </c>
      <c r="C1472" s="1" t="n">
        <v>10</v>
      </c>
      <c r="D1472" s="1" t="n">
        <v>25</v>
      </c>
      <c r="E1472" s="1" t="n">
        <v>33</v>
      </c>
      <c r="F1472" s="1" t="n">
        <v>36</v>
      </c>
      <c r="G1472" s="1" t="n">
        <v>40</v>
      </c>
      <c r="H1472" s="1" t="n">
        <v>58</v>
      </c>
      <c r="I1472" s="1" t="str">
        <f aca="false">RIGHT(("0"&amp;C1472),2)&amp;RIGHT(("0"&amp;D1472),2)&amp;RIGHT(("0"&amp;E1472),2)&amp;RIGHT(("0"&amp;F1472),2)&amp;RIGHT(("0"&amp;G1472),2)&amp;RIGHT(("0"&amp;H1472),2)</f>
        <v>102533364058</v>
      </c>
      <c r="J1472" s="1" t="n">
        <f aca="false">COUNTIF(I:I,I1472)</f>
        <v>1</v>
      </c>
      <c r="K1472" s="1" t="n">
        <v>0</v>
      </c>
      <c r="M1472" s="1" t="s">
        <v>23</v>
      </c>
      <c r="N1472" s="1" t="n">
        <v>92</v>
      </c>
      <c r="O1472" s="1" t="s">
        <v>7682</v>
      </c>
      <c r="P1472" s="1" t="n">
        <v>5159</v>
      </c>
      <c r="Q1472" s="1" t="s">
        <v>7683</v>
      </c>
      <c r="R1472" s="1" t="s">
        <v>7684</v>
      </c>
      <c r="S1472" s="1" t="s">
        <v>7685</v>
      </c>
      <c r="T1472" s="1" t="s">
        <v>5931</v>
      </c>
      <c r="U1472" s="1" t="s">
        <v>7686</v>
      </c>
    </row>
    <row r="1473" customFormat="false" ht="13.8" hidden="false" customHeight="false" outlineLevel="0" collapsed="false">
      <c r="A1473" s="1" t="n">
        <v>1472</v>
      </c>
      <c r="B1473" s="2" t="s">
        <v>7687</v>
      </c>
      <c r="C1473" s="1" t="n">
        <v>12</v>
      </c>
      <c r="D1473" s="1" t="n">
        <v>18</v>
      </c>
      <c r="E1473" s="1" t="n">
        <v>23</v>
      </c>
      <c r="F1473" s="1" t="n">
        <v>25</v>
      </c>
      <c r="G1473" s="1" t="n">
        <v>45</v>
      </c>
      <c r="H1473" s="1" t="n">
        <v>50</v>
      </c>
      <c r="I1473" s="1" t="str">
        <f aca="false">RIGHT(("0"&amp;C1473),2)&amp;RIGHT(("0"&amp;D1473),2)&amp;RIGHT(("0"&amp;E1473),2)&amp;RIGHT(("0"&amp;F1473),2)&amp;RIGHT(("0"&amp;G1473),2)&amp;RIGHT(("0"&amp;H1473),2)</f>
        <v>121823254550</v>
      </c>
      <c r="J1473" s="1" t="n">
        <f aca="false">COUNTIF(I:I,I1473)</f>
        <v>1</v>
      </c>
      <c r="K1473" s="1" t="n">
        <v>0</v>
      </c>
      <c r="M1473" s="1" t="s">
        <v>23</v>
      </c>
      <c r="N1473" s="1" t="n">
        <v>130</v>
      </c>
      <c r="O1473" s="1" t="s">
        <v>7688</v>
      </c>
      <c r="P1473" s="1" t="n">
        <v>7002</v>
      </c>
      <c r="Q1473" s="1" t="s">
        <v>7689</v>
      </c>
      <c r="R1473" s="1" t="s">
        <v>7690</v>
      </c>
      <c r="S1473" s="1" t="s">
        <v>7691</v>
      </c>
      <c r="T1473" s="1" t="s">
        <v>4195</v>
      </c>
      <c r="U1473" s="1" t="s">
        <v>7692</v>
      </c>
    </row>
    <row r="1474" customFormat="false" ht="13.8" hidden="false" customHeight="false" outlineLevel="0" collapsed="false">
      <c r="A1474" s="1" t="n">
        <v>1473</v>
      </c>
      <c r="B1474" s="2" t="s">
        <v>7693</v>
      </c>
      <c r="C1474" s="1" t="n">
        <v>2</v>
      </c>
      <c r="D1474" s="1" t="n">
        <v>12</v>
      </c>
      <c r="E1474" s="1" t="n">
        <v>33</v>
      </c>
      <c r="F1474" s="1" t="n">
        <v>57</v>
      </c>
      <c r="G1474" s="1" t="n">
        <v>58</v>
      </c>
      <c r="H1474" s="1" t="n">
        <v>60</v>
      </c>
      <c r="I1474" s="1" t="str">
        <f aca="false">RIGHT(("0"&amp;C1474),2)&amp;RIGHT(("0"&amp;D1474),2)&amp;RIGHT(("0"&amp;E1474),2)&amp;RIGHT(("0"&amp;F1474),2)&amp;RIGHT(("0"&amp;G1474),2)&amp;RIGHT(("0"&amp;H1474),2)</f>
        <v>021233575860</v>
      </c>
      <c r="J1474" s="1" t="n">
        <f aca="false">COUNTIF(I:I,I1474)</f>
        <v>1</v>
      </c>
      <c r="K1474" s="1" t="n">
        <v>0</v>
      </c>
      <c r="M1474" s="1" t="s">
        <v>23</v>
      </c>
      <c r="N1474" s="1" t="n">
        <v>121</v>
      </c>
      <c r="O1474" s="1" t="s">
        <v>7694</v>
      </c>
      <c r="P1474" s="1" t="n">
        <v>8300</v>
      </c>
      <c r="Q1474" s="1" t="s">
        <v>7695</v>
      </c>
      <c r="R1474" s="1" t="s">
        <v>7696</v>
      </c>
      <c r="S1474" s="1" t="s">
        <v>7697</v>
      </c>
      <c r="T1474" s="1" t="s">
        <v>3602</v>
      </c>
      <c r="U1474" s="1" t="s">
        <v>7698</v>
      </c>
    </row>
    <row r="1475" customFormat="false" ht="13.8" hidden="false" customHeight="false" outlineLevel="0" collapsed="false">
      <c r="A1475" s="1" t="n">
        <v>1474</v>
      </c>
      <c r="B1475" s="2" t="s">
        <v>7699</v>
      </c>
      <c r="C1475" s="1" t="n">
        <v>1</v>
      </c>
      <c r="D1475" s="1" t="n">
        <v>2</v>
      </c>
      <c r="E1475" s="1" t="n">
        <v>3</v>
      </c>
      <c r="F1475" s="1" t="n">
        <v>11</v>
      </c>
      <c r="G1475" s="1" t="n">
        <v>28</v>
      </c>
      <c r="H1475" s="1" t="n">
        <v>43</v>
      </c>
      <c r="I1475" s="1" t="str">
        <f aca="false">RIGHT(("0"&amp;C1475),2)&amp;RIGHT(("0"&amp;D1475),2)&amp;RIGHT(("0"&amp;E1475),2)&amp;RIGHT(("0"&amp;F1475),2)&amp;RIGHT(("0"&amp;G1475),2)&amp;RIGHT(("0"&amp;H1475),2)</f>
        <v>010203112843</v>
      </c>
      <c r="J1475" s="1" t="n">
        <f aca="false">COUNTIF(I:I,I1475)</f>
        <v>1</v>
      </c>
      <c r="K1475" s="1" t="n">
        <v>1</v>
      </c>
      <c r="L1475" s="1" t="s">
        <v>7700</v>
      </c>
      <c r="M1475" s="1" t="s">
        <v>7701</v>
      </c>
      <c r="N1475" s="1" t="n">
        <v>158</v>
      </c>
      <c r="O1475" s="1" t="s">
        <v>7702</v>
      </c>
      <c r="P1475" s="1" t="n">
        <v>11838</v>
      </c>
      <c r="Q1475" s="1" t="s">
        <v>7703</v>
      </c>
      <c r="R1475" s="1" t="s">
        <v>23</v>
      </c>
      <c r="S1475" s="1" t="s">
        <v>7704</v>
      </c>
      <c r="T1475" s="1" t="s">
        <v>3928</v>
      </c>
      <c r="U1475" s="1" t="s">
        <v>7705</v>
      </c>
    </row>
    <row r="1476" customFormat="false" ht="13.8" hidden="false" customHeight="false" outlineLevel="0" collapsed="false">
      <c r="A1476" s="1" t="n">
        <v>1475</v>
      </c>
      <c r="B1476" s="2" t="s">
        <v>7706</v>
      </c>
      <c r="C1476" s="1" t="n">
        <v>12</v>
      </c>
      <c r="D1476" s="1" t="n">
        <v>13</v>
      </c>
      <c r="E1476" s="1" t="n">
        <v>37</v>
      </c>
      <c r="F1476" s="1" t="n">
        <v>44</v>
      </c>
      <c r="G1476" s="1" t="n">
        <v>48</v>
      </c>
      <c r="H1476" s="1" t="n">
        <v>51</v>
      </c>
      <c r="I1476" s="1" t="str">
        <f aca="false">RIGHT(("0"&amp;C1476),2)&amp;RIGHT(("0"&amp;D1476),2)&amp;RIGHT(("0"&amp;E1476),2)&amp;RIGHT(("0"&amp;F1476),2)&amp;RIGHT(("0"&amp;G1476),2)&amp;RIGHT(("0"&amp;H1476),2)</f>
        <v>121337444851</v>
      </c>
      <c r="J1476" s="1" t="n">
        <f aca="false">COUNTIF(I:I,I1476)</f>
        <v>1</v>
      </c>
      <c r="K1476" s="1" t="n">
        <v>1</v>
      </c>
      <c r="L1476" s="1" t="s">
        <v>7707</v>
      </c>
      <c r="M1476" s="1" t="s">
        <v>7708</v>
      </c>
      <c r="N1476" s="1" t="n">
        <v>111</v>
      </c>
      <c r="O1476" s="1" t="s">
        <v>7709</v>
      </c>
      <c r="P1476" s="1" t="n">
        <v>9065</v>
      </c>
      <c r="Q1476" s="1" t="s">
        <v>6801</v>
      </c>
      <c r="R1476" s="1" t="s">
        <v>23</v>
      </c>
      <c r="S1476" s="1" t="s">
        <v>7710</v>
      </c>
      <c r="T1476" s="1" t="s">
        <v>473</v>
      </c>
      <c r="U1476" s="1" t="s">
        <v>7711</v>
      </c>
    </row>
    <row r="1477" customFormat="false" ht="13.8" hidden="false" customHeight="false" outlineLevel="0" collapsed="false">
      <c r="A1477" s="1" t="n">
        <v>1476</v>
      </c>
      <c r="B1477" s="2" t="s">
        <v>7712</v>
      </c>
      <c r="C1477" s="1" t="n">
        <v>4</v>
      </c>
      <c r="D1477" s="1" t="n">
        <v>10</v>
      </c>
      <c r="E1477" s="1" t="n">
        <v>26</v>
      </c>
      <c r="F1477" s="1" t="n">
        <v>37</v>
      </c>
      <c r="G1477" s="1" t="n">
        <v>47</v>
      </c>
      <c r="H1477" s="1" t="n">
        <v>57</v>
      </c>
      <c r="I1477" s="1" t="str">
        <f aca="false">RIGHT(("0"&amp;C1477),2)&amp;RIGHT(("0"&amp;D1477),2)&amp;RIGHT(("0"&amp;E1477),2)&amp;RIGHT(("0"&amp;F1477),2)&amp;RIGHT(("0"&amp;G1477),2)&amp;RIGHT(("0"&amp;H1477),2)</f>
        <v>041026374757</v>
      </c>
      <c r="J1477" s="1" t="n">
        <f aca="false">COUNTIF(I:I,I1477)</f>
        <v>1</v>
      </c>
      <c r="K1477" s="1" t="n">
        <v>0</v>
      </c>
      <c r="M1477" s="1" t="s">
        <v>23</v>
      </c>
      <c r="N1477" s="1" t="n">
        <v>58</v>
      </c>
      <c r="O1477" s="1" t="s">
        <v>7713</v>
      </c>
      <c r="P1477" s="1" t="n">
        <v>4681</v>
      </c>
      <c r="Q1477" s="1" t="s">
        <v>7714</v>
      </c>
      <c r="R1477" s="1" t="s">
        <v>7715</v>
      </c>
      <c r="S1477" s="1" t="s">
        <v>7716</v>
      </c>
      <c r="T1477" s="1" t="s">
        <v>4232</v>
      </c>
      <c r="U1477" s="1" t="s">
        <v>7717</v>
      </c>
      <c r="V1477" s="1" t="s">
        <v>6777</v>
      </c>
    </row>
    <row r="1478" customFormat="false" ht="13.8" hidden="false" customHeight="false" outlineLevel="0" collapsed="false">
      <c r="A1478" s="1" t="n">
        <v>1477</v>
      </c>
      <c r="B1478" s="2" t="s">
        <v>7718</v>
      </c>
      <c r="C1478" s="1" t="n">
        <v>3</v>
      </c>
      <c r="D1478" s="1" t="n">
        <v>4</v>
      </c>
      <c r="E1478" s="1" t="n">
        <v>46</v>
      </c>
      <c r="F1478" s="1" t="n">
        <v>50</v>
      </c>
      <c r="G1478" s="1" t="n">
        <v>56</v>
      </c>
      <c r="H1478" s="1" t="n">
        <v>59</v>
      </c>
      <c r="I1478" s="1" t="str">
        <f aca="false">RIGHT(("0"&amp;C1478),2)&amp;RIGHT(("0"&amp;D1478),2)&amp;RIGHT(("0"&amp;E1478),2)&amp;RIGHT(("0"&amp;F1478),2)&amp;RIGHT(("0"&amp;G1478),2)&amp;RIGHT(("0"&amp;H1478),2)</f>
        <v>030446505659</v>
      </c>
      <c r="J1478" s="1" t="n">
        <f aca="false">COUNTIF(I:I,I1478)</f>
        <v>1</v>
      </c>
      <c r="K1478" s="1" t="n">
        <v>0</v>
      </c>
      <c r="M1478" s="1" t="s">
        <v>23</v>
      </c>
      <c r="N1478" s="1" t="n">
        <v>58</v>
      </c>
      <c r="O1478" s="1" t="s">
        <v>7719</v>
      </c>
      <c r="P1478" s="1" t="n">
        <v>4036</v>
      </c>
      <c r="Q1478" s="1" t="s">
        <v>7720</v>
      </c>
      <c r="R1478" s="1" t="s">
        <v>7721</v>
      </c>
      <c r="S1478" s="1" t="s">
        <v>7722</v>
      </c>
      <c r="T1478" s="1" t="s">
        <v>4195</v>
      </c>
      <c r="U1478" s="1" t="s">
        <v>7723</v>
      </c>
    </row>
    <row r="1479" customFormat="false" ht="13.8" hidden="false" customHeight="false" outlineLevel="0" collapsed="false">
      <c r="A1479" s="1" t="n">
        <v>1478</v>
      </c>
      <c r="B1479" s="2" t="s">
        <v>7724</v>
      </c>
      <c r="C1479" s="1" t="n">
        <v>10</v>
      </c>
      <c r="D1479" s="1" t="n">
        <v>27</v>
      </c>
      <c r="E1479" s="1" t="n">
        <v>37</v>
      </c>
      <c r="F1479" s="1" t="n">
        <v>40</v>
      </c>
      <c r="G1479" s="1" t="n">
        <v>47</v>
      </c>
      <c r="H1479" s="1" t="n">
        <v>55</v>
      </c>
      <c r="I1479" s="1" t="str">
        <f aca="false">RIGHT(("0"&amp;C1479),2)&amp;RIGHT(("0"&amp;D1479),2)&amp;RIGHT(("0"&amp;E1479),2)&amp;RIGHT(("0"&amp;F1479),2)&amp;RIGHT(("0"&amp;G1479),2)&amp;RIGHT(("0"&amp;H1479),2)</f>
        <v>102737404755</v>
      </c>
      <c r="J1479" s="1" t="n">
        <f aca="false">COUNTIF(I:I,I1479)</f>
        <v>1</v>
      </c>
      <c r="K1479" s="1" t="n">
        <v>0</v>
      </c>
      <c r="M1479" s="1" t="s">
        <v>23</v>
      </c>
      <c r="N1479" s="1" t="n">
        <v>56</v>
      </c>
      <c r="O1479" s="1" t="s">
        <v>7725</v>
      </c>
      <c r="P1479" s="1" t="n">
        <v>4924</v>
      </c>
      <c r="Q1479" s="1" t="s">
        <v>7726</v>
      </c>
      <c r="R1479" s="1" t="s">
        <v>7727</v>
      </c>
      <c r="S1479" s="1" t="s">
        <v>7728</v>
      </c>
      <c r="T1479" s="1" t="s">
        <v>3602</v>
      </c>
      <c r="U1479" s="1" t="s">
        <v>7729</v>
      </c>
      <c r="V1479" s="1" t="s">
        <v>6777</v>
      </c>
    </row>
    <row r="1480" customFormat="false" ht="13.8" hidden="false" customHeight="false" outlineLevel="0" collapsed="false">
      <c r="A1480" s="1" t="n">
        <v>1479</v>
      </c>
      <c r="B1480" s="2" t="s">
        <v>7730</v>
      </c>
      <c r="C1480" s="1" t="n">
        <v>21</v>
      </c>
      <c r="D1480" s="1" t="n">
        <v>48</v>
      </c>
      <c r="E1480" s="1" t="n">
        <v>50</v>
      </c>
      <c r="F1480" s="1" t="n">
        <v>54</v>
      </c>
      <c r="G1480" s="1" t="n">
        <v>57</v>
      </c>
      <c r="H1480" s="1" t="n">
        <v>60</v>
      </c>
      <c r="I1480" s="1" t="str">
        <f aca="false">RIGHT(("0"&amp;C1480),2)&amp;RIGHT(("0"&amp;D1480),2)&amp;RIGHT(("0"&amp;E1480),2)&amp;RIGHT(("0"&amp;F1480),2)&amp;RIGHT(("0"&amp;G1480),2)&amp;RIGHT(("0"&amp;H1480),2)</f>
        <v>214850545760</v>
      </c>
      <c r="J1480" s="1" t="n">
        <f aca="false">COUNTIF(I:I,I1480)</f>
        <v>1</v>
      </c>
      <c r="K1480" s="1" t="n">
        <v>0</v>
      </c>
      <c r="M1480" s="1" t="s">
        <v>23</v>
      </c>
      <c r="N1480" s="1" t="n">
        <v>59</v>
      </c>
      <c r="O1480" s="1" t="s">
        <v>7731</v>
      </c>
      <c r="P1480" s="1" t="n">
        <v>5006</v>
      </c>
      <c r="Q1480" s="1" t="s">
        <v>7732</v>
      </c>
      <c r="R1480" s="1" t="s">
        <v>7733</v>
      </c>
      <c r="S1480" s="1" t="s">
        <v>7734</v>
      </c>
      <c r="T1480" s="1" t="s">
        <v>4935</v>
      </c>
      <c r="U1480" s="1" t="s">
        <v>7735</v>
      </c>
    </row>
    <row r="1481" customFormat="false" ht="13.8" hidden="false" customHeight="false" outlineLevel="0" collapsed="false">
      <c r="A1481" s="1" t="n">
        <v>1480</v>
      </c>
      <c r="B1481" s="2" t="s">
        <v>7736</v>
      </c>
      <c r="C1481" s="1" t="n">
        <v>9</v>
      </c>
      <c r="D1481" s="1" t="n">
        <v>14</v>
      </c>
      <c r="E1481" s="1" t="n">
        <v>21</v>
      </c>
      <c r="F1481" s="1" t="n">
        <v>26</v>
      </c>
      <c r="G1481" s="1" t="n">
        <v>36</v>
      </c>
      <c r="H1481" s="1" t="n">
        <v>52</v>
      </c>
      <c r="I1481" s="1" t="str">
        <f aca="false">RIGHT(("0"&amp;C1481),2)&amp;RIGHT(("0"&amp;D1481),2)&amp;RIGHT(("0"&amp;E1481),2)&amp;RIGHT(("0"&amp;F1481),2)&amp;RIGHT(("0"&amp;G1481),2)&amp;RIGHT(("0"&amp;H1481),2)</f>
        <v>091421263652</v>
      </c>
      <c r="J1481" s="1" t="n">
        <f aca="false">COUNTIF(I:I,I1481)</f>
        <v>1</v>
      </c>
      <c r="K1481" s="1" t="n">
        <v>1</v>
      </c>
      <c r="L1481" s="1" t="s">
        <v>7737</v>
      </c>
      <c r="M1481" s="1" t="s">
        <v>7738</v>
      </c>
      <c r="N1481" s="1" t="n">
        <v>151</v>
      </c>
      <c r="O1481" s="1" t="s">
        <v>7739</v>
      </c>
      <c r="P1481" s="1" t="n">
        <v>11395</v>
      </c>
      <c r="Q1481" s="1" t="s">
        <v>7740</v>
      </c>
      <c r="R1481" s="1" t="s">
        <v>23</v>
      </c>
      <c r="S1481" s="1" t="s">
        <v>7741</v>
      </c>
      <c r="T1481" s="1" t="s">
        <v>4256</v>
      </c>
      <c r="U1481" s="1" t="s">
        <v>7742</v>
      </c>
      <c r="V1481" s="1" t="s">
        <v>6777</v>
      </c>
    </row>
    <row r="1482" customFormat="false" ht="13.8" hidden="false" customHeight="false" outlineLevel="0" collapsed="false">
      <c r="A1482" s="1" t="n">
        <v>1481</v>
      </c>
      <c r="B1482" s="2" t="s">
        <v>7743</v>
      </c>
      <c r="C1482" s="1" t="n">
        <v>17</v>
      </c>
      <c r="D1482" s="1" t="n">
        <v>27</v>
      </c>
      <c r="E1482" s="1" t="n">
        <v>28</v>
      </c>
      <c r="F1482" s="1" t="n">
        <v>40</v>
      </c>
      <c r="G1482" s="1" t="n">
        <v>44</v>
      </c>
      <c r="H1482" s="1" t="n">
        <v>55</v>
      </c>
      <c r="I1482" s="1" t="str">
        <f aca="false">RIGHT(("0"&amp;C1482),2)&amp;RIGHT(("0"&amp;D1482),2)&amp;RIGHT(("0"&amp;E1482),2)&amp;RIGHT(("0"&amp;F1482),2)&amp;RIGHT(("0"&amp;G1482),2)&amp;RIGHT(("0"&amp;H1482),2)</f>
        <v>172728404455</v>
      </c>
      <c r="J1482" s="1" t="n">
        <f aca="false">COUNTIF(I:I,I1482)</f>
        <v>1</v>
      </c>
      <c r="K1482" s="1" t="n">
        <v>0</v>
      </c>
      <c r="M1482" s="1" t="s">
        <v>23</v>
      </c>
      <c r="N1482" s="1" t="n">
        <v>46</v>
      </c>
      <c r="O1482" s="1" t="s">
        <v>7744</v>
      </c>
      <c r="P1482" s="1" t="n">
        <v>3154</v>
      </c>
      <c r="Q1482" s="1" t="s">
        <v>7745</v>
      </c>
      <c r="R1482" s="1" t="s">
        <v>7746</v>
      </c>
      <c r="S1482" s="1" t="s">
        <v>7747</v>
      </c>
      <c r="T1482" s="1" t="s">
        <v>7748</v>
      </c>
      <c r="U1482" s="1" t="s">
        <v>7749</v>
      </c>
    </row>
    <row r="1483" customFormat="false" ht="13.8" hidden="false" customHeight="false" outlineLevel="0" collapsed="false">
      <c r="A1483" s="1" t="n">
        <v>1482</v>
      </c>
      <c r="B1483" s="2" t="s">
        <v>7750</v>
      </c>
      <c r="C1483" s="1" t="n">
        <v>6</v>
      </c>
      <c r="D1483" s="1" t="n">
        <v>9</v>
      </c>
      <c r="E1483" s="1" t="n">
        <v>11</v>
      </c>
      <c r="F1483" s="1" t="n">
        <v>34</v>
      </c>
      <c r="G1483" s="1" t="n">
        <v>41</v>
      </c>
      <c r="H1483" s="1" t="n">
        <v>53</v>
      </c>
      <c r="I1483" s="1" t="str">
        <f aca="false">RIGHT(("0"&amp;C1483),2)&amp;RIGHT(("0"&amp;D1483),2)&amp;RIGHT(("0"&amp;E1483),2)&amp;RIGHT(("0"&amp;F1483),2)&amp;RIGHT(("0"&amp;G1483),2)&amp;RIGHT(("0"&amp;H1483),2)</f>
        <v>060911344153</v>
      </c>
      <c r="J1483" s="1" t="n">
        <f aca="false">COUNTIF(I:I,I1483)</f>
        <v>1</v>
      </c>
      <c r="K1483" s="1" t="n">
        <v>0</v>
      </c>
      <c r="M1483" s="1" t="s">
        <v>23</v>
      </c>
      <c r="N1483" s="1" t="n">
        <v>79</v>
      </c>
      <c r="O1483" s="1" t="s">
        <v>7751</v>
      </c>
      <c r="P1483" s="1" t="n">
        <v>5433</v>
      </c>
      <c r="Q1483" s="1" t="s">
        <v>7752</v>
      </c>
      <c r="R1483" s="1" t="s">
        <v>7753</v>
      </c>
      <c r="S1483" s="1" t="s">
        <v>7754</v>
      </c>
      <c r="T1483" s="1" t="s">
        <v>4190</v>
      </c>
      <c r="U1483" s="1" t="s">
        <v>7755</v>
      </c>
      <c r="V1483" s="1" t="s">
        <v>6777</v>
      </c>
    </row>
    <row r="1484" customFormat="false" ht="13.8" hidden="false" customHeight="false" outlineLevel="0" collapsed="false">
      <c r="A1484" s="1" t="n">
        <v>1483</v>
      </c>
      <c r="B1484" s="2" t="s">
        <v>7756</v>
      </c>
      <c r="C1484" s="1" t="n">
        <v>1</v>
      </c>
      <c r="D1484" s="1" t="n">
        <v>35</v>
      </c>
      <c r="E1484" s="1" t="n">
        <v>39</v>
      </c>
      <c r="F1484" s="1" t="n">
        <v>53</v>
      </c>
      <c r="G1484" s="1" t="n">
        <v>55</v>
      </c>
      <c r="H1484" s="1" t="n">
        <v>56</v>
      </c>
      <c r="I1484" s="1" t="str">
        <f aca="false">RIGHT(("0"&amp;C1484),2)&amp;RIGHT(("0"&amp;D1484),2)&amp;RIGHT(("0"&amp;E1484),2)&amp;RIGHT(("0"&amp;F1484),2)&amp;RIGHT(("0"&amp;G1484),2)&amp;RIGHT(("0"&amp;H1484),2)</f>
        <v>013539535556</v>
      </c>
      <c r="J1484" s="1" t="n">
        <f aca="false">COUNTIF(I:I,I1484)</f>
        <v>1</v>
      </c>
      <c r="K1484" s="1" t="n">
        <v>0</v>
      </c>
      <c r="M1484" s="1" t="s">
        <v>23</v>
      </c>
      <c r="N1484" s="1" t="n">
        <v>53</v>
      </c>
      <c r="O1484" s="1" t="s">
        <v>7757</v>
      </c>
      <c r="P1484" s="1" t="n">
        <v>4817</v>
      </c>
      <c r="Q1484" s="1" t="s">
        <v>7758</v>
      </c>
      <c r="R1484" s="1" t="s">
        <v>7759</v>
      </c>
      <c r="S1484" s="1" t="s">
        <v>7760</v>
      </c>
      <c r="T1484" s="1" t="s">
        <v>4531</v>
      </c>
      <c r="U1484" s="1" t="s">
        <v>7761</v>
      </c>
    </row>
    <row r="1485" customFormat="false" ht="13.8" hidden="false" customHeight="false" outlineLevel="0" collapsed="false">
      <c r="A1485" s="1" t="n">
        <v>1484</v>
      </c>
      <c r="B1485" s="2" t="s">
        <v>7762</v>
      </c>
      <c r="C1485" s="1" t="n">
        <v>17</v>
      </c>
      <c r="D1485" s="1" t="n">
        <v>20</v>
      </c>
      <c r="E1485" s="1" t="n">
        <v>24</v>
      </c>
      <c r="F1485" s="1" t="n">
        <v>29</v>
      </c>
      <c r="G1485" s="1" t="n">
        <v>49</v>
      </c>
      <c r="H1485" s="1" t="n">
        <v>53</v>
      </c>
      <c r="I1485" s="1" t="str">
        <f aca="false">RIGHT(("0"&amp;C1485),2)&amp;RIGHT(("0"&amp;D1485),2)&amp;RIGHT(("0"&amp;E1485),2)&amp;RIGHT(("0"&amp;F1485),2)&amp;RIGHT(("0"&amp;G1485),2)&amp;RIGHT(("0"&amp;H1485),2)</f>
        <v>172024294953</v>
      </c>
      <c r="J1485" s="1" t="n">
        <f aca="false">COUNTIF(I:I,I1485)</f>
        <v>1</v>
      </c>
      <c r="K1485" s="1" t="n">
        <v>0</v>
      </c>
      <c r="M1485" s="1" t="s">
        <v>23</v>
      </c>
      <c r="N1485" s="1" t="n">
        <v>85</v>
      </c>
      <c r="O1485" s="1" t="s">
        <v>7763</v>
      </c>
      <c r="P1485" s="1" t="n">
        <v>7114</v>
      </c>
      <c r="Q1485" s="1" t="s">
        <v>7764</v>
      </c>
      <c r="R1485" s="1" t="s">
        <v>7765</v>
      </c>
      <c r="S1485" s="1" t="s">
        <v>7766</v>
      </c>
      <c r="T1485" s="1" t="s">
        <v>3892</v>
      </c>
      <c r="U1485" s="1" t="s">
        <v>7767</v>
      </c>
      <c r="V1485" s="1" t="s">
        <v>6777</v>
      </c>
    </row>
    <row r="1486" customFormat="false" ht="13.8" hidden="false" customHeight="false" outlineLevel="0" collapsed="false">
      <c r="A1486" s="1" t="n">
        <v>1485</v>
      </c>
      <c r="B1486" s="2" t="s">
        <v>7768</v>
      </c>
      <c r="C1486" s="1" t="n">
        <v>4</v>
      </c>
      <c r="D1486" s="1" t="n">
        <v>27</v>
      </c>
      <c r="E1486" s="1" t="n">
        <v>30</v>
      </c>
      <c r="F1486" s="1" t="n">
        <v>36</v>
      </c>
      <c r="G1486" s="1" t="n">
        <v>54</v>
      </c>
      <c r="H1486" s="1" t="n">
        <v>59</v>
      </c>
      <c r="I1486" s="1" t="str">
        <f aca="false">RIGHT(("0"&amp;C1486),2)&amp;RIGHT(("0"&amp;D1486),2)&amp;RIGHT(("0"&amp;E1486),2)&amp;RIGHT(("0"&amp;F1486),2)&amp;RIGHT(("0"&amp;G1486),2)&amp;RIGHT(("0"&amp;H1486),2)</f>
        <v>042730365459</v>
      </c>
      <c r="J1486" s="1" t="n">
        <f aca="false">COUNTIF(I:I,I1486)</f>
        <v>1</v>
      </c>
      <c r="K1486" s="1" t="n">
        <v>0</v>
      </c>
      <c r="M1486" s="1" t="s">
        <v>23</v>
      </c>
      <c r="N1486" s="1" t="n">
        <v>212</v>
      </c>
      <c r="O1486" s="1" t="s">
        <v>7769</v>
      </c>
      <c r="P1486" s="1" t="n">
        <v>12408</v>
      </c>
      <c r="Q1486" s="1" t="s">
        <v>7770</v>
      </c>
      <c r="R1486" s="1" t="s">
        <v>7771</v>
      </c>
      <c r="S1486" s="1" t="s">
        <v>7772</v>
      </c>
      <c r="T1486" s="1" t="s">
        <v>6025</v>
      </c>
      <c r="U1486" s="1" t="s">
        <v>7773</v>
      </c>
    </row>
    <row r="1487" customFormat="false" ht="13.8" hidden="false" customHeight="false" outlineLevel="0" collapsed="false">
      <c r="A1487" s="1" t="n">
        <v>1486</v>
      </c>
      <c r="B1487" s="2" t="s">
        <v>7774</v>
      </c>
      <c r="C1487" s="1" t="n">
        <v>1</v>
      </c>
      <c r="D1487" s="1" t="n">
        <v>6</v>
      </c>
      <c r="E1487" s="1" t="n">
        <v>10</v>
      </c>
      <c r="F1487" s="1" t="n">
        <v>34</v>
      </c>
      <c r="G1487" s="1" t="n">
        <v>40</v>
      </c>
      <c r="H1487" s="1" t="n">
        <v>54</v>
      </c>
      <c r="I1487" s="1" t="str">
        <f aca="false">RIGHT(("0"&amp;C1487),2)&amp;RIGHT(("0"&amp;D1487),2)&amp;RIGHT(("0"&amp;E1487),2)&amp;RIGHT(("0"&amp;F1487),2)&amp;RIGHT(("0"&amp;G1487),2)&amp;RIGHT(("0"&amp;H1487),2)</f>
        <v>010610344054</v>
      </c>
      <c r="J1487" s="1" t="n">
        <f aca="false">COUNTIF(I:I,I1487)</f>
        <v>1</v>
      </c>
      <c r="K1487" s="1" t="n">
        <v>1</v>
      </c>
      <c r="L1487" s="1" t="s">
        <v>7775</v>
      </c>
      <c r="M1487" s="1" t="s">
        <v>7776</v>
      </c>
      <c r="N1487" s="1" t="n">
        <v>174</v>
      </c>
      <c r="O1487" s="1" t="s">
        <v>7777</v>
      </c>
      <c r="P1487" s="1" t="n">
        <v>12128</v>
      </c>
      <c r="Q1487" s="1" t="s">
        <v>7778</v>
      </c>
      <c r="R1487" s="1" t="s">
        <v>23</v>
      </c>
      <c r="S1487" s="1" t="s">
        <v>7779</v>
      </c>
      <c r="T1487" s="1" t="s">
        <v>4256</v>
      </c>
      <c r="U1487" s="1" t="s">
        <v>7780</v>
      </c>
    </row>
    <row r="1488" customFormat="false" ht="13.8" hidden="false" customHeight="false" outlineLevel="0" collapsed="false">
      <c r="A1488" s="1" t="n">
        <v>1487</v>
      </c>
      <c r="B1488" s="2" t="s">
        <v>7781</v>
      </c>
      <c r="C1488" s="1" t="n">
        <v>4</v>
      </c>
      <c r="D1488" s="1" t="n">
        <v>9</v>
      </c>
      <c r="E1488" s="1" t="n">
        <v>17</v>
      </c>
      <c r="F1488" s="1" t="n">
        <v>23</v>
      </c>
      <c r="G1488" s="1" t="n">
        <v>28</v>
      </c>
      <c r="H1488" s="1" t="n">
        <v>53</v>
      </c>
      <c r="I1488" s="1" t="str">
        <f aca="false">RIGHT(("0"&amp;C1488),2)&amp;RIGHT(("0"&amp;D1488),2)&amp;RIGHT(("0"&amp;E1488),2)&amp;RIGHT(("0"&amp;F1488),2)&amp;RIGHT(("0"&amp;G1488),2)&amp;RIGHT(("0"&amp;H1488),2)</f>
        <v>040917232853</v>
      </c>
      <c r="J1488" s="1" t="n">
        <f aca="false">COUNTIF(I:I,I1488)</f>
        <v>1</v>
      </c>
      <c r="K1488" s="1" t="n">
        <v>0</v>
      </c>
      <c r="M1488" s="1" t="s">
        <v>23</v>
      </c>
      <c r="N1488" s="1" t="n">
        <v>198</v>
      </c>
      <c r="O1488" s="1" t="s">
        <v>7782</v>
      </c>
      <c r="P1488" s="1" t="n">
        <v>9593</v>
      </c>
      <c r="Q1488" s="1" t="s">
        <v>7783</v>
      </c>
      <c r="R1488" s="1" t="s">
        <v>7784</v>
      </c>
      <c r="S1488" s="1" t="s">
        <v>7785</v>
      </c>
      <c r="T1488" s="1" t="s">
        <v>5931</v>
      </c>
      <c r="U1488" s="1" t="s">
        <v>7786</v>
      </c>
    </row>
    <row r="1489" customFormat="false" ht="13.8" hidden="false" customHeight="false" outlineLevel="0" collapsed="false">
      <c r="A1489" s="1" t="n">
        <v>1488</v>
      </c>
      <c r="B1489" s="2" t="s">
        <v>7787</v>
      </c>
      <c r="C1489" s="1" t="n">
        <v>4</v>
      </c>
      <c r="D1489" s="1" t="n">
        <v>22</v>
      </c>
      <c r="E1489" s="1" t="n">
        <v>25</v>
      </c>
      <c r="F1489" s="1" t="n">
        <v>38</v>
      </c>
      <c r="G1489" s="1" t="n">
        <v>45</v>
      </c>
      <c r="H1489" s="1" t="n">
        <v>51</v>
      </c>
      <c r="I1489" s="1" t="str">
        <f aca="false">RIGHT(("0"&amp;C1489),2)&amp;RIGHT(("0"&amp;D1489),2)&amp;RIGHT(("0"&amp;E1489),2)&amp;RIGHT(("0"&amp;F1489),2)&amp;RIGHT(("0"&amp;G1489),2)&amp;RIGHT(("0"&amp;H1489),2)</f>
        <v>042225384551</v>
      </c>
      <c r="J1489" s="1" t="n">
        <f aca="false">COUNTIF(I:I,I1489)</f>
        <v>1</v>
      </c>
      <c r="K1489" s="1" t="n">
        <v>1</v>
      </c>
      <c r="L1489" s="1" t="s">
        <v>7788</v>
      </c>
      <c r="M1489" s="1" t="s">
        <v>7789</v>
      </c>
      <c r="N1489" s="1" t="n">
        <v>144</v>
      </c>
      <c r="O1489" s="1" t="s">
        <v>7790</v>
      </c>
      <c r="P1489" s="1" t="n">
        <v>7105</v>
      </c>
      <c r="Q1489" s="1" t="s">
        <v>7791</v>
      </c>
      <c r="R1489" s="1" t="s">
        <v>23</v>
      </c>
      <c r="S1489" s="1" t="s">
        <v>7792</v>
      </c>
      <c r="T1489" s="1" t="s">
        <v>7793</v>
      </c>
      <c r="U1489" s="1" t="s">
        <v>7794</v>
      </c>
      <c r="V1489" s="1" t="s">
        <v>7795</v>
      </c>
    </row>
    <row r="1490" customFormat="false" ht="13.8" hidden="false" customHeight="false" outlineLevel="0" collapsed="false">
      <c r="A1490" s="1" t="n">
        <v>1489</v>
      </c>
      <c r="B1490" s="2" t="s">
        <v>7796</v>
      </c>
      <c r="C1490" s="1" t="n">
        <v>1</v>
      </c>
      <c r="D1490" s="1" t="n">
        <v>15</v>
      </c>
      <c r="E1490" s="1" t="n">
        <v>24</v>
      </c>
      <c r="F1490" s="1" t="n">
        <v>26</v>
      </c>
      <c r="G1490" s="1" t="n">
        <v>28</v>
      </c>
      <c r="H1490" s="1" t="n">
        <v>48</v>
      </c>
      <c r="I1490" s="1" t="str">
        <f aca="false">RIGHT(("0"&amp;C1490),2)&amp;RIGHT(("0"&amp;D1490),2)&amp;RIGHT(("0"&amp;E1490),2)&amp;RIGHT(("0"&amp;F1490),2)&amp;RIGHT(("0"&amp;G1490),2)&amp;RIGHT(("0"&amp;H1490),2)</f>
        <v>011524262848</v>
      </c>
      <c r="J1490" s="1" t="n">
        <f aca="false">COUNTIF(I:I,I1490)</f>
        <v>1</v>
      </c>
      <c r="K1490" s="1" t="n">
        <v>1</v>
      </c>
      <c r="L1490" s="1" t="s">
        <v>7797</v>
      </c>
      <c r="M1490" s="1" t="s">
        <v>7798</v>
      </c>
      <c r="N1490" s="1" t="n">
        <v>86</v>
      </c>
      <c r="O1490" s="1" t="s">
        <v>7799</v>
      </c>
      <c r="P1490" s="1" t="n">
        <v>5462</v>
      </c>
      <c r="Q1490" s="1" t="s">
        <v>7800</v>
      </c>
      <c r="R1490" s="1" t="s">
        <v>23</v>
      </c>
      <c r="S1490" s="1" t="s">
        <v>7801</v>
      </c>
      <c r="T1490" s="1" t="s">
        <v>4208</v>
      </c>
      <c r="U1490" s="1" t="s">
        <v>7802</v>
      </c>
    </row>
    <row r="1491" customFormat="false" ht="13.8" hidden="false" customHeight="false" outlineLevel="0" collapsed="false">
      <c r="A1491" s="1" t="n">
        <v>1490</v>
      </c>
      <c r="B1491" s="2" t="s">
        <v>7803</v>
      </c>
      <c r="C1491" s="1" t="n">
        <v>1</v>
      </c>
      <c r="D1491" s="1" t="n">
        <v>3</v>
      </c>
      <c r="E1491" s="1" t="n">
        <v>31</v>
      </c>
      <c r="F1491" s="1" t="n">
        <v>32</v>
      </c>
      <c r="G1491" s="1" t="n">
        <v>43</v>
      </c>
      <c r="H1491" s="1" t="n">
        <v>52</v>
      </c>
      <c r="I1491" s="1" t="str">
        <f aca="false">RIGHT(("0"&amp;C1491),2)&amp;RIGHT(("0"&amp;D1491),2)&amp;RIGHT(("0"&amp;E1491),2)&amp;RIGHT(("0"&amp;F1491),2)&amp;RIGHT(("0"&amp;G1491),2)&amp;RIGHT(("0"&amp;H1491),2)</f>
        <v>010331324352</v>
      </c>
      <c r="J1491" s="1" t="n">
        <f aca="false">COUNTIF(I:I,I1491)</f>
        <v>1</v>
      </c>
      <c r="K1491" s="1" t="n">
        <v>0</v>
      </c>
      <c r="M1491" s="1" t="s">
        <v>23</v>
      </c>
      <c r="N1491" s="1" t="n">
        <v>73</v>
      </c>
      <c r="O1491" s="1" t="s">
        <v>7804</v>
      </c>
      <c r="P1491" s="1" t="n">
        <v>4902</v>
      </c>
      <c r="Q1491" s="1" t="s">
        <v>7805</v>
      </c>
      <c r="R1491" s="1" t="s">
        <v>7806</v>
      </c>
      <c r="S1491" s="1" t="s">
        <v>7807</v>
      </c>
      <c r="T1491" s="1" t="s">
        <v>7808</v>
      </c>
      <c r="U1491" s="1" t="s">
        <v>7809</v>
      </c>
    </row>
    <row r="1492" customFormat="false" ht="13.8" hidden="false" customHeight="false" outlineLevel="0" collapsed="false">
      <c r="A1492" s="1" t="n">
        <v>1491</v>
      </c>
      <c r="B1492" s="2" t="s">
        <v>7810</v>
      </c>
      <c r="C1492" s="1" t="n">
        <v>6</v>
      </c>
      <c r="D1492" s="1" t="n">
        <v>26</v>
      </c>
      <c r="E1492" s="1" t="n">
        <v>45</v>
      </c>
      <c r="F1492" s="1" t="n">
        <v>50</v>
      </c>
      <c r="G1492" s="1" t="n">
        <v>56</v>
      </c>
      <c r="H1492" s="1" t="n">
        <v>60</v>
      </c>
      <c r="I1492" s="1" t="str">
        <f aca="false">RIGHT(("0"&amp;C1492),2)&amp;RIGHT(("0"&amp;D1492),2)&amp;RIGHT(("0"&amp;E1492),2)&amp;RIGHT(("0"&amp;F1492),2)&amp;RIGHT(("0"&amp;G1492),2)&amp;RIGHT(("0"&amp;H1492),2)</f>
        <v>062645505660</v>
      </c>
      <c r="J1492" s="1" t="n">
        <f aca="false">COUNTIF(I:I,I1492)</f>
        <v>1</v>
      </c>
      <c r="K1492" s="1" t="n">
        <v>0</v>
      </c>
      <c r="M1492" s="1" t="s">
        <v>23</v>
      </c>
      <c r="N1492" s="1" t="n">
        <v>74</v>
      </c>
      <c r="O1492" s="1" t="s">
        <v>7811</v>
      </c>
      <c r="P1492" s="1" t="n">
        <v>5450</v>
      </c>
      <c r="Q1492" s="1" t="s">
        <v>7812</v>
      </c>
      <c r="R1492" s="1" t="s">
        <v>7813</v>
      </c>
      <c r="S1492" s="1" t="s">
        <v>7814</v>
      </c>
      <c r="T1492" s="1" t="s">
        <v>4718</v>
      </c>
      <c r="U1492" s="1" t="s">
        <v>7815</v>
      </c>
    </row>
    <row r="1493" customFormat="false" ht="13.8" hidden="false" customHeight="false" outlineLevel="0" collapsed="false">
      <c r="A1493" s="1" t="n">
        <v>1492</v>
      </c>
      <c r="B1493" s="2" t="s">
        <v>7816</v>
      </c>
      <c r="C1493" s="1" t="n">
        <v>4</v>
      </c>
      <c r="D1493" s="1" t="n">
        <v>9</v>
      </c>
      <c r="E1493" s="1" t="n">
        <v>18</v>
      </c>
      <c r="F1493" s="1" t="n">
        <v>44</v>
      </c>
      <c r="G1493" s="1" t="n">
        <v>46</v>
      </c>
      <c r="H1493" s="1" t="n">
        <v>48</v>
      </c>
      <c r="I1493" s="1" t="str">
        <f aca="false">RIGHT(("0"&amp;C1493),2)&amp;RIGHT(("0"&amp;D1493),2)&amp;RIGHT(("0"&amp;E1493),2)&amp;RIGHT(("0"&amp;F1493),2)&amp;RIGHT(("0"&amp;G1493),2)&amp;RIGHT(("0"&amp;H1493),2)</f>
        <v>040918444648</v>
      </c>
      <c r="J1493" s="1" t="n">
        <f aca="false">COUNTIF(I:I,I1493)</f>
        <v>1</v>
      </c>
      <c r="K1493" s="1" t="n">
        <v>1</v>
      </c>
      <c r="L1493" s="1" t="s">
        <v>7817</v>
      </c>
      <c r="M1493" s="1" t="s">
        <v>7818</v>
      </c>
      <c r="N1493" s="1" t="n">
        <v>232</v>
      </c>
      <c r="O1493" s="1" t="s">
        <v>7819</v>
      </c>
      <c r="P1493" s="1" t="n">
        <v>12719</v>
      </c>
      <c r="Q1493" s="1" t="s">
        <v>7820</v>
      </c>
      <c r="R1493" s="1" t="s">
        <v>23</v>
      </c>
      <c r="S1493" s="1" t="s">
        <v>7821</v>
      </c>
      <c r="T1493" s="1" t="s">
        <v>7822</v>
      </c>
      <c r="U1493" s="1" t="s">
        <v>7823</v>
      </c>
      <c r="V1493" s="1" t="s">
        <v>6777</v>
      </c>
    </row>
    <row r="1494" customFormat="false" ht="13.8" hidden="false" customHeight="false" outlineLevel="0" collapsed="false">
      <c r="A1494" s="1" t="n">
        <v>1493</v>
      </c>
      <c r="B1494" s="2" t="s">
        <v>7824</v>
      </c>
      <c r="C1494" s="1" t="n">
        <v>7</v>
      </c>
      <c r="D1494" s="1" t="n">
        <v>12</v>
      </c>
      <c r="E1494" s="1" t="n">
        <v>24</v>
      </c>
      <c r="F1494" s="1" t="n">
        <v>27</v>
      </c>
      <c r="G1494" s="1" t="n">
        <v>30</v>
      </c>
      <c r="H1494" s="1" t="n">
        <v>49</v>
      </c>
      <c r="I1494" s="1" t="str">
        <f aca="false">RIGHT(("0"&amp;C1494),2)&amp;RIGHT(("0"&amp;D1494),2)&amp;RIGHT(("0"&amp;E1494),2)&amp;RIGHT(("0"&amp;F1494),2)&amp;RIGHT(("0"&amp;G1494),2)&amp;RIGHT(("0"&amp;H1494),2)</f>
        <v>071224273049</v>
      </c>
      <c r="J1494" s="1" t="n">
        <f aca="false">COUNTIF(I:I,I1494)</f>
        <v>1</v>
      </c>
      <c r="K1494" s="1" t="n">
        <v>2</v>
      </c>
      <c r="L1494" s="1" t="s">
        <v>7825</v>
      </c>
      <c r="M1494" s="1" t="s">
        <v>7826</v>
      </c>
      <c r="N1494" s="1" t="n">
        <v>137</v>
      </c>
      <c r="O1494" s="1" t="s">
        <v>7827</v>
      </c>
      <c r="P1494" s="1" t="n">
        <v>9075</v>
      </c>
      <c r="Q1494" s="1" t="s">
        <v>7828</v>
      </c>
      <c r="R1494" s="1" t="s">
        <v>23</v>
      </c>
      <c r="S1494" s="1" t="s">
        <v>7829</v>
      </c>
      <c r="T1494" s="1" t="s">
        <v>4256</v>
      </c>
      <c r="U1494" s="1" t="s">
        <v>7830</v>
      </c>
    </row>
    <row r="1495" customFormat="false" ht="13.8" hidden="false" customHeight="false" outlineLevel="0" collapsed="false">
      <c r="A1495" s="1" t="n">
        <v>1494</v>
      </c>
      <c r="B1495" s="2" t="s">
        <v>7831</v>
      </c>
      <c r="C1495" s="1" t="n">
        <v>2</v>
      </c>
      <c r="D1495" s="1" t="n">
        <v>14</v>
      </c>
      <c r="E1495" s="1" t="n">
        <v>24</v>
      </c>
      <c r="F1495" s="1" t="n">
        <v>28</v>
      </c>
      <c r="G1495" s="1" t="n">
        <v>35</v>
      </c>
      <c r="H1495" s="1" t="n">
        <v>50</v>
      </c>
      <c r="I1495" s="1" t="str">
        <f aca="false">RIGHT(("0"&amp;C1495),2)&amp;RIGHT(("0"&amp;D1495),2)&amp;RIGHT(("0"&amp;E1495),2)&amp;RIGHT(("0"&amp;F1495),2)&amp;RIGHT(("0"&amp;G1495),2)&amp;RIGHT(("0"&amp;H1495),2)</f>
        <v>021424283550</v>
      </c>
      <c r="J1495" s="1" t="n">
        <f aca="false">COUNTIF(I:I,I1495)</f>
        <v>1</v>
      </c>
      <c r="K1495" s="1" t="n">
        <v>0</v>
      </c>
      <c r="M1495" s="1" t="s">
        <v>23</v>
      </c>
      <c r="N1495" s="1" t="n">
        <v>68</v>
      </c>
      <c r="O1495" s="1" t="s">
        <v>7832</v>
      </c>
      <c r="P1495" s="1" t="n">
        <v>5746</v>
      </c>
      <c r="Q1495" s="1" t="s">
        <v>7833</v>
      </c>
      <c r="R1495" s="1" t="s">
        <v>7834</v>
      </c>
      <c r="S1495" s="1" t="s">
        <v>7835</v>
      </c>
      <c r="T1495" s="1" t="s">
        <v>4691</v>
      </c>
      <c r="U1495" s="1" t="s">
        <v>7836</v>
      </c>
    </row>
    <row r="1496" customFormat="false" ht="13.8" hidden="false" customHeight="false" outlineLevel="0" collapsed="false">
      <c r="A1496" s="1" t="n">
        <v>1495</v>
      </c>
      <c r="B1496" s="2" t="s">
        <v>7837</v>
      </c>
      <c r="C1496" s="1" t="n">
        <v>4</v>
      </c>
      <c r="D1496" s="1" t="n">
        <v>13</v>
      </c>
      <c r="E1496" s="1" t="n">
        <v>14</v>
      </c>
      <c r="F1496" s="1" t="n">
        <v>44</v>
      </c>
      <c r="G1496" s="1" t="n">
        <v>49</v>
      </c>
      <c r="H1496" s="1" t="n">
        <v>57</v>
      </c>
      <c r="I1496" s="1" t="str">
        <f aca="false">RIGHT(("0"&amp;C1496),2)&amp;RIGHT(("0"&amp;D1496),2)&amp;RIGHT(("0"&amp;E1496),2)&amp;RIGHT(("0"&amp;F1496),2)&amp;RIGHT(("0"&amp;G1496),2)&amp;RIGHT(("0"&amp;H1496),2)</f>
        <v>041314444957</v>
      </c>
      <c r="J1496" s="1" t="n">
        <f aca="false">COUNTIF(I:I,I1496)</f>
        <v>1</v>
      </c>
      <c r="K1496" s="1" t="n">
        <v>0</v>
      </c>
      <c r="M1496" s="1" t="s">
        <v>23</v>
      </c>
      <c r="N1496" s="1" t="n">
        <v>140</v>
      </c>
      <c r="O1496" s="1" t="s">
        <v>7838</v>
      </c>
      <c r="P1496" s="1" t="n">
        <v>9828</v>
      </c>
      <c r="Q1496" s="1" t="s">
        <v>7839</v>
      </c>
      <c r="R1496" s="1" t="s">
        <v>7840</v>
      </c>
      <c r="S1496" s="1" t="s">
        <v>7841</v>
      </c>
      <c r="T1496" s="1" t="s">
        <v>4328</v>
      </c>
      <c r="U1496" s="1" t="s">
        <v>7842</v>
      </c>
    </row>
    <row r="1497" customFormat="false" ht="13.8" hidden="false" customHeight="false" outlineLevel="0" collapsed="false">
      <c r="A1497" s="1" t="n">
        <v>1496</v>
      </c>
      <c r="B1497" s="2" t="s">
        <v>7843</v>
      </c>
      <c r="C1497" s="1" t="n">
        <v>14</v>
      </c>
      <c r="D1497" s="1" t="n">
        <v>18</v>
      </c>
      <c r="E1497" s="1" t="n">
        <v>28</v>
      </c>
      <c r="F1497" s="1" t="n">
        <v>41</v>
      </c>
      <c r="G1497" s="1" t="n">
        <v>47</v>
      </c>
      <c r="H1497" s="1" t="n">
        <v>54</v>
      </c>
      <c r="I1497" s="1" t="str">
        <f aca="false">RIGHT(("0"&amp;C1497),2)&amp;RIGHT(("0"&amp;D1497),2)&amp;RIGHT(("0"&amp;E1497),2)&amp;RIGHT(("0"&amp;F1497),2)&amp;RIGHT(("0"&amp;G1497),2)&amp;RIGHT(("0"&amp;H1497),2)</f>
        <v>141828414754</v>
      </c>
      <c r="J1497" s="1" t="n">
        <f aca="false">COUNTIF(I:I,I1497)</f>
        <v>1</v>
      </c>
      <c r="K1497" s="1" t="n">
        <v>0</v>
      </c>
      <c r="M1497" s="1" t="s">
        <v>23</v>
      </c>
      <c r="N1497" s="1" t="n">
        <v>106</v>
      </c>
      <c r="O1497" s="1" t="s">
        <v>7844</v>
      </c>
      <c r="P1497" s="1" t="n">
        <v>8337</v>
      </c>
      <c r="Q1497" s="1" t="s">
        <v>7845</v>
      </c>
      <c r="R1497" s="1" t="s">
        <v>7846</v>
      </c>
      <c r="S1497" s="1" t="s">
        <v>7847</v>
      </c>
      <c r="T1497" s="1" t="s">
        <v>5321</v>
      </c>
      <c r="U1497" s="1" t="s">
        <v>7848</v>
      </c>
    </row>
    <row r="1498" customFormat="false" ht="13.8" hidden="false" customHeight="false" outlineLevel="0" collapsed="false">
      <c r="A1498" s="1" t="n">
        <v>1497</v>
      </c>
      <c r="B1498" s="2" t="s">
        <v>7849</v>
      </c>
      <c r="C1498" s="1" t="n">
        <v>4</v>
      </c>
      <c r="D1498" s="1" t="n">
        <v>5</v>
      </c>
      <c r="E1498" s="1" t="n">
        <v>7</v>
      </c>
      <c r="F1498" s="1" t="n">
        <v>27</v>
      </c>
      <c r="G1498" s="1" t="n">
        <v>45</v>
      </c>
      <c r="H1498" s="1" t="n">
        <v>58</v>
      </c>
      <c r="I1498" s="1" t="str">
        <f aca="false">RIGHT(("0"&amp;C1498),2)&amp;RIGHT(("0"&amp;D1498),2)&amp;RIGHT(("0"&amp;E1498),2)&amp;RIGHT(("0"&amp;F1498),2)&amp;RIGHT(("0"&amp;G1498),2)&amp;RIGHT(("0"&amp;H1498),2)</f>
        <v>040507274558</v>
      </c>
      <c r="J1498" s="1" t="n">
        <f aca="false">COUNTIF(I:I,I1498)</f>
        <v>1</v>
      </c>
      <c r="K1498" s="1" t="n">
        <v>0</v>
      </c>
      <c r="M1498" s="1" t="s">
        <v>23</v>
      </c>
      <c r="N1498" s="1" t="n">
        <v>252</v>
      </c>
      <c r="O1498" s="1" t="s">
        <v>7850</v>
      </c>
      <c r="P1498" s="1" t="n">
        <v>17540</v>
      </c>
      <c r="Q1498" s="1" t="s">
        <v>7851</v>
      </c>
      <c r="R1498" s="1" t="s">
        <v>7852</v>
      </c>
      <c r="S1498" s="1" t="s">
        <v>7853</v>
      </c>
      <c r="T1498" s="1" t="s">
        <v>7854</v>
      </c>
      <c r="U1498" s="1" t="s">
        <v>7855</v>
      </c>
    </row>
    <row r="1499" customFormat="false" ht="13.8" hidden="false" customHeight="false" outlineLevel="0" collapsed="false">
      <c r="A1499" s="1" t="n">
        <v>1498</v>
      </c>
      <c r="B1499" s="2" t="s">
        <v>7856</v>
      </c>
      <c r="C1499" s="1" t="n">
        <v>6</v>
      </c>
      <c r="D1499" s="1" t="n">
        <v>11</v>
      </c>
      <c r="E1499" s="1" t="n">
        <v>27</v>
      </c>
      <c r="F1499" s="1" t="n">
        <v>40</v>
      </c>
      <c r="G1499" s="1" t="n">
        <v>46</v>
      </c>
      <c r="H1499" s="1" t="n">
        <v>49</v>
      </c>
      <c r="I1499" s="1" t="str">
        <f aca="false">RIGHT(("0"&amp;C1499),2)&amp;RIGHT(("0"&amp;D1499),2)&amp;RIGHT(("0"&amp;E1499),2)&amp;RIGHT(("0"&amp;F1499),2)&amp;RIGHT(("0"&amp;G1499),2)&amp;RIGHT(("0"&amp;H1499),2)</f>
        <v>061127404649</v>
      </c>
      <c r="J1499" s="1" t="n">
        <f aca="false">COUNTIF(I:I,I1499)</f>
        <v>1</v>
      </c>
      <c r="K1499" s="1" t="n">
        <v>0</v>
      </c>
      <c r="M1499" s="1" t="s">
        <v>23</v>
      </c>
      <c r="N1499" s="1" t="n">
        <v>237</v>
      </c>
      <c r="O1499" s="1" t="s">
        <v>7857</v>
      </c>
      <c r="P1499" s="1" t="n">
        <v>14820</v>
      </c>
      <c r="Q1499" s="1" t="s">
        <v>7858</v>
      </c>
      <c r="R1499" s="1" t="s">
        <v>7859</v>
      </c>
      <c r="S1499" s="1" t="s">
        <v>7860</v>
      </c>
      <c r="T1499" s="1" t="s">
        <v>6032</v>
      </c>
      <c r="U1499" s="1" t="s">
        <v>7861</v>
      </c>
      <c r="V1499" s="1" t="s">
        <v>6777</v>
      </c>
    </row>
    <row r="1500" customFormat="false" ht="13.8" hidden="false" customHeight="false" outlineLevel="0" collapsed="false">
      <c r="A1500" s="1" t="n">
        <v>1499</v>
      </c>
      <c r="B1500" s="2" t="s">
        <v>7862</v>
      </c>
      <c r="C1500" s="1" t="n">
        <v>8</v>
      </c>
      <c r="D1500" s="1" t="n">
        <v>22</v>
      </c>
      <c r="E1500" s="1" t="n">
        <v>26</v>
      </c>
      <c r="F1500" s="1" t="n">
        <v>33</v>
      </c>
      <c r="G1500" s="1" t="n">
        <v>37</v>
      </c>
      <c r="H1500" s="1" t="n">
        <v>54</v>
      </c>
      <c r="I1500" s="1" t="str">
        <f aca="false">RIGHT(("0"&amp;C1500),2)&amp;RIGHT(("0"&amp;D1500),2)&amp;RIGHT(("0"&amp;E1500),2)&amp;RIGHT(("0"&amp;F1500),2)&amp;RIGHT(("0"&amp;G1500),2)&amp;RIGHT(("0"&amp;H1500),2)</f>
        <v>082226333754</v>
      </c>
      <c r="J1500" s="1" t="n">
        <f aca="false">COUNTIF(I:I,I1500)</f>
        <v>1</v>
      </c>
      <c r="K1500" s="1" t="n">
        <v>1</v>
      </c>
      <c r="L1500" s="1" t="s">
        <v>7863</v>
      </c>
      <c r="M1500" s="1" t="s">
        <v>7864</v>
      </c>
      <c r="N1500" s="1" t="n">
        <v>295</v>
      </c>
      <c r="O1500" s="1" t="s">
        <v>7865</v>
      </c>
      <c r="P1500" s="1" t="n">
        <v>18276</v>
      </c>
      <c r="Q1500" s="1" t="s">
        <v>7866</v>
      </c>
      <c r="R1500" s="1" t="s">
        <v>23</v>
      </c>
      <c r="S1500" s="1" t="s">
        <v>7867</v>
      </c>
      <c r="T1500" s="1" t="s">
        <v>4246</v>
      </c>
      <c r="U1500" s="1" t="s">
        <v>7868</v>
      </c>
    </row>
    <row r="1501" customFormat="false" ht="13.8" hidden="false" customHeight="false" outlineLevel="0" collapsed="false">
      <c r="A1501" s="1" t="n">
        <v>1500</v>
      </c>
      <c r="B1501" s="2" t="s">
        <v>7869</v>
      </c>
      <c r="C1501" s="1" t="n">
        <v>10</v>
      </c>
      <c r="D1501" s="1" t="n">
        <v>18</v>
      </c>
      <c r="E1501" s="1" t="n">
        <v>31</v>
      </c>
      <c r="F1501" s="1" t="n">
        <v>43</v>
      </c>
      <c r="G1501" s="1" t="n">
        <v>57</v>
      </c>
      <c r="H1501" s="1" t="n">
        <v>59</v>
      </c>
      <c r="I1501" s="1" t="str">
        <f aca="false">RIGHT(("0"&amp;C1501),2)&amp;RIGHT(("0"&amp;D1501),2)&amp;RIGHT(("0"&amp;E1501),2)&amp;RIGHT(("0"&amp;F1501),2)&amp;RIGHT(("0"&amp;G1501),2)&amp;RIGHT(("0"&amp;H1501),2)</f>
        <v>101831435759</v>
      </c>
      <c r="J1501" s="1" t="n">
        <f aca="false">COUNTIF(I:I,I1501)</f>
        <v>1</v>
      </c>
      <c r="K1501" s="1" t="n">
        <v>1</v>
      </c>
      <c r="L1501" s="1" t="s">
        <v>7870</v>
      </c>
      <c r="M1501" s="1" t="s">
        <v>7871</v>
      </c>
      <c r="N1501" s="1" t="n">
        <v>81</v>
      </c>
      <c r="O1501" s="1" t="s">
        <v>7872</v>
      </c>
      <c r="P1501" s="1" t="n">
        <v>7055</v>
      </c>
      <c r="Q1501" s="1" t="s">
        <v>7873</v>
      </c>
      <c r="R1501" s="1" t="s">
        <v>23</v>
      </c>
      <c r="S1501" s="1" t="s">
        <v>7874</v>
      </c>
      <c r="T1501" s="1" t="s">
        <v>473</v>
      </c>
      <c r="U1501" s="1" t="s">
        <v>7875</v>
      </c>
    </row>
    <row r="1502" customFormat="false" ht="13.8" hidden="false" customHeight="false" outlineLevel="0" collapsed="false">
      <c r="A1502" s="1" t="n">
        <v>1501</v>
      </c>
      <c r="B1502" s="2" t="s">
        <v>7876</v>
      </c>
      <c r="C1502" s="1" t="n">
        <v>1</v>
      </c>
      <c r="D1502" s="1" t="n">
        <v>7</v>
      </c>
      <c r="E1502" s="1" t="n">
        <v>13</v>
      </c>
      <c r="F1502" s="1" t="n">
        <v>29</v>
      </c>
      <c r="G1502" s="1" t="n">
        <v>37</v>
      </c>
      <c r="H1502" s="1" t="n">
        <v>54</v>
      </c>
      <c r="I1502" s="1" t="str">
        <f aca="false">RIGHT(("0"&amp;C1502),2)&amp;RIGHT(("0"&amp;D1502),2)&amp;RIGHT(("0"&amp;E1502),2)&amp;RIGHT(("0"&amp;F1502),2)&amp;RIGHT(("0"&amp;G1502),2)&amp;RIGHT(("0"&amp;H1502),2)</f>
        <v>010713293754</v>
      </c>
      <c r="J1502" s="1" t="n">
        <f aca="false">COUNTIF(I:I,I1502)</f>
        <v>1</v>
      </c>
      <c r="K1502" s="1" t="n">
        <v>1</v>
      </c>
      <c r="L1502" s="1" t="s">
        <v>7877</v>
      </c>
      <c r="M1502" s="1" t="s">
        <v>7878</v>
      </c>
      <c r="N1502" s="1" t="n">
        <v>238</v>
      </c>
      <c r="O1502" s="1" t="s">
        <v>7879</v>
      </c>
      <c r="P1502" s="1" t="n">
        <v>11210</v>
      </c>
      <c r="Q1502" s="1" t="s">
        <v>7880</v>
      </c>
      <c r="R1502" s="1" t="s">
        <v>23</v>
      </c>
      <c r="S1502" s="1" t="s">
        <v>7881</v>
      </c>
      <c r="T1502" s="1" t="s">
        <v>473</v>
      </c>
      <c r="U1502" s="1" t="s">
        <v>7882</v>
      </c>
    </row>
    <row r="1503" customFormat="false" ht="13.8" hidden="false" customHeight="false" outlineLevel="0" collapsed="false">
      <c r="A1503" s="1" t="n">
        <v>1502</v>
      </c>
      <c r="B1503" s="2" t="s">
        <v>7883</v>
      </c>
      <c r="C1503" s="1" t="n">
        <v>6</v>
      </c>
      <c r="D1503" s="1" t="n">
        <v>22</v>
      </c>
      <c r="E1503" s="1" t="n">
        <v>43</v>
      </c>
      <c r="F1503" s="1" t="n">
        <v>51</v>
      </c>
      <c r="G1503" s="1" t="n">
        <v>52</v>
      </c>
      <c r="H1503" s="1" t="n">
        <v>57</v>
      </c>
      <c r="I1503" s="1" t="str">
        <f aca="false">RIGHT(("0"&amp;C1503),2)&amp;RIGHT(("0"&amp;D1503),2)&amp;RIGHT(("0"&amp;E1503),2)&amp;RIGHT(("0"&amp;F1503),2)&amp;RIGHT(("0"&amp;G1503),2)&amp;RIGHT(("0"&amp;H1503),2)</f>
        <v>062243515257</v>
      </c>
      <c r="J1503" s="1" t="n">
        <f aca="false">COUNTIF(I:I,I1503)</f>
        <v>1</v>
      </c>
      <c r="K1503" s="1" t="n">
        <v>0</v>
      </c>
      <c r="M1503" s="1" t="s">
        <v>23</v>
      </c>
      <c r="N1503" s="1" t="n">
        <v>48</v>
      </c>
      <c r="O1503" s="1" t="s">
        <v>7884</v>
      </c>
      <c r="P1503" s="1" t="n">
        <v>3580</v>
      </c>
      <c r="Q1503" s="1" t="s">
        <v>7885</v>
      </c>
      <c r="R1503" s="1" t="s">
        <v>7886</v>
      </c>
      <c r="S1503" s="1" t="s">
        <v>7887</v>
      </c>
      <c r="T1503" s="1" t="s">
        <v>4342</v>
      </c>
      <c r="U1503" s="1" t="s">
        <v>7888</v>
      </c>
      <c r="V1503" s="1" t="s">
        <v>6777</v>
      </c>
    </row>
    <row r="1504" customFormat="false" ht="13.8" hidden="false" customHeight="false" outlineLevel="0" collapsed="false">
      <c r="A1504" s="1" t="n">
        <v>1503</v>
      </c>
      <c r="B1504" s="2" t="s">
        <v>7889</v>
      </c>
      <c r="C1504" s="1" t="n">
        <v>3</v>
      </c>
      <c r="D1504" s="1" t="n">
        <v>4</v>
      </c>
      <c r="E1504" s="1" t="n">
        <v>16</v>
      </c>
      <c r="F1504" s="1" t="n">
        <v>22</v>
      </c>
      <c r="G1504" s="1" t="n">
        <v>36</v>
      </c>
      <c r="H1504" s="1" t="n">
        <v>42</v>
      </c>
      <c r="I1504" s="1" t="str">
        <f aca="false">RIGHT(("0"&amp;C1504),2)&amp;RIGHT(("0"&amp;D1504),2)&amp;RIGHT(("0"&amp;E1504),2)&amp;RIGHT(("0"&amp;F1504),2)&amp;RIGHT(("0"&amp;G1504),2)&amp;RIGHT(("0"&amp;H1504),2)</f>
        <v>030416223642</v>
      </c>
      <c r="J1504" s="1" t="n">
        <f aca="false">COUNTIF(I:I,I1504)</f>
        <v>1</v>
      </c>
      <c r="K1504" s="1" t="n">
        <v>0</v>
      </c>
      <c r="M1504" s="1" t="s">
        <v>23</v>
      </c>
      <c r="N1504" s="1" t="n">
        <v>111</v>
      </c>
      <c r="O1504" s="1" t="s">
        <v>7890</v>
      </c>
      <c r="P1504" s="1" t="n">
        <v>8448</v>
      </c>
      <c r="Q1504" s="1" t="s">
        <v>7891</v>
      </c>
      <c r="R1504" s="1" t="s">
        <v>7892</v>
      </c>
      <c r="S1504" s="1" t="s">
        <v>7893</v>
      </c>
      <c r="T1504" s="1" t="s">
        <v>4195</v>
      </c>
      <c r="U1504" s="1" t="s">
        <v>7894</v>
      </c>
    </row>
    <row r="1505" customFormat="false" ht="13.8" hidden="false" customHeight="false" outlineLevel="0" collapsed="false">
      <c r="A1505" s="1" t="n">
        <v>1504</v>
      </c>
      <c r="B1505" s="2" t="s">
        <v>7895</v>
      </c>
      <c r="C1505" s="1" t="n">
        <v>2</v>
      </c>
      <c r="D1505" s="1" t="n">
        <v>10</v>
      </c>
      <c r="E1505" s="1" t="n">
        <v>12</v>
      </c>
      <c r="F1505" s="1" t="n">
        <v>30</v>
      </c>
      <c r="G1505" s="1" t="n">
        <v>41</v>
      </c>
      <c r="H1505" s="1" t="n">
        <v>42</v>
      </c>
      <c r="I1505" s="1" t="str">
        <f aca="false">RIGHT(("0"&amp;C1505),2)&amp;RIGHT(("0"&amp;D1505),2)&amp;RIGHT(("0"&amp;E1505),2)&amp;RIGHT(("0"&amp;F1505),2)&amp;RIGHT(("0"&amp;G1505),2)&amp;RIGHT(("0"&amp;H1505),2)</f>
        <v>021012304142</v>
      </c>
      <c r="J1505" s="1" t="n">
        <f aca="false">COUNTIF(I:I,I1505)</f>
        <v>1</v>
      </c>
      <c r="K1505" s="1" t="n">
        <v>0</v>
      </c>
      <c r="M1505" s="1" t="s">
        <v>23</v>
      </c>
      <c r="N1505" s="1" t="n">
        <v>74</v>
      </c>
      <c r="O1505" s="1" t="s">
        <v>7896</v>
      </c>
      <c r="P1505" s="1" t="n">
        <v>5957</v>
      </c>
      <c r="Q1505" s="1" t="s">
        <v>7897</v>
      </c>
      <c r="R1505" s="1" t="s">
        <v>7898</v>
      </c>
      <c r="S1505" s="1" t="s">
        <v>7899</v>
      </c>
      <c r="T1505" s="1" t="s">
        <v>4718</v>
      </c>
      <c r="U1505" s="1" t="s">
        <v>7900</v>
      </c>
    </row>
    <row r="1506" customFormat="false" ht="13.8" hidden="false" customHeight="false" outlineLevel="0" collapsed="false">
      <c r="A1506" s="1" t="n">
        <v>1505</v>
      </c>
      <c r="B1506" s="2" t="s">
        <v>7901</v>
      </c>
      <c r="C1506" s="1" t="n">
        <v>1</v>
      </c>
      <c r="D1506" s="1" t="n">
        <v>2</v>
      </c>
      <c r="E1506" s="1" t="n">
        <v>6</v>
      </c>
      <c r="F1506" s="1" t="n">
        <v>9</v>
      </c>
      <c r="G1506" s="1" t="n">
        <v>16</v>
      </c>
      <c r="H1506" s="1" t="n">
        <v>32</v>
      </c>
      <c r="I1506" s="1" t="str">
        <f aca="false">RIGHT(("0"&amp;C1506),2)&amp;RIGHT(("0"&amp;D1506),2)&amp;RIGHT(("0"&amp;E1506),2)&amp;RIGHT(("0"&amp;F1506),2)&amp;RIGHT(("0"&amp;G1506),2)&amp;RIGHT(("0"&amp;H1506),2)</f>
        <v>010206091632</v>
      </c>
      <c r="J1506" s="1" t="n">
        <f aca="false">COUNTIF(I:I,I1506)</f>
        <v>1</v>
      </c>
      <c r="K1506" s="1" t="n">
        <v>0</v>
      </c>
      <c r="M1506" s="1" t="s">
        <v>23</v>
      </c>
      <c r="N1506" s="1" t="n">
        <v>263</v>
      </c>
      <c r="O1506" s="1" t="s">
        <v>7902</v>
      </c>
      <c r="P1506" s="1" t="n">
        <v>15199</v>
      </c>
      <c r="Q1506" s="1" t="s">
        <v>7903</v>
      </c>
      <c r="R1506" s="1" t="s">
        <v>7904</v>
      </c>
      <c r="S1506" s="1" t="s">
        <v>7905</v>
      </c>
      <c r="T1506" s="1" t="s">
        <v>7906</v>
      </c>
      <c r="U1506" s="1" t="s">
        <v>7907</v>
      </c>
    </row>
    <row r="1507" customFormat="false" ht="13.8" hidden="false" customHeight="false" outlineLevel="0" collapsed="false">
      <c r="A1507" s="1" t="n">
        <v>1506</v>
      </c>
      <c r="B1507" s="2" t="s">
        <v>7908</v>
      </c>
      <c r="C1507" s="1" t="n">
        <v>3</v>
      </c>
      <c r="D1507" s="1" t="n">
        <v>14</v>
      </c>
      <c r="E1507" s="1" t="n">
        <v>18</v>
      </c>
      <c r="F1507" s="1" t="n">
        <v>34</v>
      </c>
      <c r="G1507" s="1" t="n">
        <v>42</v>
      </c>
      <c r="H1507" s="1" t="n">
        <v>49</v>
      </c>
      <c r="I1507" s="1" t="str">
        <f aca="false">RIGHT(("0"&amp;C1507),2)&amp;RIGHT(("0"&amp;D1507),2)&amp;RIGHT(("0"&amp;E1507),2)&amp;RIGHT(("0"&amp;F1507),2)&amp;RIGHT(("0"&amp;G1507),2)&amp;RIGHT(("0"&amp;H1507),2)</f>
        <v>031418344249</v>
      </c>
      <c r="J1507" s="1" t="n">
        <f aca="false">COUNTIF(I:I,I1507)</f>
        <v>1</v>
      </c>
      <c r="K1507" s="1" t="n">
        <v>0</v>
      </c>
      <c r="M1507" s="1" t="s">
        <v>23</v>
      </c>
      <c r="N1507" s="1" t="n">
        <v>182</v>
      </c>
      <c r="O1507" s="1" t="s">
        <v>7909</v>
      </c>
      <c r="P1507" s="1" t="n">
        <v>10892</v>
      </c>
      <c r="Q1507" s="1" t="s">
        <v>7910</v>
      </c>
      <c r="R1507" s="1" t="s">
        <v>7911</v>
      </c>
      <c r="S1507" s="1" t="s">
        <v>7912</v>
      </c>
      <c r="T1507" s="1" t="s">
        <v>4968</v>
      </c>
      <c r="U1507" s="1" t="s">
        <v>7913</v>
      </c>
      <c r="V1507" s="1" t="s">
        <v>6777</v>
      </c>
    </row>
    <row r="1508" customFormat="false" ht="13.8" hidden="false" customHeight="false" outlineLevel="0" collapsed="false">
      <c r="A1508" s="1" t="n">
        <v>1507</v>
      </c>
      <c r="B1508" s="2" t="s">
        <v>7914</v>
      </c>
      <c r="C1508" s="1" t="n">
        <v>24</v>
      </c>
      <c r="D1508" s="1" t="n">
        <v>46</v>
      </c>
      <c r="E1508" s="1" t="n">
        <v>50</v>
      </c>
      <c r="F1508" s="1" t="n">
        <v>51</v>
      </c>
      <c r="G1508" s="1" t="n">
        <v>52</v>
      </c>
      <c r="H1508" s="1" t="n">
        <v>56</v>
      </c>
      <c r="I1508" s="1" t="str">
        <f aca="false">RIGHT(("0"&amp;C1508),2)&amp;RIGHT(("0"&amp;D1508),2)&amp;RIGHT(("0"&amp;E1508),2)&amp;RIGHT(("0"&amp;F1508),2)&amp;RIGHT(("0"&amp;G1508),2)&amp;RIGHT(("0"&amp;H1508),2)</f>
        <v>244650515256</v>
      </c>
      <c r="J1508" s="1" t="n">
        <f aca="false">COUNTIF(I:I,I1508)</f>
        <v>1</v>
      </c>
      <c r="K1508" s="1" t="n">
        <v>0</v>
      </c>
      <c r="M1508" s="1" t="s">
        <v>23</v>
      </c>
      <c r="N1508" s="1" t="n">
        <v>93</v>
      </c>
      <c r="O1508" s="1" t="s">
        <v>7915</v>
      </c>
      <c r="P1508" s="1" t="n">
        <v>7021</v>
      </c>
      <c r="Q1508" s="1" t="s">
        <v>7916</v>
      </c>
      <c r="R1508" s="1" t="s">
        <v>7917</v>
      </c>
      <c r="S1508" s="1" t="s">
        <v>7918</v>
      </c>
      <c r="T1508" s="1" t="s">
        <v>7301</v>
      </c>
      <c r="U1508" s="1" t="s">
        <v>7919</v>
      </c>
    </row>
    <row r="1509" customFormat="false" ht="13.8" hidden="false" customHeight="false" outlineLevel="0" collapsed="false">
      <c r="A1509" s="1" t="n">
        <v>1508</v>
      </c>
      <c r="B1509" s="2" t="s">
        <v>7920</v>
      </c>
      <c r="C1509" s="1" t="n">
        <v>17</v>
      </c>
      <c r="D1509" s="1" t="n">
        <v>18</v>
      </c>
      <c r="E1509" s="1" t="n">
        <v>30</v>
      </c>
      <c r="F1509" s="1" t="n">
        <v>35</v>
      </c>
      <c r="G1509" s="1" t="n">
        <v>39</v>
      </c>
      <c r="H1509" s="1" t="n">
        <v>58</v>
      </c>
      <c r="I1509" s="1" t="str">
        <f aca="false">RIGHT(("0"&amp;C1509),2)&amp;RIGHT(("0"&amp;D1509),2)&amp;RIGHT(("0"&amp;E1509),2)&amp;RIGHT(("0"&amp;F1509),2)&amp;RIGHT(("0"&amp;G1509),2)&amp;RIGHT(("0"&amp;H1509),2)</f>
        <v>171830353958</v>
      </c>
      <c r="J1509" s="1" t="n">
        <f aca="false">COUNTIF(I:I,I1509)</f>
        <v>1</v>
      </c>
      <c r="K1509" s="1" t="n">
        <v>2</v>
      </c>
      <c r="L1509" s="1" t="s">
        <v>7921</v>
      </c>
      <c r="M1509" s="1" t="s">
        <v>7922</v>
      </c>
      <c r="N1509" s="1" t="n">
        <v>115</v>
      </c>
      <c r="O1509" s="1" t="s">
        <v>7923</v>
      </c>
      <c r="P1509" s="1" t="n">
        <v>10276</v>
      </c>
      <c r="Q1509" s="1" t="s">
        <v>7924</v>
      </c>
      <c r="R1509" s="1" t="s">
        <v>23</v>
      </c>
      <c r="S1509" s="1" t="s">
        <v>7925</v>
      </c>
      <c r="T1509" s="1" t="s">
        <v>4256</v>
      </c>
      <c r="U1509" s="1" t="s">
        <v>7926</v>
      </c>
    </row>
    <row r="1510" customFormat="false" ht="13.8" hidden="false" customHeight="false" outlineLevel="0" collapsed="false">
      <c r="A1510" s="1" t="n">
        <v>1509</v>
      </c>
      <c r="B1510" s="2" t="s">
        <v>7927</v>
      </c>
      <c r="C1510" s="1" t="n">
        <v>1</v>
      </c>
      <c r="D1510" s="1" t="n">
        <v>6</v>
      </c>
      <c r="E1510" s="1" t="n">
        <v>27</v>
      </c>
      <c r="F1510" s="1" t="n">
        <v>46</v>
      </c>
      <c r="G1510" s="1" t="n">
        <v>51</v>
      </c>
      <c r="H1510" s="1" t="n">
        <v>59</v>
      </c>
      <c r="I1510" s="1" t="str">
        <f aca="false">RIGHT(("0"&amp;C1510),2)&amp;RIGHT(("0"&amp;D1510),2)&amp;RIGHT(("0"&amp;E1510),2)&amp;RIGHT(("0"&amp;F1510),2)&amp;RIGHT(("0"&amp;G1510),2)&amp;RIGHT(("0"&amp;H1510),2)</f>
        <v>010627465159</v>
      </c>
      <c r="J1510" s="1" t="n">
        <f aca="false">COUNTIF(I:I,I1510)</f>
        <v>1</v>
      </c>
      <c r="K1510" s="1" t="n">
        <v>0</v>
      </c>
      <c r="M1510" s="1" t="s">
        <v>23</v>
      </c>
      <c r="N1510" s="1" t="n">
        <v>71</v>
      </c>
      <c r="O1510" s="1" t="s">
        <v>7928</v>
      </c>
      <c r="P1510" s="1" t="n">
        <v>5633</v>
      </c>
      <c r="Q1510" s="1" t="s">
        <v>7929</v>
      </c>
      <c r="R1510" s="1" t="s">
        <v>7930</v>
      </c>
      <c r="S1510" s="1" t="s">
        <v>7931</v>
      </c>
      <c r="T1510" s="1" t="s">
        <v>4246</v>
      </c>
      <c r="U1510" s="1" t="s">
        <v>7932</v>
      </c>
    </row>
    <row r="1511" customFormat="false" ht="13.8" hidden="false" customHeight="false" outlineLevel="0" collapsed="false">
      <c r="A1511" s="1" t="n">
        <v>1510</v>
      </c>
      <c r="B1511" s="2" t="s">
        <v>7933</v>
      </c>
      <c r="C1511" s="1" t="n">
        <v>1</v>
      </c>
      <c r="D1511" s="1" t="n">
        <v>8</v>
      </c>
      <c r="E1511" s="1" t="n">
        <v>17</v>
      </c>
      <c r="F1511" s="1" t="n">
        <v>44</v>
      </c>
      <c r="G1511" s="1" t="n">
        <v>46</v>
      </c>
      <c r="H1511" s="1" t="n">
        <v>53</v>
      </c>
      <c r="I1511" s="1" t="str">
        <f aca="false">RIGHT(("0"&amp;C1511),2)&amp;RIGHT(("0"&amp;D1511),2)&amp;RIGHT(("0"&amp;E1511),2)&amp;RIGHT(("0"&amp;F1511),2)&amp;RIGHT(("0"&amp;G1511),2)&amp;RIGHT(("0"&amp;H1511),2)</f>
        <v>010817444653</v>
      </c>
      <c r="J1511" s="1" t="n">
        <f aca="false">COUNTIF(I:I,I1511)</f>
        <v>1</v>
      </c>
      <c r="K1511" s="1" t="n">
        <v>1</v>
      </c>
      <c r="L1511" s="1" t="s">
        <v>7934</v>
      </c>
      <c r="M1511" s="1" t="s">
        <v>7935</v>
      </c>
      <c r="N1511" s="1" t="n">
        <v>95</v>
      </c>
      <c r="O1511" s="1" t="s">
        <v>7936</v>
      </c>
      <c r="P1511" s="1" t="n">
        <v>9101</v>
      </c>
      <c r="Q1511" s="1" t="s">
        <v>7937</v>
      </c>
      <c r="R1511" s="1" t="s">
        <v>23</v>
      </c>
      <c r="S1511" s="1" t="s">
        <v>7938</v>
      </c>
      <c r="T1511" s="1" t="s">
        <v>4648</v>
      </c>
      <c r="U1511" s="1" t="s">
        <v>7939</v>
      </c>
      <c r="V1511" s="1" t="s">
        <v>6777</v>
      </c>
    </row>
    <row r="1512" customFormat="false" ht="13.8" hidden="false" customHeight="false" outlineLevel="0" collapsed="false">
      <c r="A1512" s="1" t="n">
        <v>1511</v>
      </c>
      <c r="B1512" s="2" t="s">
        <v>7940</v>
      </c>
      <c r="C1512" s="1" t="n">
        <v>4</v>
      </c>
      <c r="D1512" s="1" t="n">
        <v>8</v>
      </c>
      <c r="E1512" s="1" t="n">
        <v>17</v>
      </c>
      <c r="F1512" s="1" t="n">
        <v>29</v>
      </c>
      <c r="G1512" s="1" t="n">
        <v>31</v>
      </c>
      <c r="H1512" s="1" t="n">
        <v>45</v>
      </c>
      <c r="I1512" s="1" t="str">
        <f aca="false">RIGHT(("0"&amp;C1512),2)&amp;RIGHT(("0"&amp;D1512),2)&amp;RIGHT(("0"&amp;E1512),2)&amp;RIGHT(("0"&amp;F1512),2)&amp;RIGHT(("0"&amp;G1512),2)&amp;RIGHT(("0"&amp;H1512),2)</f>
        <v>040817293145</v>
      </c>
      <c r="J1512" s="1" t="n">
        <f aca="false">COUNTIF(I:I,I1512)</f>
        <v>1</v>
      </c>
      <c r="K1512" s="1" t="n">
        <v>0</v>
      </c>
      <c r="M1512" s="1" t="s">
        <v>23</v>
      </c>
      <c r="N1512" s="1" t="n">
        <v>138</v>
      </c>
      <c r="O1512" s="1" t="s">
        <v>7941</v>
      </c>
      <c r="P1512" s="1" t="n">
        <v>7658</v>
      </c>
      <c r="Q1512" s="1" t="s">
        <v>7942</v>
      </c>
      <c r="R1512" s="1" t="s">
        <v>7943</v>
      </c>
      <c r="S1512" s="1" t="s">
        <v>7944</v>
      </c>
      <c r="T1512" s="1" t="s">
        <v>5931</v>
      </c>
      <c r="U1512" s="1" t="s">
        <v>7945</v>
      </c>
    </row>
    <row r="1513" customFormat="false" ht="13.8" hidden="false" customHeight="false" outlineLevel="0" collapsed="false">
      <c r="A1513" s="1" t="n">
        <v>1512</v>
      </c>
      <c r="B1513" s="2" t="s">
        <v>7946</v>
      </c>
      <c r="C1513" s="1" t="n">
        <v>11</v>
      </c>
      <c r="D1513" s="1" t="n">
        <v>28</v>
      </c>
      <c r="E1513" s="1" t="n">
        <v>35</v>
      </c>
      <c r="F1513" s="1" t="n">
        <v>42</v>
      </c>
      <c r="G1513" s="1" t="n">
        <v>46</v>
      </c>
      <c r="H1513" s="1" t="n">
        <v>58</v>
      </c>
      <c r="I1513" s="1" t="str">
        <f aca="false">RIGHT(("0"&amp;C1513),2)&amp;RIGHT(("0"&amp;D1513),2)&amp;RIGHT(("0"&amp;E1513),2)&amp;RIGHT(("0"&amp;F1513),2)&amp;RIGHT(("0"&amp;G1513),2)&amp;RIGHT(("0"&amp;H1513),2)</f>
        <v>112835424658</v>
      </c>
      <c r="J1513" s="1" t="n">
        <f aca="false">COUNTIF(I:I,I1513)</f>
        <v>1</v>
      </c>
      <c r="K1513" s="1" t="n">
        <v>0</v>
      </c>
      <c r="M1513" s="1" t="s">
        <v>23</v>
      </c>
      <c r="N1513" s="1" t="n">
        <v>94</v>
      </c>
      <c r="O1513" s="1" t="s">
        <v>7947</v>
      </c>
      <c r="P1513" s="1" t="n">
        <v>5874</v>
      </c>
      <c r="Q1513" s="1" t="s">
        <v>7948</v>
      </c>
      <c r="R1513" s="1" t="s">
        <v>7949</v>
      </c>
      <c r="S1513" s="1" t="s">
        <v>7950</v>
      </c>
      <c r="T1513" s="1" t="s">
        <v>4195</v>
      </c>
      <c r="U1513" s="1" t="s">
        <v>7951</v>
      </c>
      <c r="V1513" s="1" t="s">
        <v>7952</v>
      </c>
    </row>
    <row r="1514" customFormat="false" ht="13.8" hidden="false" customHeight="false" outlineLevel="0" collapsed="false">
      <c r="A1514" s="1" t="n">
        <v>1513</v>
      </c>
      <c r="B1514" s="2" t="s">
        <v>7953</v>
      </c>
      <c r="C1514" s="1" t="n">
        <v>17</v>
      </c>
      <c r="D1514" s="1" t="n">
        <v>28</v>
      </c>
      <c r="E1514" s="1" t="n">
        <v>31</v>
      </c>
      <c r="F1514" s="1" t="n">
        <v>56</v>
      </c>
      <c r="G1514" s="1" t="n">
        <v>57</v>
      </c>
      <c r="H1514" s="1" t="n">
        <v>58</v>
      </c>
      <c r="I1514" s="1" t="str">
        <f aca="false">RIGHT(("0"&amp;C1514),2)&amp;RIGHT(("0"&amp;D1514),2)&amp;RIGHT(("0"&amp;E1514),2)&amp;RIGHT(("0"&amp;F1514),2)&amp;RIGHT(("0"&amp;G1514),2)&amp;RIGHT(("0"&amp;H1514),2)</f>
        <v>172831565758</v>
      </c>
      <c r="J1514" s="1" t="n">
        <f aca="false">COUNTIF(I:I,I1514)</f>
        <v>1</v>
      </c>
      <c r="K1514" s="1" t="n">
        <v>0</v>
      </c>
      <c r="M1514" s="1" t="s">
        <v>23</v>
      </c>
      <c r="N1514" s="1" t="n">
        <v>44</v>
      </c>
      <c r="O1514" s="1" t="s">
        <v>7954</v>
      </c>
      <c r="P1514" s="1" t="n">
        <v>4837</v>
      </c>
      <c r="Q1514" s="1" t="s">
        <v>7955</v>
      </c>
      <c r="R1514" s="1" t="s">
        <v>7956</v>
      </c>
      <c r="S1514" s="1" t="s">
        <v>7957</v>
      </c>
      <c r="T1514" s="1" t="s">
        <v>7044</v>
      </c>
      <c r="U1514" s="1" t="s">
        <v>7958</v>
      </c>
    </row>
    <row r="1515" customFormat="false" ht="13.8" hidden="false" customHeight="false" outlineLevel="0" collapsed="false">
      <c r="A1515" s="1" t="n">
        <v>1514</v>
      </c>
      <c r="B1515" s="2" t="s">
        <v>7959</v>
      </c>
      <c r="C1515" s="1" t="n">
        <v>16</v>
      </c>
      <c r="D1515" s="1" t="n">
        <v>17</v>
      </c>
      <c r="E1515" s="1" t="n">
        <v>23</v>
      </c>
      <c r="F1515" s="1" t="n">
        <v>42</v>
      </c>
      <c r="G1515" s="1" t="n">
        <v>59</v>
      </c>
      <c r="H1515" s="1" t="n">
        <v>60</v>
      </c>
      <c r="I1515" s="1" t="str">
        <f aca="false">RIGHT(("0"&amp;C1515),2)&amp;RIGHT(("0"&amp;D1515),2)&amp;RIGHT(("0"&amp;E1515),2)&amp;RIGHT(("0"&amp;F1515),2)&amp;RIGHT(("0"&amp;G1515),2)&amp;RIGHT(("0"&amp;H1515),2)</f>
        <v>161723425960</v>
      </c>
      <c r="J1515" s="1" t="n">
        <f aca="false">COUNTIF(I:I,I1515)</f>
        <v>1</v>
      </c>
      <c r="K1515" s="1" t="n">
        <v>1</v>
      </c>
      <c r="L1515" s="1" t="s">
        <v>7960</v>
      </c>
      <c r="M1515" s="1" t="s">
        <v>7961</v>
      </c>
      <c r="N1515" s="1" t="n">
        <v>66</v>
      </c>
      <c r="O1515" s="1" t="s">
        <v>7962</v>
      </c>
      <c r="P1515" s="1" t="n">
        <v>6219</v>
      </c>
      <c r="Q1515" s="1" t="s">
        <v>7963</v>
      </c>
      <c r="R1515" s="1" t="s">
        <v>23</v>
      </c>
      <c r="S1515" s="1" t="s">
        <v>7964</v>
      </c>
      <c r="T1515" s="1" t="s">
        <v>4203</v>
      </c>
      <c r="U1515" s="1" t="s">
        <v>7965</v>
      </c>
    </row>
    <row r="1516" customFormat="false" ht="13.8" hidden="false" customHeight="false" outlineLevel="0" collapsed="false">
      <c r="A1516" s="1" t="n">
        <v>1515</v>
      </c>
      <c r="B1516" s="2" t="s">
        <v>7966</v>
      </c>
      <c r="C1516" s="1" t="n">
        <v>4</v>
      </c>
      <c r="D1516" s="1" t="n">
        <v>13</v>
      </c>
      <c r="E1516" s="1" t="n">
        <v>14</v>
      </c>
      <c r="F1516" s="1" t="n">
        <v>18</v>
      </c>
      <c r="G1516" s="1" t="n">
        <v>49</v>
      </c>
      <c r="H1516" s="1" t="n">
        <v>59</v>
      </c>
      <c r="I1516" s="1" t="str">
        <f aca="false">RIGHT(("0"&amp;C1516),2)&amp;RIGHT(("0"&amp;D1516),2)&amp;RIGHT(("0"&amp;E1516),2)&amp;RIGHT(("0"&amp;F1516),2)&amp;RIGHT(("0"&amp;G1516),2)&amp;RIGHT(("0"&amp;H1516),2)</f>
        <v>041314184959</v>
      </c>
      <c r="J1516" s="1" t="n">
        <f aca="false">COUNTIF(I:I,I1516)</f>
        <v>1</v>
      </c>
      <c r="K1516" s="1" t="n">
        <v>1</v>
      </c>
      <c r="L1516" s="1" t="s">
        <v>7967</v>
      </c>
      <c r="M1516" s="1" t="s">
        <v>7968</v>
      </c>
      <c r="N1516" s="1" t="n">
        <v>111</v>
      </c>
      <c r="O1516" s="1" t="s">
        <v>7969</v>
      </c>
      <c r="P1516" s="1" t="n">
        <v>8567</v>
      </c>
      <c r="Q1516" s="1" t="s">
        <v>7970</v>
      </c>
      <c r="R1516" s="1" t="s">
        <v>23</v>
      </c>
      <c r="S1516" s="1" t="s">
        <v>7971</v>
      </c>
      <c r="T1516" s="1" t="s">
        <v>4256</v>
      </c>
      <c r="U1516" s="1" t="s">
        <v>7972</v>
      </c>
    </row>
    <row r="1517" customFormat="false" ht="13.8" hidden="false" customHeight="false" outlineLevel="0" collapsed="false">
      <c r="A1517" s="1" t="n">
        <v>1516</v>
      </c>
      <c r="B1517" s="2" t="s">
        <v>7973</v>
      </c>
      <c r="C1517" s="1" t="n">
        <v>4</v>
      </c>
      <c r="D1517" s="1" t="n">
        <v>18</v>
      </c>
      <c r="E1517" s="1" t="n">
        <v>20</v>
      </c>
      <c r="F1517" s="1" t="n">
        <v>34</v>
      </c>
      <c r="G1517" s="1" t="n">
        <v>45</v>
      </c>
      <c r="H1517" s="1" t="n">
        <v>60</v>
      </c>
      <c r="I1517" s="1" t="str">
        <f aca="false">RIGHT(("0"&amp;C1517),2)&amp;RIGHT(("0"&amp;D1517),2)&amp;RIGHT(("0"&amp;E1517),2)&amp;RIGHT(("0"&amp;F1517),2)&amp;RIGHT(("0"&amp;G1517),2)&amp;RIGHT(("0"&amp;H1517),2)</f>
        <v>041820344560</v>
      </c>
      <c r="J1517" s="1" t="n">
        <f aca="false">COUNTIF(I:I,I1517)</f>
        <v>1</v>
      </c>
      <c r="K1517" s="1" t="n">
        <v>1</v>
      </c>
      <c r="L1517" s="1" t="s">
        <v>7974</v>
      </c>
      <c r="M1517" s="1" t="s">
        <v>7975</v>
      </c>
      <c r="N1517" s="1" t="n">
        <v>56</v>
      </c>
      <c r="O1517" s="1" t="s">
        <v>7976</v>
      </c>
      <c r="P1517" s="1" t="n">
        <v>3946</v>
      </c>
      <c r="Q1517" s="1" t="s">
        <v>7977</v>
      </c>
      <c r="R1517" s="1" t="s">
        <v>23</v>
      </c>
      <c r="S1517" s="1" t="s">
        <v>7978</v>
      </c>
      <c r="T1517" s="1" t="s">
        <v>4256</v>
      </c>
      <c r="U1517" s="1" t="s">
        <v>7979</v>
      </c>
      <c r="V1517" s="1" t="s">
        <v>7952</v>
      </c>
    </row>
    <row r="1518" customFormat="false" ht="13.8" hidden="false" customHeight="false" outlineLevel="0" collapsed="false">
      <c r="A1518" s="1" t="n">
        <v>1517</v>
      </c>
      <c r="B1518" s="2" t="s">
        <v>7980</v>
      </c>
      <c r="C1518" s="1" t="n">
        <v>7</v>
      </c>
      <c r="D1518" s="1" t="n">
        <v>17</v>
      </c>
      <c r="E1518" s="1" t="n">
        <v>38</v>
      </c>
      <c r="F1518" s="1" t="n">
        <v>45</v>
      </c>
      <c r="G1518" s="1" t="n">
        <v>52</v>
      </c>
      <c r="H1518" s="1" t="n">
        <v>56</v>
      </c>
      <c r="I1518" s="1" t="str">
        <f aca="false">RIGHT(("0"&amp;C1518),2)&amp;RIGHT(("0"&amp;D1518),2)&amp;RIGHT(("0"&amp;E1518),2)&amp;RIGHT(("0"&amp;F1518),2)&amp;RIGHT(("0"&amp;G1518),2)&amp;RIGHT(("0"&amp;H1518),2)</f>
        <v>071738455256</v>
      </c>
      <c r="J1518" s="1" t="n">
        <f aca="false">COUNTIF(I:I,I1518)</f>
        <v>1</v>
      </c>
      <c r="K1518" s="1" t="n">
        <v>0</v>
      </c>
      <c r="M1518" s="1" t="s">
        <v>23</v>
      </c>
      <c r="N1518" s="1" t="n">
        <v>60</v>
      </c>
      <c r="O1518" s="1" t="s">
        <v>7981</v>
      </c>
      <c r="P1518" s="1" t="n">
        <v>5366</v>
      </c>
      <c r="Q1518" s="1" t="s">
        <v>7982</v>
      </c>
      <c r="R1518" s="1" t="s">
        <v>7983</v>
      </c>
      <c r="S1518" s="1" t="s">
        <v>7984</v>
      </c>
      <c r="T1518" s="1" t="s">
        <v>4342</v>
      </c>
      <c r="U1518" s="1" t="s">
        <v>7985</v>
      </c>
    </row>
    <row r="1519" customFormat="false" ht="13.8" hidden="false" customHeight="false" outlineLevel="0" collapsed="false">
      <c r="A1519" s="1" t="n">
        <v>1518</v>
      </c>
      <c r="B1519" s="2" t="s">
        <v>7986</v>
      </c>
      <c r="C1519" s="1" t="n">
        <v>8</v>
      </c>
      <c r="D1519" s="1" t="n">
        <v>9</v>
      </c>
      <c r="E1519" s="1" t="n">
        <v>28</v>
      </c>
      <c r="F1519" s="1" t="n">
        <v>41</v>
      </c>
      <c r="G1519" s="1" t="n">
        <v>48</v>
      </c>
      <c r="H1519" s="1" t="n">
        <v>55</v>
      </c>
      <c r="I1519" s="1" t="str">
        <f aca="false">RIGHT(("0"&amp;C1519),2)&amp;RIGHT(("0"&amp;D1519),2)&amp;RIGHT(("0"&amp;E1519),2)&amp;RIGHT(("0"&amp;F1519),2)&amp;RIGHT(("0"&amp;G1519),2)&amp;RIGHT(("0"&amp;H1519),2)</f>
        <v>080928414855</v>
      </c>
      <c r="J1519" s="1" t="n">
        <f aca="false">COUNTIF(I:I,I1519)</f>
        <v>1</v>
      </c>
      <c r="K1519" s="1" t="n">
        <v>0</v>
      </c>
      <c r="M1519" s="1" t="s">
        <v>23</v>
      </c>
      <c r="N1519" s="1" t="n">
        <v>28</v>
      </c>
      <c r="O1519" s="1" t="s">
        <v>7987</v>
      </c>
      <c r="P1519" s="1" t="n">
        <v>2892</v>
      </c>
      <c r="Q1519" s="1" t="s">
        <v>7988</v>
      </c>
      <c r="R1519" s="1" t="s">
        <v>7989</v>
      </c>
      <c r="S1519" s="1" t="s">
        <v>7990</v>
      </c>
      <c r="T1519" s="1" t="s">
        <v>7498</v>
      </c>
      <c r="U1519" s="1" t="s">
        <v>7991</v>
      </c>
    </row>
    <row r="1520" customFormat="false" ht="13.8" hidden="false" customHeight="false" outlineLevel="0" collapsed="false">
      <c r="A1520" s="1" t="n">
        <v>1519</v>
      </c>
      <c r="B1520" s="2" t="s">
        <v>7992</v>
      </c>
      <c r="C1520" s="1" t="n">
        <v>5</v>
      </c>
      <c r="D1520" s="1" t="n">
        <v>6</v>
      </c>
      <c r="E1520" s="1" t="n">
        <v>15</v>
      </c>
      <c r="F1520" s="1" t="n">
        <v>23</v>
      </c>
      <c r="G1520" s="1" t="n">
        <v>56</v>
      </c>
      <c r="H1520" s="1" t="n">
        <v>59</v>
      </c>
      <c r="I1520" s="1" t="str">
        <f aca="false">RIGHT(("0"&amp;C1520),2)&amp;RIGHT(("0"&amp;D1520),2)&amp;RIGHT(("0"&amp;E1520),2)&amp;RIGHT(("0"&amp;F1520),2)&amp;RIGHT(("0"&amp;G1520),2)&amp;RIGHT(("0"&amp;H1520),2)</f>
        <v>050615235659</v>
      </c>
      <c r="J1520" s="1" t="n">
        <f aca="false">COUNTIF(I:I,I1520)</f>
        <v>1</v>
      </c>
      <c r="K1520" s="1" t="n">
        <v>0</v>
      </c>
      <c r="M1520" s="1" t="s">
        <v>23</v>
      </c>
      <c r="N1520" s="1" t="n">
        <v>72</v>
      </c>
      <c r="O1520" s="1" t="s">
        <v>7993</v>
      </c>
      <c r="P1520" s="1" t="n">
        <v>5886</v>
      </c>
      <c r="Q1520" s="1" t="s">
        <v>7994</v>
      </c>
      <c r="R1520" s="1" t="s">
        <v>7995</v>
      </c>
      <c r="S1520" s="1" t="s">
        <v>7996</v>
      </c>
      <c r="T1520" s="1" t="s">
        <v>4299</v>
      </c>
      <c r="U1520" s="1" t="s">
        <v>7997</v>
      </c>
    </row>
    <row r="1521" customFormat="false" ht="13.8" hidden="false" customHeight="false" outlineLevel="0" collapsed="false">
      <c r="A1521" s="1" t="n">
        <v>1520</v>
      </c>
      <c r="B1521" s="2" t="s">
        <v>7998</v>
      </c>
      <c r="C1521" s="1" t="n">
        <v>7</v>
      </c>
      <c r="D1521" s="1" t="n">
        <v>31</v>
      </c>
      <c r="E1521" s="1" t="n">
        <v>35</v>
      </c>
      <c r="F1521" s="1" t="n">
        <v>36</v>
      </c>
      <c r="G1521" s="1" t="n">
        <v>46</v>
      </c>
      <c r="H1521" s="1" t="n">
        <v>48</v>
      </c>
      <c r="I1521" s="1" t="str">
        <f aca="false">RIGHT(("0"&amp;C1521),2)&amp;RIGHT(("0"&amp;D1521),2)&amp;RIGHT(("0"&amp;E1521),2)&amp;RIGHT(("0"&amp;F1521),2)&amp;RIGHT(("0"&amp;G1521),2)&amp;RIGHT(("0"&amp;H1521),2)</f>
        <v>073135364648</v>
      </c>
      <c r="J1521" s="1" t="n">
        <f aca="false">COUNTIF(I:I,I1521)</f>
        <v>1</v>
      </c>
      <c r="K1521" s="1" t="n">
        <v>0</v>
      </c>
      <c r="M1521" s="1" t="s">
        <v>23</v>
      </c>
      <c r="N1521" s="1" t="n">
        <v>43</v>
      </c>
      <c r="O1521" s="1" t="s">
        <v>7999</v>
      </c>
      <c r="P1521" s="1" t="n">
        <v>5886</v>
      </c>
      <c r="Q1521" s="1" t="s">
        <v>8000</v>
      </c>
      <c r="R1521" s="1" t="s">
        <v>8001</v>
      </c>
      <c r="S1521" s="1" t="s">
        <v>8002</v>
      </c>
      <c r="T1521" s="1" t="s">
        <v>4718</v>
      </c>
      <c r="U1521" s="1" t="s">
        <v>8003</v>
      </c>
    </row>
    <row r="1522" customFormat="false" ht="13.8" hidden="false" customHeight="false" outlineLevel="0" collapsed="false">
      <c r="A1522" s="1" t="n">
        <v>1521</v>
      </c>
      <c r="B1522" s="2" t="s">
        <v>8004</v>
      </c>
      <c r="C1522" s="1" t="n">
        <v>11</v>
      </c>
      <c r="D1522" s="1" t="n">
        <v>14</v>
      </c>
      <c r="E1522" s="1" t="n">
        <v>18</v>
      </c>
      <c r="F1522" s="1" t="n">
        <v>30</v>
      </c>
      <c r="G1522" s="1" t="n">
        <v>33</v>
      </c>
      <c r="H1522" s="1" t="n">
        <v>39</v>
      </c>
      <c r="I1522" s="1" t="str">
        <f aca="false">RIGHT(("0"&amp;C1522),2)&amp;RIGHT(("0"&amp;D1522),2)&amp;RIGHT(("0"&amp;E1522),2)&amp;RIGHT(("0"&amp;F1522),2)&amp;RIGHT(("0"&amp;G1522),2)&amp;RIGHT(("0"&amp;H1522),2)</f>
        <v>111418303339</v>
      </c>
      <c r="J1522" s="1" t="n">
        <f aca="false">COUNTIF(I:I,I1522)</f>
        <v>1</v>
      </c>
      <c r="K1522" s="1" t="n">
        <v>1</v>
      </c>
      <c r="L1522" s="1" t="s">
        <v>8005</v>
      </c>
      <c r="M1522" s="1" t="s">
        <v>8006</v>
      </c>
      <c r="N1522" s="1" t="n">
        <v>134</v>
      </c>
      <c r="O1522" s="1" t="s">
        <v>8007</v>
      </c>
      <c r="P1522" s="1" t="n">
        <v>9266</v>
      </c>
      <c r="Q1522" s="1" t="s">
        <v>8008</v>
      </c>
      <c r="R1522" s="1" t="s">
        <v>23</v>
      </c>
      <c r="S1522" s="1" t="s">
        <v>8009</v>
      </c>
      <c r="T1522" s="1" t="s">
        <v>4256</v>
      </c>
      <c r="U1522" s="1" t="s">
        <v>8010</v>
      </c>
    </row>
    <row r="1523" customFormat="false" ht="13.8" hidden="false" customHeight="false" outlineLevel="0" collapsed="false">
      <c r="A1523" s="1" t="n">
        <v>1522</v>
      </c>
      <c r="B1523" s="2" t="s">
        <v>8011</v>
      </c>
      <c r="C1523" s="1" t="n">
        <v>5</v>
      </c>
      <c r="D1523" s="1" t="n">
        <v>8</v>
      </c>
      <c r="E1523" s="1" t="n">
        <v>23</v>
      </c>
      <c r="F1523" s="1" t="n">
        <v>32</v>
      </c>
      <c r="G1523" s="1" t="n">
        <v>33</v>
      </c>
      <c r="H1523" s="1" t="n">
        <v>56</v>
      </c>
      <c r="I1523" s="1" t="str">
        <f aca="false">RIGHT(("0"&amp;C1523),2)&amp;RIGHT(("0"&amp;D1523),2)&amp;RIGHT(("0"&amp;E1523),2)&amp;RIGHT(("0"&amp;F1523),2)&amp;RIGHT(("0"&amp;G1523),2)&amp;RIGHT(("0"&amp;H1523),2)</f>
        <v>050823323356</v>
      </c>
      <c r="J1523" s="1" t="n">
        <f aca="false">COUNTIF(I:I,I1523)</f>
        <v>1</v>
      </c>
      <c r="K1523" s="1" t="n">
        <v>0</v>
      </c>
      <c r="M1523" s="1" t="s">
        <v>23</v>
      </c>
      <c r="N1523" s="1" t="n">
        <v>93</v>
      </c>
      <c r="O1523" s="1" t="s">
        <v>8012</v>
      </c>
      <c r="P1523" s="1" t="n">
        <v>6765</v>
      </c>
      <c r="Q1523" s="1" t="s">
        <v>8013</v>
      </c>
      <c r="R1523" s="1" t="s">
        <v>8014</v>
      </c>
      <c r="S1523" s="1" t="s">
        <v>8015</v>
      </c>
      <c r="T1523" s="1" t="s">
        <v>4342</v>
      </c>
      <c r="U1523" s="1" t="s">
        <v>8016</v>
      </c>
    </row>
    <row r="1524" customFormat="false" ht="13.8" hidden="false" customHeight="false" outlineLevel="0" collapsed="false">
      <c r="A1524" s="1" t="n">
        <v>1523</v>
      </c>
      <c r="B1524" s="2" t="s">
        <v>8017</v>
      </c>
      <c r="C1524" s="1" t="n">
        <v>22</v>
      </c>
      <c r="D1524" s="1" t="n">
        <v>25</v>
      </c>
      <c r="E1524" s="1" t="n">
        <v>31</v>
      </c>
      <c r="F1524" s="1" t="n">
        <v>39</v>
      </c>
      <c r="G1524" s="1" t="n">
        <v>41</v>
      </c>
      <c r="H1524" s="1" t="n">
        <v>44</v>
      </c>
      <c r="I1524" s="1" t="str">
        <f aca="false">RIGHT(("0"&amp;C1524),2)&amp;RIGHT(("0"&amp;D1524),2)&amp;RIGHT(("0"&amp;E1524),2)&amp;RIGHT(("0"&amp;F1524),2)&amp;RIGHT(("0"&amp;G1524),2)&amp;RIGHT(("0"&amp;H1524),2)</f>
        <v>222531394144</v>
      </c>
      <c r="J1524" s="1" t="n">
        <f aca="false">COUNTIF(I:I,I1524)</f>
        <v>1</v>
      </c>
      <c r="K1524" s="1" t="n">
        <v>0</v>
      </c>
      <c r="M1524" s="1" t="s">
        <v>23</v>
      </c>
      <c r="N1524" s="1" t="n">
        <v>61</v>
      </c>
      <c r="O1524" s="1" t="s">
        <v>8018</v>
      </c>
      <c r="P1524" s="1" t="n">
        <v>4254</v>
      </c>
      <c r="Q1524" s="1" t="s">
        <v>8019</v>
      </c>
      <c r="R1524" s="1" t="s">
        <v>8020</v>
      </c>
      <c r="S1524" s="1" t="s">
        <v>8021</v>
      </c>
      <c r="T1524" s="1" t="s">
        <v>5969</v>
      </c>
      <c r="U1524" s="1" t="s">
        <v>8022</v>
      </c>
    </row>
    <row r="1525" customFormat="false" ht="13.8" hidden="false" customHeight="false" outlineLevel="0" collapsed="false">
      <c r="A1525" s="1" t="n">
        <v>1524</v>
      </c>
      <c r="B1525" s="2" t="s">
        <v>8023</v>
      </c>
      <c r="C1525" s="1" t="n">
        <v>2</v>
      </c>
      <c r="D1525" s="1" t="n">
        <v>12</v>
      </c>
      <c r="E1525" s="1" t="n">
        <v>40</v>
      </c>
      <c r="F1525" s="1" t="n">
        <v>46</v>
      </c>
      <c r="G1525" s="1" t="n">
        <v>52</v>
      </c>
      <c r="H1525" s="1" t="n">
        <v>53</v>
      </c>
      <c r="I1525" s="1" t="str">
        <f aca="false">RIGHT(("0"&amp;C1525),2)&amp;RIGHT(("0"&amp;D1525),2)&amp;RIGHT(("0"&amp;E1525),2)&amp;RIGHT(("0"&amp;F1525),2)&amp;RIGHT(("0"&amp;G1525),2)&amp;RIGHT(("0"&amp;H1525),2)</f>
        <v>021240465253</v>
      </c>
      <c r="J1525" s="1" t="n">
        <f aca="false">COUNTIF(I:I,I1525)</f>
        <v>1</v>
      </c>
      <c r="K1525" s="1" t="n">
        <v>0</v>
      </c>
      <c r="M1525" s="1" t="s">
        <v>23</v>
      </c>
      <c r="N1525" s="1" t="n">
        <v>53</v>
      </c>
      <c r="O1525" s="1" t="s">
        <v>8024</v>
      </c>
      <c r="P1525" s="1" t="n">
        <v>4637</v>
      </c>
      <c r="Q1525" s="1" t="s">
        <v>8025</v>
      </c>
      <c r="R1525" s="1" t="s">
        <v>8026</v>
      </c>
      <c r="S1525" s="1" t="s">
        <v>8027</v>
      </c>
      <c r="T1525" s="1" t="s">
        <v>4213</v>
      </c>
      <c r="U1525" s="1" t="s">
        <v>8028</v>
      </c>
    </row>
    <row r="1526" customFormat="false" ht="13.8" hidden="false" customHeight="false" outlineLevel="0" collapsed="false">
      <c r="A1526" s="1" t="n">
        <v>1525</v>
      </c>
      <c r="B1526" s="2" t="s">
        <v>8029</v>
      </c>
      <c r="C1526" s="1" t="n">
        <v>2</v>
      </c>
      <c r="D1526" s="1" t="n">
        <v>26</v>
      </c>
      <c r="E1526" s="1" t="n">
        <v>30</v>
      </c>
      <c r="F1526" s="1" t="n">
        <v>35</v>
      </c>
      <c r="G1526" s="1" t="n">
        <v>46</v>
      </c>
      <c r="H1526" s="1" t="n">
        <v>54</v>
      </c>
      <c r="I1526" s="1" t="str">
        <f aca="false">RIGHT(("0"&amp;C1526),2)&amp;RIGHT(("0"&amp;D1526),2)&amp;RIGHT(("0"&amp;E1526),2)&amp;RIGHT(("0"&amp;F1526),2)&amp;RIGHT(("0"&amp;G1526),2)&amp;RIGHT(("0"&amp;H1526),2)</f>
        <v>022630354654</v>
      </c>
      <c r="J1526" s="1" t="n">
        <f aca="false">COUNTIF(I:I,I1526)</f>
        <v>1</v>
      </c>
      <c r="K1526" s="1" t="n">
        <v>0</v>
      </c>
      <c r="M1526" s="1" t="s">
        <v>23</v>
      </c>
      <c r="N1526" s="1" t="n">
        <v>67</v>
      </c>
      <c r="O1526" s="1" t="s">
        <v>8030</v>
      </c>
      <c r="P1526" s="1" t="n">
        <v>6260</v>
      </c>
      <c r="Q1526" s="1" t="s">
        <v>8031</v>
      </c>
      <c r="R1526" s="1" t="s">
        <v>8032</v>
      </c>
      <c r="S1526" s="1" t="s">
        <v>8033</v>
      </c>
      <c r="T1526" s="1" t="s">
        <v>4935</v>
      </c>
      <c r="U1526" s="1" t="s">
        <v>8034</v>
      </c>
    </row>
    <row r="1527" customFormat="false" ht="13.8" hidden="false" customHeight="false" outlineLevel="0" collapsed="false">
      <c r="A1527" s="1" t="n">
        <v>1526</v>
      </c>
      <c r="B1527" s="2" t="s">
        <v>8035</v>
      </c>
      <c r="C1527" s="1" t="n">
        <v>10</v>
      </c>
      <c r="D1527" s="1" t="n">
        <v>16</v>
      </c>
      <c r="E1527" s="1" t="n">
        <v>28</v>
      </c>
      <c r="F1527" s="1" t="n">
        <v>47</v>
      </c>
      <c r="G1527" s="1" t="n">
        <v>51</v>
      </c>
      <c r="H1527" s="1" t="n">
        <v>59</v>
      </c>
      <c r="I1527" s="1" t="str">
        <f aca="false">RIGHT(("0"&amp;C1527),2)&amp;RIGHT(("0"&amp;D1527),2)&amp;RIGHT(("0"&amp;E1527),2)&amp;RIGHT(("0"&amp;F1527),2)&amp;RIGHT(("0"&amp;G1527),2)&amp;RIGHT(("0"&amp;H1527),2)</f>
        <v>101628475159</v>
      </c>
      <c r="J1527" s="1" t="n">
        <f aca="false">COUNTIF(I:I,I1527)</f>
        <v>1</v>
      </c>
      <c r="K1527" s="1" t="n">
        <v>1</v>
      </c>
      <c r="L1527" s="1" t="s">
        <v>5484</v>
      </c>
      <c r="M1527" s="1" t="s">
        <v>8036</v>
      </c>
      <c r="N1527" s="1" t="n">
        <v>149</v>
      </c>
      <c r="O1527" s="1" t="s">
        <v>8037</v>
      </c>
      <c r="P1527" s="1" t="n">
        <v>10735</v>
      </c>
      <c r="Q1527" s="1" t="s">
        <v>8038</v>
      </c>
      <c r="R1527" s="1" t="s">
        <v>23</v>
      </c>
      <c r="S1527" s="1" t="s">
        <v>8039</v>
      </c>
      <c r="T1527" s="1" t="s">
        <v>4256</v>
      </c>
      <c r="U1527" s="1" t="s">
        <v>8040</v>
      </c>
    </row>
    <row r="1528" customFormat="false" ht="13.8" hidden="false" customHeight="false" outlineLevel="0" collapsed="false">
      <c r="A1528" s="1" t="n">
        <v>1527</v>
      </c>
      <c r="B1528" s="2" t="s">
        <v>8041</v>
      </c>
      <c r="C1528" s="1" t="n">
        <v>16</v>
      </c>
      <c r="D1528" s="1" t="n">
        <v>32</v>
      </c>
      <c r="E1528" s="1" t="n">
        <v>36</v>
      </c>
      <c r="F1528" s="1" t="n">
        <v>42</v>
      </c>
      <c r="G1528" s="1" t="n">
        <v>44</v>
      </c>
      <c r="H1528" s="1" t="n">
        <v>48</v>
      </c>
      <c r="I1528" s="1" t="str">
        <f aca="false">RIGHT(("0"&amp;C1528),2)&amp;RIGHT(("0"&amp;D1528),2)&amp;RIGHT(("0"&amp;E1528),2)&amp;RIGHT(("0"&amp;F1528),2)&amp;RIGHT(("0"&amp;G1528),2)&amp;RIGHT(("0"&amp;H1528),2)</f>
        <v>163236424448</v>
      </c>
      <c r="J1528" s="1" t="n">
        <f aca="false">COUNTIF(I:I,I1528)</f>
        <v>1</v>
      </c>
      <c r="K1528" s="1" t="n">
        <v>0</v>
      </c>
      <c r="M1528" s="1" t="s">
        <v>23</v>
      </c>
      <c r="N1528" s="1" t="n">
        <v>92</v>
      </c>
      <c r="O1528" s="1" t="s">
        <v>8042</v>
      </c>
      <c r="P1528" s="1" t="n">
        <v>5439</v>
      </c>
      <c r="Q1528" s="1" t="s">
        <v>8043</v>
      </c>
      <c r="R1528" s="1" t="s">
        <v>8044</v>
      </c>
      <c r="S1528" s="1" t="s">
        <v>8045</v>
      </c>
      <c r="T1528" s="1" t="s">
        <v>7748</v>
      </c>
      <c r="U1528" s="1" t="s">
        <v>8046</v>
      </c>
    </row>
    <row r="1529" customFormat="false" ht="13.8" hidden="false" customHeight="false" outlineLevel="0" collapsed="false">
      <c r="A1529" s="1" t="n">
        <v>1528</v>
      </c>
      <c r="B1529" s="2" t="s">
        <v>8047</v>
      </c>
      <c r="C1529" s="1" t="n">
        <v>4</v>
      </c>
      <c r="D1529" s="1" t="n">
        <v>13</v>
      </c>
      <c r="E1529" s="1" t="n">
        <v>15</v>
      </c>
      <c r="F1529" s="1" t="n">
        <v>19</v>
      </c>
      <c r="G1529" s="1" t="n">
        <v>36</v>
      </c>
      <c r="H1529" s="1" t="n">
        <v>58</v>
      </c>
      <c r="I1529" s="1" t="str">
        <f aca="false">RIGHT(("0"&amp;C1529),2)&amp;RIGHT(("0"&amp;D1529),2)&amp;RIGHT(("0"&amp;E1529),2)&amp;RIGHT(("0"&amp;F1529),2)&amp;RIGHT(("0"&amp;G1529),2)&amp;RIGHT(("0"&amp;H1529),2)</f>
        <v>041315193658</v>
      </c>
      <c r="J1529" s="1" t="n">
        <f aca="false">COUNTIF(I:I,I1529)</f>
        <v>1</v>
      </c>
      <c r="K1529" s="1" t="n">
        <v>0</v>
      </c>
      <c r="M1529" s="1" t="s">
        <v>23</v>
      </c>
      <c r="N1529" s="1" t="n">
        <v>101</v>
      </c>
      <c r="O1529" s="1" t="s">
        <v>8048</v>
      </c>
      <c r="P1529" s="1" t="n">
        <v>7347</v>
      </c>
      <c r="Q1529" s="1" t="s">
        <v>8049</v>
      </c>
      <c r="R1529" s="1" t="s">
        <v>8050</v>
      </c>
      <c r="S1529" s="1" t="s">
        <v>8051</v>
      </c>
      <c r="T1529" s="1" t="s">
        <v>4991</v>
      </c>
      <c r="U1529" s="1" t="s">
        <v>8052</v>
      </c>
    </row>
    <row r="1530" customFormat="false" ht="13.8" hidden="false" customHeight="false" outlineLevel="0" collapsed="false">
      <c r="A1530" s="1" t="n">
        <v>1529</v>
      </c>
      <c r="B1530" s="2" t="s">
        <v>8053</v>
      </c>
      <c r="C1530" s="1" t="n">
        <v>11</v>
      </c>
      <c r="D1530" s="1" t="n">
        <v>15</v>
      </c>
      <c r="E1530" s="1" t="n">
        <v>17</v>
      </c>
      <c r="F1530" s="1" t="n">
        <v>34</v>
      </c>
      <c r="G1530" s="1" t="n">
        <v>35</v>
      </c>
      <c r="H1530" s="1" t="n">
        <v>49</v>
      </c>
      <c r="I1530" s="1" t="str">
        <f aca="false">RIGHT(("0"&amp;C1530),2)&amp;RIGHT(("0"&amp;D1530),2)&amp;RIGHT(("0"&amp;E1530),2)&amp;RIGHT(("0"&amp;F1530),2)&amp;RIGHT(("0"&amp;G1530),2)&amp;RIGHT(("0"&amp;H1530),2)</f>
        <v>111517343549</v>
      </c>
      <c r="J1530" s="1" t="n">
        <f aca="false">COUNTIF(I:I,I1530)</f>
        <v>1</v>
      </c>
      <c r="K1530" s="1" t="n">
        <v>1</v>
      </c>
      <c r="L1530" s="1" t="s">
        <v>8054</v>
      </c>
      <c r="M1530" s="1" t="s">
        <v>8055</v>
      </c>
      <c r="N1530" s="1" t="n">
        <v>75</v>
      </c>
      <c r="O1530" s="1" t="s">
        <v>8056</v>
      </c>
      <c r="P1530" s="1" t="n">
        <v>6622</v>
      </c>
      <c r="Q1530" s="1" t="s">
        <v>8057</v>
      </c>
      <c r="R1530" s="1" t="s">
        <v>23</v>
      </c>
      <c r="S1530" s="1" t="s">
        <v>8058</v>
      </c>
      <c r="T1530" s="1" t="s">
        <v>3602</v>
      </c>
      <c r="U1530" s="1" t="s">
        <v>8059</v>
      </c>
    </row>
    <row r="1531" customFormat="false" ht="13.8" hidden="false" customHeight="false" outlineLevel="0" collapsed="false">
      <c r="A1531" s="1" t="n">
        <v>1530</v>
      </c>
      <c r="B1531" s="2" t="s">
        <v>8060</v>
      </c>
      <c r="C1531" s="1" t="n">
        <v>10</v>
      </c>
      <c r="D1531" s="1" t="n">
        <v>16</v>
      </c>
      <c r="E1531" s="1" t="n">
        <v>28</v>
      </c>
      <c r="F1531" s="1" t="n">
        <v>33</v>
      </c>
      <c r="G1531" s="1" t="n">
        <v>48</v>
      </c>
      <c r="H1531" s="1" t="n">
        <v>53</v>
      </c>
      <c r="I1531" s="1" t="str">
        <f aca="false">RIGHT(("0"&amp;C1531),2)&amp;RIGHT(("0"&amp;D1531),2)&amp;RIGHT(("0"&amp;E1531),2)&amp;RIGHT(("0"&amp;F1531),2)&amp;RIGHT(("0"&amp;G1531),2)&amp;RIGHT(("0"&amp;H1531),2)</f>
        <v>101628334853</v>
      </c>
      <c r="J1531" s="1" t="n">
        <f aca="false">COUNTIF(I:I,I1531)</f>
        <v>1</v>
      </c>
      <c r="K1531" s="1" t="n">
        <v>2</v>
      </c>
      <c r="L1531" s="1" t="s">
        <v>8061</v>
      </c>
      <c r="M1531" s="1" t="s">
        <v>8062</v>
      </c>
      <c r="N1531" s="1" t="n">
        <v>138</v>
      </c>
      <c r="O1531" s="1" t="s">
        <v>8063</v>
      </c>
      <c r="P1531" s="1" t="n">
        <v>9644</v>
      </c>
      <c r="Q1531" s="1" t="s">
        <v>8064</v>
      </c>
      <c r="R1531" s="1" t="s">
        <v>23</v>
      </c>
      <c r="S1531" s="1" t="s">
        <v>8065</v>
      </c>
      <c r="T1531" s="1" t="s">
        <v>4256</v>
      </c>
      <c r="U1531" s="1" t="s">
        <v>8066</v>
      </c>
    </row>
    <row r="1532" customFormat="false" ht="13.8" hidden="false" customHeight="false" outlineLevel="0" collapsed="false">
      <c r="A1532" s="1" t="n">
        <v>1531</v>
      </c>
      <c r="B1532" s="2" t="s">
        <v>8067</v>
      </c>
      <c r="C1532" s="1" t="n">
        <v>12</v>
      </c>
      <c r="D1532" s="1" t="n">
        <v>13</v>
      </c>
      <c r="E1532" s="1" t="n">
        <v>24</v>
      </c>
      <c r="F1532" s="1" t="n">
        <v>41</v>
      </c>
      <c r="G1532" s="1" t="n">
        <v>42</v>
      </c>
      <c r="H1532" s="1" t="n">
        <v>44</v>
      </c>
      <c r="I1532" s="1" t="str">
        <f aca="false">RIGHT(("0"&amp;C1532),2)&amp;RIGHT(("0"&amp;D1532),2)&amp;RIGHT(("0"&amp;E1532),2)&amp;RIGHT(("0"&amp;F1532),2)&amp;RIGHT(("0"&amp;G1532),2)&amp;RIGHT(("0"&amp;H1532),2)</f>
        <v>121324414244</v>
      </c>
      <c r="J1532" s="1" t="n">
        <f aca="false">COUNTIF(I:I,I1532)</f>
        <v>1</v>
      </c>
      <c r="K1532" s="1" t="n">
        <v>0</v>
      </c>
      <c r="M1532" s="1" t="s">
        <v>23</v>
      </c>
      <c r="N1532" s="1" t="n">
        <v>108</v>
      </c>
      <c r="O1532" s="1" t="s">
        <v>8068</v>
      </c>
      <c r="P1532" s="1" t="n">
        <v>5944</v>
      </c>
      <c r="Q1532" s="1" t="s">
        <v>8069</v>
      </c>
      <c r="R1532" s="1" t="s">
        <v>8070</v>
      </c>
      <c r="S1532" s="1" t="s">
        <v>8071</v>
      </c>
      <c r="T1532" s="1" t="s">
        <v>7089</v>
      </c>
      <c r="U1532" s="1" t="s">
        <v>8072</v>
      </c>
    </row>
    <row r="1533" customFormat="false" ht="13.8" hidden="false" customHeight="false" outlineLevel="0" collapsed="false">
      <c r="A1533" s="1" t="n">
        <v>1532</v>
      </c>
      <c r="B1533" s="2" t="s">
        <v>8073</v>
      </c>
      <c r="C1533" s="1" t="n">
        <v>2</v>
      </c>
      <c r="D1533" s="1" t="n">
        <v>11</v>
      </c>
      <c r="E1533" s="1" t="n">
        <v>23</v>
      </c>
      <c r="F1533" s="1" t="n">
        <v>31</v>
      </c>
      <c r="G1533" s="1" t="n">
        <v>42</v>
      </c>
      <c r="H1533" s="1" t="n">
        <v>44</v>
      </c>
      <c r="I1533" s="1" t="str">
        <f aca="false">RIGHT(("0"&amp;C1533),2)&amp;RIGHT(("0"&amp;D1533),2)&amp;RIGHT(("0"&amp;E1533),2)&amp;RIGHT(("0"&amp;F1533),2)&amp;RIGHT(("0"&amp;G1533),2)&amp;RIGHT(("0"&amp;H1533),2)</f>
        <v>021123314244</v>
      </c>
      <c r="J1533" s="1" t="n">
        <f aca="false">COUNTIF(I:I,I1533)</f>
        <v>1</v>
      </c>
      <c r="K1533" s="1" t="n">
        <v>3</v>
      </c>
      <c r="L1533" s="1" t="s">
        <v>8074</v>
      </c>
      <c r="M1533" s="1" t="s">
        <v>8075</v>
      </c>
      <c r="N1533" s="1" t="n">
        <v>91</v>
      </c>
      <c r="O1533" s="1" t="s">
        <v>8076</v>
      </c>
      <c r="P1533" s="1" t="n">
        <v>5676</v>
      </c>
      <c r="Q1533" s="1" t="s">
        <v>8077</v>
      </c>
      <c r="R1533" s="1" t="s">
        <v>23</v>
      </c>
      <c r="S1533" s="1" t="s">
        <v>8078</v>
      </c>
      <c r="T1533" s="1" t="s">
        <v>4256</v>
      </c>
      <c r="U1533" s="1" t="s">
        <v>8079</v>
      </c>
    </row>
    <row r="1534" customFormat="false" ht="13.8" hidden="false" customHeight="false" outlineLevel="0" collapsed="false">
      <c r="A1534" s="1" t="n">
        <v>1533</v>
      </c>
      <c r="B1534" s="2" t="s">
        <v>8080</v>
      </c>
      <c r="C1534" s="1" t="n">
        <v>13</v>
      </c>
      <c r="D1534" s="1" t="n">
        <v>21</v>
      </c>
      <c r="E1534" s="1" t="n">
        <v>29</v>
      </c>
      <c r="F1534" s="1" t="n">
        <v>34</v>
      </c>
      <c r="G1534" s="1" t="n">
        <v>47</v>
      </c>
      <c r="H1534" s="1" t="n">
        <v>57</v>
      </c>
      <c r="I1534" s="1" t="str">
        <f aca="false">RIGHT(("0"&amp;C1534),2)&amp;RIGHT(("0"&amp;D1534),2)&amp;RIGHT(("0"&amp;E1534),2)&amp;RIGHT(("0"&amp;F1534),2)&amp;RIGHT(("0"&amp;G1534),2)&amp;RIGHT(("0"&amp;H1534),2)</f>
        <v>132129344757</v>
      </c>
      <c r="J1534" s="1" t="n">
        <f aca="false">COUNTIF(I:I,I1534)</f>
        <v>1</v>
      </c>
      <c r="K1534" s="1" t="n">
        <v>0</v>
      </c>
      <c r="M1534" s="1" t="s">
        <v>23</v>
      </c>
      <c r="N1534" s="1" t="n">
        <v>89</v>
      </c>
      <c r="O1534" s="1" t="s">
        <v>8081</v>
      </c>
      <c r="P1534" s="1" t="n">
        <v>5659</v>
      </c>
      <c r="Q1534" s="1" t="s">
        <v>8082</v>
      </c>
      <c r="R1534" s="1" t="s">
        <v>8083</v>
      </c>
      <c r="S1534" s="1" t="s">
        <v>8084</v>
      </c>
      <c r="T1534" s="1" t="s">
        <v>7748</v>
      </c>
      <c r="U1534" s="1" t="s">
        <v>8085</v>
      </c>
      <c r="V1534" s="1" t="s">
        <v>7795</v>
      </c>
    </row>
    <row r="1535" customFormat="false" ht="13.8" hidden="false" customHeight="false" outlineLevel="0" collapsed="false">
      <c r="A1535" s="1" t="n">
        <v>1534</v>
      </c>
      <c r="B1535" s="2" t="s">
        <v>8086</v>
      </c>
      <c r="C1535" s="1" t="n">
        <v>1</v>
      </c>
      <c r="D1535" s="1" t="n">
        <v>12</v>
      </c>
      <c r="E1535" s="1" t="n">
        <v>28</v>
      </c>
      <c r="F1535" s="1" t="n">
        <v>29</v>
      </c>
      <c r="G1535" s="1" t="n">
        <v>34</v>
      </c>
      <c r="H1535" s="1" t="n">
        <v>48</v>
      </c>
      <c r="I1535" s="1" t="str">
        <f aca="false">RIGHT(("0"&amp;C1535),2)&amp;RIGHT(("0"&amp;D1535),2)&amp;RIGHT(("0"&amp;E1535),2)&amp;RIGHT(("0"&amp;F1535),2)&amp;RIGHT(("0"&amp;G1535),2)&amp;RIGHT(("0"&amp;H1535),2)</f>
        <v>011228293448</v>
      </c>
      <c r="J1535" s="1" t="n">
        <f aca="false">COUNTIF(I:I,I1535)</f>
        <v>1</v>
      </c>
      <c r="K1535" s="1" t="n">
        <v>1</v>
      </c>
      <c r="L1535" s="1" t="s">
        <v>8087</v>
      </c>
      <c r="M1535" s="1" t="s">
        <v>8088</v>
      </c>
      <c r="N1535" s="1" t="n">
        <v>89</v>
      </c>
      <c r="O1535" s="1" t="s">
        <v>8089</v>
      </c>
      <c r="P1535" s="1" t="n">
        <v>6196</v>
      </c>
      <c r="Q1535" s="1" t="s">
        <v>8090</v>
      </c>
      <c r="R1535" s="1" t="s">
        <v>23</v>
      </c>
      <c r="S1535" s="1" t="s">
        <v>8091</v>
      </c>
      <c r="T1535" s="1" t="s">
        <v>8092</v>
      </c>
      <c r="U1535" s="1" t="s">
        <v>8093</v>
      </c>
    </row>
    <row r="1536" customFormat="false" ht="13.8" hidden="false" customHeight="false" outlineLevel="0" collapsed="false">
      <c r="A1536" s="1" t="n">
        <v>1535</v>
      </c>
      <c r="B1536" s="2" t="s">
        <v>8094</v>
      </c>
      <c r="C1536" s="1" t="n">
        <v>8</v>
      </c>
      <c r="D1536" s="1" t="n">
        <v>9</v>
      </c>
      <c r="E1536" s="1" t="n">
        <v>25</v>
      </c>
      <c r="F1536" s="1" t="n">
        <v>41</v>
      </c>
      <c r="G1536" s="1" t="n">
        <v>54</v>
      </c>
      <c r="H1536" s="1" t="n">
        <v>55</v>
      </c>
      <c r="I1536" s="1" t="str">
        <f aca="false">RIGHT(("0"&amp;C1536),2)&amp;RIGHT(("0"&amp;D1536),2)&amp;RIGHT(("0"&amp;E1536),2)&amp;RIGHT(("0"&amp;F1536),2)&amp;RIGHT(("0"&amp;G1536),2)&amp;RIGHT(("0"&amp;H1536),2)</f>
        <v>080925415455</v>
      </c>
      <c r="J1536" s="1" t="n">
        <f aca="false">COUNTIF(I:I,I1536)</f>
        <v>1</v>
      </c>
      <c r="K1536" s="1" t="n">
        <v>0</v>
      </c>
      <c r="M1536" s="1" t="s">
        <v>23</v>
      </c>
      <c r="N1536" s="1" t="n">
        <v>63</v>
      </c>
      <c r="O1536" s="1" t="s">
        <v>8095</v>
      </c>
      <c r="P1536" s="1" t="n">
        <v>6058</v>
      </c>
      <c r="Q1536" s="1" t="s">
        <v>8096</v>
      </c>
      <c r="R1536" s="1" t="s">
        <v>8097</v>
      </c>
      <c r="S1536" s="1" t="s">
        <v>8098</v>
      </c>
      <c r="T1536" s="1" t="s">
        <v>4208</v>
      </c>
      <c r="U1536" s="1" t="s">
        <v>8099</v>
      </c>
      <c r="V1536" s="1" t="s">
        <v>7795</v>
      </c>
    </row>
    <row r="1537" customFormat="false" ht="13.8" hidden="false" customHeight="false" outlineLevel="0" collapsed="false">
      <c r="A1537" s="1" t="n">
        <v>1536</v>
      </c>
      <c r="B1537" s="2" t="s">
        <v>8100</v>
      </c>
      <c r="C1537" s="1" t="n">
        <v>13</v>
      </c>
      <c r="D1537" s="1" t="n">
        <v>18</v>
      </c>
      <c r="E1537" s="1" t="n">
        <v>29</v>
      </c>
      <c r="F1537" s="1" t="n">
        <v>32</v>
      </c>
      <c r="G1537" s="1" t="n">
        <v>50</v>
      </c>
      <c r="H1537" s="1" t="n">
        <v>58</v>
      </c>
      <c r="I1537" s="1" t="str">
        <f aca="false">RIGHT(("0"&amp;C1537),2)&amp;RIGHT(("0"&amp;D1537),2)&amp;RIGHT(("0"&amp;E1537),2)&amp;RIGHT(("0"&amp;F1537),2)&amp;RIGHT(("0"&amp;G1537),2)&amp;RIGHT(("0"&amp;H1537),2)</f>
        <v>131829325058</v>
      </c>
      <c r="J1537" s="1" t="n">
        <f aca="false">COUNTIF(I:I,I1537)</f>
        <v>1</v>
      </c>
      <c r="K1537" s="1" t="n">
        <v>0</v>
      </c>
      <c r="M1537" s="1" t="s">
        <v>23</v>
      </c>
      <c r="N1537" s="1" t="n">
        <v>89</v>
      </c>
      <c r="O1537" s="1" t="s">
        <v>8101</v>
      </c>
      <c r="P1537" s="1" t="n">
        <v>7408</v>
      </c>
      <c r="Q1537" s="1" t="s">
        <v>8102</v>
      </c>
      <c r="R1537" s="1" t="s">
        <v>8103</v>
      </c>
      <c r="S1537" s="1" t="s">
        <v>8104</v>
      </c>
      <c r="T1537" s="1" t="s">
        <v>4696</v>
      </c>
      <c r="U1537" s="1" t="s">
        <v>8105</v>
      </c>
    </row>
    <row r="1538" customFormat="false" ht="13.8" hidden="false" customHeight="false" outlineLevel="0" collapsed="false">
      <c r="A1538" s="1" t="n">
        <v>1537</v>
      </c>
      <c r="B1538" s="2" t="s">
        <v>8106</v>
      </c>
      <c r="C1538" s="1" t="n">
        <v>6</v>
      </c>
      <c r="D1538" s="1" t="n">
        <v>10</v>
      </c>
      <c r="E1538" s="1" t="n">
        <v>33</v>
      </c>
      <c r="F1538" s="1" t="n">
        <v>50</v>
      </c>
      <c r="G1538" s="1" t="n">
        <v>51</v>
      </c>
      <c r="H1538" s="1" t="n">
        <v>56</v>
      </c>
      <c r="I1538" s="1" t="str">
        <f aca="false">RIGHT(("0"&amp;C1538),2)&amp;RIGHT(("0"&amp;D1538),2)&amp;RIGHT(("0"&amp;E1538),2)&amp;RIGHT(("0"&amp;F1538),2)&amp;RIGHT(("0"&amp;G1538),2)&amp;RIGHT(("0"&amp;H1538),2)</f>
        <v>061033505156</v>
      </c>
      <c r="J1538" s="1" t="n">
        <f aca="false">COUNTIF(I:I,I1538)</f>
        <v>1</v>
      </c>
      <c r="K1538" s="1" t="n">
        <v>1</v>
      </c>
      <c r="L1538" s="1" t="s">
        <v>5572</v>
      </c>
      <c r="M1538" s="1" t="s">
        <v>8107</v>
      </c>
      <c r="N1538" s="1" t="n">
        <v>209</v>
      </c>
      <c r="O1538" s="1" t="s">
        <v>8108</v>
      </c>
      <c r="P1538" s="1" t="n">
        <v>11870</v>
      </c>
      <c r="Q1538" s="1" t="s">
        <v>8109</v>
      </c>
      <c r="R1538" s="1" t="s">
        <v>23</v>
      </c>
      <c r="S1538" s="1" t="s">
        <v>8110</v>
      </c>
      <c r="T1538" s="1" t="s">
        <v>4256</v>
      </c>
      <c r="U1538" s="1" t="s">
        <v>8111</v>
      </c>
      <c r="V1538" s="1" t="s">
        <v>7795</v>
      </c>
    </row>
    <row r="1539" customFormat="false" ht="13.8" hidden="false" customHeight="false" outlineLevel="0" collapsed="false">
      <c r="A1539" s="1" t="n">
        <v>1538</v>
      </c>
      <c r="B1539" s="2" t="s">
        <v>8112</v>
      </c>
      <c r="C1539" s="1" t="n">
        <v>23</v>
      </c>
      <c r="D1539" s="1" t="n">
        <v>27</v>
      </c>
      <c r="E1539" s="1" t="n">
        <v>35</v>
      </c>
      <c r="F1539" s="1" t="n">
        <v>52</v>
      </c>
      <c r="G1539" s="1" t="n">
        <v>53</v>
      </c>
      <c r="H1539" s="1" t="n">
        <v>57</v>
      </c>
      <c r="I1539" s="1" t="str">
        <f aca="false">RIGHT(("0"&amp;C1539),2)&amp;RIGHT(("0"&amp;D1539),2)&amp;RIGHT(("0"&amp;E1539),2)&amp;RIGHT(("0"&amp;F1539),2)&amp;RIGHT(("0"&amp;G1539),2)&amp;RIGHT(("0"&amp;H1539),2)</f>
        <v>232735525357</v>
      </c>
      <c r="J1539" s="1" t="n">
        <f aca="false">COUNTIF(I:I,I1539)</f>
        <v>1</v>
      </c>
      <c r="K1539" s="1" t="n">
        <v>1</v>
      </c>
      <c r="L1539" s="1" t="s">
        <v>8113</v>
      </c>
      <c r="M1539" s="1" t="s">
        <v>8114</v>
      </c>
      <c r="N1539" s="1" t="n">
        <v>132</v>
      </c>
      <c r="O1539" s="1" t="s">
        <v>8115</v>
      </c>
      <c r="P1539" s="1" t="n">
        <v>5238</v>
      </c>
      <c r="Q1539" s="1" t="s">
        <v>8116</v>
      </c>
      <c r="R1539" s="1" t="s">
        <v>23</v>
      </c>
      <c r="S1539" s="1" t="s">
        <v>8117</v>
      </c>
      <c r="T1539" s="1" t="s">
        <v>4256</v>
      </c>
      <c r="U1539" s="1" t="s">
        <v>8118</v>
      </c>
    </row>
    <row r="1540" customFormat="false" ht="13.8" hidden="false" customHeight="false" outlineLevel="0" collapsed="false">
      <c r="A1540" s="1" t="n">
        <v>1539</v>
      </c>
      <c r="B1540" s="2" t="s">
        <v>8119</v>
      </c>
      <c r="C1540" s="1" t="n">
        <v>8</v>
      </c>
      <c r="D1540" s="1" t="n">
        <v>10</v>
      </c>
      <c r="E1540" s="1" t="n">
        <v>20</v>
      </c>
      <c r="F1540" s="1" t="n">
        <v>26</v>
      </c>
      <c r="G1540" s="1" t="n">
        <v>49</v>
      </c>
      <c r="H1540" s="1" t="n">
        <v>58</v>
      </c>
      <c r="I1540" s="1" t="str">
        <f aca="false">RIGHT(("0"&amp;C1540),2)&amp;RIGHT(("0"&amp;D1540),2)&amp;RIGHT(("0"&amp;E1540),2)&amp;RIGHT(("0"&amp;F1540),2)&amp;RIGHT(("0"&amp;G1540),2)&amp;RIGHT(("0"&amp;H1540),2)</f>
        <v>081020264958</v>
      </c>
      <c r="J1540" s="1" t="n">
        <f aca="false">COUNTIF(I:I,I1540)</f>
        <v>1</v>
      </c>
      <c r="K1540" s="1" t="n">
        <v>0</v>
      </c>
      <c r="M1540" s="1" t="s">
        <v>23</v>
      </c>
      <c r="N1540" s="1" t="n">
        <v>53</v>
      </c>
      <c r="O1540" s="1" t="s">
        <v>8120</v>
      </c>
      <c r="P1540" s="1" t="n">
        <v>4366</v>
      </c>
      <c r="Q1540" s="1" t="s">
        <v>8121</v>
      </c>
      <c r="R1540" s="1" t="s">
        <v>8122</v>
      </c>
      <c r="S1540" s="1" t="s">
        <v>8123</v>
      </c>
      <c r="T1540" s="1" t="s">
        <v>8124</v>
      </c>
      <c r="U1540" s="1" t="s">
        <v>8125</v>
      </c>
      <c r="V1540" s="1" t="s">
        <v>8126</v>
      </c>
    </row>
    <row r="1541" customFormat="false" ht="13.8" hidden="false" customHeight="false" outlineLevel="0" collapsed="false">
      <c r="A1541" s="1" t="n">
        <v>1540</v>
      </c>
      <c r="B1541" s="2" t="s">
        <v>8127</v>
      </c>
      <c r="C1541" s="1" t="n">
        <v>3</v>
      </c>
      <c r="D1541" s="1" t="n">
        <v>17</v>
      </c>
      <c r="E1541" s="1" t="n">
        <v>27</v>
      </c>
      <c r="F1541" s="1" t="n">
        <v>32</v>
      </c>
      <c r="G1541" s="1" t="n">
        <v>47</v>
      </c>
      <c r="H1541" s="1" t="n">
        <v>54</v>
      </c>
      <c r="I1541" s="1" t="str">
        <f aca="false">RIGHT(("0"&amp;C1541),2)&amp;RIGHT(("0"&amp;D1541),2)&amp;RIGHT(("0"&amp;E1541),2)&amp;RIGHT(("0"&amp;F1541),2)&amp;RIGHT(("0"&amp;G1541),2)&amp;RIGHT(("0"&amp;H1541),2)</f>
        <v>031727324754</v>
      </c>
      <c r="J1541" s="1" t="n">
        <f aca="false">COUNTIF(I:I,I1541)</f>
        <v>1</v>
      </c>
      <c r="K1541" s="1" t="n">
        <v>0</v>
      </c>
      <c r="M1541" s="1" t="s">
        <v>23</v>
      </c>
      <c r="N1541" s="1" t="n">
        <v>299</v>
      </c>
      <c r="O1541" s="1" t="s">
        <v>8128</v>
      </c>
      <c r="P1541" s="1" t="n">
        <v>14429</v>
      </c>
      <c r="Q1541" s="1" t="s">
        <v>8129</v>
      </c>
      <c r="R1541" s="1" t="s">
        <v>8130</v>
      </c>
      <c r="S1541" s="1" t="s">
        <v>8131</v>
      </c>
      <c r="T1541" s="1" t="s">
        <v>4696</v>
      </c>
      <c r="U1541" s="1" t="s">
        <v>8132</v>
      </c>
    </row>
    <row r="1542" customFormat="false" ht="13.8" hidden="false" customHeight="false" outlineLevel="0" collapsed="false">
      <c r="A1542" s="1" t="n">
        <v>1541</v>
      </c>
      <c r="B1542" s="2" t="s">
        <v>8133</v>
      </c>
      <c r="C1542" s="1" t="n">
        <v>5</v>
      </c>
      <c r="D1542" s="1" t="n">
        <v>24</v>
      </c>
      <c r="E1542" s="1" t="n">
        <v>37</v>
      </c>
      <c r="F1542" s="1" t="n">
        <v>44</v>
      </c>
      <c r="G1542" s="1" t="n">
        <v>49</v>
      </c>
      <c r="H1542" s="1" t="n">
        <v>58</v>
      </c>
      <c r="I1542" s="1" t="str">
        <f aca="false">RIGHT(("0"&amp;C1542),2)&amp;RIGHT(("0"&amp;D1542),2)&amp;RIGHT(("0"&amp;E1542),2)&amp;RIGHT(("0"&amp;F1542),2)&amp;RIGHT(("0"&amp;G1542),2)&amp;RIGHT(("0"&amp;H1542),2)</f>
        <v>052437444958</v>
      </c>
      <c r="J1542" s="1" t="n">
        <f aca="false">COUNTIF(I:I,I1542)</f>
        <v>1</v>
      </c>
      <c r="K1542" s="1" t="n">
        <v>0</v>
      </c>
      <c r="M1542" s="1" t="s">
        <v>23</v>
      </c>
      <c r="N1542" s="1" t="n">
        <v>205</v>
      </c>
      <c r="O1542" s="1" t="s">
        <v>8134</v>
      </c>
      <c r="P1542" s="1" t="n">
        <v>12026</v>
      </c>
      <c r="Q1542" s="1" t="s">
        <v>8135</v>
      </c>
      <c r="R1542" s="1" t="s">
        <v>8136</v>
      </c>
      <c r="S1542" s="1" t="s">
        <v>8137</v>
      </c>
      <c r="T1542" s="1" t="s">
        <v>5321</v>
      </c>
      <c r="U1542" s="1" t="s">
        <v>8138</v>
      </c>
      <c r="V1542" s="1" t="s">
        <v>7795</v>
      </c>
    </row>
    <row r="1543" customFormat="false" ht="13.8" hidden="false" customHeight="false" outlineLevel="0" collapsed="false">
      <c r="A1543" s="1" t="n">
        <v>1542</v>
      </c>
      <c r="B1543" s="2" t="s">
        <v>8139</v>
      </c>
      <c r="C1543" s="1" t="n">
        <v>7</v>
      </c>
      <c r="D1543" s="1" t="n">
        <v>11</v>
      </c>
      <c r="E1543" s="1" t="n">
        <v>12</v>
      </c>
      <c r="F1543" s="1" t="n">
        <v>30</v>
      </c>
      <c r="G1543" s="1" t="n">
        <v>39</v>
      </c>
      <c r="H1543" s="1" t="n">
        <v>57</v>
      </c>
      <c r="I1543" s="1" t="str">
        <f aca="false">RIGHT(("0"&amp;C1543),2)&amp;RIGHT(("0"&amp;D1543),2)&amp;RIGHT(("0"&amp;E1543),2)&amp;RIGHT(("0"&amp;F1543),2)&amp;RIGHT(("0"&amp;G1543),2)&amp;RIGHT(("0"&amp;H1543),2)</f>
        <v>071112303957</v>
      </c>
      <c r="J1543" s="1" t="n">
        <f aca="false">COUNTIF(I:I,I1543)</f>
        <v>1</v>
      </c>
      <c r="K1543" s="1" t="n">
        <v>0</v>
      </c>
      <c r="M1543" s="1" t="s">
        <v>23</v>
      </c>
      <c r="N1543" s="1" t="n">
        <v>154</v>
      </c>
      <c r="O1543" s="1" t="s">
        <v>8140</v>
      </c>
      <c r="P1543" s="1" t="n">
        <v>11783</v>
      </c>
      <c r="Q1543" s="1" t="s">
        <v>8141</v>
      </c>
      <c r="R1543" s="1" t="s">
        <v>8142</v>
      </c>
      <c r="S1543" s="1" t="s">
        <v>8143</v>
      </c>
      <c r="T1543" s="1" t="s">
        <v>6025</v>
      </c>
      <c r="U1543" s="1" t="s">
        <v>8144</v>
      </c>
    </row>
    <row r="1544" customFormat="false" ht="13.8" hidden="false" customHeight="false" outlineLevel="0" collapsed="false">
      <c r="A1544" s="1" t="n">
        <v>1543</v>
      </c>
      <c r="B1544" s="2" t="s">
        <v>8145</v>
      </c>
      <c r="C1544" s="1" t="n">
        <v>7</v>
      </c>
      <c r="D1544" s="1" t="n">
        <v>15</v>
      </c>
      <c r="E1544" s="1" t="n">
        <v>20</v>
      </c>
      <c r="F1544" s="1" t="n">
        <v>23</v>
      </c>
      <c r="G1544" s="1" t="n">
        <v>30</v>
      </c>
      <c r="H1544" s="1" t="n">
        <v>41</v>
      </c>
      <c r="I1544" s="1" t="str">
        <f aca="false">RIGHT(("0"&amp;C1544),2)&amp;RIGHT(("0"&amp;D1544),2)&amp;RIGHT(("0"&amp;E1544),2)&amp;RIGHT(("0"&amp;F1544),2)&amp;RIGHT(("0"&amp;G1544),2)&amp;RIGHT(("0"&amp;H1544),2)</f>
        <v>071520233041</v>
      </c>
      <c r="J1544" s="1" t="n">
        <f aca="false">COUNTIF(I:I,I1544)</f>
        <v>1</v>
      </c>
      <c r="K1544" s="1" t="n">
        <v>0</v>
      </c>
      <c r="M1544" s="1" t="s">
        <v>23</v>
      </c>
      <c r="N1544" s="1" t="n">
        <v>182</v>
      </c>
      <c r="O1544" s="1" t="s">
        <v>8146</v>
      </c>
      <c r="P1544" s="1" t="n">
        <v>13138</v>
      </c>
      <c r="Q1544" s="1" t="s">
        <v>8147</v>
      </c>
      <c r="R1544" s="1" t="s">
        <v>8148</v>
      </c>
      <c r="S1544" s="1" t="s">
        <v>8149</v>
      </c>
      <c r="T1544" s="1" t="s">
        <v>4314</v>
      </c>
      <c r="U1544" s="1" t="s">
        <v>8150</v>
      </c>
      <c r="V1544" s="1" t="s">
        <v>8126</v>
      </c>
    </row>
    <row r="1545" customFormat="false" ht="13.8" hidden="false" customHeight="false" outlineLevel="0" collapsed="false">
      <c r="A1545" s="1" t="n">
        <v>1544</v>
      </c>
      <c r="B1545" s="2" t="s">
        <v>8151</v>
      </c>
      <c r="C1545" s="1" t="n">
        <v>2</v>
      </c>
      <c r="D1545" s="1" t="n">
        <v>21</v>
      </c>
      <c r="E1545" s="1" t="n">
        <v>30</v>
      </c>
      <c r="F1545" s="1" t="n">
        <v>35</v>
      </c>
      <c r="G1545" s="1" t="n">
        <v>45</v>
      </c>
      <c r="H1545" s="1" t="n">
        <v>50</v>
      </c>
      <c r="I1545" s="1" t="str">
        <f aca="false">RIGHT(("0"&amp;C1545),2)&amp;RIGHT(("0"&amp;D1545),2)&amp;RIGHT(("0"&amp;E1545),2)&amp;RIGHT(("0"&amp;F1545),2)&amp;RIGHT(("0"&amp;G1545),2)&amp;RIGHT(("0"&amp;H1545),2)</f>
        <v>022130354550</v>
      </c>
      <c r="J1545" s="1" t="n">
        <f aca="false">COUNTIF(I:I,I1545)</f>
        <v>1</v>
      </c>
      <c r="K1545" s="1" t="n">
        <v>0</v>
      </c>
      <c r="M1545" s="1" t="s">
        <v>23</v>
      </c>
      <c r="N1545" s="1" t="n">
        <v>152</v>
      </c>
      <c r="O1545" s="1" t="s">
        <v>8152</v>
      </c>
      <c r="P1545" s="1" t="n">
        <v>10385</v>
      </c>
      <c r="Q1545" s="1" t="s">
        <v>8153</v>
      </c>
      <c r="R1545" s="1" t="s">
        <v>8154</v>
      </c>
      <c r="S1545" s="1" t="s">
        <v>8155</v>
      </c>
      <c r="T1545" s="1" t="s">
        <v>6097</v>
      </c>
      <c r="U1545" s="1" t="s">
        <v>8156</v>
      </c>
      <c r="V1545" s="1" t="s">
        <v>8126</v>
      </c>
    </row>
    <row r="1546" customFormat="false" ht="13.8" hidden="false" customHeight="false" outlineLevel="0" collapsed="false">
      <c r="A1546" s="1" t="n">
        <v>1545</v>
      </c>
      <c r="B1546" s="2" t="s">
        <v>8157</v>
      </c>
      <c r="C1546" s="1" t="n">
        <v>4</v>
      </c>
      <c r="D1546" s="1" t="n">
        <v>6</v>
      </c>
      <c r="E1546" s="1" t="n">
        <v>11</v>
      </c>
      <c r="F1546" s="1" t="n">
        <v>24</v>
      </c>
      <c r="G1546" s="1" t="n">
        <v>45</v>
      </c>
      <c r="H1546" s="1" t="n">
        <v>48</v>
      </c>
      <c r="I1546" s="1" t="str">
        <f aca="false">RIGHT(("0"&amp;C1546),2)&amp;RIGHT(("0"&amp;D1546),2)&amp;RIGHT(("0"&amp;E1546),2)&amp;RIGHT(("0"&amp;F1546),2)&amp;RIGHT(("0"&amp;G1546),2)&amp;RIGHT(("0"&amp;H1546),2)</f>
        <v>040611244548</v>
      </c>
      <c r="J1546" s="1" t="n">
        <f aca="false">COUNTIF(I:I,I1546)</f>
        <v>1</v>
      </c>
      <c r="K1546" s="1" t="n">
        <v>1</v>
      </c>
      <c r="L1546" s="1" t="s">
        <v>8158</v>
      </c>
      <c r="M1546" s="1" t="s">
        <v>8159</v>
      </c>
      <c r="N1546" s="1" t="n">
        <v>680</v>
      </c>
      <c r="O1546" s="1" t="s">
        <v>8160</v>
      </c>
      <c r="P1546" s="1" t="n">
        <v>45410</v>
      </c>
      <c r="Q1546" s="1" t="s">
        <v>8161</v>
      </c>
      <c r="R1546" s="1" t="s">
        <v>23</v>
      </c>
      <c r="S1546" s="1" t="s">
        <v>8162</v>
      </c>
      <c r="T1546" s="1" t="s">
        <v>7793</v>
      </c>
      <c r="U1546" s="1" t="s">
        <v>8163</v>
      </c>
      <c r="V1546" s="1" t="s">
        <v>6777</v>
      </c>
    </row>
    <row r="1547" customFormat="false" ht="13.8" hidden="false" customHeight="false" outlineLevel="0" collapsed="false">
      <c r="A1547" s="1" t="n">
        <v>1546</v>
      </c>
      <c r="B1547" s="2" t="s">
        <v>8164</v>
      </c>
      <c r="C1547" s="1" t="n">
        <v>4</v>
      </c>
      <c r="D1547" s="1" t="n">
        <v>17</v>
      </c>
      <c r="E1547" s="1" t="n">
        <v>38</v>
      </c>
      <c r="F1547" s="1" t="n">
        <v>44</v>
      </c>
      <c r="G1547" s="1" t="n">
        <v>53</v>
      </c>
      <c r="H1547" s="1" t="n">
        <v>60</v>
      </c>
      <c r="I1547" s="1" t="str">
        <f aca="false">RIGHT(("0"&amp;C1547),2)&amp;RIGHT(("0"&amp;D1547),2)&amp;RIGHT(("0"&amp;E1547),2)&amp;RIGHT(("0"&amp;F1547),2)&amp;RIGHT(("0"&amp;G1547),2)&amp;RIGHT(("0"&amp;H1547),2)</f>
        <v>041738445360</v>
      </c>
      <c r="J1547" s="1" t="n">
        <f aca="false">COUNTIF(I:I,I1547)</f>
        <v>1</v>
      </c>
      <c r="K1547" s="1" t="n">
        <v>0</v>
      </c>
      <c r="M1547" s="1" t="s">
        <v>23</v>
      </c>
      <c r="N1547" s="1" t="n">
        <v>100</v>
      </c>
      <c r="O1547" s="1" t="s">
        <v>8165</v>
      </c>
      <c r="P1547" s="1" t="n">
        <v>6673</v>
      </c>
      <c r="Q1547" s="1" t="s">
        <v>8166</v>
      </c>
      <c r="R1547" s="1" t="s">
        <v>8167</v>
      </c>
      <c r="S1547" s="1" t="s">
        <v>8168</v>
      </c>
      <c r="T1547" s="1" t="s">
        <v>5931</v>
      </c>
      <c r="U1547" s="1" t="s">
        <v>8169</v>
      </c>
    </row>
    <row r="1548" customFormat="false" ht="13.8" hidden="false" customHeight="false" outlineLevel="0" collapsed="false">
      <c r="A1548" s="1" t="n">
        <v>1547</v>
      </c>
      <c r="B1548" s="2" t="s">
        <v>8170</v>
      </c>
      <c r="C1548" s="1" t="n">
        <v>2</v>
      </c>
      <c r="D1548" s="1" t="n">
        <v>9</v>
      </c>
      <c r="E1548" s="1" t="n">
        <v>10</v>
      </c>
      <c r="F1548" s="1" t="n">
        <v>18</v>
      </c>
      <c r="G1548" s="1" t="n">
        <v>21</v>
      </c>
      <c r="H1548" s="1" t="n">
        <v>28</v>
      </c>
      <c r="I1548" s="1" t="str">
        <f aca="false">RIGHT(("0"&amp;C1548),2)&amp;RIGHT(("0"&amp;D1548),2)&amp;RIGHT(("0"&amp;E1548),2)&amp;RIGHT(("0"&amp;F1548),2)&amp;RIGHT(("0"&amp;G1548),2)&amp;RIGHT(("0"&amp;H1548),2)</f>
        <v>020910182128</v>
      </c>
      <c r="J1548" s="1" t="n">
        <f aca="false">COUNTIF(I:I,I1548)</f>
        <v>1</v>
      </c>
      <c r="K1548" s="1" t="n">
        <v>1</v>
      </c>
      <c r="L1548" s="1" t="s">
        <v>5728</v>
      </c>
      <c r="M1548" s="1" t="s">
        <v>8171</v>
      </c>
      <c r="N1548" s="1" t="n">
        <v>227</v>
      </c>
      <c r="O1548" s="1" t="s">
        <v>8172</v>
      </c>
      <c r="P1548" s="1" t="n">
        <v>11559</v>
      </c>
      <c r="Q1548" s="1" t="s">
        <v>8173</v>
      </c>
      <c r="R1548" s="1" t="s">
        <v>23</v>
      </c>
      <c r="S1548" s="1" t="s">
        <v>8174</v>
      </c>
      <c r="T1548" s="1" t="s">
        <v>4256</v>
      </c>
      <c r="U1548" s="1" t="s">
        <v>8175</v>
      </c>
      <c r="V1548" s="1" t="s">
        <v>6777</v>
      </c>
    </row>
    <row r="1549" customFormat="false" ht="13.8" hidden="false" customHeight="false" outlineLevel="0" collapsed="false">
      <c r="A1549" s="1" t="n">
        <v>1548</v>
      </c>
      <c r="B1549" s="2" t="s">
        <v>8176</v>
      </c>
      <c r="C1549" s="1" t="n">
        <v>19</v>
      </c>
      <c r="D1549" s="1" t="n">
        <v>41</v>
      </c>
      <c r="E1549" s="1" t="n">
        <v>42</v>
      </c>
      <c r="F1549" s="1" t="n">
        <v>44</v>
      </c>
      <c r="G1549" s="1" t="n">
        <v>47</v>
      </c>
      <c r="H1549" s="1" t="n">
        <v>54</v>
      </c>
      <c r="I1549" s="1" t="str">
        <f aca="false">RIGHT(("0"&amp;C1549),2)&amp;RIGHT(("0"&amp;D1549),2)&amp;RIGHT(("0"&amp;E1549),2)&amp;RIGHT(("0"&amp;F1549),2)&amp;RIGHT(("0"&amp;G1549),2)&amp;RIGHT(("0"&amp;H1549),2)</f>
        <v>194142444754</v>
      </c>
      <c r="J1549" s="1" t="n">
        <f aca="false">COUNTIF(I:I,I1549)</f>
        <v>1</v>
      </c>
      <c r="K1549" s="1" t="n">
        <v>0</v>
      </c>
      <c r="M1549" s="1" t="s">
        <v>23</v>
      </c>
      <c r="N1549" s="1" t="n">
        <v>45</v>
      </c>
      <c r="O1549" s="1" t="s">
        <v>8177</v>
      </c>
      <c r="P1549" s="1" t="n">
        <v>3429</v>
      </c>
      <c r="Q1549" s="1" t="s">
        <v>8178</v>
      </c>
      <c r="R1549" s="1" t="s">
        <v>8179</v>
      </c>
      <c r="S1549" s="1" t="s">
        <v>8180</v>
      </c>
      <c r="T1549" s="1" t="s">
        <v>6745</v>
      </c>
      <c r="U1549" s="1" t="s">
        <v>8181</v>
      </c>
    </row>
    <row r="1550" customFormat="false" ht="13.8" hidden="false" customHeight="false" outlineLevel="0" collapsed="false">
      <c r="A1550" s="1" t="n">
        <v>1549</v>
      </c>
      <c r="B1550" s="2" t="s">
        <v>8182</v>
      </c>
      <c r="C1550" s="1" t="n">
        <v>10</v>
      </c>
      <c r="D1550" s="1" t="n">
        <v>12</v>
      </c>
      <c r="E1550" s="1" t="n">
        <v>16</v>
      </c>
      <c r="F1550" s="1" t="n">
        <v>20</v>
      </c>
      <c r="G1550" s="1" t="n">
        <v>32</v>
      </c>
      <c r="H1550" s="1" t="n">
        <v>53</v>
      </c>
      <c r="I1550" s="1" t="str">
        <f aca="false">RIGHT(("0"&amp;C1550),2)&amp;RIGHT(("0"&amp;D1550),2)&amp;RIGHT(("0"&amp;E1550),2)&amp;RIGHT(("0"&amp;F1550),2)&amp;RIGHT(("0"&amp;G1550),2)&amp;RIGHT(("0"&amp;H1550),2)</f>
        <v>101216203253</v>
      </c>
      <c r="J1550" s="1" t="n">
        <f aca="false">COUNTIF(I:I,I1550)</f>
        <v>1</v>
      </c>
      <c r="K1550" s="1" t="n">
        <v>1</v>
      </c>
      <c r="L1550" s="1" t="s">
        <v>7775</v>
      </c>
      <c r="M1550" s="1" t="s">
        <v>8183</v>
      </c>
      <c r="N1550" s="1" t="n">
        <v>66</v>
      </c>
      <c r="O1550" s="1" t="s">
        <v>8184</v>
      </c>
      <c r="P1550" s="1" t="n">
        <v>6564</v>
      </c>
      <c r="Q1550" s="1" t="s">
        <v>8185</v>
      </c>
      <c r="R1550" s="1" t="s">
        <v>23</v>
      </c>
      <c r="S1550" s="1" t="s">
        <v>8186</v>
      </c>
      <c r="T1550" s="1" t="s">
        <v>4696</v>
      </c>
      <c r="U1550" s="1" t="s">
        <v>8187</v>
      </c>
      <c r="V1550" s="1" t="s">
        <v>8126</v>
      </c>
    </row>
    <row r="1551" customFormat="false" ht="13.8" hidden="false" customHeight="false" outlineLevel="0" collapsed="false">
      <c r="A1551" s="1" t="n">
        <v>1550</v>
      </c>
      <c r="B1551" s="2" t="s">
        <v>8188</v>
      </c>
      <c r="C1551" s="1" t="n">
        <v>9</v>
      </c>
      <c r="D1551" s="1" t="n">
        <v>13</v>
      </c>
      <c r="E1551" s="1" t="n">
        <v>21</v>
      </c>
      <c r="F1551" s="1" t="n">
        <v>27</v>
      </c>
      <c r="G1551" s="1" t="n">
        <v>36</v>
      </c>
      <c r="H1551" s="1" t="n">
        <v>56</v>
      </c>
      <c r="I1551" s="1" t="str">
        <f aca="false">RIGHT(("0"&amp;C1551),2)&amp;RIGHT(("0"&amp;D1551),2)&amp;RIGHT(("0"&amp;E1551),2)&amp;RIGHT(("0"&amp;F1551),2)&amp;RIGHT(("0"&amp;G1551),2)&amp;RIGHT(("0"&amp;H1551),2)</f>
        <v>091321273656</v>
      </c>
      <c r="J1551" s="1" t="n">
        <f aca="false">COUNTIF(I:I,I1551)</f>
        <v>1</v>
      </c>
      <c r="K1551" s="1" t="n">
        <v>1</v>
      </c>
      <c r="L1551" s="1" t="s">
        <v>8189</v>
      </c>
      <c r="M1551" s="1" t="s">
        <v>8190</v>
      </c>
      <c r="N1551" s="1" t="n">
        <v>229</v>
      </c>
      <c r="O1551" s="1" t="s">
        <v>8191</v>
      </c>
      <c r="P1551" s="1" t="n">
        <v>14109</v>
      </c>
      <c r="Q1551" s="1" t="s">
        <v>8192</v>
      </c>
      <c r="R1551" s="1" t="s">
        <v>23</v>
      </c>
      <c r="S1551" s="1" t="s">
        <v>8193</v>
      </c>
      <c r="T1551" s="1" t="s">
        <v>4256</v>
      </c>
      <c r="U1551" s="1" t="s">
        <v>8194</v>
      </c>
    </row>
    <row r="1552" customFormat="false" ht="13.8" hidden="false" customHeight="false" outlineLevel="0" collapsed="false">
      <c r="A1552" s="1" t="n">
        <v>1551</v>
      </c>
      <c r="B1552" s="2" t="s">
        <v>8195</v>
      </c>
      <c r="C1552" s="1" t="n">
        <v>2</v>
      </c>
      <c r="D1552" s="1" t="n">
        <v>15</v>
      </c>
      <c r="E1552" s="1" t="n">
        <v>19</v>
      </c>
      <c r="F1552" s="1" t="n">
        <v>21</v>
      </c>
      <c r="G1552" s="1" t="n">
        <v>23</v>
      </c>
      <c r="H1552" s="1" t="n">
        <v>38</v>
      </c>
      <c r="I1552" s="1" t="str">
        <f aca="false">RIGHT(("0"&amp;C1552),2)&amp;RIGHT(("0"&amp;D1552),2)&amp;RIGHT(("0"&amp;E1552),2)&amp;RIGHT(("0"&amp;F1552),2)&amp;RIGHT(("0"&amp;G1552),2)&amp;RIGHT(("0"&amp;H1552),2)</f>
        <v>021519212338</v>
      </c>
      <c r="J1552" s="1" t="n">
        <f aca="false">COUNTIF(I:I,I1552)</f>
        <v>1</v>
      </c>
      <c r="K1552" s="1" t="n">
        <v>1</v>
      </c>
      <c r="L1552" s="1" t="s">
        <v>8196</v>
      </c>
      <c r="M1552" s="1" t="s">
        <v>8197</v>
      </c>
      <c r="N1552" s="1" t="n">
        <v>131</v>
      </c>
      <c r="O1552" s="1" t="s">
        <v>8198</v>
      </c>
      <c r="P1552" s="1" t="n">
        <v>7631</v>
      </c>
      <c r="Q1552" s="1" t="s">
        <v>7703</v>
      </c>
      <c r="R1552" s="1" t="s">
        <v>23</v>
      </c>
      <c r="S1552" s="1" t="s">
        <v>8199</v>
      </c>
      <c r="T1552" s="1" t="s">
        <v>473</v>
      </c>
      <c r="U1552" s="1" t="s">
        <v>8200</v>
      </c>
      <c r="V1552" s="1" t="s">
        <v>7795</v>
      </c>
    </row>
    <row r="1553" customFormat="false" ht="13.8" hidden="false" customHeight="false" outlineLevel="0" collapsed="false">
      <c r="A1553" s="1" t="n">
        <v>1552</v>
      </c>
      <c r="B1553" s="2" t="s">
        <v>8201</v>
      </c>
      <c r="C1553" s="1" t="n">
        <v>7</v>
      </c>
      <c r="D1553" s="1" t="n">
        <v>18</v>
      </c>
      <c r="E1553" s="1" t="n">
        <v>24</v>
      </c>
      <c r="F1553" s="1" t="n">
        <v>26</v>
      </c>
      <c r="G1553" s="1" t="n">
        <v>39</v>
      </c>
      <c r="H1553" s="1" t="n">
        <v>46</v>
      </c>
      <c r="I1553" s="1" t="str">
        <f aca="false">RIGHT(("0"&amp;C1553),2)&amp;RIGHT(("0"&amp;D1553),2)&amp;RIGHT(("0"&amp;E1553),2)&amp;RIGHT(("0"&amp;F1553),2)&amp;RIGHT(("0"&amp;G1553),2)&amp;RIGHT(("0"&amp;H1553),2)</f>
        <v>071824263946</v>
      </c>
      <c r="J1553" s="1" t="n">
        <f aca="false">COUNTIF(I:I,I1553)</f>
        <v>1</v>
      </c>
      <c r="K1553" s="1" t="n">
        <v>0</v>
      </c>
      <c r="M1553" s="1" t="s">
        <v>23</v>
      </c>
      <c r="N1553" s="1" t="n">
        <v>122</v>
      </c>
      <c r="O1553" s="1" t="s">
        <v>8202</v>
      </c>
      <c r="P1553" s="1" t="n">
        <v>7839</v>
      </c>
      <c r="Q1553" s="1" t="s">
        <v>8203</v>
      </c>
      <c r="R1553" s="1" t="s">
        <v>8204</v>
      </c>
      <c r="S1553" s="1" t="s">
        <v>8205</v>
      </c>
      <c r="T1553" s="1" t="s">
        <v>5931</v>
      </c>
      <c r="U1553" s="1" t="s">
        <v>8206</v>
      </c>
    </row>
    <row r="1554" customFormat="false" ht="13.8" hidden="false" customHeight="false" outlineLevel="0" collapsed="false">
      <c r="A1554" s="1" t="n">
        <v>1553</v>
      </c>
      <c r="B1554" s="2" t="s">
        <v>8207</v>
      </c>
      <c r="C1554" s="1" t="n">
        <v>20</v>
      </c>
      <c r="D1554" s="1" t="n">
        <v>21</v>
      </c>
      <c r="E1554" s="1" t="n">
        <v>22</v>
      </c>
      <c r="F1554" s="1" t="n">
        <v>29</v>
      </c>
      <c r="G1554" s="1" t="n">
        <v>46</v>
      </c>
      <c r="H1554" s="1" t="n">
        <v>60</v>
      </c>
      <c r="I1554" s="1" t="str">
        <f aca="false">RIGHT(("0"&amp;C1554),2)&amp;RIGHT(("0"&amp;D1554),2)&amp;RIGHT(("0"&amp;E1554),2)&amp;RIGHT(("0"&amp;F1554),2)&amp;RIGHT(("0"&amp;G1554),2)&amp;RIGHT(("0"&amp;H1554),2)</f>
        <v>202122294660</v>
      </c>
      <c r="J1554" s="1" t="n">
        <f aca="false">COUNTIF(I:I,I1554)</f>
        <v>1</v>
      </c>
      <c r="K1554" s="1" t="n">
        <v>0</v>
      </c>
      <c r="M1554" s="1" t="s">
        <v>23</v>
      </c>
      <c r="N1554" s="1" t="n">
        <v>48</v>
      </c>
      <c r="O1554" s="1" t="s">
        <v>8208</v>
      </c>
      <c r="P1554" s="1" t="n">
        <v>3788</v>
      </c>
      <c r="Q1554" s="1" t="s">
        <v>8209</v>
      </c>
      <c r="R1554" s="1" t="s">
        <v>8210</v>
      </c>
      <c r="S1554" s="1" t="s">
        <v>8211</v>
      </c>
      <c r="T1554" s="1" t="s">
        <v>4461</v>
      </c>
      <c r="U1554" s="1" t="s">
        <v>8212</v>
      </c>
      <c r="V1554" s="1" t="s">
        <v>7795</v>
      </c>
    </row>
    <row r="1555" customFormat="false" ht="13.8" hidden="false" customHeight="false" outlineLevel="0" collapsed="false">
      <c r="A1555" s="1" t="n">
        <v>1554</v>
      </c>
      <c r="B1555" s="2" t="s">
        <v>8213</v>
      </c>
      <c r="C1555" s="1" t="n">
        <v>30</v>
      </c>
      <c r="D1555" s="1" t="n">
        <v>32</v>
      </c>
      <c r="E1555" s="1" t="n">
        <v>49</v>
      </c>
      <c r="F1555" s="1" t="n">
        <v>50</v>
      </c>
      <c r="G1555" s="1" t="n">
        <v>52</v>
      </c>
      <c r="H1555" s="1" t="n">
        <v>53</v>
      </c>
      <c r="I1555" s="1" t="str">
        <f aca="false">RIGHT(("0"&amp;C1555),2)&amp;RIGHT(("0"&amp;D1555),2)&amp;RIGHT(("0"&amp;E1555),2)&amp;RIGHT(("0"&amp;F1555),2)&amp;RIGHT(("0"&amp;G1555),2)&amp;RIGHT(("0"&amp;H1555),2)</f>
        <v>303249505253</v>
      </c>
      <c r="J1555" s="1" t="n">
        <f aca="false">COUNTIF(I:I,I1555)</f>
        <v>1</v>
      </c>
      <c r="K1555" s="1" t="n">
        <v>0</v>
      </c>
      <c r="M1555" s="1" t="s">
        <v>23</v>
      </c>
      <c r="N1555" s="1" t="n">
        <v>60</v>
      </c>
      <c r="O1555" s="1" t="s">
        <v>8214</v>
      </c>
      <c r="P1555" s="1" t="n">
        <v>4098</v>
      </c>
      <c r="Q1555" s="1" t="s">
        <v>8215</v>
      </c>
      <c r="R1555" s="1" t="s">
        <v>8216</v>
      </c>
      <c r="S1555" s="1" t="s">
        <v>8217</v>
      </c>
      <c r="T1555" s="1" t="s">
        <v>8218</v>
      </c>
      <c r="U1555" s="1" t="s">
        <v>8219</v>
      </c>
    </row>
    <row r="1556" customFormat="false" ht="13.8" hidden="false" customHeight="false" outlineLevel="0" collapsed="false">
      <c r="A1556" s="1" t="n">
        <v>1555</v>
      </c>
      <c r="B1556" s="2" t="s">
        <v>8220</v>
      </c>
      <c r="C1556" s="1" t="n">
        <v>2</v>
      </c>
      <c r="D1556" s="1" t="n">
        <v>5</v>
      </c>
      <c r="E1556" s="1" t="n">
        <v>23</v>
      </c>
      <c r="F1556" s="1" t="n">
        <v>33</v>
      </c>
      <c r="G1556" s="1" t="n">
        <v>52</v>
      </c>
      <c r="H1556" s="1" t="n">
        <v>59</v>
      </c>
      <c r="I1556" s="1" t="str">
        <f aca="false">RIGHT(("0"&amp;C1556),2)&amp;RIGHT(("0"&amp;D1556),2)&amp;RIGHT(("0"&amp;E1556),2)&amp;RIGHT(("0"&amp;F1556),2)&amp;RIGHT(("0"&amp;G1556),2)&amp;RIGHT(("0"&amp;H1556),2)</f>
        <v>020523335259</v>
      </c>
      <c r="J1556" s="1" t="n">
        <f aca="false">COUNTIF(I:I,I1556)</f>
        <v>1</v>
      </c>
      <c r="K1556" s="1" t="n">
        <v>0</v>
      </c>
      <c r="M1556" s="1" t="s">
        <v>23</v>
      </c>
      <c r="N1556" s="1" t="n">
        <v>167</v>
      </c>
      <c r="O1556" s="1" t="s">
        <v>8221</v>
      </c>
      <c r="P1556" s="1" t="n">
        <v>13033</v>
      </c>
      <c r="Q1556" s="1" t="s">
        <v>8222</v>
      </c>
      <c r="R1556" s="1" t="s">
        <v>8223</v>
      </c>
      <c r="S1556" s="1" t="s">
        <v>8224</v>
      </c>
      <c r="T1556" s="1" t="s">
        <v>4304</v>
      </c>
      <c r="U1556" s="1" t="s">
        <v>8225</v>
      </c>
      <c r="V1556" s="1" t="s">
        <v>6777</v>
      </c>
    </row>
    <row r="1557" customFormat="false" ht="13.8" hidden="false" customHeight="false" outlineLevel="0" collapsed="false">
      <c r="A1557" s="1" t="n">
        <v>1556</v>
      </c>
      <c r="B1557" s="2" t="s">
        <v>8226</v>
      </c>
      <c r="C1557" s="1" t="n">
        <v>1</v>
      </c>
      <c r="D1557" s="1" t="n">
        <v>4</v>
      </c>
      <c r="E1557" s="1" t="n">
        <v>7</v>
      </c>
      <c r="F1557" s="1" t="n">
        <v>10</v>
      </c>
      <c r="G1557" s="1" t="n">
        <v>11</v>
      </c>
      <c r="H1557" s="1" t="n">
        <v>52</v>
      </c>
      <c r="I1557" s="1" t="str">
        <f aca="false">RIGHT(("0"&amp;C1557),2)&amp;RIGHT(("0"&amp;D1557),2)&amp;RIGHT(("0"&amp;E1557),2)&amp;RIGHT(("0"&amp;F1557),2)&amp;RIGHT(("0"&amp;G1557),2)&amp;RIGHT(("0"&amp;H1557),2)</f>
        <v>010407101152</v>
      </c>
      <c r="J1557" s="1" t="n">
        <f aca="false">COUNTIF(I:I,I1557)</f>
        <v>1</v>
      </c>
      <c r="K1557" s="1" t="n">
        <v>0</v>
      </c>
      <c r="M1557" s="1" t="s">
        <v>23</v>
      </c>
      <c r="N1557" s="1" t="n">
        <v>549</v>
      </c>
      <c r="O1557" s="1" t="s">
        <v>8227</v>
      </c>
      <c r="P1557" s="1" t="n">
        <v>26705</v>
      </c>
      <c r="Q1557" s="1" t="s">
        <v>1973</v>
      </c>
      <c r="R1557" s="1" t="s">
        <v>8228</v>
      </c>
      <c r="S1557" s="1" t="s">
        <v>8229</v>
      </c>
      <c r="T1557" s="1" t="s">
        <v>4309</v>
      </c>
      <c r="U1557" s="1" t="s">
        <v>8230</v>
      </c>
    </row>
    <row r="1558" customFormat="false" ht="13.8" hidden="false" customHeight="false" outlineLevel="0" collapsed="false">
      <c r="A1558" s="1" t="n">
        <v>1557</v>
      </c>
      <c r="B1558" s="2" t="s">
        <v>8231</v>
      </c>
      <c r="C1558" s="1" t="n">
        <v>4</v>
      </c>
      <c r="D1558" s="1" t="n">
        <v>16</v>
      </c>
      <c r="E1558" s="1" t="n">
        <v>18</v>
      </c>
      <c r="F1558" s="1" t="n">
        <v>31</v>
      </c>
      <c r="G1558" s="1" t="n">
        <v>45</v>
      </c>
      <c r="H1558" s="1" t="n">
        <v>46</v>
      </c>
      <c r="I1558" s="1" t="str">
        <f aca="false">RIGHT(("0"&amp;C1558),2)&amp;RIGHT(("0"&amp;D1558),2)&amp;RIGHT(("0"&amp;E1558),2)&amp;RIGHT(("0"&amp;F1558),2)&amp;RIGHT(("0"&amp;G1558),2)&amp;RIGHT(("0"&amp;H1558),2)</f>
        <v>041618314546</v>
      </c>
      <c r="J1558" s="1" t="n">
        <f aca="false">COUNTIF(I:I,I1558)</f>
        <v>1</v>
      </c>
      <c r="K1558" s="1" t="n">
        <v>0</v>
      </c>
      <c r="M1558" s="1" t="s">
        <v>23</v>
      </c>
      <c r="N1558" s="1" t="n">
        <v>123</v>
      </c>
      <c r="O1558" s="1" t="s">
        <v>8232</v>
      </c>
      <c r="P1558" s="1" t="n">
        <v>8744</v>
      </c>
      <c r="Q1558" s="1" t="s">
        <v>8233</v>
      </c>
      <c r="R1558" s="1" t="s">
        <v>8234</v>
      </c>
      <c r="S1558" s="1" t="s">
        <v>8235</v>
      </c>
      <c r="T1558" s="1" t="s">
        <v>8236</v>
      </c>
      <c r="U1558" s="1" t="s">
        <v>8237</v>
      </c>
      <c r="V1558" s="1" t="s">
        <v>7795</v>
      </c>
    </row>
    <row r="1559" customFormat="false" ht="13.8" hidden="false" customHeight="false" outlineLevel="0" collapsed="false">
      <c r="A1559" s="1" t="n">
        <v>1558</v>
      </c>
      <c r="B1559" s="2" t="s">
        <v>8238</v>
      </c>
      <c r="C1559" s="1" t="n">
        <v>7</v>
      </c>
      <c r="D1559" s="1" t="n">
        <v>15</v>
      </c>
      <c r="E1559" s="1" t="n">
        <v>17</v>
      </c>
      <c r="F1559" s="1" t="n">
        <v>31</v>
      </c>
      <c r="G1559" s="1" t="n">
        <v>42</v>
      </c>
      <c r="H1559" s="1" t="n">
        <v>54</v>
      </c>
      <c r="I1559" s="1" t="str">
        <f aca="false">RIGHT(("0"&amp;C1559),2)&amp;RIGHT(("0"&amp;D1559),2)&amp;RIGHT(("0"&amp;E1559),2)&amp;RIGHT(("0"&amp;F1559),2)&amp;RIGHT(("0"&amp;G1559),2)&amp;RIGHT(("0"&amp;H1559),2)</f>
        <v>071517314254</v>
      </c>
      <c r="J1559" s="1" t="n">
        <f aca="false">COUNTIF(I:I,I1559)</f>
        <v>1</v>
      </c>
      <c r="K1559" s="1" t="n">
        <v>0</v>
      </c>
      <c r="M1559" s="1" t="s">
        <v>23</v>
      </c>
      <c r="N1559" s="1" t="n">
        <v>186</v>
      </c>
      <c r="O1559" s="1" t="s">
        <v>8239</v>
      </c>
      <c r="P1559" s="1" t="n">
        <v>11538</v>
      </c>
      <c r="Q1559" s="1" t="s">
        <v>8240</v>
      </c>
      <c r="R1559" s="1" t="s">
        <v>8241</v>
      </c>
      <c r="S1559" s="1" t="s">
        <v>8242</v>
      </c>
      <c r="T1559" s="1" t="s">
        <v>6084</v>
      </c>
      <c r="U1559" s="1" t="s">
        <v>8243</v>
      </c>
      <c r="V1559" s="1" t="s">
        <v>6777</v>
      </c>
    </row>
    <row r="1560" customFormat="false" ht="13.8" hidden="false" customHeight="false" outlineLevel="0" collapsed="false">
      <c r="A1560" s="1" t="n">
        <v>1559</v>
      </c>
      <c r="B1560" s="2" t="s">
        <v>8244</v>
      </c>
      <c r="C1560" s="1" t="n">
        <v>8</v>
      </c>
      <c r="D1560" s="1" t="n">
        <v>12</v>
      </c>
      <c r="E1560" s="1" t="n">
        <v>16</v>
      </c>
      <c r="F1560" s="1" t="n">
        <v>29</v>
      </c>
      <c r="G1560" s="1" t="n">
        <v>37</v>
      </c>
      <c r="H1560" s="1" t="n">
        <v>58</v>
      </c>
      <c r="I1560" s="1" t="str">
        <f aca="false">RIGHT(("0"&amp;C1560),2)&amp;RIGHT(("0"&amp;D1560),2)&amp;RIGHT(("0"&amp;E1560),2)&amp;RIGHT(("0"&amp;F1560),2)&amp;RIGHT(("0"&amp;G1560),2)&amp;RIGHT(("0"&amp;H1560),2)</f>
        <v>081216293758</v>
      </c>
      <c r="J1560" s="1" t="n">
        <f aca="false">COUNTIF(I:I,I1560)</f>
        <v>1</v>
      </c>
      <c r="K1560" s="1" t="n">
        <v>1</v>
      </c>
      <c r="L1560" s="1" t="s">
        <v>8245</v>
      </c>
      <c r="M1560" s="1" t="s">
        <v>8246</v>
      </c>
      <c r="N1560" s="1" t="n">
        <v>317</v>
      </c>
      <c r="O1560" s="1" t="s">
        <v>8247</v>
      </c>
      <c r="P1560" s="1" t="n">
        <v>16431</v>
      </c>
      <c r="Q1560" s="1" t="s">
        <v>8248</v>
      </c>
      <c r="R1560" s="1" t="s">
        <v>23</v>
      </c>
      <c r="S1560" s="1" t="s">
        <v>8249</v>
      </c>
      <c r="T1560" s="1" t="s">
        <v>6260</v>
      </c>
      <c r="U1560" s="1" t="s">
        <v>8250</v>
      </c>
    </row>
    <row r="1561" customFormat="false" ht="13.8" hidden="false" customHeight="false" outlineLevel="0" collapsed="false">
      <c r="A1561" s="1" t="n">
        <v>1560</v>
      </c>
      <c r="B1561" s="2" t="s">
        <v>8251</v>
      </c>
      <c r="C1561" s="1" t="n">
        <v>20</v>
      </c>
      <c r="D1561" s="1" t="n">
        <v>30</v>
      </c>
      <c r="E1561" s="1" t="n">
        <v>36</v>
      </c>
      <c r="F1561" s="1" t="n">
        <v>38</v>
      </c>
      <c r="G1561" s="1" t="n">
        <v>47</v>
      </c>
      <c r="H1561" s="1" t="n">
        <v>53</v>
      </c>
      <c r="I1561" s="1" t="str">
        <f aca="false">RIGHT(("0"&amp;C1561),2)&amp;RIGHT(("0"&amp;D1561),2)&amp;RIGHT(("0"&amp;E1561),2)&amp;RIGHT(("0"&amp;F1561),2)&amp;RIGHT(("0"&amp;G1561),2)&amp;RIGHT(("0"&amp;H1561),2)</f>
        <v>203036384753</v>
      </c>
      <c r="J1561" s="1" t="n">
        <f aca="false">COUNTIF(I:I,I1561)</f>
        <v>1</v>
      </c>
      <c r="K1561" s="1" t="n">
        <v>4</v>
      </c>
      <c r="L1561" s="1" t="s">
        <v>8252</v>
      </c>
      <c r="M1561" s="1" t="s">
        <v>8253</v>
      </c>
      <c r="N1561" s="1" t="n">
        <v>1147</v>
      </c>
      <c r="O1561" s="1" t="s">
        <v>8254</v>
      </c>
      <c r="P1561" s="1" t="n">
        <v>90376</v>
      </c>
      <c r="Q1561" s="1" t="s">
        <v>8255</v>
      </c>
      <c r="R1561" s="1" t="s">
        <v>23</v>
      </c>
      <c r="S1561" s="1" t="s">
        <v>8256</v>
      </c>
      <c r="T1561" s="1" t="s">
        <v>4218</v>
      </c>
      <c r="U1561" s="1" t="s">
        <v>23</v>
      </c>
      <c r="V1561" s="1" t="s">
        <v>7795</v>
      </c>
    </row>
    <row r="1562" customFormat="false" ht="13.8" hidden="false" customHeight="false" outlineLevel="0" collapsed="false">
      <c r="A1562" s="1" t="n">
        <v>1561</v>
      </c>
      <c r="B1562" s="2" t="s">
        <v>8257</v>
      </c>
      <c r="C1562" s="1" t="n">
        <v>23</v>
      </c>
      <c r="D1562" s="1" t="n">
        <v>26</v>
      </c>
      <c r="E1562" s="1" t="n">
        <v>28</v>
      </c>
      <c r="F1562" s="1" t="n">
        <v>54</v>
      </c>
      <c r="G1562" s="1" t="n">
        <v>55</v>
      </c>
      <c r="H1562" s="1" t="n">
        <v>60</v>
      </c>
      <c r="I1562" s="1" t="str">
        <f aca="false">RIGHT(("0"&amp;C1562),2)&amp;RIGHT(("0"&amp;D1562),2)&amp;RIGHT(("0"&amp;E1562),2)&amp;RIGHT(("0"&amp;F1562),2)&amp;RIGHT(("0"&amp;G1562),2)&amp;RIGHT(("0"&amp;H1562),2)</f>
        <v>232628545560</v>
      </c>
      <c r="J1562" s="1" t="n">
        <f aca="false">COUNTIF(I:I,I1562)</f>
        <v>1</v>
      </c>
      <c r="K1562" s="1" t="n">
        <v>0</v>
      </c>
      <c r="M1562" s="1" t="s">
        <v>23</v>
      </c>
      <c r="N1562" s="1" t="n">
        <v>20</v>
      </c>
      <c r="O1562" s="1" t="s">
        <v>8258</v>
      </c>
      <c r="P1562" s="1" t="n">
        <v>1669</v>
      </c>
      <c r="Q1562" s="1" t="s">
        <v>8259</v>
      </c>
      <c r="R1562" s="1" t="s">
        <v>8260</v>
      </c>
      <c r="S1562" s="1" t="s">
        <v>8261</v>
      </c>
      <c r="T1562" s="1" t="s">
        <v>473</v>
      </c>
      <c r="U1562" s="1" t="s">
        <v>8262</v>
      </c>
    </row>
    <row r="1563" customFormat="false" ht="13.8" hidden="false" customHeight="false" outlineLevel="0" collapsed="false">
      <c r="A1563" s="1" t="n">
        <v>1562</v>
      </c>
      <c r="B1563" s="2" t="s">
        <v>8263</v>
      </c>
      <c r="C1563" s="1" t="n">
        <v>10</v>
      </c>
      <c r="D1563" s="1" t="n">
        <v>12</v>
      </c>
      <c r="E1563" s="1" t="n">
        <v>23</v>
      </c>
      <c r="F1563" s="1" t="n">
        <v>37</v>
      </c>
      <c r="G1563" s="1" t="n">
        <v>47</v>
      </c>
      <c r="H1563" s="1" t="n">
        <v>51</v>
      </c>
      <c r="I1563" s="1" t="str">
        <f aca="false">RIGHT(("0"&amp;C1563),2)&amp;RIGHT(("0"&amp;D1563),2)&amp;RIGHT(("0"&amp;E1563),2)&amp;RIGHT(("0"&amp;F1563),2)&amp;RIGHT(("0"&amp;G1563),2)&amp;RIGHT(("0"&amp;H1563),2)</f>
        <v>101223374751</v>
      </c>
      <c r="J1563" s="1" t="n">
        <f aca="false">COUNTIF(I:I,I1563)</f>
        <v>1</v>
      </c>
      <c r="K1563" s="1" t="n">
        <v>0</v>
      </c>
      <c r="M1563" s="1" t="s">
        <v>23</v>
      </c>
      <c r="N1563" s="1" t="n">
        <v>59</v>
      </c>
      <c r="O1563" s="1" t="s">
        <v>8264</v>
      </c>
      <c r="P1563" s="1" t="n">
        <v>4384</v>
      </c>
      <c r="Q1563" s="1" t="s">
        <v>8265</v>
      </c>
      <c r="R1563" s="1" t="s">
        <v>8266</v>
      </c>
      <c r="S1563" s="1" t="s">
        <v>8267</v>
      </c>
      <c r="T1563" s="1" t="s">
        <v>8268</v>
      </c>
      <c r="U1563" s="1" t="s">
        <v>8269</v>
      </c>
    </row>
    <row r="1564" customFormat="false" ht="13.8" hidden="false" customHeight="false" outlineLevel="0" collapsed="false">
      <c r="A1564" s="1" t="n">
        <v>1563</v>
      </c>
      <c r="B1564" s="2" t="s">
        <v>8270</v>
      </c>
      <c r="C1564" s="1" t="n">
        <v>1</v>
      </c>
      <c r="D1564" s="1" t="n">
        <v>6</v>
      </c>
      <c r="E1564" s="1" t="n">
        <v>13</v>
      </c>
      <c r="F1564" s="1" t="n">
        <v>20</v>
      </c>
      <c r="G1564" s="1" t="n">
        <v>36</v>
      </c>
      <c r="H1564" s="1" t="n">
        <v>43</v>
      </c>
      <c r="I1564" s="1" t="str">
        <f aca="false">RIGHT(("0"&amp;C1564),2)&amp;RIGHT(("0"&amp;D1564),2)&amp;RIGHT(("0"&amp;E1564),2)&amp;RIGHT(("0"&amp;F1564),2)&amp;RIGHT(("0"&amp;G1564),2)&amp;RIGHT(("0"&amp;H1564),2)</f>
        <v>010613203643</v>
      </c>
      <c r="J1564" s="1" t="n">
        <f aca="false">COUNTIF(I:I,I1564)</f>
        <v>1</v>
      </c>
      <c r="K1564" s="1" t="n">
        <v>1</v>
      </c>
      <c r="L1564" s="1" t="s">
        <v>8271</v>
      </c>
      <c r="M1564" s="1" t="s">
        <v>8272</v>
      </c>
      <c r="N1564" s="1" t="n">
        <v>202</v>
      </c>
      <c r="O1564" s="1" t="s">
        <v>8273</v>
      </c>
      <c r="P1564" s="1" t="n">
        <v>10395</v>
      </c>
      <c r="Q1564" s="1" t="s">
        <v>4681</v>
      </c>
      <c r="R1564" s="1" t="s">
        <v>23</v>
      </c>
      <c r="S1564" s="1" t="s">
        <v>8274</v>
      </c>
      <c r="T1564" s="1" t="s">
        <v>4256</v>
      </c>
      <c r="U1564" s="1" t="s">
        <v>8275</v>
      </c>
    </row>
    <row r="1565" customFormat="false" ht="13.8" hidden="false" customHeight="false" outlineLevel="0" collapsed="false">
      <c r="A1565" s="1" t="n">
        <v>1564</v>
      </c>
      <c r="B1565" s="2" t="s">
        <v>8276</v>
      </c>
      <c r="C1565" s="1" t="n">
        <v>25</v>
      </c>
      <c r="D1565" s="1" t="n">
        <v>38</v>
      </c>
      <c r="E1565" s="1" t="n">
        <v>44</v>
      </c>
      <c r="F1565" s="1" t="n">
        <v>46</v>
      </c>
      <c r="G1565" s="1" t="n">
        <v>53</v>
      </c>
      <c r="H1565" s="1" t="n">
        <v>54</v>
      </c>
      <c r="I1565" s="1" t="str">
        <f aca="false">RIGHT(("0"&amp;C1565),2)&amp;RIGHT(("0"&amp;D1565),2)&amp;RIGHT(("0"&amp;E1565),2)&amp;RIGHT(("0"&amp;F1565),2)&amp;RIGHT(("0"&amp;G1565),2)&amp;RIGHT(("0"&amp;H1565),2)</f>
        <v>253844465354</v>
      </c>
      <c r="J1565" s="1" t="n">
        <f aca="false">COUNTIF(I:I,I1565)</f>
        <v>1</v>
      </c>
      <c r="K1565" s="1" t="n">
        <v>1</v>
      </c>
      <c r="L1565" s="1" t="s">
        <v>5310</v>
      </c>
      <c r="M1565" s="1" t="s">
        <v>8277</v>
      </c>
      <c r="N1565" s="1" t="n">
        <v>71</v>
      </c>
      <c r="O1565" s="1" t="s">
        <v>8278</v>
      </c>
      <c r="P1565" s="1" t="n">
        <v>5602</v>
      </c>
      <c r="Q1565" s="1" t="s">
        <v>8279</v>
      </c>
      <c r="R1565" s="1" t="s">
        <v>23</v>
      </c>
      <c r="S1565" s="1" t="s">
        <v>8280</v>
      </c>
      <c r="T1565" s="1" t="s">
        <v>4190</v>
      </c>
      <c r="U1565" s="1" t="s">
        <v>8281</v>
      </c>
    </row>
    <row r="1566" customFormat="false" ht="13.8" hidden="false" customHeight="false" outlineLevel="0" collapsed="false">
      <c r="A1566" s="1" t="n">
        <v>1565</v>
      </c>
      <c r="B1566" s="2" t="s">
        <v>8282</v>
      </c>
      <c r="C1566" s="1" t="n">
        <v>18</v>
      </c>
      <c r="D1566" s="1" t="n">
        <v>37</v>
      </c>
      <c r="E1566" s="1" t="n">
        <v>39</v>
      </c>
      <c r="F1566" s="1" t="n">
        <v>41</v>
      </c>
      <c r="G1566" s="1" t="n">
        <v>43</v>
      </c>
      <c r="H1566" s="1" t="n">
        <v>51</v>
      </c>
      <c r="I1566" s="1" t="str">
        <f aca="false">RIGHT(("0"&amp;C1566),2)&amp;RIGHT(("0"&amp;D1566),2)&amp;RIGHT(("0"&amp;E1566),2)&amp;RIGHT(("0"&amp;F1566),2)&amp;RIGHT(("0"&amp;G1566),2)&amp;RIGHT(("0"&amp;H1566),2)</f>
        <v>183739414351</v>
      </c>
      <c r="J1566" s="1" t="n">
        <f aca="false">COUNTIF(I:I,I1566)</f>
        <v>1</v>
      </c>
      <c r="K1566" s="1" t="n">
        <v>0</v>
      </c>
      <c r="M1566" s="1" t="s">
        <v>23</v>
      </c>
      <c r="N1566" s="1" t="n">
        <v>52</v>
      </c>
      <c r="O1566" s="1" t="s">
        <v>8283</v>
      </c>
      <c r="P1566" s="1" t="n">
        <v>5157</v>
      </c>
      <c r="Q1566" s="1" t="s">
        <v>8284</v>
      </c>
      <c r="R1566" s="1" t="s">
        <v>8285</v>
      </c>
      <c r="S1566" s="1" t="s">
        <v>8286</v>
      </c>
      <c r="T1566" s="1" t="s">
        <v>3602</v>
      </c>
      <c r="U1566" s="1" t="s">
        <v>8287</v>
      </c>
      <c r="V1566" s="1" t="s">
        <v>7795</v>
      </c>
    </row>
    <row r="1567" customFormat="false" ht="13.8" hidden="false" customHeight="false" outlineLevel="0" collapsed="false">
      <c r="A1567" s="1" t="n">
        <v>1566</v>
      </c>
      <c r="B1567" s="2" t="s">
        <v>8288</v>
      </c>
      <c r="C1567" s="1" t="n">
        <v>5</v>
      </c>
      <c r="D1567" s="1" t="n">
        <v>6</v>
      </c>
      <c r="E1567" s="1" t="n">
        <v>11</v>
      </c>
      <c r="F1567" s="1" t="n">
        <v>32</v>
      </c>
      <c r="G1567" s="1" t="n">
        <v>36</v>
      </c>
      <c r="H1567" s="1" t="n">
        <v>60</v>
      </c>
      <c r="I1567" s="1" t="str">
        <f aca="false">RIGHT(("0"&amp;C1567),2)&amp;RIGHT(("0"&amp;D1567),2)&amp;RIGHT(("0"&amp;E1567),2)&amp;RIGHT(("0"&amp;F1567),2)&amp;RIGHT(("0"&amp;G1567),2)&amp;RIGHT(("0"&amp;H1567),2)</f>
        <v>050611323660</v>
      </c>
      <c r="J1567" s="1" t="n">
        <f aca="false">COUNTIF(I:I,I1567)</f>
        <v>1</v>
      </c>
      <c r="K1567" s="1" t="n">
        <v>1</v>
      </c>
      <c r="L1567" s="1" t="s">
        <v>8289</v>
      </c>
      <c r="M1567" s="1" t="s">
        <v>8290</v>
      </c>
      <c r="N1567" s="1" t="n">
        <v>133</v>
      </c>
      <c r="O1567" s="1" t="s">
        <v>8291</v>
      </c>
      <c r="P1567" s="1" t="n">
        <v>8797</v>
      </c>
      <c r="Q1567" s="1" t="s">
        <v>8292</v>
      </c>
      <c r="R1567" s="1" t="s">
        <v>23</v>
      </c>
      <c r="S1567" s="1" t="s">
        <v>8293</v>
      </c>
      <c r="T1567" s="1" t="s">
        <v>4256</v>
      </c>
      <c r="U1567" s="1" t="s">
        <v>8294</v>
      </c>
    </row>
    <row r="1568" customFormat="false" ht="13.8" hidden="false" customHeight="false" outlineLevel="0" collapsed="false">
      <c r="A1568" s="1" t="n">
        <v>1567</v>
      </c>
      <c r="B1568" s="2" t="s">
        <v>8295</v>
      </c>
      <c r="C1568" s="1" t="n">
        <v>2</v>
      </c>
      <c r="D1568" s="1" t="n">
        <v>15</v>
      </c>
      <c r="E1568" s="1" t="n">
        <v>30</v>
      </c>
      <c r="F1568" s="1" t="n">
        <v>38</v>
      </c>
      <c r="G1568" s="1" t="n">
        <v>48</v>
      </c>
      <c r="H1568" s="1" t="n">
        <v>53</v>
      </c>
      <c r="I1568" s="1" t="str">
        <f aca="false">RIGHT(("0"&amp;C1568),2)&amp;RIGHT(("0"&amp;D1568),2)&amp;RIGHT(("0"&amp;E1568),2)&amp;RIGHT(("0"&amp;F1568),2)&amp;RIGHT(("0"&amp;G1568),2)&amp;RIGHT(("0"&amp;H1568),2)</f>
        <v>021530384853</v>
      </c>
      <c r="J1568" s="1" t="n">
        <f aca="false">COUNTIF(I:I,I1568)</f>
        <v>1</v>
      </c>
      <c r="K1568" s="1" t="n">
        <v>0</v>
      </c>
      <c r="M1568" s="1" t="s">
        <v>23</v>
      </c>
      <c r="N1568" s="1" t="n">
        <v>59</v>
      </c>
      <c r="O1568" s="1" t="s">
        <v>8296</v>
      </c>
      <c r="P1568" s="1" t="n">
        <v>4463</v>
      </c>
      <c r="Q1568" s="1" t="s">
        <v>8297</v>
      </c>
      <c r="R1568" s="1" t="s">
        <v>8298</v>
      </c>
      <c r="S1568" s="1" t="s">
        <v>8299</v>
      </c>
      <c r="T1568" s="1" t="s">
        <v>4342</v>
      </c>
      <c r="U1568" s="1" t="s">
        <v>8300</v>
      </c>
      <c r="V1568" s="1" t="s">
        <v>6777</v>
      </c>
    </row>
    <row r="1569" customFormat="false" ht="13.8" hidden="false" customHeight="false" outlineLevel="0" collapsed="false">
      <c r="A1569" s="1" t="n">
        <v>1568</v>
      </c>
      <c r="B1569" s="2" t="s">
        <v>8301</v>
      </c>
      <c r="C1569" s="1" t="n">
        <v>19</v>
      </c>
      <c r="D1569" s="1" t="n">
        <v>24</v>
      </c>
      <c r="E1569" s="1" t="n">
        <v>25</v>
      </c>
      <c r="F1569" s="1" t="n">
        <v>28</v>
      </c>
      <c r="G1569" s="1" t="n">
        <v>42</v>
      </c>
      <c r="H1569" s="1" t="n">
        <v>58</v>
      </c>
      <c r="I1569" s="1" t="str">
        <f aca="false">RIGHT(("0"&amp;C1569),2)&amp;RIGHT(("0"&amp;D1569),2)&amp;RIGHT(("0"&amp;E1569),2)&amp;RIGHT(("0"&amp;F1569),2)&amp;RIGHT(("0"&amp;G1569),2)&amp;RIGHT(("0"&amp;H1569),2)</f>
        <v>192425284258</v>
      </c>
      <c r="J1569" s="1" t="n">
        <f aca="false">COUNTIF(I:I,I1569)</f>
        <v>1</v>
      </c>
      <c r="K1569" s="1" t="n">
        <v>0</v>
      </c>
      <c r="M1569" s="1" t="s">
        <v>23</v>
      </c>
      <c r="N1569" s="1" t="n">
        <v>103</v>
      </c>
      <c r="O1569" s="1" t="s">
        <v>8302</v>
      </c>
      <c r="P1569" s="1" t="n">
        <v>7192</v>
      </c>
      <c r="Q1569" s="1" t="s">
        <v>8303</v>
      </c>
      <c r="R1569" s="1" t="s">
        <v>8304</v>
      </c>
      <c r="S1569" s="1" t="s">
        <v>8305</v>
      </c>
      <c r="T1569" s="1" t="s">
        <v>4195</v>
      </c>
      <c r="U1569" s="1" t="s">
        <v>8306</v>
      </c>
    </row>
    <row r="1570" customFormat="false" ht="13.8" hidden="false" customHeight="false" outlineLevel="0" collapsed="false">
      <c r="A1570" s="1" t="n">
        <v>1569</v>
      </c>
      <c r="B1570" s="2" t="s">
        <v>8307</v>
      </c>
      <c r="C1570" s="1" t="n">
        <v>5</v>
      </c>
      <c r="D1570" s="1" t="n">
        <v>15</v>
      </c>
      <c r="E1570" s="1" t="n">
        <v>18</v>
      </c>
      <c r="F1570" s="1" t="n">
        <v>31</v>
      </c>
      <c r="G1570" s="1" t="n">
        <v>42</v>
      </c>
      <c r="H1570" s="1" t="n">
        <v>53</v>
      </c>
      <c r="I1570" s="1" t="str">
        <f aca="false">RIGHT(("0"&amp;C1570),2)&amp;RIGHT(("0"&amp;D1570),2)&amp;RIGHT(("0"&amp;E1570),2)&amp;RIGHT(("0"&amp;F1570),2)&amp;RIGHT(("0"&amp;G1570),2)&amp;RIGHT(("0"&amp;H1570),2)</f>
        <v>051518314253</v>
      </c>
      <c r="J1570" s="1" t="n">
        <f aca="false">COUNTIF(I:I,I1570)</f>
        <v>1</v>
      </c>
      <c r="K1570" s="1" t="n">
        <v>0</v>
      </c>
      <c r="M1570" s="1" t="s">
        <v>23</v>
      </c>
      <c r="N1570" s="1" t="n">
        <v>81</v>
      </c>
      <c r="O1570" s="1" t="s">
        <v>8308</v>
      </c>
      <c r="P1570" s="1" t="n">
        <v>6718</v>
      </c>
      <c r="Q1570" s="1" t="s">
        <v>8309</v>
      </c>
      <c r="R1570" s="1" t="s">
        <v>8310</v>
      </c>
      <c r="S1570" s="1" t="s">
        <v>8311</v>
      </c>
      <c r="T1570" s="1" t="s">
        <v>5281</v>
      </c>
      <c r="U1570" s="1" t="s">
        <v>8312</v>
      </c>
      <c r="V1570" s="1" t="s">
        <v>6777</v>
      </c>
    </row>
    <row r="1571" customFormat="false" ht="13.8" hidden="false" customHeight="false" outlineLevel="0" collapsed="false">
      <c r="A1571" s="1" t="n">
        <v>1570</v>
      </c>
      <c r="B1571" s="2" t="s">
        <v>8313</v>
      </c>
      <c r="C1571" s="1" t="n">
        <v>15</v>
      </c>
      <c r="D1571" s="1" t="n">
        <v>18</v>
      </c>
      <c r="E1571" s="1" t="n">
        <v>24</v>
      </c>
      <c r="F1571" s="1" t="n">
        <v>42</v>
      </c>
      <c r="G1571" s="1" t="n">
        <v>46</v>
      </c>
      <c r="H1571" s="1" t="n">
        <v>56</v>
      </c>
      <c r="I1571" s="1" t="str">
        <f aca="false">RIGHT(("0"&amp;C1571),2)&amp;RIGHT(("0"&amp;D1571),2)&amp;RIGHT(("0"&amp;E1571),2)&amp;RIGHT(("0"&amp;F1571),2)&amp;RIGHT(("0"&amp;G1571),2)&amp;RIGHT(("0"&amp;H1571),2)</f>
        <v>151824424656</v>
      </c>
      <c r="J1571" s="1" t="n">
        <f aca="false">COUNTIF(I:I,I1571)</f>
        <v>1</v>
      </c>
      <c r="K1571" s="1" t="n">
        <v>0</v>
      </c>
      <c r="M1571" s="1" t="s">
        <v>23</v>
      </c>
      <c r="N1571" s="1" t="n">
        <v>225</v>
      </c>
      <c r="O1571" s="1" t="s">
        <v>8314</v>
      </c>
      <c r="P1571" s="1" t="n">
        <v>11903</v>
      </c>
      <c r="Q1571" s="1" t="s">
        <v>8315</v>
      </c>
      <c r="R1571" s="1" t="s">
        <v>8316</v>
      </c>
      <c r="S1571" s="1" t="s">
        <v>8317</v>
      </c>
      <c r="T1571" s="1" t="s">
        <v>5686</v>
      </c>
      <c r="U1571" s="1" t="s">
        <v>8318</v>
      </c>
    </row>
    <row r="1572" customFormat="false" ht="13.8" hidden="false" customHeight="false" outlineLevel="0" collapsed="false">
      <c r="A1572" s="1" t="n">
        <v>1571</v>
      </c>
      <c r="B1572" s="2" t="s">
        <v>8319</v>
      </c>
      <c r="C1572" s="1" t="n">
        <v>3</v>
      </c>
      <c r="D1572" s="1" t="n">
        <v>29</v>
      </c>
      <c r="E1572" s="1" t="n">
        <v>32</v>
      </c>
      <c r="F1572" s="1" t="n">
        <v>46</v>
      </c>
      <c r="G1572" s="1" t="n">
        <v>55</v>
      </c>
      <c r="H1572" s="1" t="n">
        <v>60</v>
      </c>
      <c r="I1572" s="1" t="str">
        <f aca="false">RIGHT(("0"&amp;C1572),2)&amp;RIGHT(("0"&amp;D1572),2)&amp;RIGHT(("0"&amp;E1572),2)&amp;RIGHT(("0"&amp;F1572),2)&amp;RIGHT(("0"&amp;G1572),2)&amp;RIGHT(("0"&amp;H1572),2)</f>
        <v>032932465560</v>
      </c>
      <c r="J1572" s="1" t="n">
        <f aca="false">COUNTIF(I:I,I1572)</f>
        <v>1</v>
      </c>
      <c r="K1572" s="1" t="n">
        <v>0</v>
      </c>
      <c r="M1572" s="1" t="s">
        <v>23</v>
      </c>
      <c r="N1572" s="1" t="n">
        <v>176</v>
      </c>
      <c r="O1572" s="1" t="s">
        <v>8320</v>
      </c>
      <c r="P1572" s="1" t="n">
        <v>11857</v>
      </c>
      <c r="Q1572" s="1" t="s">
        <v>8321</v>
      </c>
      <c r="R1572" s="1" t="s">
        <v>8322</v>
      </c>
      <c r="S1572" s="1" t="s">
        <v>8323</v>
      </c>
      <c r="T1572" s="1" t="s">
        <v>7567</v>
      </c>
      <c r="U1572" s="1" t="s">
        <v>8324</v>
      </c>
      <c r="V1572" s="1" t="s">
        <v>7795</v>
      </c>
    </row>
    <row r="1573" customFormat="false" ht="13.8" hidden="false" customHeight="false" outlineLevel="0" collapsed="false">
      <c r="A1573" s="1" t="n">
        <v>1572</v>
      </c>
      <c r="B1573" s="2" t="s">
        <v>8325</v>
      </c>
      <c r="C1573" s="1" t="n">
        <v>20</v>
      </c>
      <c r="D1573" s="1" t="n">
        <v>27</v>
      </c>
      <c r="E1573" s="1" t="n">
        <v>42</v>
      </c>
      <c r="F1573" s="1" t="n">
        <v>45</v>
      </c>
      <c r="G1573" s="1" t="n">
        <v>46</v>
      </c>
      <c r="H1573" s="1" t="n">
        <v>47</v>
      </c>
      <c r="I1573" s="1" t="str">
        <f aca="false">RIGHT(("0"&amp;C1573),2)&amp;RIGHT(("0"&amp;D1573),2)&amp;RIGHT(("0"&amp;E1573),2)&amp;RIGHT(("0"&amp;F1573),2)&amp;RIGHT(("0"&amp;G1573),2)&amp;RIGHT(("0"&amp;H1573),2)</f>
        <v>202742454647</v>
      </c>
      <c r="J1573" s="1" t="n">
        <f aca="false">COUNTIF(I:I,I1573)</f>
        <v>1</v>
      </c>
      <c r="K1573" s="1" t="n">
        <v>0</v>
      </c>
      <c r="M1573" s="1" t="s">
        <v>23</v>
      </c>
      <c r="N1573" s="1" t="n">
        <v>93</v>
      </c>
      <c r="O1573" s="1" t="s">
        <v>8326</v>
      </c>
      <c r="P1573" s="1" t="n">
        <v>11613</v>
      </c>
      <c r="Q1573" s="1" t="s">
        <v>8327</v>
      </c>
      <c r="R1573" s="1" t="s">
        <v>8328</v>
      </c>
      <c r="S1573" s="1" t="s">
        <v>8329</v>
      </c>
      <c r="T1573" s="1" t="s">
        <v>6559</v>
      </c>
      <c r="U1573" s="1" t="s">
        <v>8330</v>
      </c>
    </row>
    <row r="1574" customFormat="false" ht="13.8" hidden="false" customHeight="false" outlineLevel="0" collapsed="false">
      <c r="A1574" s="1" t="n">
        <v>1573</v>
      </c>
      <c r="B1574" s="2" t="s">
        <v>8331</v>
      </c>
      <c r="C1574" s="1" t="n">
        <v>7</v>
      </c>
      <c r="D1574" s="1" t="n">
        <v>16</v>
      </c>
      <c r="E1574" s="1" t="n">
        <v>21</v>
      </c>
      <c r="F1574" s="1" t="n">
        <v>35</v>
      </c>
      <c r="G1574" s="1" t="n">
        <v>36</v>
      </c>
      <c r="H1574" s="1" t="n">
        <v>38</v>
      </c>
      <c r="I1574" s="1" t="str">
        <f aca="false">RIGHT(("0"&amp;C1574),2)&amp;RIGHT(("0"&amp;D1574),2)&amp;RIGHT(("0"&amp;E1574),2)&amp;RIGHT(("0"&amp;F1574),2)&amp;RIGHT(("0"&amp;G1574),2)&amp;RIGHT(("0"&amp;H1574),2)</f>
        <v>071621353638</v>
      </c>
      <c r="J1574" s="1" t="n">
        <f aca="false">COUNTIF(I:I,I1574)</f>
        <v>1</v>
      </c>
      <c r="K1574" s="1" t="n">
        <v>0</v>
      </c>
      <c r="M1574" s="1" t="s">
        <v>23</v>
      </c>
      <c r="N1574" s="1" t="n">
        <v>230</v>
      </c>
      <c r="O1574" s="1" t="s">
        <v>8332</v>
      </c>
      <c r="P1574" s="1" t="n">
        <v>19015</v>
      </c>
      <c r="Q1574" s="1" t="s">
        <v>8333</v>
      </c>
      <c r="R1574" s="1" t="s">
        <v>8334</v>
      </c>
      <c r="S1574" s="1" t="s">
        <v>8335</v>
      </c>
      <c r="T1574" s="1" t="s">
        <v>8336</v>
      </c>
      <c r="U1574" s="1" t="s">
        <v>8337</v>
      </c>
      <c r="V1574" s="1" t="s">
        <v>7795</v>
      </c>
    </row>
    <row r="1575" customFormat="false" ht="13.8" hidden="false" customHeight="false" outlineLevel="0" collapsed="false">
      <c r="A1575" s="1" t="n">
        <v>1574</v>
      </c>
      <c r="B1575" s="2" t="s">
        <v>8338</v>
      </c>
      <c r="C1575" s="1" t="n">
        <v>6</v>
      </c>
      <c r="D1575" s="1" t="n">
        <v>27</v>
      </c>
      <c r="E1575" s="1" t="n">
        <v>28</v>
      </c>
      <c r="F1575" s="1" t="n">
        <v>33</v>
      </c>
      <c r="G1575" s="1" t="n">
        <v>46</v>
      </c>
      <c r="H1575" s="1" t="n">
        <v>48</v>
      </c>
      <c r="I1575" s="1" t="str">
        <f aca="false">RIGHT(("0"&amp;C1575),2)&amp;RIGHT(("0"&amp;D1575),2)&amp;RIGHT(("0"&amp;E1575),2)&amp;RIGHT(("0"&amp;F1575),2)&amp;RIGHT(("0"&amp;G1575),2)&amp;RIGHT(("0"&amp;H1575),2)</f>
        <v>062728334648</v>
      </c>
      <c r="J1575" s="1" t="n">
        <f aca="false">COUNTIF(I:I,I1575)</f>
        <v>1</v>
      </c>
      <c r="K1575" s="1" t="n">
        <v>0</v>
      </c>
      <c r="M1575" s="1" t="s">
        <v>23</v>
      </c>
      <c r="N1575" s="1" t="n">
        <v>459</v>
      </c>
      <c r="O1575" s="1" t="s">
        <v>8339</v>
      </c>
      <c r="P1575" s="1" t="n">
        <v>29794</v>
      </c>
      <c r="Q1575" s="1" t="s">
        <v>8340</v>
      </c>
      <c r="R1575" s="1" t="s">
        <v>8341</v>
      </c>
      <c r="S1575" s="1" t="s">
        <v>8342</v>
      </c>
      <c r="T1575" s="1" t="s">
        <v>8343</v>
      </c>
      <c r="U1575" s="1" t="s">
        <v>8344</v>
      </c>
    </row>
    <row r="1576" customFormat="false" ht="13.8" hidden="false" customHeight="false" outlineLevel="0" collapsed="false">
      <c r="A1576" s="1" t="n">
        <v>1575</v>
      </c>
      <c r="B1576" s="2" t="s">
        <v>8345</v>
      </c>
      <c r="C1576" s="1" t="n">
        <v>1</v>
      </c>
      <c r="D1576" s="1" t="n">
        <v>4</v>
      </c>
      <c r="E1576" s="1" t="n">
        <v>5</v>
      </c>
      <c r="F1576" s="1" t="n">
        <v>14</v>
      </c>
      <c r="G1576" s="1" t="n">
        <v>45</v>
      </c>
      <c r="H1576" s="1" t="n">
        <v>56</v>
      </c>
      <c r="I1576" s="1" t="str">
        <f aca="false">RIGHT(("0"&amp;C1576),2)&amp;RIGHT(("0"&amp;D1576),2)&amp;RIGHT(("0"&amp;E1576),2)&amp;RIGHT(("0"&amp;F1576),2)&amp;RIGHT(("0"&amp;G1576),2)&amp;RIGHT(("0"&amp;H1576),2)</f>
        <v>010405144556</v>
      </c>
      <c r="J1576" s="1" t="n">
        <f aca="false">COUNTIF(I:I,I1576)</f>
        <v>1</v>
      </c>
      <c r="K1576" s="1" t="n">
        <v>1</v>
      </c>
      <c r="L1576" s="1" t="s">
        <v>8346</v>
      </c>
      <c r="M1576" s="1" t="s">
        <v>8347</v>
      </c>
      <c r="N1576" s="1" t="n">
        <v>709</v>
      </c>
      <c r="O1576" s="1" t="s">
        <v>8348</v>
      </c>
      <c r="P1576" s="1" t="n">
        <v>42590</v>
      </c>
      <c r="Q1576" s="1" t="s">
        <v>8349</v>
      </c>
      <c r="R1576" s="1" t="s">
        <v>23</v>
      </c>
      <c r="S1576" s="1" t="s">
        <v>8350</v>
      </c>
      <c r="T1576" s="1" t="s">
        <v>473</v>
      </c>
      <c r="U1576" s="1" t="s">
        <v>8351</v>
      </c>
      <c r="V1576" s="1" t="s">
        <v>6777</v>
      </c>
    </row>
    <row r="1577" customFormat="false" ht="13.8" hidden="false" customHeight="false" outlineLevel="0" collapsed="false">
      <c r="A1577" s="1" t="n">
        <v>1576</v>
      </c>
      <c r="B1577" s="2" t="s">
        <v>8352</v>
      </c>
      <c r="C1577" s="1" t="n">
        <v>13</v>
      </c>
      <c r="D1577" s="1" t="n">
        <v>15</v>
      </c>
      <c r="E1577" s="1" t="n">
        <v>21</v>
      </c>
      <c r="F1577" s="1" t="n">
        <v>26</v>
      </c>
      <c r="G1577" s="1" t="n">
        <v>30</v>
      </c>
      <c r="H1577" s="1" t="n">
        <v>46</v>
      </c>
      <c r="I1577" s="1" t="str">
        <f aca="false">RIGHT(("0"&amp;C1577),2)&amp;RIGHT(("0"&amp;D1577),2)&amp;RIGHT(("0"&amp;E1577),2)&amp;RIGHT(("0"&amp;F1577),2)&amp;RIGHT(("0"&amp;G1577),2)&amp;RIGHT(("0"&amp;H1577),2)</f>
        <v>131521263046</v>
      </c>
      <c r="J1577" s="1" t="n">
        <f aca="false">COUNTIF(I:I,I1577)</f>
        <v>1</v>
      </c>
      <c r="K1577" s="1" t="n">
        <v>0</v>
      </c>
      <c r="M1577" s="1" t="s">
        <v>23</v>
      </c>
      <c r="N1577" s="1" t="n">
        <v>88</v>
      </c>
      <c r="O1577" s="1" t="s">
        <v>8353</v>
      </c>
      <c r="P1577" s="1" t="n">
        <v>5886</v>
      </c>
      <c r="Q1577" s="1" t="s">
        <v>8354</v>
      </c>
      <c r="R1577" s="1" t="s">
        <v>8355</v>
      </c>
      <c r="S1577" s="1" t="s">
        <v>8356</v>
      </c>
      <c r="T1577" s="1" t="s">
        <v>4232</v>
      </c>
      <c r="U1577" s="1" t="s">
        <v>8357</v>
      </c>
    </row>
    <row r="1578" customFormat="false" ht="13.8" hidden="false" customHeight="false" outlineLevel="0" collapsed="false">
      <c r="A1578" s="1" t="n">
        <v>1577</v>
      </c>
      <c r="B1578" s="2" t="s">
        <v>8358</v>
      </c>
      <c r="C1578" s="1" t="n">
        <v>11</v>
      </c>
      <c r="D1578" s="1" t="n">
        <v>14</v>
      </c>
      <c r="E1578" s="1" t="n">
        <v>25</v>
      </c>
      <c r="F1578" s="1" t="n">
        <v>32</v>
      </c>
      <c r="G1578" s="1" t="n">
        <v>51</v>
      </c>
      <c r="H1578" s="1" t="n">
        <v>59</v>
      </c>
      <c r="I1578" s="1" t="str">
        <f aca="false">RIGHT(("0"&amp;C1578),2)&amp;RIGHT(("0"&amp;D1578),2)&amp;RIGHT(("0"&amp;E1578),2)&amp;RIGHT(("0"&amp;F1578),2)&amp;RIGHT(("0"&amp;G1578),2)&amp;RIGHT(("0"&amp;H1578),2)</f>
        <v>111425325159</v>
      </c>
      <c r="J1578" s="1" t="n">
        <f aca="false">COUNTIF(I:I,I1578)</f>
        <v>1</v>
      </c>
      <c r="K1578" s="1" t="n">
        <v>1</v>
      </c>
      <c r="L1578" s="1" t="s">
        <v>5310</v>
      </c>
      <c r="M1578" s="1" t="s">
        <v>8359</v>
      </c>
      <c r="N1578" s="1" t="n">
        <v>86</v>
      </c>
      <c r="O1578" s="1" t="s">
        <v>8360</v>
      </c>
      <c r="P1578" s="1" t="n">
        <v>6004</v>
      </c>
      <c r="Q1578" s="1" t="s">
        <v>8361</v>
      </c>
      <c r="R1578" s="1" t="s">
        <v>23</v>
      </c>
      <c r="S1578" s="1" t="s">
        <v>8362</v>
      </c>
      <c r="T1578" s="1" t="s">
        <v>4256</v>
      </c>
      <c r="U1578" s="1" t="s">
        <v>8363</v>
      </c>
      <c r="V1578" s="1" t="s">
        <v>8126</v>
      </c>
    </row>
    <row r="1579" customFormat="false" ht="13.8" hidden="false" customHeight="false" outlineLevel="0" collapsed="false">
      <c r="A1579" s="1" t="n">
        <v>1578</v>
      </c>
      <c r="B1579" s="2" t="s">
        <v>8364</v>
      </c>
      <c r="C1579" s="1" t="n">
        <v>3</v>
      </c>
      <c r="D1579" s="1" t="n">
        <v>6</v>
      </c>
      <c r="E1579" s="1" t="n">
        <v>30</v>
      </c>
      <c r="F1579" s="1" t="n">
        <v>37</v>
      </c>
      <c r="G1579" s="1" t="n">
        <v>53</v>
      </c>
      <c r="H1579" s="1" t="n">
        <v>56</v>
      </c>
      <c r="I1579" s="1" t="str">
        <f aca="false">RIGHT(("0"&amp;C1579),2)&amp;RIGHT(("0"&amp;D1579),2)&amp;RIGHT(("0"&amp;E1579),2)&amp;RIGHT(("0"&amp;F1579),2)&amp;RIGHT(("0"&amp;G1579),2)&amp;RIGHT(("0"&amp;H1579),2)</f>
        <v>030630375356</v>
      </c>
      <c r="J1579" s="1" t="n">
        <f aca="false">COUNTIF(I:I,I1579)</f>
        <v>1</v>
      </c>
      <c r="K1579" s="1" t="n">
        <v>0</v>
      </c>
      <c r="M1579" s="1" t="s">
        <v>23</v>
      </c>
      <c r="N1579" s="1" t="n">
        <v>107</v>
      </c>
      <c r="O1579" s="1" t="s">
        <v>8365</v>
      </c>
      <c r="P1579" s="1" t="n">
        <v>6347</v>
      </c>
      <c r="Q1579" s="1" t="s">
        <v>8366</v>
      </c>
      <c r="R1579" s="1" t="s">
        <v>8367</v>
      </c>
      <c r="S1579" s="1" t="s">
        <v>8368</v>
      </c>
      <c r="T1579" s="1" t="s">
        <v>4227</v>
      </c>
      <c r="U1579" s="1" t="s">
        <v>8369</v>
      </c>
    </row>
    <row r="1580" customFormat="false" ht="13.8" hidden="false" customHeight="false" outlineLevel="0" collapsed="false">
      <c r="A1580" s="1" t="n">
        <v>1579</v>
      </c>
      <c r="B1580" s="2" t="s">
        <v>8370</v>
      </c>
      <c r="C1580" s="1" t="n">
        <v>25</v>
      </c>
      <c r="D1580" s="1" t="n">
        <v>34</v>
      </c>
      <c r="E1580" s="1" t="n">
        <v>40</v>
      </c>
      <c r="F1580" s="1" t="n">
        <v>49</v>
      </c>
      <c r="G1580" s="1" t="n">
        <v>51</v>
      </c>
      <c r="H1580" s="1" t="n">
        <v>60</v>
      </c>
      <c r="I1580" s="1" t="str">
        <f aca="false">RIGHT(("0"&amp;C1580),2)&amp;RIGHT(("0"&amp;D1580),2)&amp;RIGHT(("0"&amp;E1580),2)&amp;RIGHT(("0"&amp;F1580),2)&amp;RIGHT(("0"&amp;G1580),2)&amp;RIGHT(("0"&amp;H1580),2)</f>
        <v>253440495160</v>
      </c>
      <c r="J1580" s="1" t="n">
        <f aca="false">COUNTIF(I:I,I1580)</f>
        <v>1</v>
      </c>
      <c r="K1580" s="1" t="n">
        <v>0</v>
      </c>
      <c r="M1580" s="1" t="s">
        <v>23</v>
      </c>
      <c r="N1580" s="1" t="n">
        <v>23</v>
      </c>
      <c r="O1580" s="1" t="s">
        <v>8371</v>
      </c>
      <c r="P1580" s="1" t="n">
        <v>2180</v>
      </c>
      <c r="Q1580" s="1" t="s">
        <v>8372</v>
      </c>
      <c r="R1580" s="1" t="s">
        <v>8373</v>
      </c>
      <c r="S1580" s="1" t="s">
        <v>8374</v>
      </c>
      <c r="T1580" s="1" t="s">
        <v>4304</v>
      </c>
      <c r="U1580" s="1" t="s">
        <v>8375</v>
      </c>
      <c r="V1580" s="1" t="s">
        <v>8126</v>
      </c>
    </row>
    <row r="1581" customFormat="false" ht="13.8" hidden="false" customHeight="false" outlineLevel="0" collapsed="false">
      <c r="A1581" s="1" t="n">
        <v>1580</v>
      </c>
      <c r="B1581" s="2" t="s">
        <v>8376</v>
      </c>
      <c r="C1581" s="1" t="n">
        <v>1</v>
      </c>
      <c r="D1581" s="1" t="n">
        <v>6</v>
      </c>
      <c r="E1581" s="1" t="n">
        <v>14</v>
      </c>
      <c r="F1581" s="1" t="n">
        <v>17</v>
      </c>
      <c r="G1581" s="1" t="n">
        <v>33</v>
      </c>
      <c r="H1581" s="1" t="n">
        <v>36</v>
      </c>
      <c r="I1581" s="1" t="str">
        <f aca="false">RIGHT(("0"&amp;C1581),2)&amp;RIGHT(("0"&amp;D1581),2)&amp;RIGHT(("0"&amp;E1581),2)&amp;RIGHT(("0"&amp;F1581),2)&amp;RIGHT(("0"&amp;G1581),2)&amp;RIGHT(("0"&amp;H1581),2)</f>
        <v>010614173336</v>
      </c>
      <c r="J1581" s="1" t="n">
        <f aca="false">COUNTIF(I:I,I1581)</f>
        <v>1</v>
      </c>
      <c r="K1581" s="1" t="n">
        <v>2</v>
      </c>
      <c r="L1581" s="1" t="s">
        <v>8377</v>
      </c>
      <c r="M1581" s="1" t="s">
        <v>8378</v>
      </c>
      <c r="N1581" s="1" t="n">
        <v>378</v>
      </c>
      <c r="O1581" s="1" t="s">
        <v>8379</v>
      </c>
      <c r="P1581" s="1" t="n">
        <v>20400</v>
      </c>
      <c r="Q1581" s="1" t="s">
        <v>8380</v>
      </c>
      <c r="R1581" s="1" t="s">
        <v>23</v>
      </c>
      <c r="S1581" s="1" t="s">
        <v>8381</v>
      </c>
      <c r="T1581" s="1" t="s">
        <v>4256</v>
      </c>
      <c r="U1581" s="1" t="s">
        <v>8382</v>
      </c>
    </row>
    <row r="1582" customFormat="false" ht="13.8" hidden="false" customHeight="false" outlineLevel="0" collapsed="false">
      <c r="A1582" s="1" t="n">
        <v>1581</v>
      </c>
      <c r="B1582" s="2" t="s">
        <v>8383</v>
      </c>
      <c r="C1582" s="1" t="n">
        <v>14</v>
      </c>
      <c r="D1582" s="1" t="n">
        <v>15</v>
      </c>
      <c r="E1582" s="1" t="n">
        <v>25</v>
      </c>
      <c r="F1582" s="1" t="n">
        <v>30</v>
      </c>
      <c r="G1582" s="1" t="n">
        <v>31</v>
      </c>
      <c r="H1582" s="1" t="n">
        <v>34</v>
      </c>
      <c r="I1582" s="1" t="str">
        <f aca="false">RIGHT(("0"&amp;C1582),2)&amp;RIGHT(("0"&amp;D1582),2)&amp;RIGHT(("0"&amp;E1582),2)&amp;RIGHT(("0"&amp;F1582),2)&amp;RIGHT(("0"&amp;G1582),2)&amp;RIGHT(("0"&amp;H1582),2)</f>
        <v>141525303134</v>
      </c>
      <c r="J1582" s="1" t="n">
        <f aca="false">COUNTIF(I:I,I1582)</f>
        <v>1</v>
      </c>
      <c r="K1582" s="1" t="n">
        <v>0</v>
      </c>
      <c r="M1582" s="1" t="s">
        <v>23</v>
      </c>
      <c r="N1582" s="1" t="n">
        <v>41</v>
      </c>
      <c r="O1582" s="1" t="s">
        <v>8384</v>
      </c>
      <c r="P1582" s="1" t="n">
        <v>4202</v>
      </c>
      <c r="Q1582" s="1" t="s">
        <v>8385</v>
      </c>
      <c r="R1582" s="1" t="s">
        <v>8386</v>
      </c>
      <c r="S1582" s="1" t="s">
        <v>8387</v>
      </c>
      <c r="T1582" s="1" t="s">
        <v>4232</v>
      </c>
      <c r="U1582" s="1" t="s">
        <v>8388</v>
      </c>
      <c r="V1582" s="1" t="s">
        <v>8389</v>
      </c>
    </row>
    <row r="1583" customFormat="false" ht="13.8" hidden="false" customHeight="false" outlineLevel="0" collapsed="false">
      <c r="A1583" s="1" t="n">
        <v>1582</v>
      </c>
      <c r="B1583" s="2" t="s">
        <v>8390</v>
      </c>
      <c r="C1583" s="1" t="n">
        <v>1</v>
      </c>
      <c r="D1583" s="1" t="n">
        <v>4</v>
      </c>
      <c r="E1583" s="1" t="n">
        <v>13</v>
      </c>
      <c r="F1583" s="1" t="n">
        <v>17</v>
      </c>
      <c r="G1583" s="1" t="n">
        <v>38</v>
      </c>
      <c r="H1583" s="1" t="n">
        <v>48</v>
      </c>
      <c r="I1583" s="1" t="str">
        <f aca="false">RIGHT(("0"&amp;C1583),2)&amp;RIGHT(("0"&amp;D1583),2)&amp;RIGHT(("0"&amp;E1583),2)&amp;RIGHT(("0"&amp;F1583),2)&amp;RIGHT(("0"&amp;G1583),2)&amp;RIGHT(("0"&amp;H1583),2)</f>
        <v>010413173848</v>
      </c>
      <c r="J1583" s="1" t="n">
        <f aca="false">COUNTIF(I:I,I1583)</f>
        <v>1</v>
      </c>
      <c r="K1583" s="1" t="n">
        <v>1</v>
      </c>
      <c r="L1583" s="1" t="s">
        <v>5484</v>
      </c>
      <c r="M1583" s="1" t="s">
        <v>8391</v>
      </c>
      <c r="N1583" s="1" t="n">
        <v>125</v>
      </c>
      <c r="O1583" s="1" t="s">
        <v>8392</v>
      </c>
      <c r="P1583" s="1" t="n">
        <v>10807</v>
      </c>
      <c r="Q1583" s="1" t="s">
        <v>8393</v>
      </c>
      <c r="R1583" s="1" t="s">
        <v>23</v>
      </c>
      <c r="S1583" s="1" t="s">
        <v>8394</v>
      </c>
      <c r="T1583" s="1" t="s">
        <v>473</v>
      </c>
      <c r="U1583" s="1" t="s">
        <v>8395</v>
      </c>
    </row>
    <row r="1584" customFormat="false" ht="13.8" hidden="false" customHeight="false" outlineLevel="0" collapsed="false">
      <c r="A1584" s="1" t="n">
        <v>1583</v>
      </c>
      <c r="B1584" s="2" t="s">
        <v>8396</v>
      </c>
      <c r="C1584" s="1" t="n">
        <v>2</v>
      </c>
      <c r="D1584" s="1" t="n">
        <v>9</v>
      </c>
      <c r="E1584" s="1" t="n">
        <v>17</v>
      </c>
      <c r="F1584" s="1" t="n">
        <v>18</v>
      </c>
      <c r="G1584" s="1" t="n">
        <v>45</v>
      </c>
      <c r="H1584" s="1" t="n">
        <v>47</v>
      </c>
      <c r="I1584" s="1" t="str">
        <f aca="false">RIGHT(("0"&amp;C1584),2)&amp;RIGHT(("0"&amp;D1584),2)&amp;RIGHT(("0"&amp;E1584),2)&amp;RIGHT(("0"&amp;F1584),2)&amp;RIGHT(("0"&amp;G1584),2)&amp;RIGHT(("0"&amp;H1584),2)</f>
        <v>020917184547</v>
      </c>
      <c r="J1584" s="1" t="n">
        <f aca="false">COUNTIF(I:I,I1584)</f>
        <v>1</v>
      </c>
      <c r="K1584" s="1" t="n">
        <v>0</v>
      </c>
      <c r="M1584" s="1" t="s">
        <v>23</v>
      </c>
      <c r="N1584" s="1" t="n">
        <v>130</v>
      </c>
      <c r="O1584" s="1" t="s">
        <v>8397</v>
      </c>
      <c r="P1584" s="1" t="n">
        <v>7907</v>
      </c>
      <c r="Q1584" s="1" t="s">
        <v>8398</v>
      </c>
      <c r="R1584" s="1" t="s">
        <v>8399</v>
      </c>
      <c r="S1584" s="1" t="s">
        <v>8400</v>
      </c>
      <c r="T1584" s="1" t="s">
        <v>5931</v>
      </c>
      <c r="U1584" s="1" t="s">
        <v>8401</v>
      </c>
      <c r="V1584" s="1" t="s">
        <v>7795</v>
      </c>
    </row>
    <row r="1585" customFormat="false" ht="13.8" hidden="false" customHeight="false" outlineLevel="0" collapsed="false">
      <c r="A1585" s="1" t="n">
        <v>1584</v>
      </c>
      <c r="B1585" s="2" t="s">
        <v>8402</v>
      </c>
      <c r="C1585" s="1" t="n">
        <v>3</v>
      </c>
      <c r="D1585" s="1" t="n">
        <v>22</v>
      </c>
      <c r="E1585" s="1" t="n">
        <v>27</v>
      </c>
      <c r="F1585" s="1" t="n">
        <v>28</v>
      </c>
      <c r="G1585" s="1" t="n">
        <v>50</v>
      </c>
      <c r="H1585" s="1" t="n">
        <v>54</v>
      </c>
      <c r="I1585" s="1" t="str">
        <f aca="false">RIGHT(("0"&amp;C1585),2)&amp;RIGHT(("0"&amp;D1585),2)&amp;RIGHT(("0"&amp;E1585),2)&amp;RIGHT(("0"&amp;F1585),2)&amp;RIGHT(("0"&amp;G1585),2)&amp;RIGHT(("0"&amp;H1585),2)</f>
        <v>032227285054</v>
      </c>
      <c r="J1585" s="1" t="n">
        <f aca="false">COUNTIF(I:I,I1585)</f>
        <v>1</v>
      </c>
      <c r="K1585" s="1" t="n">
        <v>0</v>
      </c>
      <c r="M1585" s="1" t="s">
        <v>23</v>
      </c>
      <c r="N1585" s="1" t="n">
        <v>97</v>
      </c>
      <c r="O1585" s="1" t="s">
        <v>8403</v>
      </c>
      <c r="P1585" s="1" t="n">
        <v>7379</v>
      </c>
      <c r="Q1585" s="1" t="s">
        <v>8404</v>
      </c>
      <c r="R1585" s="1" t="s">
        <v>8405</v>
      </c>
      <c r="S1585" s="1" t="s">
        <v>8406</v>
      </c>
      <c r="T1585" s="1" t="s">
        <v>4718</v>
      </c>
      <c r="U1585" s="1" t="s">
        <v>8407</v>
      </c>
    </row>
    <row r="1586" customFormat="false" ht="13.8" hidden="false" customHeight="false" outlineLevel="0" collapsed="false">
      <c r="A1586" s="1" t="n">
        <v>1585</v>
      </c>
      <c r="B1586" s="2" t="s">
        <v>8408</v>
      </c>
      <c r="C1586" s="1" t="n">
        <v>2</v>
      </c>
      <c r="D1586" s="1" t="n">
        <v>43</v>
      </c>
      <c r="E1586" s="1" t="n">
        <v>47</v>
      </c>
      <c r="F1586" s="1" t="n">
        <v>48</v>
      </c>
      <c r="G1586" s="1" t="n">
        <v>49</v>
      </c>
      <c r="H1586" s="1" t="n">
        <v>55</v>
      </c>
      <c r="I1586" s="1" t="str">
        <f aca="false">RIGHT(("0"&amp;C1586),2)&amp;RIGHT(("0"&amp;D1586),2)&amp;RIGHT(("0"&amp;E1586),2)&amp;RIGHT(("0"&amp;F1586),2)&amp;RIGHT(("0"&amp;G1586),2)&amp;RIGHT(("0"&amp;H1586),2)</f>
        <v>024347484955</v>
      </c>
      <c r="J1586" s="1" t="n">
        <f aca="false">COUNTIF(I:I,I1586)</f>
        <v>1</v>
      </c>
      <c r="K1586" s="1" t="n">
        <v>0</v>
      </c>
      <c r="M1586" s="1" t="s">
        <v>23</v>
      </c>
      <c r="N1586" s="1" t="n">
        <v>103</v>
      </c>
      <c r="O1586" s="1" t="s">
        <v>8409</v>
      </c>
      <c r="P1586" s="1" t="n">
        <v>8235</v>
      </c>
      <c r="Q1586" s="1" t="s">
        <v>8410</v>
      </c>
      <c r="R1586" s="1" t="s">
        <v>8411</v>
      </c>
      <c r="S1586" s="1" t="s">
        <v>8412</v>
      </c>
      <c r="T1586" s="1" t="s">
        <v>4304</v>
      </c>
      <c r="U1586" s="1" t="s">
        <v>8413</v>
      </c>
      <c r="V1586" s="1" t="s">
        <v>8389</v>
      </c>
    </row>
    <row r="1587" customFormat="false" ht="13.8" hidden="false" customHeight="false" outlineLevel="0" collapsed="false">
      <c r="A1587" s="1" t="n">
        <v>1586</v>
      </c>
      <c r="B1587" s="2" t="s">
        <v>8414</v>
      </c>
      <c r="C1587" s="1" t="n">
        <v>8</v>
      </c>
      <c r="D1587" s="1" t="n">
        <v>39</v>
      </c>
      <c r="E1587" s="1" t="n">
        <v>43</v>
      </c>
      <c r="F1587" s="1" t="n">
        <v>46</v>
      </c>
      <c r="G1587" s="1" t="n">
        <v>47</v>
      </c>
      <c r="H1587" s="1" t="n">
        <v>58</v>
      </c>
      <c r="I1587" s="1" t="str">
        <f aca="false">RIGHT(("0"&amp;C1587),2)&amp;RIGHT(("0"&amp;D1587),2)&amp;RIGHT(("0"&amp;E1587),2)&amp;RIGHT(("0"&amp;F1587),2)&amp;RIGHT(("0"&amp;G1587),2)&amp;RIGHT(("0"&amp;H1587),2)</f>
        <v>083943464758</v>
      </c>
      <c r="J1587" s="1" t="n">
        <f aca="false">COUNTIF(I:I,I1587)</f>
        <v>1</v>
      </c>
      <c r="K1587" s="1" t="n">
        <v>0</v>
      </c>
      <c r="M1587" s="1" t="s">
        <v>23</v>
      </c>
      <c r="N1587" s="1" t="n">
        <v>150</v>
      </c>
      <c r="O1587" s="1" t="s">
        <v>8415</v>
      </c>
      <c r="P1587" s="1" t="n">
        <v>10556</v>
      </c>
      <c r="Q1587" s="1" t="s">
        <v>8416</v>
      </c>
      <c r="R1587" s="1" t="s">
        <v>8417</v>
      </c>
      <c r="S1587" s="1" t="s">
        <v>8418</v>
      </c>
      <c r="T1587" s="1" t="s">
        <v>4309</v>
      </c>
      <c r="U1587" s="1" t="s">
        <v>8419</v>
      </c>
    </row>
    <row r="1588" customFormat="false" ht="13.8" hidden="false" customHeight="false" outlineLevel="0" collapsed="false">
      <c r="A1588" s="1" t="n">
        <v>1587</v>
      </c>
      <c r="B1588" s="2" t="s">
        <v>8420</v>
      </c>
      <c r="C1588" s="1" t="n">
        <v>8</v>
      </c>
      <c r="D1588" s="1" t="n">
        <v>19</v>
      </c>
      <c r="E1588" s="1" t="n">
        <v>21</v>
      </c>
      <c r="F1588" s="1" t="n">
        <v>30</v>
      </c>
      <c r="G1588" s="1" t="n">
        <v>52</v>
      </c>
      <c r="H1588" s="1" t="n">
        <v>56</v>
      </c>
      <c r="I1588" s="1" t="str">
        <f aca="false">RIGHT(("0"&amp;C1588),2)&amp;RIGHT(("0"&amp;D1588),2)&amp;RIGHT(("0"&amp;E1588),2)&amp;RIGHT(("0"&amp;F1588),2)&amp;RIGHT(("0"&amp;G1588),2)&amp;RIGHT(("0"&amp;H1588),2)</f>
        <v>081921305256</v>
      </c>
      <c r="J1588" s="1" t="n">
        <f aca="false">COUNTIF(I:I,I1588)</f>
        <v>1</v>
      </c>
      <c r="K1588" s="1" t="n">
        <v>0</v>
      </c>
      <c r="M1588" s="1" t="s">
        <v>23</v>
      </c>
      <c r="N1588" s="1" t="n">
        <v>179</v>
      </c>
      <c r="O1588" s="1" t="s">
        <v>8421</v>
      </c>
      <c r="P1588" s="1" t="n">
        <v>12440</v>
      </c>
      <c r="Q1588" s="1" t="s">
        <v>8422</v>
      </c>
      <c r="R1588" s="1" t="s">
        <v>8423</v>
      </c>
      <c r="S1588" s="1" t="s">
        <v>8424</v>
      </c>
      <c r="T1588" s="1" t="s">
        <v>6559</v>
      </c>
      <c r="U1588" s="1" t="s">
        <v>8425</v>
      </c>
      <c r="V1588" s="1" t="s">
        <v>6777</v>
      </c>
    </row>
    <row r="1589" customFormat="false" ht="13.8" hidden="false" customHeight="false" outlineLevel="0" collapsed="false">
      <c r="A1589" s="1" t="n">
        <v>1588</v>
      </c>
      <c r="B1589" s="2" t="s">
        <v>8426</v>
      </c>
      <c r="C1589" s="1" t="n">
        <v>23</v>
      </c>
      <c r="D1589" s="1" t="n">
        <v>29</v>
      </c>
      <c r="E1589" s="1" t="n">
        <v>32</v>
      </c>
      <c r="F1589" s="1" t="n">
        <v>36</v>
      </c>
      <c r="G1589" s="1" t="n">
        <v>45</v>
      </c>
      <c r="H1589" s="1" t="n">
        <v>49</v>
      </c>
      <c r="I1589" s="1" t="str">
        <f aca="false">RIGHT(("0"&amp;C1589),2)&amp;RIGHT(("0"&amp;D1589),2)&amp;RIGHT(("0"&amp;E1589),2)&amp;RIGHT(("0"&amp;F1589),2)&amp;RIGHT(("0"&amp;G1589),2)&amp;RIGHT(("0"&amp;H1589),2)</f>
        <v>232932364549</v>
      </c>
      <c r="J1589" s="1" t="n">
        <f aca="false">COUNTIF(I:I,I1589)</f>
        <v>1</v>
      </c>
      <c r="K1589" s="1" t="n">
        <v>2</v>
      </c>
      <c r="L1589" s="1" t="s">
        <v>8427</v>
      </c>
      <c r="M1589" s="1" t="s">
        <v>8428</v>
      </c>
      <c r="N1589" s="1" t="n">
        <v>353</v>
      </c>
      <c r="O1589" s="1" t="s">
        <v>8429</v>
      </c>
      <c r="P1589" s="1" t="n">
        <v>21216</v>
      </c>
      <c r="Q1589" s="1" t="s">
        <v>8430</v>
      </c>
      <c r="R1589" s="1" t="s">
        <v>23</v>
      </c>
      <c r="S1589" s="1" t="s">
        <v>8431</v>
      </c>
      <c r="T1589" s="1" t="s">
        <v>4256</v>
      </c>
      <c r="U1589" s="1" t="s">
        <v>8432</v>
      </c>
    </row>
    <row r="1590" customFormat="false" ht="13.8" hidden="false" customHeight="false" outlineLevel="0" collapsed="false">
      <c r="A1590" s="1" t="n">
        <v>1589</v>
      </c>
      <c r="B1590" s="2" t="s">
        <v>8433</v>
      </c>
      <c r="C1590" s="1" t="n">
        <v>4</v>
      </c>
      <c r="D1590" s="1" t="n">
        <v>5</v>
      </c>
      <c r="E1590" s="1" t="n">
        <v>11</v>
      </c>
      <c r="F1590" s="1" t="n">
        <v>19</v>
      </c>
      <c r="G1590" s="1" t="n">
        <v>41</v>
      </c>
      <c r="H1590" s="1" t="n">
        <v>51</v>
      </c>
      <c r="I1590" s="1" t="str">
        <f aca="false">RIGHT(("0"&amp;C1590),2)&amp;RIGHT(("0"&amp;D1590),2)&amp;RIGHT(("0"&amp;E1590),2)&amp;RIGHT(("0"&amp;F1590),2)&amp;RIGHT(("0"&amp;G1590),2)&amp;RIGHT(("0"&amp;H1590),2)</f>
        <v>040511194151</v>
      </c>
      <c r="J1590" s="1" t="n">
        <f aca="false">COUNTIF(I:I,I1590)</f>
        <v>1</v>
      </c>
      <c r="K1590" s="1" t="n">
        <v>0</v>
      </c>
      <c r="M1590" s="1" t="s">
        <v>23</v>
      </c>
      <c r="N1590" s="1" t="n">
        <v>87</v>
      </c>
      <c r="O1590" s="1" t="s">
        <v>8434</v>
      </c>
      <c r="P1590" s="1" t="n">
        <v>7815</v>
      </c>
      <c r="Q1590" s="1" t="s">
        <v>8435</v>
      </c>
      <c r="R1590" s="1" t="s">
        <v>8436</v>
      </c>
      <c r="S1590" s="1" t="s">
        <v>8437</v>
      </c>
      <c r="T1590" s="1" t="s">
        <v>3892</v>
      </c>
      <c r="U1590" s="1" t="s">
        <v>8438</v>
      </c>
      <c r="V1590" s="1" t="s">
        <v>7795</v>
      </c>
    </row>
    <row r="1591" customFormat="false" ht="13.8" hidden="false" customHeight="false" outlineLevel="0" collapsed="false">
      <c r="A1591" s="1" t="n">
        <v>1590</v>
      </c>
      <c r="B1591" s="2" t="s">
        <v>8439</v>
      </c>
      <c r="C1591" s="1" t="n">
        <v>7</v>
      </c>
      <c r="D1591" s="1" t="n">
        <v>20</v>
      </c>
      <c r="E1591" s="1" t="n">
        <v>34</v>
      </c>
      <c r="F1591" s="1" t="n">
        <v>40</v>
      </c>
      <c r="G1591" s="1" t="n">
        <v>44</v>
      </c>
      <c r="H1591" s="1" t="n">
        <v>55</v>
      </c>
      <c r="I1591" s="1" t="str">
        <f aca="false">RIGHT(("0"&amp;C1591),2)&amp;RIGHT(("0"&amp;D1591),2)&amp;RIGHT(("0"&amp;E1591),2)&amp;RIGHT(("0"&amp;F1591),2)&amp;RIGHT(("0"&amp;G1591),2)&amp;RIGHT(("0"&amp;H1591),2)</f>
        <v>072034404455</v>
      </c>
      <c r="J1591" s="1" t="n">
        <f aca="false">COUNTIF(I:I,I1591)</f>
        <v>1</v>
      </c>
      <c r="K1591" s="1" t="n">
        <v>0</v>
      </c>
      <c r="M1591" s="1" t="s">
        <v>23</v>
      </c>
      <c r="N1591" s="1" t="n">
        <v>89</v>
      </c>
      <c r="O1591" s="1" t="s">
        <v>8440</v>
      </c>
      <c r="P1591" s="1" t="n">
        <v>8050</v>
      </c>
      <c r="Q1591" s="1" t="s">
        <v>8441</v>
      </c>
      <c r="R1591" s="1" t="s">
        <v>8442</v>
      </c>
      <c r="S1591" s="1" t="s">
        <v>8443</v>
      </c>
      <c r="T1591" s="1" t="s">
        <v>5294</v>
      </c>
      <c r="U1591" s="1" t="s">
        <v>8444</v>
      </c>
    </row>
    <row r="1592" customFormat="false" ht="13.8" hidden="false" customHeight="false" outlineLevel="0" collapsed="false">
      <c r="A1592" s="1" t="n">
        <v>1591</v>
      </c>
      <c r="B1592" s="2" t="s">
        <v>8445</v>
      </c>
      <c r="C1592" s="1" t="n">
        <v>4</v>
      </c>
      <c r="D1592" s="1" t="n">
        <v>10</v>
      </c>
      <c r="E1592" s="1" t="n">
        <v>23</v>
      </c>
      <c r="F1592" s="1" t="n">
        <v>33</v>
      </c>
      <c r="G1592" s="1" t="n">
        <v>38</v>
      </c>
      <c r="H1592" s="1" t="n">
        <v>55</v>
      </c>
      <c r="I1592" s="1" t="str">
        <f aca="false">RIGHT(("0"&amp;C1592),2)&amp;RIGHT(("0"&amp;D1592),2)&amp;RIGHT(("0"&amp;E1592),2)&amp;RIGHT(("0"&amp;F1592),2)&amp;RIGHT(("0"&amp;G1592),2)&amp;RIGHT(("0"&amp;H1592),2)</f>
        <v>041023333855</v>
      </c>
      <c r="J1592" s="1" t="n">
        <f aca="false">COUNTIF(I:I,I1592)</f>
        <v>1</v>
      </c>
      <c r="K1592" s="1" t="n">
        <v>1</v>
      </c>
      <c r="L1592" s="1" t="s">
        <v>8446</v>
      </c>
      <c r="M1592" s="1" t="s">
        <v>8447</v>
      </c>
      <c r="N1592" s="1" t="n">
        <v>278</v>
      </c>
      <c r="O1592" s="1" t="s">
        <v>8448</v>
      </c>
      <c r="P1592" s="1" t="n">
        <v>16180</v>
      </c>
      <c r="Q1592" s="1" t="s">
        <v>8449</v>
      </c>
      <c r="R1592" s="1" t="s">
        <v>23</v>
      </c>
      <c r="S1592" s="1" t="s">
        <v>8450</v>
      </c>
      <c r="T1592" s="1" t="s">
        <v>4732</v>
      </c>
      <c r="U1592" s="1" t="s">
        <v>8451</v>
      </c>
      <c r="V1592" s="1" t="s">
        <v>7795</v>
      </c>
    </row>
    <row r="1593" customFormat="false" ht="13.8" hidden="false" customHeight="false" outlineLevel="0" collapsed="false">
      <c r="A1593" s="1" t="n">
        <v>1592</v>
      </c>
      <c r="B1593" s="2" t="s">
        <v>8452</v>
      </c>
      <c r="C1593" s="1" t="n">
        <v>31</v>
      </c>
      <c r="D1593" s="1" t="n">
        <v>36</v>
      </c>
      <c r="E1593" s="1" t="n">
        <v>38</v>
      </c>
      <c r="F1593" s="1" t="n">
        <v>41</v>
      </c>
      <c r="G1593" s="1" t="n">
        <v>42</v>
      </c>
      <c r="H1593" s="1" t="n">
        <v>49</v>
      </c>
      <c r="I1593" s="1" t="str">
        <f aca="false">RIGHT(("0"&amp;C1593),2)&amp;RIGHT(("0"&amp;D1593),2)&amp;RIGHT(("0"&amp;E1593),2)&amp;RIGHT(("0"&amp;F1593),2)&amp;RIGHT(("0"&amp;G1593),2)&amp;RIGHT(("0"&amp;H1593),2)</f>
        <v>313638414249</v>
      </c>
      <c r="J1593" s="1" t="n">
        <f aca="false">COUNTIF(I:I,I1593)</f>
        <v>1</v>
      </c>
      <c r="K1593" s="1" t="n">
        <v>0</v>
      </c>
      <c r="M1593" s="1" t="s">
        <v>23</v>
      </c>
      <c r="N1593" s="1" t="n">
        <v>23</v>
      </c>
      <c r="O1593" s="1" t="s">
        <v>8453</v>
      </c>
      <c r="P1593" s="1" t="n">
        <v>2341</v>
      </c>
      <c r="Q1593" s="1" t="s">
        <v>8454</v>
      </c>
      <c r="R1593" s="1" t="s">
        <v>8455</v>
      </c>
      <c r="S1593" s="1" t="s">
        <v>8456</v>
      </c>
      <c r="T1593" s="1" t="s">
        <v>4227</v>
      </c>
      <c r="U1593" s="1" t="s">
        <v>8457</v>
      </c>
    </row>
    <row r="1594" customFormat="false" ht="13.8" hidden="false" customHeight="false" outlineLevel="0" collapsed="false">
      <c r="A1594" s="1" t="n">
        <v>1593</v>
      </c>
      <c r="B1594" s="2" t="s">
        <v>8458</v>
      </c>
      <c r="C1594" s="1" t="n">
        <v>4</v>
      </c>
      <c r="D1594" s="1" t="n">
        <v>9</v>
      </c>
      <c r="E1594" s="1" t="n">
        <v>17</v>
      </c>
      <c r="F1594" s="1" t="n">
        <v>18</v>
      </c>
      <c r="G1594" s="1" t="n">
        <v>21</v>
      </c>
      <c r="H1594" s="1" t="n">
        <v>38</v>
      </c>
      <c r="I1594" s="1" t="str">
        <f aca="false">RIGHT(("0"&amp;C1594),2)&amp;RIGHT(("0"&amp;D1594),2)&amp;RIGHT(("0"&amp;E1594),2)&amp;RIGHT(("0"&amp;F1594),2)&amp;RIGHT(("0"&amp;G1594),2)&amp;RIGHT(("0"&amp;H1594),2)</f>
        <v>040917182138</v>
      </c>
      <c r="J1594" s="1" t="n">
        <f aca="false">COUNTIF(I:I,I1594)</f>
        <v>1</v>
      </c>
      <c r="K1594" s="1" t="n">
        <v>1</v>
      </c>
      <c r="L1594" s="1" t="s">
        <v>8459</v>
      </c>
      <c r="M1594" s="1" t="s">
        <v>8460</v>
      </c>
      <c r="N1594" s="1" t="n">
        <v>136</v>
      </c>
      <c r="O1594" s="1" t="s">
        <v>8461</v>
      </c>
      <c r="P1594" s="1" t="n">
        <v>8689</v>
      </c>
      <c r="Q1594" s="1" t="s">
        <v>8462</v>
      </c>
      <c r="R1594" s="1" t="s">
        <v>23</v>
      </c>
      <c r="S1594" s="1" t="s">
        <v>8463</v>
      </c>
      <c r="T1594" s="1" t="s">
        <v>473</v>
      </c>
      <c r="U1594" s="1" t="s">
        <v>8464</v>
      </c>
      <c r="V1594" s="1" t="s">
        <v>6777</v>
      </c>
    </row>
    <row r="1595" customFormat="false" ht="13.8" hidden="false" customHeight="false" outlineLevel="0" collapsed="false">
      <c r="A1595" s="1" t="n">
        <v>1594</v>
      </c>
      <c r="B1595" s="2" t="s">
        <v>8465</v>
      </c>
      <c r="C1595" s="1" t="n">
        <v>6</v>
      </c>
      <c r="D1595" s="1" t="n">
        <v>7</v>
      </c>
      <c r="E1595" s="1" t="n">
        <v>8</v>
      </c>
      <c r="F1595" s="1" t="n">
        <v>23</v>
      </c>
      <c r="G1595" s="1" t="n">
        <v>43</v>
      </c>
      <c r="H1595" s="1" t="n">
        <v>53</v>
      </c>
      <c r="I1595" s="1" t="str">
        <f aca="false">RIGHT(("0"&amp;C1595),2)&amp;RIGHT(("0"&amp;D1595),2)&amp;RIGHT(("0"&amp;E1595),2)&amp;RIGHT(("0"&amp;F1595),2)&amp;RIGHT(("0"&amp;G1595),2)&amp;RIGHT(("0"&amp;H1595),2)</f>
        <v>060708234353</v>
      </c>
      <c r="J1595" s="1" t="n">
        <f aca="false">COUNTIF(I:I,I1595)</f>
        <v>1</v>
      </c>
      <c r="K1595" s="1" t="n">
        <v>0</v>
      </c>
      <c r="M1595" s="1" t="s">
        <v>23</v>
      </c>
      <c r="N1595" s="1" t="n">
        <v>71</v>
      </c>
      <c r="O1595" s="1" t="s">
        <v>8466</v>
      </c>
      <c r="P1595" s="1" t="n">
        <v>6341</v>
      </c>
      <c r="Q1595" s="1" t="s">
        <v>8467</v>
      </c>
      <c r="R1595" s="1" t="s">
        <v>8468</v>
      </c>
      <c r="S1595" s="1" t="s">
        <v>8469</v>
      </c>
      <c r="T1595" s="1" t="s">
        <v>4246</v>
      </c>
      <c r="U1595" s="1" t="s">
        <v>8470</v>
      </c>
    </row>
    <row r="1596" customFormat="false" ht="13.8" hidden="false" customHeight="false" outlineLevel="0" collapsed="false">
      <c r="A1596" s="1" t="n">
        <v>1595</v>
      </c>
      <c r="B1596" s="2" t="s">
        <v>8471</v>
      </c>
      <c r="C1596" s="1" t="n">
        <v>2</v>
      </c>
      <c r="D1596" s="1" t="n">
        <v>5</v>
      </c>
      <c r="E1596" s="1" t="n">
        <v>8</v>
      </c>
      <c r="F1596" s="1" t="n">
        <v>42</v>
      </c>
      <c r="G1596" s="1" t="n">
        <v>46</v>
      </c>
      <c r="H1596" s="1" t="n">
        <v>59</v>
      </c>
      <c r="I1596" s="1" t="str">
        <f aca="false">RIGHT(("0"&amp;C1596),2)&amp;RIGHT(("0"&amp;D1596),2)&amp;RIGHT(("0"&amp;E1596),2)&amp;RIGHT(("0"&amp;F1596),2)&amp;RIGHT(("0"&amp;G1596),2)&amp;RIGHT(("0"&amp;H1596),2)</f>
        <v>020508424659</v>
      </c>
      <c r="J1596" s="1" t="n">
        <f aca="false">COUNTIF(I:I,I1596)</f>
        <v>1</v>
      </c>
      <c r="K1596" s="1" t="n">
        <v>2</v>
      </c>
      <c r="L1596" s="1" t="s">
        <v>8472</v>
      </c>
      <c r="M1596" s="1" t="s">
        <v>8473</v>
      </c>
      <c r="N1596" s="1" t="n">
        <v>236</v>
      </c>
      <c r="O1596" s="1" t="s">
        <v>8474</v>
      </c>
      <c r="P1596" s="1" t="n">
        <v>12387</v>
      </c>
      <c r="Q1596" s="1" t="s">
        <v>8475</v>
      </c>
      <c r="R1596" s="1" t="s">
        <v>23</v>
      </c>
      <c r="S1596" s="1" t="s">
        <v>8476</v>
      </c>
      <c r="T1596" s="1" t="s">
        <v>4732</v>
      </c>
      <c r="U1596" s="1" t="s">
        <v>8477</v>
      </c>
      <c r="V1596" s="1" t="s">
        <v>7795</v>
      </c>
    </row>
    <row r="1597" customFormat="false" ht="13.8" hidden="false" customHeight="false" outlineLevel="0" collapsed="false">
      <c r="A1597" s="1" t="n">
        <v>1596</v>
      </c>
      <c r="B1597" s="2" t="s">
        <v>8478</v>
      </c>
      <c r="C1597" s="1" t="n">
        <v>1</v>
      </c>
      <c r="D1597" s="1" t="n">
        <v>5</v>
      </c>
      <c r="E1597" s="1" t="n">
        <v>7</v>
      </c>
      <c r="F1597" s="1" t="n">
        <v>10</v>
      </c>
      <c r="G1597" s="1" t="n">
        <v>12</v>
      </c>
      <c r="H1597" s="1" t="n">
        <v>45</v>
      </c>
      <c r="I1597" s="1" t="str">
        <f aca="false">RIGHT(("0"&amp;C1597),2)&amp;RIGHT(("0"&amp;D1597),2)&amp;RIGHT(("0"&amp;E1597),2)&amp;RIGHT(("0"&amp;F1597),2)&amp;RIGHT(("0"&amp;G1597),2)&amp;RIGHT(("0"&amp;H1597),2)</f>
        <v>010507101245</v>
      </c>
      <c r="J1597" s="1" t="n">
        <f aca="false">COUNTIF(I:I,I1597)</f>
        <v>1</v>
      </c>
      <c r="K1597" s="1" t="n">
        <v>1</v>
      </c>
      <c r="L1597" s="1" t="s">
        <v>8479</v>
      </c>
      <c r="M1597" s="1" t="s">
        <v>8480</v>
      </c>
      <c r="N1597" s="1" t="n">
        <v>380</v>
      </c>
      <c r="O1597" s="1" t="s">
        <v>8481</v>
      </c>
      <c r="P1597" s="1" t="n">
        <v>16970</v>
      </c>
      <c r="Q1597" s="1" t="s">
        <v>8482</v>
      </c>
      <c r="R1597" s="1" t="s">
        <v>23</v>
      </c>
      <c r="S1597" s="1" t="s">
        <v>8483</v>
      </c>
      <c r="T1597" s="1" t="s">
        <v>473</v>
      </c>
      <c r="U1597" s="1" t="s">
        <v>8484</v>
      </c>
    </row>
    <row r="1598" customFormat="false" ht="13.8" hidden="false" customHeight="false" outlineLevel="0" collapsed="false">
      <c r="A1598" s="1" t="n">
        <v>1597</v>
      </c>
      <c r="B1598" s="2" t="s">
        <v>8485</v>
      </c>
      <c r="C1598" s="1" t="n">
        <v>5</v>
      </c>
      <c r="D1598" s="1" t="n">
        <v>10</v>
      </c>
      <c r="E1598" s="1" t="n">
        <v>16</v>
      </c>
      <c r="F1598" s="1" t="n">
        <v>44</v>
      </c>
      <c r="G1598" s="1" t="n">
        <v>50</v>
      </c>
      <c r="H1598" s="1" t="n">
        <v>52</v>
      </c>
      <c r="I1598" s="1" t="str">
        <f aca="false">RIGHT(("0"&amp;C1598),2)&amp;RIGHT(("0"&amp;D1598),2)&amp;RIGHT(("0"&amp;E1598),2)&amp;RIGHT(("0"&amp;F1598),2)&amp;RIGHT(("0"&amp;G1598),2)&amp;RIGHT(("0"&amp;H1598),2)</f>
        <v>051016445052</v>
      </c>
      <c r="J1598" s="1" t="n">
        <f aca="false">COUNTIF(I:I,I1598)</f>
        <v>1</v>
      </c>
      <c r="K1598" s="1" t="n">
        <v>0</v>
      </c>
      <c r="M1598" s="1" t="s">
        <v>23</v>
      </c>
      <c r="N1598" s="1" t="n">
        <v>57</v>
      </c>
      <c r="O1598" s="1" t="s">
        <v>8486</v>
      </c>
      <c r="P1598" s="1" t="n">
        <v>5638</v>
      </c>
      <c r="Q1598" s="1" t="s">
        <v>8487</v>
      </c>
      <c r="R1598" s="1" t="s">
        <v>8488</v>
      </c>
      <c r="S1598" s="1" t="s">
        <v>8489</v>
      </c>
      <c r="T1598" s="1" t="s">
        <v>4232</v>
      </c>
      <c r="U1598" s="1" t="s">
        <v>8490</v>
      </c>
      <c r="V1598" s="1" t="s">
        <v>8126</v>
      </c>
    </row>
    <row r="1599" customFormat="false" ht="13.8" hidden="false" customHeight="false" outlineLevel="0" collapsed="false">
      <c r="A1599" s="1" t="n">
        <v>1598</v>
      </c>
      <c r="B1599" s="2" t="s">
        <v>8491</v>
      </c>
      <c r="C1599" s="1" t="n">
        <v>29</v>
      </c>
      <c r="D1599" s="1" t="n">
        <v>31</v>
      </c>
      <c r="E1599" s="1" t="n">
        <v>36</v>
      </c>
      <c r="F1599" s="1" t="n">
        <v>42</v>
      </c>
      <c r="G1599" s="1" t="n">
        <v>47</v>
      </c>
      <c r="H1599" s="1" t="n">
        <v>53</v>
      </c>
      <c r="I1599" s="1" t="str">
        <f aca="false">RIGHT(("0"&amp;C1599),2)&amp;RIGHT(("0"&amp;D1599),2)&amp;RIGHT(("0"&amp;E1599),2)&amp;RIGHT(("0"&amp;F1599),2)&amp;RIGHT(("0"&amp;G1599),2)&amp;RIGHT(("0"&amp;H1599),2)</f>
        <v>293136424753</v>
      </c>
      <c r="J1599" s="1" t="n">
        <f aca="false">COUNTIF(I:I,I1599)</f>
        <v>1</v>
      </c>
      <c r="K1599" s="1" t="n">
        <v>0</v>
      </c>
      <c r="M1599" s="1" t="s">
        <v>23</v>
      </c>
      <c r="N1599" s="1" t="n">
        <v>121</v>
      </c>
      <c r="O1599" s="1" t="s">
        <v>8492</v>
      </c>
      <c r="P1599" s="1" t="n">
        <v>6776</v>
      </c>
      <c r="Q1599" s="1" t="s">
        <v>8493</v>
      </c>
      <c r="R1599" s="1" t="s">
        <v>8494</v>
      </c>
      <c r="S1599" s="1" t="s">
        <v>8495</v>
      </c>
      <c r="T1599" s="1" t="s">
        <v>3727</v>
      </c>
      <c r="U1599" s="1" t="s">
        <v>8496</v>
      </c>
    </row>
    <row r="1600" customFormat="false" ht="13.8" hidden="false" customHeight="false" outlineLevel="0" collapsed="false">
      <c r="A1600" s="1" t="n">
        <v>1599</v>
      </c>
      <c r="B1600" s="2" t="s">
        <v>8497</v>
      </c>
      <c r="C1600" s="1" t="n">
        <v>3</v>
      </c>
      <c r="D1600" s="1" t="n">
        <v>10</v>
      </c>
      <c r="E1600" s="1" t="n">
        <v>15</v>
      </c>
      <c r="F1600" s="1" t="n">
        <v>35</v>
      </c>
      <c r="G1600" s="1" t="n">
        <v>36</v>
      </c>
      <c r="H1600" s="1" t="n">
        <v>58</v>
      </c>
      <c r="I1600" s="1" t="str">
        <f aca="false">RIGHT(("0"&amp;C1600),2)&amp;RIGHT(("0"&amp;D1600),2)&amp;RIGHT(("0"&amp;E1600),2)&amp;RIGHT(("0"&amp;F1600),2)&amp;RIGHT(("0"&amp;G1600),2)&amp;RIGHT(("0"&amp;H1600),2)</f>
        <v>031015353658</v>
      </c>
      <c r="J1600" s="1" t="n">
        <f aca="false">COUNTIF(I:I,I1600)</f>
        <v>1</v>
      </c>
      <c r="K1600" s="1" t="n">
        <v>1</v>
      </c>
      <c r="L1600" s="1" t="s">
        <v>8498</v>
      </c>
      <c r="M1600" s="1" t="s">
        <v>8499</v>
      </c>
      <c r="N1600" s="1" t="n">
        <v>135</v>
      </c>
      <c r="O1600" s="1" t="s">
        <v>8500</v>
      </c>
      <c r="P1600" s="1" t="n">
        <v>8922</v>
      </c>
      <c r="Q1600" s="1" t="s">
        <v>8501</v>
      </c>
      <c r="R1600" s="1" t="s">
        <v>23</v>
      </c>
      <c r="S1600" s="1" t="s">
        <v>8502</v>
      </c>
      <c r="T1600" s="1" t="s">
        <v>4241</v>
      </c>
      <c r="U1600" s="1" t="s">
        <v>8503</v>
      </c>
      <c r="V1600" s="1" t="s">
        <v>6777</v>
      </c>
    </row>
    <row r="1601" customFormat="false" ht="13.8" hidden="false" customHeight="false" outlineLevel="0" collapsed="false">
      <c r="A1601" s="1" t="n">
        <v>1600</v>
      </c>
      <c r="B1601" s="2" t="s">
        <v>8504</v>
      </c>
      <c r="C1601" s="1" t="n">
        <v>9</v>
      </c>
      <c r="D1601" s="1" t="n">
        <v>23</v>
      </c>
      <c r="E1601" s="1" t="n">
        <v>32</v>
      </c>
      <c r="F1601" s="1" t="n">
        <v>35</v>
      </c>
      <c r="G1601" s="1" t="n">
        <v>46</v>
      </c>
      <c r="H1601" s="1" t="n">
        <v>57</v>
      </c>
      <c r="I1601" s="1" t="str">
        <f aca="false">RIGHT(("0"&amp;C1601),2)&amp;RIGHT(("0"&amp;D1601),2)&amp;RIGHT(("0"&amp;E1601),2)&amp;RIGHT(("0"&amp;F1601),2)&amp;RIGHT(("0"&amp;G1601),2)&amp;RIGHT(("0"&amp;H1601),2)</f>
        <v>092332354657</v>
      </c>
      <c r="J1601" s="1" t="n">
        <f aca="false">COUNTIF(I:I,I1601)</f>
        <v>1</v>
      </c>
      <c r="K1601" s="1" t="n">
        <v>1</v>
      </c>
      <c r="L1601" s="1" t="s">
        <v>6734</v>
      </c>
      <c r="M1601" s="1" t="s">
        <v>8505</v>
      </c>
      <c r="N1601" s="1" t="n">
        <v>110</v>
      </c>
      <c r="O1601" s="1" t="s">
        <v>8506</v>
      </c>
      <c r="P1601" s="1" t="n">
        <v>8443</v>
      </c>
      <c r="Q1601" s="1" t="s">
        <v>8507</v>
      </c>
      <c r="R1601" s="1" t="s">
        <v>23</v>
      </c>
      <c r="S1601" s="1" t="s">
        <v>8508</v>
      </c>
      <c r="T1601" s="1" t="s">
        <v>4256</v>
      </c>
      <c r="U1601" s="1" t="s">
        <v>8509</v>
      </c>
      <c r="V1601" s="1" t="s">
        <v>8510</v>
      </c>
    </row>
    <row r="1602" customFormat="false" ht="13.8" hidden="false" customHeight="false" outlineLevel="0" collapsed="false">
      <c r="A1602" s="1" t="n">
        <v>1601</v>
      </c>
      <c r="B1602" s="2" t="s">
        <v>8511</v>
      </c>
      <c r="C1602" s="1" t="n">
        <v>8</v>
      </c>
      <c r="D1602" s="1" t="n">
        <v>10</v>
      </c>
      <c r="E1602" s="1" t="n">
        <v>24</v>
      </c>
      <c r="F1602" s="1" t="n">
        <v>45</v>
      </c>
      <c r="G1602" s="1" t="n">
        <v>56</v>
      </c>
      <c r="H1602" s="1" t="n">
        <v>60</v>
      </c>
      <c r="I1602" s="1" t="str">
        <f aca="false">RIGHT(("0"&amp;C1602),2)&amp;RIGHT(("0"&amp;D1602),2)&amp;RIGHT(("0"&amp;E1602),2)&amp;RIGHT(("0"&amp;F1602),2)&amp;RIGHT(("0"&amp;G1602),2)&amp;RIGHT(("0"&amp;H1602),2)</f>
        <v>081024455660</v>
      </c>
      <c r="J1602" s="1" t="n">
        <f aca="false">COUNTIF(I:I,I1602)</f>
        <v>1</v>
      </c>
      <c r="K1602" s="1" t="n">
        <v>0</v>
      </c>
      <c r="M1602" s="1" t="s">
        <v>23</v>
      </c>
      <c r="N1602" s="1" t="n">
        <v>90</v>
      </c>
      <c r="O1602" s="1" t="s">
        <v>8512</v>
      </c>
      <c r="P1602" s="1" t="n">
        <v>5373</v>
      </c>
      <c r="Q1602" s="1" t="s">
        <v>8513</v>
      </c>
      <c r="R1602" s="1" t="s">
        <v>8514</v>
      </c>
      <c r="S1602" s="1" t="s">
        <v>8515</v>
      </c>
      <c r="T1602" s="1" t="s">
        <v>4232</v>
      </c>
      <c r="U1602" s="1" t="s">
        <v>8516</v>
      </c>
      <c r="V1602" s="1" t="s">
        <v>8517</v>
      </c>
    </row>
    <row r="1603" customFormat="false" ht="13.8" hidden="false" customHeight="false" outlineLevel="0" collapsed="false">
      <c r="A1603" s="1" t="n">
        <v>1602</v>
      </c>
      <c r="B1603" s="2" t="s">
        <v>8518</v>
      </c>
      <c r="C1603" s="1" t="n">
        <v>8</v>
      </c>
      <c r="D1603" s="1" t="n">
        <v>12</v>
      </c>
      <c r="E1603" s="1" t="n">
        <v>22</v>
      </c>
      <c r="F1603" s="1" t="n">
        <v>35</v>
      </c>
      <c r="G1603" s="1" t="n">
        <v>40</v>
      </c>
      <c r="H1603" s="1" t="n">
        <v>44</v>
      </c>
      <c r="I1603" s="1" t="str">
        <f aca="false">RIGHT(("0"&amp;C1603),2)&amp;RIGHT(("0"&amp;D1603),2)&amp;RIGHT(("0"&amp;E1603),2)&amp;RIGHT(("0"&amp;F1603),2)&amp;RIGHT(("0"&amp;G1603),2)&amp;RIGHT(("0"&amp;H1603),2)</f>
        <v>081222354044</v>
      </c>
      <c r="J1603" s="1" t="n">
        <f aca="false">COUNTIF(I:I,I1603)</f>
        <v>1</v>
      </c>
      <c r="K1603" s="1" t="n">
        <v>1</v>
      </c>
      <c r="L1603" s="1" t="s">
        <v>5310</v>
      </c>
      <c r="M1603" s="1" t="s">
        <v>8519</v>
      </c>
      <c r="N1603" s="1" t="n">
        <v>69</v>
      </c>
      <c r="O1603" s="1" t="s">
        <v>8520</v>
      </c>
      <c r="P1603" s="1" t="n">
        <v>6039</v>
      </c>
      <c r="Q1603" s="1" t="s">
        <v>8521</v>
      </c>
      <c r="R1603" s="1" t="s">
        <v>23</v>
      </c>
      <c r="S1603" s="1" t="s">
        <v>8522</v>
      </c>
      <c r="T1603" s="1" t="s">
        <v>473</v>
      </c>
      <c r="U1603" s="1" t="s">
        <v>8523</v>
      </c>
    </row>
    <row r="1604" customFormat="false" ht="13.8" hidden="false" customHeight="false" outlineLevel="0" collapsed="false">
      <c r="A1604" s="1" t="n">
        <v>1603</v>
      </c>
      <c r="B1604" s="2" t="s">
        <v>8524</v>
      </c>
      <c r="C1604" s="1" t="n">
        <v>13</v>
      </c>
      <c r="D1604" s="1" t="n">
        <v>20</v>
      </c>
      <c r="E1604" s="1" t="n">
        <v>27</v>
      </c>
      <c r="F1604" s="1" t="n">
        <v>31</v>
      </c>
      <c r="G1604" s="1" t="n">
        <v>53</v>
      </c>
      <c r="H1604" s="1" t="n">
        <v>60</v>
      </c>
      <c r="I1604" s="1" t="str">
        <f aca="false">RIGHT(("0"&amp;C1604),2)&amp;RIGHT(("0"&amp;D1604),2)&amp;RIGHT(("0"&amp;E1604),2)&amp;RIGHT(("0"&amp;F1604),2)&amp;RIGHT(("0"&amp;G1604),2)&amp;RIGHT(("0"&amp;H1604),2)</f>
        <v>132027315360</v>
      </c>
      <c r="J1604" s="1" t="n">
        <f aca="false">COUNTIF(I:I,I1604)</f>
        <v>1</v>
      </c>
      <c r="K1604" s="1" t="n">
        <v>0</v>
      </c>
      <c r="M1604" s="1" t="s">
        <v>23</v>
      </c>
      <c r="N1604" s="1" t="n">
        <v>64</v>
      </c>
      <c r="O1604" s="1" t="s">
        <v>8525</v>
      </c>
      <c r="P1604" s="1" t="n">
        <v>4652</v>
      </c>
      <c r="Q1604" s="1" t="s">
        <v>8526</v>
      </c>
      <c r="R1604" s="1" t="s">
        <v>8527</v>
      </c>
      <c r="S1604" s="1" t="s">
        <v>8528</v>
      </c>
      <c r="T1604" s="1" t="s">
        <v>4232</v>
      </c>
      <c r="U1604" s="1" t="s">
        <v>8529</v>
      </c>
      <c r="V1604" s="1" t="s">
        <v>6777</v>
      </c>
    </row>
    <row r="1605" customFormat="false" ht="13.8" hidden="false" customHeight="false" outlineLevel="0" collapsed="false">
      <c r="A1605" s="1" t="n">
        <v>1604</v>
      </c>
      <c r="B1605" s="2" t="s">
        <v>8530</v>
      </c>
      <c r="C1605" s="1" t="n">
        <v>2</v>
      </c>
      <c r="D1605" s="1" t="n">
        <v>21</v>
      </c>
      <c r="E1605" s="1" t="n">
        <v>24</v>
      </c>
      <c r="F1605" s="1" t="n">
        <v>27</v>
      </c>
      <c r="G1605" s="1" t="n">
        <v>40</v>
      </c>
      <c r="H1605" s="1" t="n">
        <v>51</v>
      </c>
      <c r="I1605" s="1" t="str">
        <f aca="false">RIGHT(("0"&amp;C1605),2)&amp;RIGHT(("0"&amp;D1605),2)&amp;RIGHT(("0"&amp;E1605),2)&amp;RIGHT(("0"&amp;F1605),2)&amp;RIGHT(("0"&amp;G1605),2)&amp;RIGHT(("0"&amp;H1605),2)</f>
        <v>022124274051</v>
      </c>
      <c r="J1605" s="1" t="n">
        <f aca="false">COUNTIF(I:I,I1605)</f>
        <v>1</v>
      </c>
      <c r="K1605" s="1" t="n">
        <v>0</v>
      </c>
      <c r="M1605" s="1" t="s">
        <v>23</v>
      </c>
      <c r="N1605" s="1" t="n">
        <v>62</v>
      </c>
      <c r="O1605" s="1" t="s">
        <v>8531</v>
      </c>
      <c r="P1605" s="1" t="n">
        <v>5333</v>
      </c>
      <c r="Q1605" s="1" t="s">
        <v>8532</v>
      </c>
      <c r="R1605" s="1" t="s">
        <v>8533</v>
      </c>
      <c r="S1605" s="1" t="s">
        <v>8534</v>
      </c>
      <c r="T1605" s="1" t="s">
        <v>4718</v>
      </c>
      <c r="U1605" s="1" t="s">
        <v>8535</v>
      </c>
    </row>
    <row r="1606" customFormat="false" ht="13.8" hidden="false" customHeight="false" outlineLevel="0" collapsed="false">
      <c r="A1606" s="1" t="n">
        <v>1605</v>
      </c>
      <c r="B1606" s="2" t="s">
        <v>8536</v>
      </c>
      <c r="C1606" s="1" t="n">
        <v>9</v>
      </c>
      <c r="D1606" s="1" t="n">
        <v>19</v>
      </c>
      <c r="E1606" s="1" t="n">
        <v>21</v>
      </c>
      <c r="F1606" s="1" t="n">
        <v>30</v>
      </c>
      <c r="G1606" s="1" t="n">
        <v>31</v>
      </c>
      <c r="H1606" s="1" t="n">
        <v>42</v>
      </c>
      <c r="I1606" s="1" t="str">
        <f aca="false">RIGHT(("0"&amp;C1606),2)&amp;RIGHT(("0"&amp;D1606),2)&amp;RIGHT(("0"&amp;E1606),2)&amp;RIGHT(("0"&amp;F1606),2)&amp;RIGHT(("0"&amp;G1606),2)&amp;RIGHT(("0"&amp;H1606),2)</f>
        <v>091921303142</v>
      </c>
      <c r="J1606" s="1" t="n">
        <f aca="false">COUNTIF(I:I,I1606)</f>
        <v>1</v>
      </c>
      <c r="K1606" s="1" t="n">
        <v>0</v>
      </c>
      <c r="M1606" s="1" t="s">
        <v>23</v>
      </c>
      <c r="N1606" s="1" t="n">
        <v>87</v>
      </c>
      <c r="O1606" s="1" t="s">
        <v>8537</v>
      </c>
      <c r="P1606" s="1" t="n">
        <v>6694</v>
      </c>
      <c r="Q1606" s="1" t="s">
        <v>8538</v>
      </c>
      <c r="R1606" s="1" t="s">
        <v>8539</v>
      </c>
      <c r="S1606" s="1" t="s">
        <v>8540</v>
      </c>
      <c r="T1606" s="1" t="s">
        <v>4935</v>
      </c>
      <c r="U1606" s="1" t="s">
        <v>8541</v>
      </c>
      <c r="V1606" s="1" t="s">
        <v>6777</v>
      </c>
    </row>
    <row r="1607" customFormat="false" ht="13.8" hidden="false" customHeight="false" outlineLevel="0" collapsed="false">
      <c r="A1607" s="1" t="n">
        <v>1606</v>
      </c>
      <c r="B1607" s="2" t="s">
        <v>8542</v>
      </c>
      <c r="C1607" s="1" t="n">
        <v>1</v>
      </c>
      <c r="D1607" s="1" t="n">
        <v>15</v>
      </c>
      <c r="E1607" s="1" t="n">
        <v>37</v>
      </c>
      <c r="F1607" s="1" t="n">
        <v>42</v>
      </c>
      <c r="G1607" s="1" t="n">
        <v>46</v>
      </c>
      <c r="H1607" s="1" t="n">
        <v>54</v>
      </c>
      <c r="I1607" s="1" t="str">
        <f aca="false">RIGHT(("0"&amp;C1607),2)&amp;RIGHT(("0"&amp;D1607),2)&amp;RIGHT(("0"&amp;E1607),2)&amp;RIGHT(("0"&amp;F1607),2)&amp;RIGHT(("0"&amp;G1607),2)&amp;RIGHT(("0"&amp;H1607),2)</f>
        <v>011537424654</v>
      </c>
      <c r="J1607" s="1" t="n">
        <f aca="false">COUNTIF(I:I,I1607)</f>
        <v>1</v>
      </c>
      <c r="K1607" s="1" t="n">
        <v>1</v>
      </c>
      <c r="L1607" s="1" t="s">
        <v>8543</v>
      </c>
      <c r="M1607" s="1" t="s">
        <v>8544</v>
      </c>
      <c r="N1607" s="1" t="n">
        <v>101</v>
      </c>
      <c r="O1607" s="1" t="s">
        <v>8545</v>
      </c>
      <c r="P1607" s="1" t="n">
        <v>9327</v>
      </c>
      <c r="Q1607" s="1" t="s">
        <v>8546</v>
      </c>
      <c r="R1607" s="1" t="s">
        <v>23</v>
      </c>
      <c r="S1607" s="1" t="s">
        <v>8547</v>
      </c>
      <c r="T1607" s="1" t="s">
        <v>473</v>
      </c>
      <c r="U1607" s="1" t="s">
        <v>8548</v>
      </c>
    </row>
    <row r="1608" customFormat="false" ht="13.8" hidden="false" customHeight="false" outlineLevel="0" collapsed="false">
      <c r="A1608" s="1" t="n">
        <v>1607</v>
      </c>
      <c r="B1608" s="2" t="s">
        <v>8549</v>
      </c>
      <c r="C1608" s="1" t="n">
        <v>7</v>
      </c>
      <c r="D1608" s="1" t="n">
        <v>31</v>
      </c>
      <c r="E1608" s="1" t="n">
        <v>32</v>
      </c>
      <c r="F1608" s="1" t="n">
        <v>41</v>
      </c>
      <c r="G1608" s="1" t="n">
        <v>51</v>
      </c>
      <c r="H1608" s="1" t="n">
        <v>52</v>
      </c>
      <c r="I1608" s="1" t="str">
        <f aca="false">RIGHT(("0"&amp;C1608),2)&amp;RIGHT(("0"&amp;D1608),2)&amp;RIGHT(("0"&amp;E1608),2)&amp;RIGHT(("0"&amp;F1608),2)&amp;RIGHT(("0"&amp;G1608),2)&amp;RIGHT(("0"&amp;H1608),2)</f>
        <v>073132415152</v>
      </c>
      <c r="J1608" s="1" t="n">
        <f aca="false">COUNTIF(I:I,I1608)</f>
        <v>1</v>
      </c>
      <c r="K1608" s="1" t="n">
        <v>0</v>
      </c>
      <c r="M1608" s="1" t="s">
        <v>23</v>
      </c>
      <c r="N1608" s="1" t="n">
        <v>91</v>
      </c>
      <c r="O1608" s="1" t="s">
        <v>8550</v>
      </c>
      <c r="P1608" s="1" t="n">
        <v>2820</v>
      </c>
      <c r="Q1608" s="1" t="s">
        <v>8551</v>
      </c>
      <c r="R1608" s="1" t="s">
        <v>8552</v>
      </c>
      <c r="S1608" s="1" t="s">
        <v>8553</v>
      </c>
      <c r="T1608" s="1" t="s">
        <v>4232</v>
      </c>
      <c r="U1608" s="1" t="s">
        <v>8554</v>
      </c>
      <c r="V1608" s="1" t="s">
        <v>8126</v>
      </c>
    </row>
    <row r="1609" customFormat="false" ht="13.8" hidden="false" customHeight="false" outlineLevel="0" collapsed="false">
      <c r="A1609" s="1" t="n">
        <v>1608</v>
      </c>
      <c r="B1609" s="2" t="s">
        <v>8555</v>
      </c>
      <c r="C1609" s="1" t="n">
        <v>5</v>
      </c>
      <c r="D1609" s="1" t="n">
        <v>6</v>
      </c>
      <c r="E1609" s="1" t="n">
        <v>17</v>
      </c>
      <c r="F1609" s="1" t="n">
        <v>43</v>
      </c>
      <c r="G1609" s="1" t="n">
        <v>54</v>
      </c>
      <c r="H1609" s="1" t="n">
        <v>59</v>
      </c>
      <c r="I1609" s="1" t="str">
        <f aca="false">RIGHT(("0"&amp;C1609),2)&amp;RIGHT(("0"&amp;D1609),2)&amp;RIGHT(("0"&amp;E1609),2)&amp;RIGHT(("0"&amp;F1609),2)&amp;RIGHT(("0"&amp;G1609),2)&amp;RIGHT(("0"&amp;H1609),2)</f>
        <v>050617435459</v>
      </c>
      <c r="J1609" s="1" t="n">
        <f aca="false">COUNTIF(I:I,I1609)</f>
        <v>1</v>
      </c>
      <c r="K1609" s="1" t="n">
        <v>0</v>
      </c>
      <c r="M1609" s="1" t="s">
        <v>23</v>
      </c>
      <c r="N1609" s="1" t="n">
        <v>79</v>
      </c>
      <c r="O1609" s="1" t="s">
        <v>8556</v>
      </c>
      <c r="P1609" s="1" t="n">
        <v>5998</v>
      </c>
      <c r="Q1609" s="1" t="s">
        <v>8557</v>
      </c>
      <c r="R1609" s="1" t="s">
        <v>8558</v>
      </c>
      <c r="S1609" s="1" t="s">
        <v>8559</v>
      </c>
      <c r="T1609" s="1" t="s">
        <v>4461</v>
      </c>
      <c r="U1609" s="1" t="s">
        <v>8560</v>
      </c>
    </row>
    <row r="1610" customFormat="false" ht="13.8" hidden="false" customHeight="false" outlineLevel="0" collapsed="false">
      <c r="A1610" s="1" t="n">
        <v>1609</v>
      </c>
      <c r="B1610" s="2" t="s">
        <v>8561</v>
      </c>
      <c r="C1610" s="1" t="n">
        <v>2</v>
      </c>
      <c r="D1610" s="1" t="n">
        <v>6</v>
      </c>
      <c r="E1610" s="1" t="n">
        <v>13</v>
      </c>
      <c r="F1610" s="1" t="n">
        <v>26</v>
      </c>
      <c r="G1610" s="1" t="n">
        <v>53</v>
      </c>
      <c r="H1610" s="1" t="n">
        <v>60</v>
      </c>
      <c r="I1610" s="1" t="str">
        <f aca="false">RIGHT(("0"&amp;C1610),2)&amp;RIGHT(("0"&amp;D1610),2)&amp;RIGHT(("0"&amp;E1610),2)&amp;RIGHT(("0"&amp;F1610),2)&amp;RIGHT(("0"&amp;G1610),2)&amp;RIGHT(("0"&amp;H1610),2)</f>
        <v>020613265360</v>
      </c>
      <c r="J1610" s="1" t="n">
        <f aca="false">COUNTIF(I:I,I1610)</f>
        <v>1</v>
      </c>
      <c r="K1610" s="1" t="n">
        <v>0</v>
      </c>
      <c r="M1610" s="1" t="s">
        <v>23</v>
      </c>
      <c r="N1610" s="1" t="n">
        <v>140</v>
      </c>
      <c r="O1610" s="1" t="s">
        <v>8562</v>
      </c>
      <c r="P1610" s="1" t="n">
        <v>8573</v>
      </c>
      <c r="Q1610" s="1" t="s">
        <v>8563</v>
      </c>
      <c r="R1610" s="1" t="s">
        <v>8564</v>
      </c>
      <c r="S1610" s="1" t="s">
        <v>8565</v>
      </c>
      <c r="T1610" s="1" t="s">
        <v>3892</v>
      </c>
      <c r="U1610" s="1" t="s">
        <v>8566</v>
      </c>
      <c r="V1610" s="1" t="s">
        <v>7795</v>
      </c>
    </row>
    <row r="1611" customFormat="false" ht="13.8" hidden="false" customHeight="false" outlineLevel="0" collapsed="false">
      <c r="A1611" s="1" t="n">
        <v>1610</v>
      </c>
      <c r="B1611" s="2" t="s">
        <v>8567</v>
      </c>
      <c r="C1611" s="1" t="n">
        <v>1</v>
      </c>
      <c r="D1611" s="1" t="n">
        <v>4</v>
      </c>
      <c r="E1611" s="1" t="n">
        <v>9</v>
      </c>
      <c r="F1611" s="1" t="n">
        <v>35</v>
      </c>
      <c r="G1611" s="1" t="n">
        <v>36</v>
      </c>
      <c r="H1611" s="1" t="n">
        <v>53</v>
      </c>
      <c r="I1611" s="1" t="str">
        <f aca="false">RIGHT(("0"&amp;C1611),2)&amp;RIGHT(("0"&amp;D1611),2)&amp;RIGHT(("0"&amp;E1611),2)&amp;RIGHT(("0"&amp;F1611),2)&amp;RIGHT(("0"&amp;G1611),2)&amp;RIGHT(("0"&amp;H1611),2)</f>
        <v>010409353653</v>
      </c>
      <c r="J1611" s="1" t="n">
        <f aca="false">COUNTIF(I:I,I1611)</f>
        <v>1</v>
      </c>
      <c r="K1611" s="1" t="n">
        <v>0</v>
      </c>
      <c r="M1611" s="1" t="s">
        <v>23</v>
      </c>
      <c r="N1611" s="1" t="n">
        <v>173</v>
      </c>
      <c r="O1611" s="1" t="s">
        <v>8568</v>
      </c>
      <c r="P1611" s="1" t="n">
        <v>9626</v>
      </c>
      <c r="Q1611" s="1" t="s">
        <v>8569</v>
      </c>
      <c r="R1611" s="1" t="s">
        <v>8570</v>
      </c>
      <c r="S1611" s="1" t="s">
        <v>8571</v>
      </c>
      <c r="T1611" s="1" t="s">
        <v>5154</v>
      </c>
      <c r="U1611" s="1" t="s">
        <v>8572</v>
      </c>
    </row>
    <row r="1612" customFormat="false" ht="13.8" hidden="false" customHeight="false" outlineLevel="0" collapsed="false">
      <c r="A1612" s="1" t="n">
        <v>1611</v>
      </c>
      <c r="B1612" s="2" t="s">
        <v>8573</v>
      </c>
      <c r="C1612" s="1" t="n">
        <v>24</v>
      </c>
      <c r="D1612" s="1" t="n">
        <v>28</v>
      </c>
      <c r="E1612" s="1" t="n">
        <v>47</v>
      </c>
      <c r="F1612" s="1" t="n">
        <v>50</v>
      </c>
      <c r="G1612" s="1" t="n">
        <v>51</v>
      </c>
      <c r="H1612" s="1" t="n">
        <v>58</v>
      </c>
      <c r="I1612" s="1" t="str">
        <f aca="false">RIGHT(("0"&amp;C1612),2)&amp;RIGHT(("0"&amp;D1612),2)&amp;RIGHT(("0"&amp;E1612),2)&amp;RIGHT(("0"&amp;F1612),2)&amp;RIGHT(("0"&amp;G1612),2)&amp;RIGHT(("0"&amp;H1612),2)</f>
        <v>242847505158</v>
      </c>
      <c r="J1612" s="1" t="n">
        <f aca="false">COUNTIF(I:I,I1612)</f>
        <v>1</v>
      </c>
      <c r="K1612" s="1" t="n">
        <v>0</v>
      </c>
      <c r="M1612" s="1" t="s">
        <v>23</v>
      </c>
      <c r="N1612" s="1" t="n">
        <v>97</v>
      </c>
      <c r="O1612" s="1" t="s">
        <v>8574</v>
      </c>
      <c r="P1612" s="1" t="n">
        <v>6367</v>
      </c>
      <c r="Q1612" s="1" t="s">
        <v>8575</v>
      </c>
      <c r="R1612" s="1" t="s">
        <v>8576</v>
      </c>
      <c r="S1612" s="1" t="s">
        <v>8577</v>
      </c>
      <c r="T1612" s="1" t="s">
        <v>6032</v>
      </c>
      <c r="U1612" s="1" t="s">
        <v>8578</v>
      </c>
      <c r="V1612" s="1" t="s">
        <v>7795</v>
      </c>
    </row>
    <row r="1613" customFormat="false" ht="13.8" hidden="false" customHeight="false" outlineLevel="0" collapsed="false">
      <c r="A1613" s="1" t="n">
        <v>1612</v>
      </c>
      <c r="B1613" s="2" t="s">
        <v>8579</v>
      </c>
      <c r="C1613" s="1" t="n">
        <v>6</v>
      </c>
      <c r="D1613" s="1" t="n">
        <v>13</v>
      </c>
      <c r="E1613" s="1" t="n">
        <v>17</v>
      </c>
      <c r="F1613" s="1" t="n">
        <v>36</v>
      </c>
      <c r="G1613" s="1" t="n">
        <v>42</v>
      </c>
      <c r="H1613" s="1" t="n">
        <v>51</v>
      </c>
      <c r="I1613" s="1" t="str">
        <f aca="false">RIGHT(("0"&amp;C1613),2)&amp;RIGHT(("0"&amp;D1613),2)&amp;RIGHT(("0"&amp;E1613),2)&amp;RIGHT(("0"&amp;F1613),2)&amp;RIGHT(("0"&amp;G1613),2)&amp;RIGHT(("0"&amp;H1613),2)</f>
        <v>061317364251</v>
      </c>
      <c r="J1613" s="1" t="n">
        <f aca="false">COUNTIF(I:I,I1613)</f>
        <v>1</v>
      </c>
      <c r="K1613" s="1" t="n">
        <v>2</v>
      </c>
      <c r="L1613" s="1" t="s">
        <v>8580</v>
      </c>
      <c r="M1613" s="1" t="s">
        <v>8581</v>
      </c>
      <c r="N1613" s="1" t="n">
        <v>261</v>
      </c>
      <c r="O1613" s="1" t="s">
        <v>8582</v>
      </c>
      <c r="P1613" s="1" t="n">
        <v>16822</v>
      </c>
      <c r="Q1613" s="1" t="s">
        <v>8583</v>
      </c>
      <c r="R1613" s="1" t="s">
        <v>23</v>
      </c>
      <c r="S1613" s="1" t="s">
        <v>8584</v>
      </c>
      <c r="T1613" s="1" t="s">
        <v>473</v>
      </c>
      <c r="U1613" s="1" t="s">
        <v>8585</v>
      </c>
    </row>
    <row r="1614" customFormat="false" ht="13.8" hidden="false" customHeight="false" outlineLevel="0" collapsed="false">
      <c r="A1614" s="1" t="n">
        <v>1613</v>
      </c>
      <c r="B1614" s="2" t="s">
        <v>8586</v>
      </c>
      <c r="C1614" s="1" t="n">
        <v>4</v>
      </c>
      <c r="D1614" s="1" t="n">
        <v>18</v>
      </c>
      <c r="E1614" s="1" t="n">
        <v>31</v>
      </c>
      <c r="F1614" s="1" t="n">
        <v>44</v>
      </c>
      <c r="G1614" s="1" t="n">
        <v>46</v>
      </c>
      <c r="H1614" s="1" t="n">
        <v>49</v>
      </c>
      <c r="I1614" s="1" t="str">
        <f aca="false">RIGHT(("0"&amp;C1614),2)&amp;RIGHT(("0"&amp;D1614),2)&amp;RIGHT(("0"&amp;E1614),2)&amp;RIGHT(("0"&amp;F1614),2)&amp;RIGHT(("0"&amp;G1614),2)&amp;RIGHT(("0"&amp;H1614),2)</f>
        <v>041831444649</v>
      </c>
      <c r="J1614" s="1" t="n">
        <f aca="false">COUNTIF(I:I,I1614)</f>
        <v>1</v>
      </c>
      <c r="K1614" s="1" t="n">
        <v>0</v>
      </c>
      <c r="M1614" s="1" t="s">
        <v>23</v>
      </c>
      <c r="N1614" s="1" t="n">
        <v>103</v>
      </c>
      <c r="O1614" s="1" t="s">
        <v>8587</v>
      </c>
      <c r="P1614" s="1" t="n">
        <v>5801</v>
      </c>
      <c r="Q1614" s="1" t="s">
        <v>8588</v>
      </c>
      <c r="R1614" s="1" t="s">
        <v>8589</v>
      </c>
      <c r="S1614" s="1" t="s">
        <v>8590</v>
      </c>
      <c r="T1614" s="1" t="s">
        <v>4232</v>
      </c>
      <c r="U1614" s="1" t="s">
        <v>8591</v>
      </c>
      <c r="V1614" s="1" t="s">
        <v>7795</v>
      </c>
    </row>
    <row r="1615" customFormat="false" ht="13.8" hidden="false" customHeight="false" outlineLevel="0" collapsed="false">
      <c r="A1615" s="1" t="n">
        <v>1614</v>
      </c>
      <c r="B1615" s="2" t="s">
        <v>8592</v>
      </c>
      <c r="C1615" s="1" t="n">
        <v>14</v>
      </c>
      <c r="D1615" s="1" t="n">
        <v>17</v>
      </c>
      <c r="E1615" s="1" t="n">
        <v>21</v>
      </c>
      <c r="F1615" s="1" t="n">
        <v>27</v>
      </c>
      <c r="G1615" s="1" t="n">
        <v>43</v>
      </c>
      <c r="H1615" s="1" t="n">
        <v>49</v>
      </c>
      <c r="I1615" s="1" t="str">
        <f aca="false">RIGHT(("0"&amp;C1615),2)&amp;RIGHT(("0"&amp;D1615),2)&amp;RIGHT(("0"&amp;E1615),2)&amp;RIGHT(("0"&amp;F1615),2)&amp;RIGHT(("0"&amp;G1615),2)&amp;RIGHT(("0"&amp;H1615),2)</f>
        <v>141721274349</v>
      </c>
      <c r="J1615" s="1" t="n">
        <f aca="false">COUNTIF(I:I,I1615)</f>
        <v>1</v>
      </c>
      <c r="K1615" s="1" t="n">
        <v>1</v>
      </c>
      <c r="L1615" s="1" t="s">
        <v>5484</v>
      </c>
      <c r="M1615" s="1" t="s">
        <v>8593</v>
      </c>
      <c r="N1615" s="1" t="n">
        <v>149</v>
      </c>
      <c r="O1615" s="1" t="s">
        <v>8594</v>
      </c>
      <c r="P1615" s="1" t="n">
        <v>7458</v>
      </c>
      <c r="Q1615" s="1" t="s">
        <v>8595</v>
      </c>
      <c r="R1615" s="1" t="s">
        <v>23</v>
      </c>
      <c r="S1615" s="1" t="s">
        <v>8596</v>
      </c>
      <c r="T1615" s="1" t="s">
        <v>4273</v>
      </c>
      <c r="U1615" s="1" t="s">
        <v>8597</v>
      </c>
    </row>
    <row r="1616" customFormat="false" ht="13.8" hidden="false" customHeight="false" outlineLevel="0" collapsed="false">
      <c r="A1616" s="1" t="n">
        <v>1615</v>
      </c>
      <c r="B1616" s="2" t="s">
        <v>8598</v>
      </c>
      <c r="C1616" s="1" t="n">
        <v>5</v>
      </c>
      <c r="D1616" s="1" t="n">
        <v>20</v>
      </c>
      <c r="E1616" s="1" t="n">
        <v>26</v>
      </c>
      <c r="F1616" s="1" t="n">
        <v>31</v>
      </c>
      <c r="G1616" s="1" t="n">
        <v>33</v>
      </c>
      <c r="H1616" s="1" t="n">
        <v>44</v>
      </c>
      <c r="I1616" s="1" t="str">
        <f aca="false">RIGHT(("0"&amp;C1616),2)&amp;RIGHT(("0"&amp;D1616),2)&amp;RIGHT(("0"&amp;E1616),2)&amp;RIGHT(("0"&amp;F1616),2)&amp;RIGHT(("0"&amp;G1616),2)&amp;RIGHT(("0"&amp;H1616),2)</f>
        <v>052026313344</v>
      </c>
      <c r="J1616" s="1" t="n">
        <f aca="false">COUNTIF(I:I,I1616)</f>
        <v>1</v>
      </c>
      <c r="K1616" s="1" t="n">
        <v>0</v>
      </c>
      <c r="M1616" s="1" t="s">
        <v>23</v>
      </c>
      <c r="N1616" s="1" t="n">
        <v>71</v>
      </c>
      <c r="O1616" s="1" t="s">
        <v>8599</v>
      </c>
      <c r="P1616" s="1" t="n">
        <v>5701</v>
      </c>
      <c r="Q1616" s="1" t="s">
        <v>8600</v>
      </c>
      <c r="R1616" s="1" t="s">
        <v>8601</v>
      </c>
      <c r="S1616" s="1" t="s">
        <v>8602</v>
      </c>
      <c r="T1616" s="1" t="s">
        <v>4718</v>
      </c>
      <c r="U1616" s="1" t="s">
        <v>8603</v>
      </c>
      <c r="V1616" s="1" t="s">
        <v>8126</v>
      </c>
    </row>
    <row r="1617" customFormat="false" ht="13.8" hidden="false" customHeight="false" outlineLevel="0" collapsed="false">
      <c r="A1617" s="1" t="n">
        <v>1616</v>
      </c>
      <c r="B1617" s="2" t="s">
        <v>8604</v>
      </c>
      <c r="C1617" s="1" t="n">
        <v>28</v>
      </c>
      <c r="D1617" s="1" t="n">
        <v>31</v>
      </c>
      <c r="E1617" s="1" t="n">
        <v>40</v>
      </c>
      <c r="F1617" s="1" t="n">
        <v>42</v>
      </c>
      <c r="G1617" s="1" t="n">
        <v>46</v>
      </c>
      <c r="H1617" s="1" t="n">
        <v>58</v>
      </c>
      <c r="I1617" s="1" t="str">
        <f aca="false">RIGHT(("0"&amp;C1617),2)&amp;RIGHT(("0"&amp;D1617),2)&amp;RIGHT(("0"&amp;E1617),2)&amp;RIGHT(("0"&amp;F1617),2)&amp;RIGHT(("0"&amp;G1617),2)&amp;RIGHT(("0"&amp;H1617),2)</f>
        <v>283140424658</v>
      </c>
      <c r="J1617" s="1" t="n">
        <f aca="false">COUNTIF(I:I,I1617)</f>
        <v>1</v>
      </c>
      <c r="K1617" s="1" t="n">
        <v>0</v>
      </c>
      <c r="M1617" s="1" t="s">
        <v>23</v>
      </c>
      <c r="N1617" s="1" t="n">
        <v>185</v>
      </c>
      <c r="O1617" s="1" t="s">
        <v>8605</v>
      </c>
      <c r="P1617" s="1" t="n">
        <v>6475</v>
      </c>
      <c r="Q1617" s="1" t="s">
        <v>8606</v>
      </c>
      <c r="R1617" s="1" t="s">
        <v>8607</v>
      </c>
      <c r="S1617" s="1" t="s">
        <v>8608</v>
      </c>
      <c r="T1617" s="1" t="s">
        <v>4935</v>
      </c>
      <c r="U1617" s="1" t="s">
        <v>8609</v>
      </c>
    </row>
    <row r="1618" customFormat="false" ht="13.8" hidden="false" customHeight="false" outlineLevel="0" collapsed="false">
      <c r="A1618" s="1" t="n">
        <v>1617</v>
      </c>
      <c r="B1618" s="2" t="s">
        <v>8610</v>
      </c>
      <c r="C1618" s="1" t="n">
        <v>3</v>
      </c>
      <c r="D1618" s="1" t="n">
        <v>23</v>
      </c>
      <c r="E1618" s="1" t="n">
        <v>26</v>
      </c>
      <c r="F1618" s="1" t="n">
        <v>31</v>
      </c>
      <c r="G1618" s="1" t="n">
        <v>47</v>
      </c>
      <c r="H1618" s="1" t="n">
        <v>54</v>
      </c>
      <c r="I1618" s="1" t="str">
        <f aca="false">RIGHT(("0"&amp;C1618),2)&amp;RIGHT(("0"&amp;D1618),2)&amp;RIGHT(("0"&amp;E1618),2)&amp;RIGHT(("0"&amp;F1618),2)&amp;RIGHT(("0"&amp;G1618),2)&amp;RIGHT(("0"&amp;H1618),2)</f>
        <v>032326314754</v>
      </c>
      <c r="J1618" s="1" t="n">
        <f aca="false">COUNTIF(I:I,I1618)</f>
        <v>1</v>
      </c>
      <c r="K1618" s="1" t="n">
        <v>2</v>
      </c>
      <c r="L1618" s="1" t="s">
        <v>8611</v>
      </c>
      <c r="M1618" s="1" t="s">
        <v>8612</v>
      </c>
      <c r="N1618" s="1" t="n">
        <v>265</v>
      </c>
      <c r="O1618" s="1" t="s">
        <v>8613</v>
      </c>
      <c r="P1618" s="1" t="n">
        <v>13116</v>
      </c>
      <c r="Q1618" s="1" t="s">
        <v>8614</v>
      </c>
      <c r="R1618" s="1" t="s">
        <v>23</v>
      </c>
      <c r="S1618" s="1" t="s">
        <v>8615</v>
      </c>
      <c r="T1618" s="1" t="s">
        <v>473</v>
      </c>
      <c r="U1618" s="1" t="s">
        <v>8616</v>
      </c>
      <c r="V1618" s="1" t="s">
        <v>6777</v>
      </c>
    </row>
    <row r="1619" customFormat="false" ht="13.8" hidden="false" customHeight="false" outlineLevel="0" collapsed="false">
      <c r="A1619" s="1" t="n">
        <v>1618</v>
      </c>
      <c r="B1619" s="2" t="s">
        <v>8617</v>
      </c>
      <c r="C1619" s="1" t="n">
        <v>9</v>
      </c>
      <c r="D1619" s="1" t="n">
        <v>20</v>
      </c>
      <c r="E1619" s="1" t="n">
        <v>24</v>
      </c>
      <c r="F1619" s="1" t="n">
        <v>43</v>
      </c>
      <c r="G1619" s="1" t="n">
        <v>51</v>
      </c>
      <c r="H1619" s="1" t="n">
        <v>52</v>
      </c>
      <c r="I1619" s="1" t="str">
        <f aca="false">RIGHT(("0"&amp;C1619),2)&amp;RIGHT(("0"&amp;D1619),2)&amp;RIGHT(("0"&amp;E1619),2)&amp;RIGHT(("0"&amp;F1619),2)&amp;RIGHT(("0"&amp;G1619),2)&amp;RIGHT(("0"&amp;H1619),2)</f>
        <v>092024435152</v>
      </c>
      <c r="J1619" s="1" t="n">
        <f aca="false">COUNTIF(I:I,I1619)</f>
        <v>1</v>
      </c>
      <c r="K1619" s="1" t="n">
        <v>1</v>
      </c>
      <c r="L1619" s="1" t="s">
        <v>8618</v>
      </c>
      <c r="M1619" s="1" t="s">
        <v>8619</v>
      </c>
      <c r="N1619" s="1" t="n">
        <v>32</v>
      </c>
      <c r="O1619" s="1" t="s">
        <v>8620</v>
      </c>
      <c r="P1619" s="1" t="n">
        <v>3161</v>
      </c>
      <c r="Q1619" s="1" t="s">
        <v>8621</v>
      </c>
      <c r="R1619" s="1" t="s">
        <v>23</v>
      </c>
      <c r="S1619" s="1" t="s">
        <v>8622</v>
      </c>
      <c r="T1619" s="1" t="s">
        <v>473</v>
      </c>
      <c r="U1619" s="1" t="s">
        <v>8623</v>
      </c>
    </row>
    <row r="1620" customFormat="false" ht="13.8" hidden="false" customHeight="false" outlineLevel="0" collapsed="false">
      <c r="A1620" s="1" t="n">
        <v>1619</v>
      </c>
      <c r="B1620" s="2" t="s">
        <v>8624</v>
      </c>
      <c r="C1620" s="1" t="n">
        <v>5</v>
      </c>
      <c r="D1620" s="1" t="n">
        <v>8</v>
      </c>
      <c r="E1620" s="1" t="n">
        <v>17</v>
      </c>
      <c r="F1620" s="1" t="n">
        <v>42</v>
      </c>
      <c r="G1620" s="1" t="n">
        <v>46</v>
      </c>
      <c r="H1620" s="1" t="n">
        <v>47</v>
      </c>
      <c r="I1620" s="1" t="str">
        <f aca="false">RIGHT(("0"&amp;C1620),2)&amp;RIGHT(("0"&amp;D1620),2)&amp;RIGHT(("0"&amp;E1620),2)&amp;RIGHT(("0"&amp;F1620),2)&amp;RIGHT(("0"&amp;G1620),2)&amp;RIGHT(("0"&amp;H1620),2)</f>
        <v>050817424647</v>
      </c>
      <c r="J1620" s="1" t="n">
        <f aca="false">COUNTIF(I:I,I1620)</f>
        <v>1</v>
      </c>
      <c r="K1620" s="1" t="n">
        <v>0</v>
      </c>
      <c r="M1620" s="1" t="s">
        <v>23</v>
      </c>
      <c r="N1620" s="1" t="n">
        <v>92</v>
      </c>
      <c r="O1620" s="1" t="s">
        <v>8625</v>
      </c>
      <c r="P1620" s="1" t="n">
        <v>7438</v>
      </c>
      <c r="Q1620" s="1" t="s">
        <v>8626</v>
      </c>
      <c r="R1620" s="1" t="s">
        <v>8627</v>
      </c>
      <c r="S1620" s="1" t="s">
        <v>8628</v>
      </c>
      <c r="T1620" s="1" t="s">
        <v>4246</v>
      </c>
      <c r="U1620" s="1" t="s">
        <v>8629</v>
      </c>
      <c r="V1620" s="1" t="s">
        <v>7795</v>
      </c>
    </row>
    <row r="1621" customFormat="false" ht="13.8" hidden="false" customHeight="false" outlineLevel="0" collapsed="false">
      <c r="A1621" s="1" t="n">
        <v>1620</v>
      </c>
      <c r="B1621" s="2" t="s">
        <v>8630</v>
      </c>
      <c r="C1621" s="1" t="n">
        <v>13</v>
      </c>
      <c r="D1621" s="1" t="n">
        <v>23</v>
      </c>
      <c r="E1621" s="1" t="n">
        <v>27</v>
      </c>
      <c r="F1621" s="1" t="n">
        <v>34</v>
      </c>
      <c r="G1621" s="1" t="n">
        <v>38</v>
      </c>
      <c r="H1621" s="1" t="n">
        <v>57</v>
      </c>
      <c r="I1621" s="1" t="str">
        <f aca="false">RIGHT(("0"&amp;C1621),2)&amp;RIGHT(("0"&amp;D1621),2)&amp;RIGHT(("0"&amp;E1621),2)&amp;RIGHT(("0"&amp;F1621),2)&amp;RIGHT(("0"&amp;G1621),2)&amp;RIGHT(("0"&amp;H1621),2)</f>
        <v>132327343857</v>
      </c>
      <c r="J1621" s="1" t="n">
        <f aca="false">COUNTIF(I:I,I1621)</f>
        <v>1</v>
      </c>
      <c r="K1621" s="1" t="n">
        <v>0</v>
      </c>
      <c r="M1621" s="1" t="s">
        <v>23</v>
      </c>
      <c r="N1621" s="1" t="n">
        <v>136</v>
      </c>
      <c r="O1621" s="1" t="s">
        <v>8631</v>
      </c>
      <c r="P1621" s="1" t="n">
        <v>9539</v>
      </c>
      <c r="Q1621" s="1" t="s">
        <v>8632</v>
      </c>
      <c r="R1621" s="1" t="s">
        <v>8633</v>
      </c>
      <c r="S1621" s="1" t="s">
        <v>8634</v>
      </c>
      <c r="T1621" s="1" t="s">
        <v>5242</v>
      </c>
      <c r="U1621" s="1" t="s">
        <v>8635</v>
      </c>
    </row>
    <row r="1622" customFormat="false" ht="13.8" hidden="false" customHeight="false" outlineLevel="0" collapsed="false">
      <c r="A1622" s="1" t="n">
        <v>1621</v>
      </c>
      <c r="B1622" s="2" t="s">
        <v>8636</v>
      </c>
      <c r="C1622" s="1" t="n">
        <v>10</v>
      </c>
      <c r="D1622" s="1" t="n">
        <v>22</v>
      </c>
      <c r="E1622" s="1" t="n">
        <v>24</v>
      </c>
      <c r="F1622" s="1" t="n">
        <v>38</v>
      </c>
      <c r="G1622" s="1" t="n">
        <v>39</v>
      </c>
      <c r="H1622" s="1" t="n">
        <v>49</v>
      </c>
      <c r="I1622" s="1" t="str">
        <f aca="false">RIGHT(("0"&amp;C1622),2)&amp;RIGHT(("0"&amp;D1622),2)&amp;RIGHT(("0"&amp;E1622),2)&amp;RIGHT(("0"&amp;F1622),2)&amp;RIGHT(("0"&amp;G1622),2)&amp;RIGHT(("0"&amp;H1622),2)</f>
        <v>102224383949</v>
      </c>
      <c r="J1622" s="1" t="n">
        <f aca="false">COUNTIF(I:I,I1622)</f>
        <v>1</v>
      </c>
      <c r="K1622" s="1" t="n">
        <v>1</v>
      </c>
      <c r="L1622" s="1" t="s">
        <v>8637</v>
      </c>
      <c r="M1622" s="1" t="s">
        <v>8638</v>
      </c>
      <c r="N1622" s="1" t="n">
        <v>81</v>
      </c>
      <c r="O1622" s="1" t="s">
        <v>8639</v>
      </c>
      <c r="P1622" s="1" t="n">
        <v>6823</v>
      </c>
      <c r="Q1622" s="1" t="s">
        <v>8640</v>
      </c>
      <c r="R1622" s="1" t="s">
        <v>23</v>
      </c>
      <c r="S1622" s="1" t="s">
        <v>8641</v>
      </c>
      <c r="T1622" s="1" t="s">
        <v>473</v>
      </c>
      <c r="U1622" s="1" t="s">
        <v>8642</v>
      </c>
      <c r="V1622" s="1" t="s">
        <v>6777</v>
      </c>
    </row>
    <row r="1623" customFormat="false" ht="13.8" hidden="false" customHeight="false" outlineLevel="0" collapsed="false">
      <c r="A1623" s="1" t="n">
        <v>1622</v>
      </c>
      <c r="B1623" s="2" t="s">
        <v>8643</v>
      </c>
      <c r="C1623" s="1" t="n">
        <v>4</v>
      </c>
      <c r="D1623" s="1" t="n">
        <v>5</v>
      </c>
      <c r="E1623" s="1" t="n">
        <v>7</v>
      </c>
      <c r="F1623" s="1" t="n">
        <v>21</v>
      </c>
      <c r="G1623" s="1" t="n">
        <v>45</v>
      </c>
      <c r="H1623" s="1" t="n">
        <v>53</v>
      </c>
      <c r="I1623" s="1" t="str">
        <f aca="false">RIGHT(("0"&amp;C1623),2)&amp;RIGHT(("0"&amp;D1623),2)&amp;RIGHT(("0"&amp;E1623),2)&amp;RIGHT(("0"&amp;F1623),2)&amp;RIGHT(("0"&amp;G1623),2)&amp;RIGHT(("0"&amp;H1623),2)</f>
        <v>040507214553</v>
      </c>
      <c r="J1623" s="1" t="n">
        <f aca="false">COUNTIF(I:I,I1623)</f>
        <v>1</v>
      </c>
      <c r="K1623" s="1" t="n">
        <v>0</v>
      </c>
      <c r="M1623" s="1" t="s">
        <v>23</v>
      </c>
      <c r="N1623" s="1" t="n">
        <v>107</v>
      </c>
      <c r="O1623" s="1" t="s">
        <v>8644</v>
      </c>
      <c r="P1623" s="1" t="n">
        <v>7833</v>
      </c>
      <c r="Q1623" s="1" t="s">
        <v>8645</v>
      </c>
      <c r="R1623" s="1" t="s">
        <v>8646</v>
      </c>
      <c r="S1623" s="1" t="s">
        <v>8647</v>
      </c>
      <c r="T1623" s="1" t="s">
        <v>5931</v>
      </c>
      <c r="U1623" s="1" t="s">
        <v>8648</v>
      </c>
    </row>
    <row r="1624" customFormat="false" ht="13.8" hidden="false" customHeight="false" outlineLevel="0" collapsed="false">
      <c r="A1624" s="1" t="n">
        <v>1623</v>
      </c>
      <c r="B1624" s="2" t="s">
        <v>8649</v>
      </c>
      <c r="C1624" s="1" t="n">
        <v>33</v>
      </c>
      <c r="D1624" s="1" t="n">
        <v>43</v>
      </c>
      <c r="E1624" s="1" t="n">
        <v>49</v>
      </c>
      <c r="F1624" s="1" t="n">
        <v>50</v>
      </c>
      <c r="G1624" s="1" t="n">
        <v>56</v>
      </c>
      <c r="H1624" s="1" t="n">
        <v>59</v>
      </c>
      <c r="I1624" s="1" t="str">
        <f aca="false">RIGHT(("0"&amp;C1624),2)&amp;RIGHT(("0"&amp;D1624),2)&amp;RIGHT(("0"&amp;E1624),2)&amp;RIGHT(("0"&amp;F1624),2)&amp;RIGHT(("0"&amp;G1624),2)&amp;RIGHT(("0"&amp;H1624),2)</f>
        <v>334349505659</v>
      </c>
      <c r="J1624" s="1" t="n">
        <f aca="false">COUNTIF(I:I,I1624)</f>
        <v>1</v>
      </c>
      <c r="K1624" s="1" t="n">
        <v>0</v>
      </c>
      <c r="M1624" s="1" t="s">
        <v>23</v>
      </c>
      <c r="N1624" s="1" t="n">
        <v>28</v>
      </c>
      <c r="O1624" s="1" t="s">
        <v>8650</v>
      </c>
      <c r="P1624" s="1" t="n">
        <v>1825</v>
      </c>
      <c r="Q1624" s="1" t="s">
        <v>8651</v>
      </c>
      <c r="R1624" s="1" t="s">
        <v>8652</v>
      </c>
      <c r="S1624" s="1" t="s">
        <v>8653</v>
      </c>
      <c r="T1624" s="1" t="s">
        <v>4195</v>
      </c>
      <c r="U1624" s="1" t="s">
        <v>8654</v>
      </c>
    </row>
    <row r="1625" customFormat="false" ht="13.8" hidden="false" customHeight="false" outlineLevel="0" collapsed="false">
      <c r="A1625" s="1" t="n">
        <v>1624</v>
      </c>
      <c r="B1625" s="2" t="s">
        <v>8655</v>
      </c>
      <c r="C1625" s="1" t="n">
        <v>2</v>
      </c>
      <c r="D1625" s="1" t="n">
        <v>27</v>
      </c>
      <c r="E1625" s="1" t="n">
        <v>32</v>
      </c>
      <c r="F1625" s="1" t="n">
        <v>41</v>
      </c>
      <c r="G1625" s="1" t="n">
        <v>47</v>
      </c>
      <c r="H1625" s="1" t="n">
        <v>58</v>
      </c>
      <c r="I1625" s="1" t="str">
        <f aca="false">RIGHT(("0"&amp;C1625),2)&amp;RIGHT(("0"&amp;D1625),2)&amp;RIGHT(("0"&amp;E1625),2)&amp;RIGHT(("0"&amp;F1625),2)&amp;RIGHT(("0"&amp;G1625),2)&amp;RIGHT(("0"&amp;H1625),2)</f>
        <v>022732414758</v>
      </c>
      <c r="J1625" s="1" t="n">
        <f aca="false">COUNTIF(I:I,I1625)</f>
        <v>1</v>
      </c>
      <c r="K1625" s="1" t="n">
        <v>0</v>
      </c>
      <c r="M1625" s="1" t="s">
        <v>23</v>
      </c>
      <c r="N1625" s="1" t="n">
        <v>76</v>
      </c>
      <c r="O1625" s="1" t="s">
        <v>8656</v>
      </c>
      <c r="P1625" s="1" t="n">
        <v>4576</v>
      </c>
      <c r="Q1625" s="1" t="s">
        <v>8657</v>
      </c>
      <c r="R1625" s="1" t="s">
        <v>8658</v>
      </c>
      <c r="S1625" s="1" t="s">
        <v>8659</v>
      </c>
      <c r="T1625" s="1" t="s">
        <v>5242</v>
      </c>
      <c r="U1625" s="1" t="s">
        <v>8660</v>
      </c>
      <c r="V1625" s="1" t="s">
        <v>7795</v>
      </c>
    </row>
    <row r="1626" customFormat="false" ht="13.8" hidden="false" customHeight="false" outlineLevel="0" collapsed="false">
      <c r="A1626" s="1" t="n">
        <v>1625</v>
      </c>
      <c r="B1626" s="2" t="s">
        <v>8661</v>
      </c>
      <c r="C1626" s="1" t="n">
        <v>11</v>
      </c>
      <c r="D1626" s="1" t="n">
        <v>22</v>
      </c>
      <c r="E1626" s="1" t="n">
        <v>36</v>
      </c>
      <c r="F1626" s="1" t="n">
        <v>40</v>
      </c>
      <c r="G1626" s="1" t="n">
        <v>45</v>
      </c>
      <c r="H1626" s="1" t="n">
        <v>52</v>
      </c>
      <c r="I1626" s="1" t="str">
        <f aca="false">RIGHT(("0"&amp;C1626),2)&amp;RIGHT(("0"&amp;D1626),2)&amp;RIGHT(("0"&amp;E1626),2)&amp;RIGHT(("0"&amp;F1626),2)&amp;RIGHT(("0"&amp;G1626),2)&amp;RIGHT(("0"&amp;H1626),2)</f>
        <v>112236404552</v>
      </c>
      <c r="J1626" s="1" t="n">
        <f aca="false">COUNTIF(I:I,I1626)</f>
        <v>1</v>
      </c>
      <c r="K1626" s="1" t="n">
        <v>0</v>
      </c>
      <c r="M1626" s="1" t="s">
        <v>23</v>
      </c>
      <c r="N1626" s="1" t="n">
        <v>77</v>
      </c>
      <c r="O1626" s="1" t="s">
        <v>8662</v>
      </c>
      <c r="P1626" s="1" t="n">
        <v>6419</v>
      </c>
      <c r="Q1626" s="1" t="s">
        <v>8663</v>
      </c>
      <c r="R1626" s="1" t="s">
        <v>8664</v>
      </c>
      <c r="S1626" s="1" t="s">
        <v>8665</v>
      </c>
      <c r="T1626" s="1" t="s">
        <v>4968</v>
      </c>
      <c r="U1626" s="1" t="s">
        <v>8666</v>
      </c>
    </row>
    <row r="1627" customFormat="false" ht="13.8" hidden="false" customHeight="false" outlineLevel="0" collapsed="false">
      <c r="A1627" s="1" t="n">
        <v>1626</v>
      </c>
      <c r="B1627" s="2" t="s">
        <v>8667</v>
      </c>
      <c r="C1627" s="1" t="n">
        <v>3</v>
      </c>
      <c r="D1627" s="1" t="n">
        <v>5</v>
      </c>
      <c r="E1627" s="1" t="n">
        <v>14</v>
      </c>
      <c r="F1627" s="1" t="n">
        <v>35</v>
      </c>
      <c r="G1627" s="1" t="n">
        <v>43</v>
      </c>
      <c r="H1627" s="1" t="n">
        <v>52</v>
      </c>
      <c r="I1627" s="1" t="str">
        <f aca="false">RIGHT(("0"&amp;C1627),2)&amp;RIGHT(("0"&amp;D1627),2)&amp;RIGHT(("0"&amp;E1627),2)&amp;RIGHT(("0"&amp;F1627),2)&amp;RIGHT(("0"&amp;G1627),2)&amp;RIGHT(("0"&amp;H1627),2)</f>
        <v>030514354352</v>
      </c>
      <c r="J1627" s="1" t="n">
        <f aca="false">COUNTIF(I:I,I1627)</f>
        <v>1</v>
      </c>
      <c r="K1627" s="1" t="n">
        <v>0</v>
      </c>
      <c r="M1627" s="1" t="s">
        <v>23</v>
      </c>
      <c r="N1627" s="1" t="n">
        <v>158</v>
      </c>
      <c r="O1627" s="1" t="s">
        <v>8668</v>
      </c>
      <c r="P1627" s="1" t="n">
        <v>12451</v>
      </c>
      <c r="Q1627" s="1" t="s">
        <v>8669</v>
      </c>
      <c r="R1627" s="1" t="s">
        <v>8670</v>
      </c>
      <c r="S1627" s="1" t="s">
        <v>8671</v>
      </c>
      <c r="T1627" s="1" t="s">
        <v>8236</v>
      </c>
      <c r="U1627" s="1" t="s">
        <v>8672</v>
      </c>
      <c r="V1627" s="1" t="s">
        <v>7795</v>
      </c>
    </row>
    <row r="1628" customFormat="false" ht="13.8" hidden="false" customHeight="false" outlineLevel="0" collapsed="false">
      <c r="A1628" s="1" t="n">
        <v>1627</v>
      </c>
      <c r="B1628" s="2" t="s">
        <v>8673</v>
      </c>
      <c r="C1628" s="1" t="n">
        <v>20</v>
      </c>
      <c r="D1628" s="1" t="n">
        <v>26</v>
      </c>
      <c r="E1628" s="1" t="n">
        <v>32</v>
      </c>
      <c r="F1628" s="1" t="n">
        <v>41</v>
      </c>
      <c r="G1628" s="1" t="n">
        <v>45</v>
      </c>
      <c r="H1628" s="1" t="n">
        <v>57</v>
      </c>
      <c r="I1628" s="1" t="str">
        <f aca="false">RIGHT(("0"&amp;C1628),2)&amp;RIGHT(("0"&amp;D1628),2)&amp;RIGHT(("0"&amp;E1628),2)&amp;RIGHT(("0"&amp;F1628),2)&amp;RIGHT(("0"&amp;G1628),2)&amp;RIGHT(("0"&amp;H1628),2)</f>
        <v>202632414557</v>
      </c>
      <c r="J1628" s="1" t="n">
        <f aca="false">COUNTIF(I:I,I1628)</f>
        <v>1</v>
      </c>
      <c r="K1628" s="1" t="n">
        <v>1</v>
      </c>
      <c r="L1628" s="1" t="s">
        <v>8674</v>
      </c>
      <c r="M1628" s="1" t="s">
        <v>8675</v>
      </c>
      <c r="N1628" s="1" t="n">
        <v>130</v>
      </c>
      <c r="O1628" s="1" t="s">
        <v>8676</v>
      </c>
      <c r="P1628" s="1" t="n">
        <v>9306</v>
      </c>
      <c r="Q1628" s="1" t="s">
        <v>8677</v>
      </c>
      <c r="R1628" s="1" t="s">
        <v>23</v>
      </c>
      <c r="S1628" s="1" t="s">
        <v>8678</v>
      </c>
      <c r="T1628" s="1" t="s">
        <v>473</v>
      </c>
      <c r="U1628" s="1" t="s">
        <v>8679</v>
      </c>
    </row>
    <row r="1629" customFormat="false" ht="13.8" hidden="false" customHeight="false" outlineLevel="0" collapsed="false">
      <c r="A1629" s="1" t="n">
        <v>1628</v>
      </c>
      <c r="B1629" s="2" t="s">
        <v>8680</v>
      </c>
      <c r="C1629" s="1" t="n">
        <v>26</v>
      </c>
      <c r="D1629" s="1" t="n">
        <v>29</v>
      </c>
      <c r="E1629" s="1" t="n">
        <v>34</v>
      </c>
      <c r="F1629" s="1" t="n">
        <v>38</v>
      </c>
      <c r="G1629" s="1" t="n">
        <v>50</v>
      </c>
      <c r="H1629" s="1" t="n">
        <v>60</v>
      </c>
      <c r="I1629" s="1" t="str">
        <f aca="false">RIGHT(("0"&amp;C1629),2)&amp;RIGHT(("0"&amp;D1629),2)&amp;RIGHT(("0"&amp;E1629),2)&amp;RIGHT(("0"&amp;F1629),2)&amp;RIGHT(("0"&amp;G1629),2)&amp;RIGHT(("0"&amp;H1629),2)</f>
        <v>262934385060</v>
      </c>
      <c r="J1629" s="1" t="n">
        <f aca="false">COUNTIF(I:I,I1629)</f>
        <v>1</v>
      </c>
      <c r="K1629" s="1" t="n">
        <v>0</v>
      </c>
      <c r="M1629" s="1" t="s">
        <v>23</v>
      </c>
      <c r="N1629" s="1" t="n">
        <v>36</v>
      </c>
      <c r="O1629" s="1" t="s">
        <v>8681</v>
      </c>
      <c r="P1629" s="1" t="n">
        <v>2795</v>
      </c>
      <c r="Q1629" s="1" t="s">
        <v>8682</v>
      </c>
      <c r="R1629" s="1" t="s">
        <v>8683</v>
      </c>
      <c r="S1629" s="1" t="s">
        <v>8684</v>
      </c>
      <c r="T1629" s="1" t="s">
        <v>8685</v>
      </c>
      <c r="U1629" s="1" t="s">
        <v>8686</v>
      </c>
      <c r="V1629" s="1" t="s">
        <v>8126</v>
      </c>
    </row>
    <row r="1630" customFormat="false" ht="13.8" hidden="false" customHeight="false" outlineLevel="0" collapsed="false">
      <c r="A1630" s="1" t="n">
        <v>1629</v>
      </c>
      <c r="B1630" s="2" t="s">
        <v>8687</v>
      </c>
      <c r="C1630" s="1" t="n">
        <v>4</v>
      </c>
      <c r="D1630" s="1" t="n">
        <v>20</v>
      </c>
      <c r="E1630" s="1" t="n">
        <v>24</v>
      </c>
      <c r="F1630" s="1" t="n">
        <v>35</v>
      </c>
      <c r="G1630" s="1" t="n">
        <v>47</v>
      </c>
      <c r="H1630" s="1" t="n">
        <v>59</v>
      </c>
      <c r="I1630" s="1" t="str">
        <f aca="false">RIGHT(("0"&amp;C1630),2)&amp;RIGHT(("0"&amp;D1630),2)&amp;RIGHT(("0"&amp;E1630),2)&amp;RIGHT(("0"&amp;F1630),2)&amp;RIGHT(("0"&amp;G1630),2)&amp;RIGHT(("0"&amp;H1630),2)</f>
        <v>042024354759</v>
      </c>
      <c r="J1630" s="1" t="n">
        <f aca="false">COUNTIF(I:I,I1630)</f>
        <v>1</v>
      </c>
      <c r="K1630" s="1" t="n">
        <v>0</v>
      </c>
      <c r="M1630" s="1" t="s">
        <v>23</v>
      </c>
      <c r="N1630" s="1" t="n">
        <v>92</v>
      </c>
      <c r="O1630" s="1" t="s">
        <v>8688</v>
      </c>
      <c r="P1630" s="1" t="n">
        <v>5701</v>
      </c>
      <c r="Q1630" s="1" t="s">
        <v>8689</v>
      </c>
      <c r="R1630" s="1" t="s">
        <v>8690</v>
      </c>
      <c r="S1630" s="1" t="s">
        <v>8691</v>
      </c>
      <c r="T1630" s="1" t="s">
        <v>4304</v>
      </c>
      <c r="U1630" s="1" t="s">
        <v>8692</v>
      </c>
    </row>
    <row r="1631" customFormat="false" ht="13.8" hidden="false" customHeight="false" outlineLevel="0" collapsed="false">
      <c r="A1631" s="1" t="n">
        <v>1630</v>
      </c>
      <c r="B1631" s="2" t="s">
        <v>8693</v>
      </c>
      <c r="C1631" s="1" t="n">
        <v>1</v>
      </c>
      <c r="D1631" s="1" t="n">
        <v>7</v>
      </c>
      <c r="E1631" s="1" t="n">
        <v>30</v>
      </c>
      <c r="F1631" s="1" t="n">
        <v>43</v>
      </c>
      <c r="G1631" s="1" t="n">
        <v>44</v>
      </c>
      <c r="H1631" s="1" t="n">
        <v>54</v>
      </c>
      <c r="I1631" s="1" t="str">
        <f aca="false">RIGHT(("0"&amp;C1631),2)&amp;RIGHT(("0"&amp;D1631),2)&amp;RIGHT(("0"&amp;E1631),2)&amp;RIGHT(("0"&amp;F1631),2)&amp;RIGHT(("0"&amp;G1631),2)&amp;RIGHT(("0"&amp;H1631),2)</f>
        <v>010730434454</v>
      </c>
      <c r="J1631" s="1" t="n">
        <f aca="false">COUNTIF(I:I,I1631)</f>
        <v>1</v>
      </c>
      <c r="K1631" s="1" t="n">
        <v>0</v>
      </c>
      <c r="M1631" s="1" t="s">
        <v>23</v>
      </c>
      <c r="N1631" s="1" t="n">
        <v>81</v>
      </c>
      <c r="O1631" s="1" t="s">
        <v>8694</v>
      </c>
      <c r="P1631" s="1" t="n">
        <v>6412</v>
      </c>
      <c r="Q1631" s="1" t="s">
        <v>8695</v>
      </c>
      <c r="R1631" s="1" t="s">
        <v>8696</v>
      </c>
      <c r="S1631" s="1" t="s">
        <v>8697</v>
      </c>
      <c r="T1631" s="1" t="s">
        <v>5294</v>
      </c>
      <c r="U1631" s="1" t="s">
        <v>8698</v>
      </c>
    </row>
    <row r="1632" customFormat="false" ht="13.8" hidden="false" customHeight="false" outlineLevel="0" collapsed="false">
      <c r="A1632" s="1" t="n">
        <v>1631</v>
      </c>
      <c r="B1632" s="2" t="s">
        <v>8699</v>
      </c>
      <c r="C1632" s="1" t="n">
        <v>4</v>
      </c>
      <c r="D1632" s="1" t="n">
        <v>29</v>
      </c>
      <c r="E1632" s="1" t="n">
        <v>44</v>
      </c>
      <c r="F1632" s="1" t="n">
        <v>47</v>
      </c>
      <c r="G1632" s="1" t="n">
        <v>48</v>
      </c>
      <c r="H1632" s="1" t="n">
        <v>60</v>
      </c>
      <c r="I1632" s="1" t="str">
        <f aca="false">RIGHT(("0"&amp;C1632),2)&amp;RIGHT(("0"&amp;D1632),2)&amp;RIGHT(("0"&amp;E1632),2)&amp;RIGHT(("0"&amp;F1632),2)&amp;RIGHT(("0"&amp;G1632),2)&amp;RIGHT(("0"&amp;H1632),2)</f>
        <v>042944474860</v>
      </c>
      <c r="J1632" s="1" t="n">
        <f aca="false">COUNTIF(I:I,I1632)</f>
        <v>1</v>
      </c>
      <c r="K1632" s="1" t="n">
        <v>0</v>
      </c>
      <c r="M1632" s="1" t="s">
        <v>23</v>
      </c>
      <c r="N1632" s="1" t="n">
        <v>140</v>
      </c>
      <c r="O1632" s="1" t="s">
        <v>8700</v>
      </c>
      <c r="P1632" s="1" t="n">
        <v>9659</v>
      </c>
      <c r="Q1632" s="1" t="s">
        <v>8701</v>
      </c>
      <c r="R1632" s="1" t="s">
        <v>8702</v>
      </c>
      <c r="S1632" s="1" t="s">
        <v>8703</v>
      </c>
      <c r="T1632" s="1" t="s">
        <v>6077</v>
      </c>
      <c r="U1632" s="1" t="s">
        <v>8704</v>
      </c>
    </row>
    <row r="1633" customFormat="false" ht="13.8" hidden="false" customHeight="false" outlineLevel="0" collapsed="false">
      <c r="A1633" s="1" t="n">
        <v>1632</v>
      </c>
      <c r="B1633" s="2" t="s">
        <v>8705</v>
      </c>
      <c r="C1633" s="1" t="n">
        <v>6</v>
      </c>
      <c r="D1633" s="1" t="n">
        <v>18</v>
      </c>
      <c r="E1633" s="1" t="n">
        <v>24</v>
      </c>
      <c r="F1633" s="1" t="n">
        <v>27</v>
      </c>
      <c r="G1633" s="1" t="n">
        <v>56</v>
      </c>
      <c r="H1633" s="1" t="n">
        <v>59</v>
      </c>
      <c r="I1633" s="1" t="str">
        <f aca="false">RIGHT(("0"&amp;C1633),2)&amp;RIGHT(("0"&amp;D1633),2)&amp;RIGHT(("0"&amp;E1633),2)&amp;RIGHT(("0"&amp;F1633),2)&amp;RIGHT(("0"&amp;G1633),2)&amp;RIGHT(("0"&amp;H1633),2)</f>
        <v>061824275659</v>
      </c>
      <c r="J1633" s="1" t="n">
        <f aca="false">COUNTIF(I:I,I1633)</f>
        <v>1</v>
      </c>
      <c r="K1633" s="1" t="n">
        <v>1</v>
      </c>
      <c r="L1633" s="1" t="s">
        <v>8706</v>
      </c>
      <c r="M1633" s="1" t="s">
        <v>8707</v>
      </c>
      <c r="N1633" s="1" t="n">
        <v>244</v>
      </c>
      <c r="O1633" s="1" t="s">
        <v>8708</v>
      </c>
      <c r="P1633" s="1" t="n">
        <v>16339</v>
      </c>
      <c r="Q1633" s="1" t="s">
        <v>8709</v>
      </c>
      <c r="R1633" s="1" t="s">
        <v>23</v>
      </c>
      <c r="S1633" s="1" t="s">
        <v>8710</v>
      </c>
      <c r="T1633" s="1" t="s">
        <v>473</v>
      </c>
      <c r="U1633" s="1" t="s">
        <v>8711</v>
      </c>
    </row>
    <row r="1634" customFormat="false" ht="13.8" hidden="false" customHeight="false" outlineLevel="0" collapsed="false">
      <c r="A1634" s="1" t="n">
        <v>1633</v>
      </c>
      <c r="B1634" s="2" t="s">
        <v>8712</v>
      </c>
      <c r="C1634" s="1" t="n">
        <v>1</v>
      </c>
      <c r="D1634" s="1" t="n">
        <v>2</v>
      </c>
      <c r="E1634" s="1" t="n">
        <v>11</v>
      </c>
      <c r="F1634" s="1" t="n">
        <v>13</v>
      </c>
      <c r="G1634" s="1" t="n">
        <v>36</v>
      </c>
      <c r="H1634" s="1" t="n">
        <v>49</v>
      </c>
      <c r="I1634" s="1" t="str">
        <f aca="false">RIGHT(("0"&amp;C1634),2)&amp;RIGHT(("0"&amp;D1634),2)&amp;RIGHT(("0"&amp;E1634),2)&amp;RIGHT(("0"&amp;F1634),2)&amp;RIGHT(("0"&amp;G1634),2)&amp;RIGHT(("0"&amp;H1634),2)</f>
        <v>010211133649</v>
      </c>
      <c r="J1634" s="1" t="n">
        <f aca="false">COUNTIF(I:I,I1634)</f>
        <v>1</v>
      </c>
      <c r="K1634" s="1" t="n">
        <v>0</v>
      </c>
      <c r="M1634" s="1" t="s">
        <v>23</v>
      </c>
      <c r="N1634" s="1" t="n">
        <v>99</v>
      </c>
      <c r="O1634" s="1" t="s">
        <v>8713</v>
      </c>
      <c r="P1634" s="1" t="n">
        <v>7430</v>
      </c>
      <c r="Q1634" s="1" t="s">
        <v>6801</v>
      </c>
      <c r="R1634" s="1" t="s">
        <v>8714</v>
      </c>
      <c r="S1634" s="1" t="s">
        <v>8715</v>
      </c>
      <c r="T1634" s="1" t="s">
        <v>4232</v>
      </c>
      <c r="U1634" s="1" t="s">
        <v>8716</v>
      </c>
    </row>
    <row r="1635" customFormat="false" ht="13.8" hidden="false" customHeight="false" outlineLevel="0" collapsed="false">
      <c r="A1635" s="1" t="n">
        <v>1634</v>
      </c>
      <c r="B1635" s="2" t="s">
        <v>8717</v>
      </c>
      <c r="C1635" s="1" t="n">
        <v>9</v>
      </c>
      <c r="D1635" s="1" t="n">
        <v>10</v>
      </c>
      <c r="E1635" s="1" t="n">
        <v>23</v>
      </c>
      <c r="F1635" s="1" t="n">
        <v>33</v>
      </c>
      <c r="G1635" s="1" t="n">
        <v>44</v>
      </c>
      <c r="H1635" s="1" t="n">
        <v>51</v>
      </c>
      <c r="I1635" s="1" t="str">
        <f aca="false">RIGHT(("0"&amp;C1635),2)&amp;RIGHT(("0"&amp;D1635),2)&amp;RIGHT(("0"&amp;E1635),2)&amp;RIGHT(("0"&amp;F1635),2)&amp;RIGHT(("0"&amp;G1635),2)&amp;RIGHT(("0"&amp;H1635),2)</f>
        <v>091023334451</v>
      </c>
      <c r="J1635" s="1" t="n">
        <f aca="false">COUNTIF(I:I,I1635)</f>
        <v>1</v>
      </c>
      <c r="K1635" s="1" t="n">
        <v>1</v>
      </c>
      <c r="L1635" s="1" t="s">
        <v>8479</v>
      </c>
      <c r="M1635" s="1" t="s">
        <v>8718</v>
      </c>
      <c r="N1635" s="1" t="n">
        <v>110</v>
      </c>
      <c r="O1635" s="1" t="s">
        <v>8719</v>
      </c>
      <c r="P1635" s="1" t="n">
        <v>6257</v>
      </c>
      <c r="Q1635" s="1" t="s">
        <v>8720</v>
      </c>
      <c r="R1635" s="1" t="s">
        <v>23</v>
      </c>
      <c r="S1635" s="1" t="s">
        <v>8721</v>
      </c>
      <c r="T1635" s="1" t="s">
        <v>4246</v>
      </c>
      <c r="U1635" s="1" t="s">
        <v>8722</v>
      </c>
    </row>
    <row r="1636" customFormat="false" ht="13.8" hidden="false" customHeight="false" outlineLevel="0" collapsed="false">
      <c r="A1636" s="1" t="n">
        <v>1635</v>
      </c>
      <c r="B1636" s="2" t="s">
        <v>8723</v>
      </c>
      <c r="C1636" s="1" t="n">
        <v>8</v>
      </c>
      <c r="D1636" s="1" t="n">
        <v>23</v>
      </c>
      <c r="E1636" s="1" t="n">
        <v>28</v>
      </c>
      <c r="F1636" s="1" t="n">
        <v>30</v>
      </c>
      <c r="G1636" s="1" t="n">
        <v>32</v>
      </c>
      <c r="H1636" s="1" t="n">
        <v>51</v>
      </c>
      <c r="I1636" s="1" t="str">
        <f aca="false">RIGHT(("0"&amp;C1636),2)&amp;RIGHT(("0"&amp;D1636),2)&amp;RIGHT(("0"&amp;E1636),2)&amp;RIGHT(("0"&amp;F1636),2)&amp;RIGHT(("0"&amp;G1636),2)&amp;RIGHT(("0"&amp;H1636),2)</f>
        <v>082328303251</v>
      </c>
      <c r="J1636" s="1" t="n">
        <f aca="false">COUNTIF(I:I,I1636)</f>
        <v>1</v>
      </c>
      <c r="K1636" s="1" t="n">
        <v>0</v>
      </c>
      <c r="M1636" s="1" t="s">
        <v>23</v>
      </c>
      <c r="N1636" s="1" t="n">
        <v>112</v>
      </c>
      <c r="O1636" s="1" t="s">
        <v>8724</v>
      </c>
      <c r="P1636" s="1" t="n">
        <v>6874</v>
      </c>
      <c r="Q1636" s="1" t="s">
        <v>8725</v>
      </c>
      <c r="R1636" s="1" t="s">
        <v>8726</v>
      </c>
      <c r="S1636" s="1" t="s">
        <v>8727</v>
      </c>
      <c r="T1636" s="1" t="s">
        <v>3892</v>
      </c>
      <c r="U1636" s="1" t="s">
        <v>8728</v>
      </c>
    </row>
    <row r="1637" customFormat="false" ht="13.8" hidden="false" customHeight="false" outlineLevel="0" collapsed="false">
      <c r="A1637" s="1" t="n">
        <v>1636</v>
      </c>
      <c r="B1637" s="2" t="s">
        <v>8729</v>
      </c>
      <c r="C1637" s="1" t="n">
        <v>19</v>
      </c>
      <c r="D1637" s="1" t="n">
        <v>26</v>
      </c>
      <c r="E1637" s="1" t="n">
        <v>33</v>
      </c>
      <c r="F1637" s="1" t="n">
        <v>35</v>
      </c>
      <c r="G1637" s="1" t="n">
        <v>51</v>
      </c>
      <c r="H1637" s="1" t="n">
        <v>52</v>
      </c>
      <c r="I1637" s="1" t="str">
        <f aca="false">RIGHT(("0"&amp;C1637),2)&amp;RIGHT(("0"&amp;D1637),2)&amp;RIGHT(("0"&amp;E1637),2)&amp;RIGHT(("0"&amp;F1637),2)&amp;RIGHT(("0"&amp;G1637),2)&amp;RIGHT(("0"&amp;H1637),2)</f>
        <v>192633355152</v>
      </c>
      <c r="J1637" s="1" t="n">
        <f aca="false">COUNTIF(I:I,I1637)</f>
        <v>1</v>
      </c>
      <c r="K1637" s="1" t="n">
        <v>0</v>
      </c>
      <c r="M1637" s="1" t="s">
        <v>23</v>
      </c>
      <c r="N1637" s="1" t="n">
        <v>90</v>
      </c>
      <c r="O1637" s="1" t="s">
        <v>8730</v>
      </c>
      <c r="P1637" s="1" t="n">
        <v>8474</v>
      </c>
      <c r="Q1637" s="1" t="s">
        <v>8731</v>
      </c>
      <c r="R1637" s="1" t="s">
        <v>8732</v>
      </c>
      <c r="S1637" s="1" t="s">
        <v>8733</v>
      </c>
      <c r="T1637" s="1" t="s">
        <v>6025</v>
      </c>
      <c r="U1637" s="1" t="s">
        <v>8734</v>
      </c>
    </row>
    <row r="1638" customFormat="false" ht="13.8" hidden="false" customHeight="false" outlineLevel="0" collapsed="false">
      <c r="A1638" s="1" t="n">
        <v>1637</v>
      </c>
      <c r="B1638" s="2" t="s">
        <v>8735</v>
      </c>
      <c r="C1638" s="1" t="n">
        <v>1</v>
      </c>
      <c r="D1638" s="1" t="n">
        <v>5</v>
      </c>
      <c r="E1638" s="1" t="n">
        <v>24</v>
      </c>
      <c r="F1638" s="1" t="n">
        <v>47</v>
      </c>
      <c r="G1638" s="1" t="n">
        <v>55</v>
      </c>
      <c r="H1638" s="1" t="n">
        <v>56</v>
      </c>
      <c r="I1638" s="1" t="str">
        <f aca="false">RIGHT(("0"&amp;C1638),2)&amp;RIGHT(("0"&amp;D1638),2)&amp;RIGHT(("0"&amp;E1638),2)&amp;RIGHT(("0"&amp;F1638),2)&amp;RIGHT(("0"&amp;G1638),2)&amp;RIGHT(("0"&amp;H1638),2)</f>
        <v>010524475556</v>
      </c>
      <c r="J1638" s="1" t="n">
        <f aca="false">COUNTIF(I:I,I1638)</f>
        <v>1</v>
      </c>
      <c r="K1638" s="1" t="n">
        <v>0</v>
      </c>
      <c r="M1638" s="1" t="s">
        <v>23</v>
      </c>
      <c r="N1638" s="1" t="n">
        <v>144</v>
      </c>
      <c r="O1638" s="1" t="s">
        <v>8736</v>
      </c>
      <c r="P1638" s="1" t="n">
        <v>11489</v>
      </c>
      <c r="Q1638" s="1" t="s">
        <v>8737</v>
      </c>
      <c r="R1638" s="1" t="s">
        <v>8738</v>
      </c>
      <c r="S1638" s="1" t="s">
        <v>8739</v>
      </c>
      <c r="T1638" s="1" t="s">
        <v>4314</v>
      </c>
      <c r="U1638" s="1" t="s">
        <v>8740</v>
      </c>
    </row>
    <row r="1639" customFormat="false" ht="13.8" hidden="false" customHeight="false" outlineLevel="0" collapsed="false">
      <c r="A1639" s="1" t="n">
        <v>1638</v>
      </c>
      <c r="B1639" s="2" t="s">
        <v>8741</v>
      </c>
      <c r="C1639" s="1" t="n">
        <v>1</v>
      </c>
      <c r="D1639" s="1" t="n">
        <v>2</v>
      </c>
      <c r="E1639" s="1" t="n">
        <v>38</v>
      </c>
      <c r="F1639" s="1" t="n">
        <v>41</v>
      </c>
      <c r="G1639" s="1" t="n">
        <v>42</v>
      </c>
      <c r="H1639" s="1" t="n">
        <v>58</v>
      </c>
      <c r="I1639" s="1" t="str">
        <f aca="false">RIGHT(("0"&amp;C1639),2)&amp;RIGHT(("0"&amp;D1639),2)&amp;RIGHT(("0"&amp;E1639),2)&amp;RIGHT(("0"&amp;F1639),2)&amp;RIGHT(("0"&amp;G1639),2)&amp;RIGHT(("0"&amp;H1639),2)</f>
        <v>010238414258</v>
      </c>
      <c r="J1639" s="1" t="n">
        <f aca="false">COUNTIF(I:I,I1639)</f>
        <v>1</v>
      </c>
      <c r="K1639" s="1" t="n">
        <v>0</v>
      </c>
      <c r="M1639" s="1" t="s">
        <v>23</v>
      </c>
      <c r="N1639" s="1" t="n">
        <v>143</v>
      </c>
      <c r="O1639" s="1" t="s">
        <v>8742</v>
      </c>
      <c r="P1639" s="1" t="n">
        <v>9363</v>
      </c>
      <c r="Q1639" s="1" t="s">
        <v>8743</v>
      </c>
      <c r="R1639" s="1" t="s">
        <v>8744</v>
      </c>
      <c r="S1639" s="1" t="s">
        <v>8745</v>
      </c>
      <c r="T1639" s="1" t="s">
        <v>5255</v>
      </c>
      <c r="U1639" s="1" t="s">
        <v>8746</v>
      </c>
    </row>
    <row r="1640" customFormat="false" ht="13.8" hidden="false" customHeight="false" outlineLevel="0" collapsed="false">
      <c r="A1640" s="1" t="n">
        <v>1639</v>
      </c>
      <c r="B1640" s="2" t="s">
        <v>8747</v>
      </c>
      <c r="C1640" s="1" t="n">
        <v>16</v>
      </c>
      <c r="D1640" s="1" t="n">
        <v>29</v>
      </c>
      <c r="E1640" s="1" t="n">
        <v>34</v>
      </c>
      <c r="F1640" s="1" t="n">
        <v>35</v>
      </c>
      <c r="G1640" s="1" t="n">
        <v>49</v>
      </c>
      <c r="H1640" s="1" t="n">
        <v>51</v>
      </c>
      <c r="I1640" s="1" t="str">
        <f aca="false">RIGHT(("0"&amp;C1640),2)&amp;RIGHT(("0"&amp;D1640),2)&amp;RIGHT(("0"&amp;E1640),2)&amp;RIGHT(("0"&amp;F1640),2)&amp;RIGHT(("0"&amp;G1640),2)&amp;RIGHT(("0"&amp;H1640),2)</f>
        <v>162934354951</v>
      </c>
      <c r="J1640" s="1" t="n">
        <f aca="false">COUNTIF(I:I,I1640)</f>
        <v>1</v>
      </c>
      <c r="K1640" s="1" t="n">
        <v>2</v>
      </c>
      <c r="L1640" s="1" t="s">
        <v>8748</v>
      </c>
      <c r="M1640" s="1" t="s">
        <v>8749</v>
      </c>
      <c r="N1640" s="1" t="n">
        <v>228</v>
      </c>
      <c r="O1640" s="1" t="s">
        <v>8750</v>
      </c>
      <c r="P1640" s="1" t="n">
        <v>13321</v>
      </c>
      <c r="Q1640" s="1" t="s">
        <v>8751</v>
      </c>
      <c r="R1640" s="1" t="s">
        <v>23</v>
      </c>
      <c r="S1640" s="1" t="s">
        <v>8752</v>
      </c>
      <c r="T1640" s="1" t="s">
        <v>3892</v>
      </c>
      <c r="U1640" s="1" t="s">
        <v>8753</v>
      </c>
    </row>
    <row r="1641" customFormat="false" ht="13.8" hidden="false" customHeight="false" outlineLevel="0" collapsed="false">
      <c r="A1641" s="1" t="n">
        <v>1640</v>
      </c>
      <c r="B1641" s="2" t="s">
        <v>8754</v>
      </c>
      <c r="C1641" s="1" t="n">
        <v>2</v>
      </c>
      <c r="D1641" s="1" t="n">
        <v>6</v>
      </c>
      <c r="E1641" s="1" t="n">
        <v>18</v>
      </c>
      <c r="F1641" s="1" t="n">
        <v>23</v>
      </c>
      <c r="G1641" s="1" t="n">
        <v>31</v>
      </c>
      <c r="H1641" s="1" t="n">
        <v>46</v>
      </c>
      <c r="I1641" s="1" t="str">
        <f aca="false">RIGHT(("0"&amp;C1641),2)&amp;RIGHT(("0"&amp;D1641),2)&amp;RIGHT(("0"&amp;E1641),2)&amp;RIGHT(("0"&amp;F1641),2)&amp;RIGHT(("0"&amp;G1641),2)&amp;RIGHT(("0"&amp;H1641),2)</f>
        <v>020618233146</v>
      </c>
      <c r="J1641" s="1" t="n">
        <f aca="false">COUNTIF(I:I,I1641)</f>
        <v>1</v>
      </c>
      <c r="K1641" s="1" t="n">
        <v>2</v>
      </c>
      <c r="L1641" s="1" t="s">
        <v>8755</v>
      </c>
      <c r="M1641" s="1" t="s">
        <v>8756</v>
      </c>
      <c r="N1641" s="1" t="n">
        <v>253</v>
      </c>
      <c r="O1641" s="1" t="s">
        <v>8757</v>
      </c>
      <c r="P1641" s="1" t="n">
        <v>12809</v>
      </c>
      <c r="Q1641" s="1" t="s">
        <v>8758</v>
      </c>
      <c r="R1641" s="1" t="s">
        <v>23</v>
      </c>
      <c r="S1641" s="1" t="s">
        <v>8759</v>
      </c>
      <c r="T1641" s="1" t="s">
        <v>473</v>
      </c>
      <c r="U1641" s="1" t="s">
        <v>8760</v>
      </c>
    </row>
    <row r="1642" customFormat="false" ht="13.8" hidden="false" customHeight="false" outlineLevel="0" collapsed="false">
      <c r="A1642" s="1" t="n">
        <v>1641</v>
      </c>
      <c r="B1642" s="2" t="s">
        <v>8761</v>
      </c>
      <c r="C1642" s="1" t="n">
        <v>23</v>
      </c>
      <c r="D1642" s="1" t="n">
        <v>29</v>
      </c>
      <c r="E1642" s="1" t="n">
        <v>30</v>
      </c>
      <c r="F1642" s="1" t="n">
        <v>33</v>
      </c>
      <c r="G1642" s="1" t="n">
        <v>46</v>
      </c>
      <c r="H1642" s="1" t="n">
        <v>51</v>
      </c>
      <c r="I1642" s="1" t="str">
        <f aca="false">RIGHT(("0"&amp;C1642),2)&amp;RIGHT(("0"&amp;D1642),2)&amp;RIGHT(("0"&amp;E1642),2)&amp;RIGHT(("0"&amp;F1642),2)&amp;RIGHT(("0"&amp;G1642),2)&amp;RIGHT(("0"&amp;H1642),2)</f>
        <v>232930334651</v>
      </c>
      <c r="J1642" s="1" t="n">
        <f aca="false">COUNTIF(I:I,I1642)</f>
        <v>1</v>
      </c>
      <c r="K1642" s="1" t="n">
        <v>0</v>
      </c>
      <c r="M1642" s="1" t="s">
        <v>23</v>
      </c>
      <c r="N1642" s="1" t="n">
        <v>47</v>
      </c>
      <c r="O1642" s="1" t="s">
        <v>8762</v>
      </c>
      <c r="P1642" s="1" t="n">
        <v>4951</v>
      </c>
      <c r="Q1642" s="1" t="s">
        <v>8763</v>
      </c>
      <c r="R1642" s="1" t="s">
        <v>8764</v>
      </c>
      <c r="S1642" s="1" t="s">
        <v>8765</v>
      </c>
      <c r="T1642" s="1" t="s">
        <v>4347</v>
      </c>
      <c r="U1642" s="1" t="s">
        <v>8766</v>
      </c>
    </row>
    <row r="1643" customFormat="false" ht="13.8" hidden="false" customHeight="false" outlineLevel="0" collapsed="false">
      <c r="A1643" s="1" t="n">
        <v>1642</v>
      </c>
      <c r="B1643" s="2" t="s">
        <v>8767</v>
      </c>
      <c r="C1643" s="1" t="n">
        <v>3</v>
      </c>
      <c r="D1643" s="1" t="n">
        <v>23</v>
      </c>
      <c r="E1643" s="1" t="n">
        <v>42</v>
      </c>
      <c r="F1643" s="1" t="n">
        <v>43</v>
      </c>
      <c r="G1643" s="1" t="n">
        <v>47</v>
      </c>
      <c r="H1643" s="1" t="n">
        <v>60</v>
      </c>
      <c r="I1643" s="1" t="str">
        <f aca="false">RIGHT(("0"&amp;C1643),2)&amp;RIGHT(("0"&amp;D1643),2)&amp;RIGHT(("0"&amp;E1643),2)&amp;RIGHT(("0"&amp;F1643),2)&amp;RIGHT(("0"&amp;G1643),2)&amp;RIGHT(("0"&amp;H1643),2)</f>
        <v>032342434760</v>
      </c>
      <c r="J1643" s="1" t="n">
        <f aca="false">COUNTIF(I:I,I1643)</f>
        <v>1</v>
      </c>
      <c r="K1643" s="1" t="n">
        <v>0</v>
      </c>
      <c r="M1643" s="1" t="s">
        <v>23</v>
      </c>
      <c r="N1643" s="1" t="n">
        <v>53</v>
      </c>
      <c r="O1643" s="1" t="s">
        <v>8768</v>
      </c>
      <c r="P1643" s="1" t="n">
        <v>5355</v>
      </c>
      <c r="Q1643" s="1" t="s">
        <v>8769</v>
      </c>
      <c r="R1643" s="1" t="s">
        <v>8770</v>
      </c>
      <c r="S1643" s="1" t="s">
        <v>8771</v>
      </c>
      <c r="T1643" s="1" t="s">
        <v>4846</v>
      </c>
      <c r="U1643" s="1" t="s">
        <v>8772</v>
      </c>
    </row>
    <row r="1644" customFormat="false" ht="13.8" hidden="false" customHeight="false" outlineLevel="0" collapsed="false">
      <c r="A1644" s="1" t="n">
        <v>1643</v>
      </c>
      <c r="B1644" s="2" t="s">
        <v>8773</v>
      </c>
      <c r="C1644" s="1" t="n">
        <v>16</v>
      </c>
      <c r="D1644" s="1" t="n">
        <v>19</v>
      </c>
      <c r="E1644" s="1" t="n">
        <v>20</v>
      </c>
      <c r="F1644" s="1" t="n">
        <v>28</v>
      </c>
      <c r="G1644" s="1" t="n">
        <v>37</v>
      </c>
      <c r="H1644" s="1" t="n">
        <v>60</v>
      </c>
      <c r="I1644" s="1" t="str">
        <f aca="false">RIGHT(("0"&amp;C1644),2)&amp;RIGHT(("0"&amp;D1644),2)&amp;RIGHT(("0"&amp;E1644),2)&amp;RIGHT(("0"&amp;F1644),2)&amp;RIGHT(("0"&amp;G1644),2)&amp;RIGHT(("0"&amp;H1644),2)</f>
        <v>161920283760</v>
      </c>
      <c r="J1644" s="1" t="n">
        <f aca="false">COUNTIF(I:I,I1644)</f>
        <v>1</v>
      </c>
      <c r="K1644" s="1" t="n">
        <v>0</v>
      </c>
      <c r="M1644" s="1" t="s">
        <v>23</v>
      </c>
      <c r="N1644" s="1" t="n">
        <v>60</v>
      </c>
      <c r="O1644" s="1" t="s">
        <v>8774</v>
      </c>
      <c r="P1644" s="1" t="n">
        <v>5152</v>
      </c>
      <c r="Q1644" s="1" t="s">
        <v>8775</v>
      </c>
      <c r="R1644" s="1" t="s">
        <v>8776</v>
      </c>
      <c r="S1644" s="1" t="s">
        <v>8777</v>
      </c>
      <c r="T1644" s="1" t="s">
        <v>8778</v>
      </c>
      <c r="U1644" s="1" t="s">
        <v>8779</v>
      </c>
    </row>
    <row r="1645" customFormat="false" ht="13.8" hidden="false" customHeight="false" outlineLevel="0" collapsed="false">
      <c r="A1645" s="1" t="n">
        <v>1644</v>
      </c>
      <c r="B1645" s="2" t="s">
        <v>8780</v>
      </c>
      <c r="C1645" s="1" t="n">
        <v>10</v>
      </c>
      <c r="D1645" s="1" t="n">
        <v>13</v>
      </c>
      <c r="E1645" s="1" t="n">
        <v>16</v>
      </c>
      <c r="F1645" s="1" t="n">
        <v>22</v>
      </c>
      <c r="G1645" s="1" t="n">
        <v>34</v>
      </c>
      <c r="H1645" s="1" t="n">
        <v>60</v>
      </c>
      <c r="I1645" s="1" t="str">
        <f aca="false">RIGHT(("0"&amp;C1645),2)&amp;RIGHT(("0"&amp;D1645),2)&amp;RIGHT(("0"&amp;E1645),2)&amp;RIGHT(("0"&amp;F1645),2)&amp;RIGHT(("0"&amp;G1645),2)&amp;RIGHT(("0"&amp;H1645),2)</f>
        <v>101316223460</v>
      </c>
      <c r="J1645" s="1" t="n">
        <f aca="false">COUNTIF(I:I,I1645)</f>
        <v>1</v>
      </c>
      <c r="K1645" s="1" t="n">
        <v>0</v>
      </c>
      <c r="M1645" s="1" t="s">
        <v>23</v>
      </c>
      <c r="N1645" s="1" t="n">
        <v>92</v>
      </c>
      <c r="O1645" s="1" t="s">
        <v>8781</v>
      </c>
      <c r="P1645" s="1" t="n">
        <v>8884</v>
      </c>
      <c r="Q1645" s="1" t="s">
        <v>8782</v>
      </c>
      <c r="R1645" s="1" t="s">
        <v>8783</v>
      </c>
      <c r="S1645" s="1" t="s">
        <v>8784</v>
      </c>
      <c r="T1645" s="1" t="s">
        <v>4309</v>
      </c>
      <c r="U1645" s="1" t="s">
        <v>8785</v>
      </c>
    </row>
    <row r="1646" customFormat="false" ht="13.8" hidden="false" customHeight="false" outlineLevel="0" collapsed="false">
      <c r="A1646" s="1" t="n">
        <v>1645</v>
      </c>
      <c r="B1646" s="2" t="s">
        <v>8786</v>
      </c>
      <c r="C1646" s="1" t="n">
        <v>8</v>
      </c>
      <c r="D1646" s="1" t="n">
        <v>18</v>
      </c>
      <c r="E1646" s="1" t="n">
        <v>21</v>
      </c>
      <c r="F1646" s="1" t="n">
        <v>31</v>
      </c>
      <c r="G1646" s="1" t="n">
        <v>37</v>
      </c>
      <c r="H1646" s="1" t="n">
        <v>38</v>
      </c>
      <c r="I1646" s="1" t="str">
        <f aca="false">RIGHT(("0"&amp;C1646),2)&amp;RIGHT(("0"&amp;D1646),2)&amp;RIGHT(("0"&amp;E1646),2)&amp;RIGHT(("0"&amp;F1646),2)&amp;RIGHT(("0"&amp;G1646),2)&amp;RIGHT(("0"&amp;H1646),2)</f>
        <v>081821313738</v>
      </c>
      <c r="J1646" s="1" t="n">
        <f aca="false">COUNTIF(I:I,I1646)</f>
        <v>1</v>
      </c>
      <c r="K1646" s="1" t="n">
        <v>0</v>
      </c>
      <c r="M1646" s="1" t="s">
        <v>23</v>
      </c>
      <c r="N1646" s="1" t="n">
        <v>137</v>
      </c>
      <c r="O1646" s="1" t="s">
        <v>8787</v>
      </c>
      <c r="P1646" s="1" t="n">
        <v>8400</v>
      </c>
      <c r="Q1646" s="1" t="s">
        <v>8788</v>
      </c>
      <c r="R1646" s="1" t="s">
        <v>8789</v>
      </c>
      <c r="S1646" s="1" t="s">
        <v>8790</v>
      </c>
      <c r="T1646" s="1" t="s">
        <v>6559</v>
      </c>
      <c r="U1646" s="1" t="s">
        <v>8791</v>
      </c>
    </row>
    <row r="1647" customFormat="false" ht="13.8" hidden="false" customHeight="false" outlineLevel="0" collapsed="false">
      <c r="A1647" s="1" t="n">
        <v>1646</v>
      </c>
      <c r="B1647" s="2" t="s">
        <v>8792</v>
      </c>
      <c r="C1647" s="1" t="n">
        <v>19</v>
      </c>
      <c r="D1647" s="1" t="n">
        <v>23</v>
      </c>
      <c r="E1647" s="1" t="n">
        <v>34</v>
      </c>
      <c r="F1647" s="1" t="n">
        <v>40</v>
      </c>
      <c r="G1647" s="1" t="n">
        <v>41</v>
      </c>
      <c r="H1647" s="1" t="n">
        <v>58</v>
      </c>
      <c r="I1647" s="1" t="str">
        <f aca="false">RIGHT(("0"&amp;C1647),2)&amp;RIGHT(("0"&amp;D1647),2)&amp;RIGHT(("0"&amp;E1647),2)&amp;RIGHT(("0"&amp;F1647),2)&amp;RIGHT(("0"&amp;G1647),2)&amp;RIGHT(("0"&amp;H1647),2)</f>
        <v>192334404158</v>
      </c>
      <c r="J1647" s="1" t="n">
        <f aca="false">COUNTIF(I:I,I1647)</f>
        <v>1</v>
      </c>
      <c r="K1647" s="1" t="n">
        <v>0</v>
      </c>
      <c r="M1647" s="1" t="s">
        <v>23</v>
      </c>
      <c r="N1647" s="1" t="n">
        <v>126</v>
      </c>
      <c r="O1647" s="1" t="s">
        <v>8793</v>
      </c>
      <c r="P1647" s="1" t="n">
        <v>10700</v>
      </c>
      <c r="Q1647" s="1" t="s">
        <v>8794</v>
      </c>
      <c r="R1647" s="1" t="s">
        <v>8795</v>
      </c>
      <c r="S1647" s="1" t="s">
        <v>8796</v>
      </c>
      <c r="T1647" s="1" t="s">
        <v>8797</v>
      </c>
      <c r="U1647" s="1" t="s">
        <v>8798</v>
      </c>
    </row>
    <row r="1648" customFormat="false" ht="13.8" hidden="false" customHeight="false" outlineLevel="0" collapsed="false">
      <c r="A1648" s="1" t="n">
        <v>1647</v>
      </c>
      <c r="B1648" s="2" t="s">
        <v>8799</v>
      </c>
      <c r="C1648" s="1" t="n">
        <v>12</v>
      </c>
      <c r="D1648" s="1" t="n">
        <v>17</v>
      </c>
      <c r="E1648" s="1" t="n">
        <v>23</v>
      </c>
      <c r="F1648" s="1" t="n">
        <v>38</v>
      </c>
      <c r="G1648" s="1" t="n">
        <v>53</v>
      </c>
      <c r="H1648" s="1" t="n">
        <v>54</v>
      </c>
      <c r="I1648" s="1" t="str">
        <f aca="false">RIGHT(("0"&amp;C1648),2)&amp;RIGHT(("0"&amp;D1648),2)&amp;RIGHT(("0"&amp;E1648),2)&amp;RIGHT(("0"&amp;F1648),2)&amp;RIGHT(("0"&amp;G1648),2)&amp;RIGHT(("0"&amp;H1648),2)</f>
        <v>121723385354</v>
      </c>
      <c r="J1648" s="1" t="n">
        <f aca="false">COUNTIF(I:I,I1648)</f>
        <v>1</v>
      </c>
      <c r="K1648" s="1" t="n">
        <v>1</v>
      </c>
      <c r="L1648" s="1" t="s">
        <v>8800</v>
      </c>
      <c r="M1648" s="1" t="s">
        <v>8801</v>
      </c>
      <c r="N1648" s="1" t="n">
        <v>259</v>
      </c>
      <c r="O1648" s="1" t="s">
        <v>8802</v>
      </c>
      <c r="P1648" s="1" t="n">
        <v>20655</v>
      </c>
      <c r="Q1648" s="1" t="s">
        <v>8803</v>
      </c>
      <c r="R1648" s="1" t="s">
        <v>23</v>
      </c>
      <c r="S1648" s="1" t="s">
        <v>8804</v>
      </c>
      <c r="T1648" s="1" t="s">
        <v>473</v>
      </c>
      <c r="U1648" s="1" t="s">
        <v>8805</v>
      </c>
    </row>
    <row r="1649" customFormat="false" ht="13.8" hidden="false" customHeight="false" outlineLevel="0" collapsed="false">
      <c r="A1649" s="1" t="n">
        <v>1648</v>
      </c>
      <c r="B1649" s="2" t="s">
        <v>8806</v>
      </c>
      <c r="C1649" s="1" t="n">
        <v>15</v>
      </c>
      <c r="D1649" s="1" t="n">
        <v>16</v>
      </c>
      <c r="E1649" s="1" t="n">
        <v>18</v>
      </c>
      <c r="F1649" s="1" t="n">
        <v>20</v>
      </c>
      <c r="G1649" s="1" t="n">
        <v>22</v>
      </c>
      <c r="H1649" s="1" t="n">
        <v>48</v>
      </c>
      <c r="I1649" s="1" t="str">
        <f aca="false">RIGHT(("0"&amp;C1649),2)&amp;RIGHT(("0"&amp;D1649),2)&amp;RIGHT(("0"&amp;E1649),2)&amp;RIGHT(("0"&amp;F1649),2)&amp;RIGHT(("0"&amp;G1649),2)&amp;RIGHT(("0"&amp;H1649),2)</f>
        <v>151618202248</v>
      </c>
      <c r="J1649" s="1" t="n">
        <f aca="false">COUNTIF(I:I,I1649)</f>
        <v>1</v>
      </c>
      <c r="K1649" s="1" t="n">
        <v>0</v>
      </c>
      <c r="M1649" s="1" t="s">
        <v>23</v>
      </c>
      <c r="N1649" s="1" t="n">
        <v>98</v>
      </c>
      <c r="O1649" s="1" t="s">
        <v>8807</v>
      </c>
      <c r="P1649" s="1" t="n">
        <v>5545</v>
      </c>
      <c r="Q1649" s="1" t="s">
        <v>8808</v>
      </c>
      <c r="R1649" s="1" t="s">
        <v>8809</v>
      </c>
      <c r="S1649" s="1" t="s">
        <v>8810</v>
      </c>
      <c r="T1649" s="1" t="s">
        <v>4232</v>
      </c>
      <c r="U1649" s="1" t="s">
        <v>8811</v>
      </c>
    </row>
    <row r="1650" customFormat="false" ht="13.8" hidden="false" customHeight="false" outlineLevel="0" collapsed="false">
      <c r="A1650" s="1" t="n">
        <v>1649</v>
      </c>
      <c r="B1650" s="2" t="s">
        <v>8812</v>
      </c>
      <c r="C1650" s="1" t="n">
        <v>24</v>
      </c>
      <c r="D1650" s="1" t="n">
        <v>33</v>
      </c>
      <c r="E1650" s="1" t="n">
        <v>38</v>
      </c>
      <c r="F1650" s="1" t="n">
        <v>42</v>
      </c>
      <c r="G1650" s="1" t="n">
        <v>44</v>
      </c>
      <c r="H1650" s="1" t="n">
        <v>54</v>
      </c>
      <c r="I1650" s="1" t="str">
        <f aca="false">RIGHT(("0"&amp;C1650),2)&amp;RIGHT(("0"&amp;D1650),2)&amp;RIGHT(("0"&amp;E1650),2)&amp;RIGHT(("0"&amp;F1650),2)&amp;RIGHT(("0"&amp;G1650),2)&amp;RIGHT(("0"&amp;H1650),2)</f>
        <v>243338424454</v>
      </c>
      <c r="J1650" s="1" t="n">
        <f aca="false">COUNTIF(I:I,I1650)</f>
        <v>1</v>
      </c>
      <c r="K1650" s="1" t="n">
        <v>0</v>
      </c>
      <c r="M1650" s="1" t="s">
        <v>23</v>
      </c>
      <c r="N1650" s="1" t="n">
        <v>99</v>
      </c>
      <c r="O1650" s="1" t="s">
        <v>8813</v>
      </c>
      <c r="P1650" s="1" t="n">
        <v>7522</v>
      </c>
      <c r="Q1650" s="1" t="s">
        <v>8814</v>
      </c>
      <c r="R1650" s="1" t="s">
        <v>8815</v>
      </c>
      <c r="S1650" s="1" t="s">
        <v>8816</v>
      </c>
      <c r="T1650" s="1" t="s">
        <v>6025</v>
      </c>
      <c r="U1650" s="1" t="s">
        <v>8817</v>
      </c>
    </row>
    <row r="1651" customFormat="false" ht="13.8" hidden="false" customHeight="false" outlineLevel="0" collapsed="false">
      <c r="A1651" s="1" t="n">
        <v>1650</v>
      </c>
      <c r="B1651" s="2" t="s">
        <v>8818</v>
      </c>
      <c r="C1651" s="1" t="n">
        <v>17</v>
      </c>
      <c r="D1651" s="1" t="n">
        <v>23</v>
      </c>
      <c r="E1651" s="1" t="n">
        <v>29</v>
      </c>
      <c r="F1651" s="1" t="n">
        <v>38</v>
      </c>
      <c r="G1651" s="1" t="n">
        <v>57</v>
      </c>
      <c r="H1651" s="1" t="n">
        <v>60</v>
      </c>
      <c r="I1651" s="1" t="str">
        <f aca="false">RIGHT(("0"&amp;C1651),2)&amp;RIGHT(("0"&amp;D1651),2)&amp;RIGHT(("0"&amp;E1651),2)&amp;RIGHT(("0"&amp;F1651),2)&amp;RIGHT(("0"&amp;G1651),2)&amp;RIGHT(("0"&amp;H1651),2)</f>
        <v>172329385760</v>
      </c>
      <c r="J1651" s="1" t="n">
        <f aca="false">COUNTIF(I:I,I1651)</f>
        <v>1</v>
      </c>
      <c r="K1651" s="1" t="n">
        <v>0</v>
      </c>
      <c r="M1651" s="1" t="s">
        <v>23</v>
      </c>
      <c r="N1651" s="1" t="n">
        <v>133</v>
      </c>
      <c r="O1651" s="1" t="s">
        <v>8819</v>
      </c>
      <c r="P1651" s="1" t="n">
        <v>10962</v>
      </c>
      <c r="Q1651" s="1" t="s">
        <v>8820</v>
      </c>
      <c r="R1651" s="1" t="s">
        <v>8821</v>
      </c>
      <c r="S1651" s="1" t="s">
        <v>8822</v>
      </c>
      <c r="T1651" s="1" t="s">
        <v>4314</v>
      </c>
      <c r="U1651" s="1" t="s">
        <v>8823</v>
      </c>
    </row>
    <row r="1652" customFormat="false" ht="13.8" hidden="false" customHeight="false" outlineLevel="0" collapsed="false">
      <c r="A1652" s="1" t="n">
        <v>1651</v>
      </c>
      <c r="B1652" s="2" t="s">
        <v>8824</v>
      </c>
      <c r="C1652" s="1" t="n">
        <v>8</v>
      </c>
      <c r="D1652" s="1" t="n">
        <v>27</v>
      </c>
      <c r="E1652" s="1" t="n">
        <v>35</v>
      </c>
      <c r="F1652" s="1" t="n">
        <v>38</v>
      </c>
      <c r="G1652" s="1" t="n">
        <v>41</v>
      </c>
      <c r="H1652" s="1" t="n">
        <v>44</v>
      </c>
      <c r="I1652" s="1" t="str">
        <f aca="false">RIGHT(("0"&amp;C1652),2)&amp;RIGHT(("0"&amp;D1652),2)&amp;RIGHT(("0"&amp;E1652),2)&amp;RIGHT(("0"&amp;F1652),2)&amp;RIGHT(("0"&amp;G1652),2)&amp;RIGHT(("0"&amp;H1652),2)</f>
        <v>082735384144</v>
      </c>
      <c r="J1652" s="1" t="n">
        <f aca="false">COUNTIF(I:I,I1652)</f>
        <v>1</v>
      </c>
      <c r="K1652" s="1" t="n">
        <v>0</v>
      </c>
      <c r="M1652" s="1" t="s">
        <v>23</v>
      </c>
      <c r="N1652" s="1" t="n">
        <v>145</v>
      </c>
      <c r="O1652" s="1" t="s">
        <v>8825</v>
      </c>
      <c r="P1652" s="1" t="n">
        <v>12024</v>
      </c>
      <c r="Q1652" s="1" t="s">
        <v>8826</v>
      </c>
      <c r="R1652" s="1" t="s">
        <v>8827</v>
      </c>
      <c r="S1652" s="1" t="s">
        <v>8828</v>
      </c>
      <c r="T1652" s="1" t="s">
        <v>5255</v>
      </c>
      <c r="U1652" s="1" t="s">
        <v>8829</v>
      </c>
    </row>
    <row r="1653" customFormat="false" ht="13.8" hidden="false" customHeight="false" outlineLevel="0" collapsed="false">
      <c r="A1653" s="1" t="n">
        <v>1652</v>
      </c>
      <c r="B1653" s="2" t="s">
        <v>8830</v>
      </c>
      <c r="C1653" s="1" t="n">
        <v>7</v>
      </c>
      <c r="D1653" s="1" t="n">
        <v>24</v>
      </c>
      <c r="E1653" s="1" t="n">
        <v>26</v>
      </c>
      <c r="F1653" s="1" t="n">
        <v>28</v>
      </c>
      <c r="G1653" s="1" t="n">
        <v>44</v>
      </c>
      <c r="H1653" s="1" t="n">
        <v>57</v>
      </c>
      <c r="I1653" s="1" t="str">
        <f aca="false">RIGHT(("0"&amp;C1653),2)&amp;RIGHT(("0"&amp;D1653),2)&amp;RIGHT(("0"&amp;E1653),2)&amp;RIGHT(("0"&amp;F1653),2)&amp;RIGHT(("0"&amp;G1653),2)&amp;RIGHT(("0"&amp;H1653),2)</f>
        <v>072426284457</v>
      </c>
      <c r="J1653" s="1" t="n">
        <f aca="false">COUNTIF(I:I,I1653)</f>
        <v>1</v>
      </c>
      <c r="K1653" s="1" t="n">
        <v>0</v>
      </c>
      <c r="M1653" s="1" t="s">
        <v>23</v>
      </c>
      <c r="N1653" s="1" t="n">
        <v>391</v>
      </c>
      <c r="O1653" s="1" t="s">
        <v>8831</v>
      </c>
      <c r="P1653" s="1" t="n">
        <v>22215</v>
      </c>
      <c r="Q1653" s="1" t="s">
        <v>8832</v>
      </c>
      <c r="R1653" s="1" t="s">
        <v>8833</v>
      </c>
      <c r="S1653" s="1" t="s">
        <v>8834</v>
      </c>
      <c r="T1653" s="1" t="s">
        <v>8835</v>
      </c>
      <c r="U1653" s="1" t="s">
        <v>8836</v>
      </c>
    </row>
    <row r="1654" customFormat="false" ht="13.8" hidden="false" customHeight="false" outlineLevel="0" collapsed="false">
      <c r="A1654" s="1" t="n">
        <v>1653</v>
      </c>
      <c r="B1654" s="2" t="s">
        <v>8837</v>
      </c>
      <c r="C1654" s="1" t="n">
        <v>1</v>
      </c>
      <c r="D1654" s="1" t="n">
        <v>21</v>
      </c>
      <c r="E1654" s="1" t="n">
        <v>22</v>
      </c>
      <c r="F1654" s="1" t="n">
        <v>27</v>
      </c>
      <c r="G1654" s="1" t="n">
        <v>32</v>
      </c>
      <c r="H1654" s="1" t="n">
        <v>45</v>
      </c>
      <c r="I1654" s="1" t="str">
        <f aca="false">RIGHT(("0"&amp;C1654),2)&amp;RIGHT(("0"&amp;D1654),2)&amp;RIGHT(("0"&amp;E1654),2)&amp;RIGHT(("0"&amp;F1654),2)&amp;RIGHT(("0"&amp;G1654),2)&amp;RIGHT(("0"&amp;H1654),2)</f>
        <v>012122273245</v>
      </c>
      <c r="J1654" s="1" t="n">
        <f aca="false">COUNTIF(I:I,I1654)</f>
        <v>1</v>
      </c>
      <c r="K1654" s="1" t="n">
        <v>0</v>
      </c>
      <c r="M1654" s="1" t="s">
        <v>23</v>
      </c>
      <c r="N1654" s="1" t="n">
        <v>134</v>
      </c>
      <c r="O1654" s="1" t="s">
        <v>8838</v>
      </c>
      <c r="P1654" s="1" t="n">
        <v>12071</v>
      </c>
      <c r="Q1654" s="1" t="s">
        <v>8839</v>
      </c>
      <c r="R1654" s="1" t="s">
        <v>8840</v>
      </c>
      <c r="S1654" s="1" t="s">
        <v>8841</v>
      </c>
      <c r="T1654" s="1" t="s">
        <v>8842</v>
      </c>
      <c r="U1654" s="1" t="s">
        <v>8843</v>
      </c>
    </row>
    <row r="1655" customFormat="false" ht="13.8" hidden="false" customHeight="false" outlineLevel="0" collapsed="false">
      <c r="A1655" s="1" t="n">
        <v>1654</v>
      </c>
      <c r="B1655" s="2" t="s">
        <v>8844</v>
      </c>
      <c r="C1655" s="1" t="n">
        <v>7</v>
      </c>
      <c r="D1655" s="1" t="n">
        <v>16</v>
      </c>
      <c r="E1655" s="1" t="n">
        <v>33</v>
      </c>
      <c r="F1655" s="1" t="n">
        <v>42</v>
      </c>
      <c r="G1655" s="1" t="n">
        <v>50</v>
      </c>
      <c r="H1655" s="1" t="n">
        <v>58</v>
      </c>
      <c r="I1655" s="1" t="str">
        <f aca="false">RIGHT(("0"&amp;C1655),2)&amp;RIGHT(("0"&amp;D1655),2)&amp;RIGHT(("0"&amp;E1655),2)&amp;RIGHT(("0"&amp;F1655),2)&amp;RIGHT(("0"&amp;G1655),2)&amp;RIGHT(("0"&amp;H1655),2)</f>
        <v>071633425058</v>
      </c>
      <c r="J1655" s="1" t="n">
        <f aca="false">COUNTIF(I:I,I1655)</f>
        <v>1</v>
      </c>
      <c r="K1655" s="1" t="n">
        <v>0</v>
      </c>
      <c r="M1655" s="1" t="s">
        <v>23</v>
      </c>
      <c r="N1655" s="1" t="n">
        <v>249</v>
      </c>
      <c r="O1655" s="1" t="s">
        <v>8845</v>
      </c>
      <c r="P1655" s="1" t="n">
        <v>19592</v>
      </c>
      <c r="Q1655" s="1" t="s">
        <v>8846</v>
      </c>
      <c r="R1655" s="1" t="s">
        <v>8847</v>
      </c>
      <c r="S1655" s="1" t="s">
        <v>8848</v>
      </c>
      <c r="T1655" s="1" t="s">
        <v>8849</v>
      </c>
      <c r="U1655" s="1" t="s">
        <v>8850</v>
      </c>
    </row>
    <row r="1656" customFormat="false" ht="13.8" hidden="false" customHeight="false" outlineLevel="0" collapsed="false">
      <c r="A1656" s="1" t="n">
        <v>1655</v>
      </c>
      <c r="B1656" s="2" t="s">
        <v>8851</v>
      </c>
      <c r="C1656" s="1" t="n">
        <v>7</v>
      </c>
      <c r="D1656" s="1" t="n">
        <v>24</v>
      </c>
      <c r="E1656" s="1" t="n">
        <v>28</v>
      </c>
      <c r="F1656" s="1" t="n">
        <v>46</v>
      </c>
      <c r="G1656" s="1" t="n">
        <v>53</v>
      </c>
      <c r="H1656" s="1" t="n">
        <v>56</v>
      </c>
      <c r="I1656" s="1" t="str">
        <f aca="false">RIGHT(("0"&amp;C1656),2)&amp;RIGHT(("0"&amp;D1656),2)&amp;RIGHT(("0"&amp;E1656),2)&amp;RIGHT(("0"&amp;F1656),2)&amp;RIGHT(("0"&amp;G1656),2)&amp;RIGHT(("0"&amp;H1656),2)</f>
        <v>072428465356</v>
      </c>
      <c r="J1656" s="1" t="n">
        <f aca="false">COUNTIF(I:I,I1656)</f>
        <v>1</v>
      </c>
      <c r="K1656" s="1" t="n">
        <v>2</v>
      </c>
      <c r="L1656" s="1" t="s">
        <v>8852</v>
      </c>
      <c r="M1656" s="1" t="s">
        <v>8853</v>
      </c>
      <c r="N1656" s="1" t="n">
        <v>704</v>
      </c>
      <c r="O1656" s="1" t="s">
        <v>8854</v>
      </c>
      <c r="P1656" s="1" t="n">
        <v>39616</v>
      </c>
      <c r="Q1656" s="1" t="s">
        <v>8855</v>
      </c>
      <c r="R1656" s="1" t="s">
        <v>23</v>
      </c>
      <c r="S1656" s="1" t="s">
        <v>8856</v>
      </c>
      <c r="T1656" s="1" t="s">
        <v>4256</v>
      </c>
      <c r="U1656" s="1" t="s">
        <v>8857</v>
      </c>
    </row>
    <row r="1657" customFormat="false" ht="13.8" hidden="false" customHeight="false" outlineLevel="0" collapsed="false">
      <c r="A1657" s="1" t="n">
        <v>1656</v>
      </c>
      <c r="B1657" s="2" t="s">
        <v>8858</v>
      </c>
      <c r="C1657" s="1" t="n">
        <v>4</v>
      </c>
      <c r="D1657" s="1" t="n">
        <v>6</v>
      </c>
      <c r="E1657" s="1" t="n">
        <v>11</v>
      </c>
      <c r="F1657" s="1" t="n">
        <v>43</v>
      </c>
      <c r="G1657" s="1" t="n">
        <v>54</v>
      </c>
      <c r="H1657" s="1" t="n">
        <v>56</v>
      </c>
      <c r="I1657" s="1" t="str">
        <f aca="false">RIGHT(("0"&amp;C1657),2)&amp;RIGHT(("0"&amp;D1657),2)&amp;RIGHT(("0"&amp;E1657),2)&amp;RIGHT(("0"&amp;F1657),2)&amp;RIGHT(("0"&amp;G1657),2)&amp;RIGHT(("0"&amp;H1657),2)</f>
        <v>040611435456</v>
      </c>
      <c r="J1657" s="1" t="n">
        <f aca="false">COUNTIF(I:I,I1657)</f>
        <v>1</v>
      </c>
      <c r="K1657" s="1" t="n">
        <v>0</v>
      </c>
      <c r="M1657" s="1" t="s">
        <v>23</v>
      </c>
      <c r="N1657" s="1" t="n">
        <v>55</v>
      </c>
      <c r="O1657" s="1" t="s">
        <v>8859</v>
      </c>
      <c r="P1657" s="1" t="n">
        <v>5037</v>
      </c>
      <c r="Q1657" s="1" t="s">
        <v>8860</v>
      </c>
      <c r="R1657" s="1" t="s">
        <v>8861</v>
      </c>
      <c r="S1657" s="1" t="s">
        <v>8862</v>
      </c>
      <c r="T1657" s="1" t="s">
        <v>4991</v>
      </c>
      <c r="U1657" s="1" t="s">
        <v>8863</v>
      </c>
    </row>
    <row r="1658" customFormat="false" ht="13.8" hidden="false" customHeight="false" outlineLevel="0" collapsed="false">
      <c r="A1658" s="1" t="n">
        <v>1657</v>
      </c>
      <c r="B1658" s="2" t="s">
        <v>8864</v>
      </c>
      <c r="C1658" s="1" t="n">
        <v>7</v>
      </c>
      <c r="D1658" s="1" t="n">
        <v>10</v>
      </c>
      <c r="E1658" s="1" t="n">
        <v>14</v>
      </c>
      <c r="F1658" s="1" t="n">
        <v>37</v>
      </c>
      <c r="G1658" s="1" t="n">
        <v>45</v>
      </c>
      <c r="H1658" s="1" t="n">
        <v>54</v>
      </c>
      <c r="I1658" s="1" t="str">
        <f aca="false">RIGHT(("0"&amp;C1658),2)&amp;RIGHT(("0"&amp;D1658),2)&amp;RIGHT(("0"&amp;E1658),2)&amp;RIGHT(("0"&amp;F1658),2)&amp;RIGHT(("0"&amp;G1658),2)&amp;RIGHT(("0"&amp;H1658),2)</f>
        <v>071014374554</v>
      </c>
      <c r="J1658" s="1" t="n">
        <f aca="false">COUNTIF(I:I,I1658)</f>
        <v>1</v>
      </c>
      <c r="K1658" s="1" t="n">
        <v>1</v>
      </c>
      <c r="L1658" s="1" t="s">
        <v>8865</v>
      </c>
      <c r="M1658" s="1" t="s">
        <v>8866</v>
      </c>
      <c r="N1658" s="1" t="n">
        <v>170</v>
      </c>
      <c r="O1658" s="1" t="s">
        <v>8867</v>
      </c>
      <c r="P1658" s="1" t="n">
        <v>9969</v>
      </c>
      <c r="Q1658" s="1" t="s">
        <v>8868</v>
      </c>
      <c r="R1658" s="1" t="s">
        <v>23</v>
      </c>
      <c r="S1658" s="1" t="s">
        <v>8869</v>
      </c>
      <c r="T1658" s="1" t="s">
        <v>473</v>
      </c>
      <c r="U1658" s="1" t="s">
        <v>8870</v>
      </c>
    </row>
    <row r="1659" customFormat="false" ht="13.8" hidden="false" customHeight="false" outlineLevel="0" collapsed="false">
      <c r="A1659" s="1" t="n">
        <v>1658</v>
      </c>
      <c r="B1659" s="2" t="s">
        <v>8871</v>
      </c>
      <c r="C1659" s="1" t="n">
        <v>7</v>
      </c>
      <c r="D1659" s="1" t="n">
        <v>11</v>
      </c>
      <c r="E1659" s="1" t="n">
        <v>19</v>
      </c>
      <c r="F1659" s="1" t="n">
        <v>23</v>
      </c>
      <c r="G1659" s="1" t="n">
        <v>40</v>
      </c>
      <c r="H1659" s="1" t="n">
        <v>49</v>
      </c>
      <c r="I1659" s="1" t="str">
        <f aca="false">RIGHT(("0"&amp;C1659),2)&amp;RIGHT(("0"&amp;D1659),2)&amp;RIGHT(("0"&amp;E1659),2)&amp;RIGHT(("0"&amp;F1659),2)&amp;RIGHT(("0"&amp;G1659),2)&amp;RIGHT(("0"&amp;H1659),2)</f>
        <v>071119234049</v>
      </c>
      <c r="J1659" s="1" t="n">
        <f aca="false">COUNTIF(I:I,I1659)</f>
        <v>1</v>
      </c>
      <c r="K1659" s="1" t="n">
        <v>1</v>
      </c>
      <c r="L1659" s="1" t="s">
        <v>5310</v>
      </c>
      <c r="M1659" s="1" t="s">
        <v>8872</v>
      </c>
      <c r="N1659" s="1" t="n">
        <v>110</v>
      </c>
      <c r="O1659" s="1" t="s">
        <v>8873</v>
      </c>
      <c r="P1659" s="1" t="n">
        <v>7011</v>
      </c>
      <c r="Q1659" s="1" t="s">
        <v>5208</v>
      </c>
      <c r="R1659" s="1" t="s">
        <v>23</v>
      </c>
      <c r="S1659" s="1" t="s">
        <v>8874</v>
      </c>
      <c r="T1659" s="1" t="s">
        <v>473</v>
      </c>
      <c r="U1659" s="1" t="s">
        <v>8875</v>
      </c>
    </row>
    <row r="1660" customFormat="false" ht="13.8" hidden="false" customHeight="false" outlineLevel="0" collapsed="false">
      <c r="A1660" s="1" t="n">
        <v>1659</v>
      </c>
      <c r="B1660" s="2" t="s">
        <v>8876</v>
      </c>
      <c r="C1660" s="1" t="n">
        <v>4</v>
      </c>
      <c r="D1660" s="1" t="n">
        <v>10</v>
      </c>
      <c r="E1660" s="1" t="n">
        <v>20</v>
      </c>
      <c r="F1660" s="1" t="n">
        <v>33</v>
      </c>
      <c r="G1660" s="1" t="n">
        <v>37</v>
      </c>
      <c r="H1660" s="1" t="n">
        <v>49</v>
      </c>
      <c r="I1660" s="1" t="str">
        <f aca="false">RIGHT(("0"&amp;C1660),2)&amp;RIGHT(("0"&amp;D1660),2)&amp;RIGHT(("0"&amp;E1660),2)&amp;RIGHT(("0"&amp;F1660),2)&amp;RIGHT(("0"&amp;G1660),2)&amp;RIGHT(("0"&amp;H1660),2)</f>
        <v>041020333749</v>
      </c>
      <c r="J1660" s="1" t="n">
        <f aca="false">COUNTIF(I:I,I1660)</f>
        <v>1</v>
      </c>
      <c r="K1660" s="1" t="n">
        <v>0</v>
      </c>
      <c r="M1660" s="1" t="s">
        <v>23</v>
      </c>
      <c r="N1660" s="1" t="n">
        <v>95</v>
      </c>
      <c r="O1660" s="1" t="s">
        <v>8877</v>
      </c>
      <c r="P1660" s="1" t="n">
        <v>6810</v>
      </c>
      <c r="Q1660" s="1" t="s">
        <v>8878</v>
      </c>
      <c r="R1660" s="1" t="s">
        <v>8879</v>
      </c>
      <c r="S1660" s="1" t="s">
        <v>8880</v>
      </c>
      <c r="T1660" s="1" t="s">
        <v>5686</v>
      </c>
      <c r="U1660" s="1" t="s">
        <v>8881</v>
      </c>
    </row>
    <row r="1661" customFormat="false" ht="13.8" hidden="false" customHeight="false" outlineLevel="0" collapsed="false">
      <c r="A1661" s="1" t="n">
        <v>1660</v>
      </c>
      <c r="B1661" s="2" t="s">
        <v>8882</v>
      </c>
      <c r="C1661" s="1" t="n">
        <v>8</v>
      </c>
      <c r="D1661" s="1" t="n">
        <v>17</v>
      </c>
      <c r="E1661" s="1" t="n">
        <v>34</v>
      </c>
      <c r="F1661" s="1" t="n">
        <v>38</v>
      </c>
      <c r="G1661" s="1" t="n">
        <v>42</v>
      </c>
      <c r="H1661" s="1" t="n">
        <v>51</v>
      </c>
      <c r="I1661" s="1" t="str">
        <f aca="false">RIGHT(("0"&amp;C1661),2)&amp;RIGHT(("0"&amp;D1661),2)&amp;RIGHT(("0"&amp;E1661),2)&amp;RIGHT(("0"&amp;F1661),2)&amp;RIGHT(("0"&amp;G1661),2)&amp;RIGHT(("0"&amp;H1661),2)</f>
        <v>081734384251</v>
      </c>
      <c r="J1661" s="1" t="n">
        <f aca="false">COUNTIF(I:I,I1661)</f>
        <v>1</v>
      </c>
      <c r="K1661" s="1" t="n">
        <v>1</v>
      </c>
      <c r="L1661" s="1" t="s">
        <v>8883</v>
      </c>
      <c r="M1661" s="1" t="s">
        <v>8884</v>
      </c>
      <c r="N1661" s="1" t="n">
        <v>218</v>
      </c>
      <c r="O1661" s="1" t="s">
        <v>8885</v>
      </c>
      <c r="P1661" s="1" t="n">
        <v>11526</v>
      </c>
      <c r="Q1661" s="1" t="s">
        <v>8886</v>
      </c>
      <c r="R1661" s="1" t="s">
        <v>23</v>
      </c>
      <c r="S1661" s="1" t="s">
        <v>8887</v>
      </c>
      <c r="T1661" s="1" t="s">
        <v>473</v>
      </c>
      <c r="U1661" s="1" t="s">
        <v>8888</v>
      </c>
    </row>
    <row r="1662" customFormat="false" ht="13.8" hidden="false" customHeight="false" outlineLevel="0" collapsed="false">
      <c r="A1662" s="1" t="n">
        <v>1661</v>
      </c>
      <c r="B1662" s="2" t="s">
        <v>8889</v>
      </c>
      <c r="C1662" s="1" t="n">
        <v>13</v>
      </c>
      <c r="D1662" s="1" t="n">
        <v>16</v>
      </c>
      <c r="E1662" s="1" t="n">
        <v>27</v>
      </c>
      <c r="F1662" s="1" t="n">
        <v>43</v>
      </c>
      <c r="G1662" s="1" t="n">
        <v>48</v>
      </c>
      <c r="H1662" s="1" t="n">
        <v>58</v>
      </c>
      <c r="I1662" s="1" t="str">
        <f aca="false">RIGHT(("0"&amp;C1662),2)&amp;RIGHT(("0"&amp;D1662),2)&amp;RIGHT(("0"&amp;E1662),2)&amp;RIGHT(("0"&amp;F1662),2)&amp;RIGHT(("0"&amp;G1662),2)&amp;RIGHT(("0"&amp;H1662),2)</f>
        <v>131627434858</v>
      </c>
      <c r="J1662" s="1" t="n">
        <f aca="false">COUNTIF(I:I,I1662)</f>
        <v>1</v>
      </c>
      <c r="K1662" s="1" t="n">
        <v>0</v>
      </c>
      <c r="M1662" s="1" t="s">
        <v>23</v>
      </c>
      <c r="N1662" s="1" t="n">
        <v>70</v>
      </c>
      <c r="O1662" s="1" t="s">
        <v>8890</v>
      </c>
      <c r="P1662" s="1" t="n">
        <v>6712</v>
      </c>
      <c r="Q1662" s="1" t="s">
        <v>8891</v>
      </c>
      <c r="R1662" s="1" t="s">
        <v>8892</v>
      </c>
      <c r="S1662" s="1" t="s">
        <v>8893</v>
      </c>
      <c r="T1662" s="1" t="s">
        <v>4347</v>
      </c>
      <c r="U1662" s="1" t="s">
        <v>8894</v>
      </c>
    </row>
    <row r="1663" customFormat="false" ht="13.8" hidden="false" customHeight="false" outlineLevel="0" collapsed="false">
      <c r="A1663" s="1" t="n">
        <v>1662</v>
      </c>
      <c r="B1663" s="2" t="s">
        <v>8895</v>
      </c>
      <c r="C1663" s="1" t="n">
        <v>10</v>
      </c>
      <c r="D1663" s="1" t="n">
        <v>14</v>
      </c>
      <c r="E1663" s="1" t="n">
        <v>25</v>
      </c>
      <c r="F1663" s="1" t="n">
        <v>29</v>
      </c>
      <c r="G1663" s="1" t="n">
        <v>33</v>
      </c>
      <c r="H1663" s="1" t="n">
        <v>57</v>
      </c>
      <c r="I1663" s="1" t="str">
        <f aca="false">RIGHT(("0"&amp;C1663),2)&amp;RIGHT(("0"&amp;D1663),2)&amp;RIGHT(("0"&amp;E1663),2)&amp;RIGHT(("0"&amp;F1663),2)&amp;RIGHT(("0"&amp;G1663),2)&amp;RIGHT(("0"&amp;H1663),2)</f>
        <v>101425293357</v>
      </c>
      <c r="J1663" s="1" t="n">
        <f aca="false">COUNTIF(I:I,I1663)</f>
        <v>1</v>
      </c>
      <c r="K1663" s="1" t="n">
        <v>2</v>
      </c>
      <c r="L1663" s="1" t="s">
        <v>8896</v>
      </c>
      <c r="M1663" s="1" t="s">
        <v>8897</v>
      </c>
      <c r="N1663" s="1" t="n">
        <v>160</v>
      </c>
      <c r="O1663" s="1" t="s">
        <v>8898</v>
      </c>
      <c r="P1663" s="1" t="n">
        <v>8641</v>
      </c>
      <c r="Q1663" s="1" t="s">
        <v>8899</v>
      </c>
      <c r="R1663" s="1" t="s">
        <v>23</v>
      </c>
      <c r="S1663" s="1" t="s">
        <v>8900</v>
      </c>
      <c r="T1663" s="1" t="s">
        <v>473</v>
      </c>
      <c r="U1663" s="1" t="s">
        <v>8901</v>
      </c>
    </row>
    <row r="1664" customFormat="false" ht="13.8" hidden="false" customHeight="false" outlineLevel="0" collapsed="false">
      <c r="A1664" s="1" t="n">
        <v>1663</v>
      </c>
      <c r="B1664" s="2" t="s">
        <v>8902</v>
      </c>
      <c r="C1664" s="1" t="n">
        <v>18</v>
      </c>
      <c r="D1664" s="1" t="n">
        <v>20</v>
      </c>
      <c r="E1664" s="1" t="n">
        <v>27</v>
      </c>
      <c r="F1664" s="1" t="n">
        <v>40</v>
      </c>
      <c r="G1664" s="1" t="n">
        <v>49</v>
      </c>
      <c r="H1664" s="1" t="n">
        <v>55</v>
      </c>
      <c r="I1664" s="1" t="str">
        <f aca="false">RIGHT(("0"&amp;C1664),2)&amp;RIGHT(("0"&amp;D1664),2)&amp;RIGHT(("0"&amp;E1664),2)&amp;RIGHT(("0"&amp;F1664),2)&amp;RIGHT(("0"&amp;G1664),2)&amp;RIGHT(("0"&amp;H1664),2)</f>
        <v>182027404955</v>
      </c>
      <c r="J1664" s="1" t="n">
        <f aca="false">COUNTIF(I:I,I1664)</f>
        <v>1</v>
      </c>
      <c r="K1664" s="1" t="n">
        <v>0</v>
      </c>
      <c r="M1664" s="1" t="s">
        <v>23</v>
      </c>
      <c r="N1664" s="1" t="n">
        <v>28</v>
      </c>
      <c r="O1664" s="1" t="s">
        <v>8903</v>
      </c>
      <c r="P1664" s="1" t="n">
        <v>3524</v>
      </c>
      <c r="Q1664" s="1" t="s">
        <v>8904</v>
      </c>
      <c r="R1664" s="1" t="s">
        <v>8905</v>
      </c>
      <c r="S1664" s="1" t="s">
        <v>8906</v>
      </c>
      <c r="T1664" s="1" t="s">
        <v>4347</v>
      </c>
      <c r="U1664" s="1" t="s">
        <v>8907</v>
      </c>
    </row>
    <row r="1665" customFormat="false" ht="13.8" hidden="false" customHeight="false" outlineLevel="0" collapsed="false">
      <c r="A1665" s="1" t="n">
        <v>1664</v>
      </c>
      <c r="B1665" s="2" t="s">
        <v>8908</v>
      </c>
      <c r="C1665" s="1" t="n">
        <v>8</v>
      </c>
      <c r="D1665" s="1" t="n">
        <v>21</v>
      </c>
      <c r="E1665" s="1" t="n">
        <v>23</v>
      </c>
      <c r="F1665" s="1" t="n">
        <v>29</v>
      </c>
      <c r="G1665" s="1" t="n">
        <v>36</v>
      </c>
      <c r="H1665" s="1" t="n">
        <v>48</v>
      </c>
      <c r="I1665" s="1" t="str">
        <f aca="false">RIGHT(("0"&amp;C1665),2)&amp;RIGHT(("0"&amp;D1665),2)&amp;RIGHT(("0"&amp;E1665),2)&amp;RIGHT(("0"&amp;F1665),2)&amp;RIGHT(("0"&amp;G1665),2)&amp;RIGHT(("0"&amp;H1665),2)</f>
        <v>082123293648</v>
      </c>
      <c r="J1665" s="1" t="n">
        <f aca="false">COUNTIF(I:I,I1665)</f>
        <v>1</v>
      </c>
      <c r="K1665" s="1" t="n">
        <v>1</v>
      </c>
      <c r="L1665" s="1" t="s">
        <v>5728</v>
      </c>
      <c r="M1665" s="1" t="s">
        <v>8909</v>
      </c>
      <c r="N1665" s="1" t="n">
        <v>131</v>
      </c>
      <c r="O1665" s="1" t="s">
        <v>8910</v>
      </c>
      <c r="P1665" s="1" t="n">
        <v>8211</v>
      </c>
      <c r="Q1665" s="1" t="s">
        <v>8911</v>
      </c>
      <c r="R1665" s="1" t="s">
        <v>23</v>
      </c>
      <c r="S1665" s="1" t="s">
        <v>8912</v>
      </c>
      <c r="T1665" s="1" t="s">
        <v>8913</v>
      </c>
      <c r="U1665" s="1" t="s">
        <v>23</v>
      </c>
    </row>
    <row r="1666" customFormat="false" ht="13.8" hidden="false" customHeight="false" outlineLevel="0" collapsed="false">
      <c r="A1666" s="1" t="n">
        <v>1665</v>
      </c>
      <c r="B1666" s="2" t="s">
        <v>8914</v>
      </c>
      <c r="C1666" s="1" t="n">
        <v>1</v>
      </c>
      <c r="D1666" s="1" t="n">
        <v>5</v>
      </c>
      <c r="E1666" s="1" t="n">
        <v>11</v>
      </c>
      <c r="F1666" s="1" t="n">
        <v>16</v>
      </c>
      <c r="G1666" s="1" t="n">
        <v>20</v>
      </c>
      <c r="H1666" s="1" t="n">
        <v>56</v>
      </c>
      <c r="I1666" s="1" t="str">
        <f aca="false">RIGHT(("0"&amp;C1666),2)&amp;RIGHT(("0"&amp;D1666),2)&amp;RIGHT(("0"&amp;E1666),2)&amp;RIGHT(("0"&amp;F1666),2)&amp;RIGHT(("0"&amp;G1666),2)&amp;RIGHT(("0"&amp;H1666),2)</f>
        <v>010511162056</v>
      </c>
      <c r="J1666" s="1" t="n">
        <f aca="false">COUNTIF(I:I,I1666)</f>
        <v>1</v>
      </c>
      <c r="K1666" s="1" t="n">
        <v>4</v>
      </c>
      <c r="L1666" s="1" t="s">
        <v>8915</v>
      </c>
      <c r="M1666" s="1" t="s">
        <v>8916</v>
      </c>
      <c r="N1666" s="1" t="n">
        <v>2581</v>
      </c>
      <c r="O1666" s="1" t="s">
        <v>8917</v>
      </c>
      <c r="P1666" s="1" t="n">
        <v>168546</v>
      </c>
      <c r="Q1666" s="1" t="s">
        <v>8918</v>
      </c>
      <c r="R1666" s="1" t="s">
        <v>23</v>
      </c>
      <c r="S1666" s="1" t="s">
        <v>8919</v>
      </c>
      <c r="T1666" s="1" t="s">
        <v>473</v>
      </c>
      <c r="U1666" s="1" t="s">
        <v>23</v>
      </c>
    </row>
    <row r="1667" customFormat="false" ht="13.8" hidden="false" customHeight="false" outlineLevel="0" collapsed="false">
      <c r="A1667" s="1" t="n">
        <v>1666</v>
      </c>
      <c r="B1667" s="2" t="s">
        <v>8920</v>
      </c>
      <c r="C1667" s="1" t="n">
        <v>1</v>
      </c>
      <c r="D1667" s="1" t="n">
        <v>2</v>
      </c>
      <c r="E1667" s="1" t="n">
        <v>23</v>
      </c>
      <c r="F1667" s="1" t="n">
        <v>27</v>
      </c>
      <c r="G1667" s="1" t="n">
        <v>45</v>
      </c>
      <c r="H1667" s="1" t="n">
        <v>51</v>
      </c>
      <c r="I1667" s="1" t="str">
        <f aca="false">RIGHT(("0"&amp;C1667),2)&amp;RIGHT(("0"&amp;D1667),2)&amp;RIGHT(("0"&amp;E1667),2)&amp;RIGHT(("0"&amp;F1667),2)&amp;RIGHT(("0"&amp;G1667),2)&amp;RIGHT(("0"&amp;H1667),2)</f>
        <v>010223274551</v>
      </c>
      <c r="J1667" s="1" t="n">
        <f aca="false">COUNTIF(I:I,I1667)</f>
        <v>1</v>
      </c>
      <c r="K1667" s="1" t="n">
        <v>0</v>
      </c>
      <c r="M1667" s="1" t="s">
        <v>23</v>
      </c>
      <c r="N1667" s="1" t="n">
        <v>82</v>
      </c>
      <c r="O1667" s="1" t="s">
        <v>8921</v>
      </c>
      <c r="P1667" s="1" t="n">
        <v>5042</v>
      </c>
      <c r="Q1667" s="1" t="s">
        <v>8922</v>
      </c>
      <c r="R1667" s="1" t="s">
        <v>8923</v>
      </c>
      <c r="S1667" s="1" t="s">
        <v>8924</v>
      </c>
      <c r="T1667" s="1" t="s">
        <v>4227</v>
      </c>
      <c r="U1667" s="1" t="s">
        <v>8925</v>
      </c>
    </row>
    <row r="1668" customFormat="false" ht="13.8" hidden="false" customHeight="false" outlineLevel="0" collapsed="false">
      <c r="A1668" s="1" t="n">
        <v>1667</v>
      </c>
      <c r="B1668" s="2" t="s">
        <v>8926</v>
      </c>
      <c r="C1668" s="1" t="n">
        <v>7</v>
      </c>
      <c r="D1668" s="1" t="n">
        <v>12</v>
      </c>
      <c r="E1668" s="1" t="n">
        <v>24</v>
      </c>
      <c r="F1668" s="1" t="n">
        <v>44</v>
      </c>
      <c r="G1668" s="1" t="n">
        <v>51</v>
      </c>
      <c r="H1668" s="1" t="n">
        <v>56</v>
      </c>
      <c r="I1668" s="1" t="str">
        <f aca="false">RIGHT(("0"&amp;C1668),2)&amp;RIGHT(("0"&amp;D1668),2)&amp;RIGHT(("0"&amp;E1668),2)&amp;RIGHT(("0"&amp;F1668),2)&amp;RIGHT(("0"&amp;G1668),2)&amp;RIGHT(("0"&amp;H1668),2)</f>
        <v>071224445156</v>
      </c>
      <c r="J1668" s="1" t="n">
        <f aca="false">COUNTIF(I:I,I1668)</f>
        <v>1</v>
      </c>
      <c r="K1668" s="1" t="n">
        <v>1</v>
      </c>
      <c r="L1668" s="1" t="s">
        <v>8927</v>
      </c>
      <c r="M1668" s="1" t="s">
        <v>8928</v>
      </c>
      <c r="N1668" s="1" t="n">
        <v>143</v>
      </c>
      <c r="O1668" s="1" t="s">
        <v>8929</v>
      </c>
      <c r="P1668" s="1" t="n">
        <v>7934</v>
      </c>
      <c r="Q1668" s="1" t="s">
        <v>8930</v>
      </c>
      <c r="R1668" s="1" t="s">
        <v>23</v>
      </c>
      <c r="S1668" s="1" t="s">
        <v>8931</v>
      </c>
      <c r="T1668" s="1" t="s">
        <v>473</v>
      </c>
      <c r="U1668" s="1" t="s">
        <v>8932</v>
      </c>
    </row>
    <row r="1669" customFormat="false" ht="13.8" hidden="false" customHeight="false" outlineLevel="0" collapsed="false">
      <c r="A1669" s="1" t="n">
        <v>1668</v>
      </c>
      <c r="B1669" s="2" t="s">
        <v>8933</v>
      </c>
      <c r="C1669" s="1" t="n">
        <v>5</v>
      </c>
      <c r="D1669" s="1" t="n">
        <v>40</v>
      </c>
      <c r="E1669" s="1" t="n">
        <v>47</v>
      </c>
      <c r="F1669" s="1" t="n">
        <v>52</v>
      </c>
      <c r="G1669" s="1" t="n">
        <v>55</v>
      </c>
      <c r="H1669" s="1" t="n">
        <v>57</v>
      </c>
      <c r="I1669" s="1" t="str">
        <f aca="false">RIGHT(("0"&amp;C1669),2)&amp;RIGHT(("0"&amp;D1669),2)&amp;RIGHT(("0"&amp;E1669),2)&amp;RIGHT(("0"&amp;F1669),2)&amp;RIGHT(("0"&amp;G1669),2)&amp;RIGHT(("0"&amp;H1669),2)</f>
        <v>054047525557</v>
      </c>
      <c r="J1669" s="1" t="n">
        <f aca="false">COUNTIF(I:I,I1669)</f>
        <v>1</v>
      </c>
      <c r="K1669" s="1" t="n">
        <v>0</v>
      </c>
      <c r="M1669" s="1" t="s">
        <v>23</v>
      </c>
      <c r="N1669" s="1" t="n">
        <v>42</v>
      </c>
      <c r="O1669" s="1" t="s">
        <v>8934</v>
      </c>
      <c r="P1669" s="1" t="n">
        <v>3171</v>
      </c>
      <c r="Q1669" s="1" t="s">
        <v>8935</v>
      </c>
      <c r="R1669" s="1" t="s">
        <v>8936</v>
      </c>
      <c r="S1669" s="1" t="s">
        <v>8937</v>
      </c>
      <c r="T1669" s="1" t="s">
        <v>4991</v>
      </c>
      <c r="U1669" s="1" t="s">
        <v>8938</v>
      </c>
    </row>
    <row r="1670" customFormat="false" ht="13.8" hidden="false" customHeight="false" outlineLevel="0" collapsed="false">
      <c r="A1670" s="1" t="n">
        <v>1669</v>
      </c>
      <c r="B1670" s="2" t="s">
        <v>8939</v>
      </c>
      <c r="C1670" s="1" t="n">
        <v>28</v>
      </c>
      <c r="D1670" s="1" t="n">
        <v>29</v>
      </c>
      <c r="E1670" s="1" t="n">
        <v>31</v>
      </c>
      <c r="F1670" s="1" t="n">
        <v>45</v>
      </c>
      <c r="G1670" s="1" t="n">
        <v>48</v>
      </c>
      <c r="H1670" s="1" t="n">
        <v>49</v>
      </c>
      <c r="I1670" s="1" t="str">
        <f aca="false">RIGHT(("0"&amp;C1670),2)&amp;RIGHT(("0"&amp;D1670),2)&amp;RIGHT(("0"&amp;E1670),2)&amp;RIGHT(("0"&amp;F1670),2)&amp;RIGHT(("0"&amp;G1670),2)&amp;RIGHT(("0"&amp;H1670),2)</f>
        <v>282931454849</v>
      </c>
      <c r="J1670" s="1" t="n">
        <f aca="false">COUNTIF(I:I,I1670)</f>
        <v>1</v>
      </c>
      <c r="K1670" s="1" t="n">
        <v>0</v>
      </c>
      <c r="M1670" s="1" t="s">
        <v>23</v>
      </c>
      <c r="N1670" s="1" t="n">
        <v>54</v>
      </c>
      <c r="O1670" s="1" t="s">
        <v>8940</v>
      </c>
      <c r="P1670" s="1" t="n">
        <v>3941</v>
      </c>
      <c r="Q1670" s="1" t="s">
        <v>8941</v>
      </c>
      <c r="R1670" s="1" t="s">
        <v>8942</v>
      </c>
      <c r="S1670" s="1" t="s">
        <v>8943</v>
      </c>
      <c r="T1670" s="1" t="s">
        <v>4273</v>
      </c>
      <c r="U1670" s="1" t="s">
        <v>8944</v>
      </c>
    </row>
    <row r="1671" customFormat="false" ht="13.8" hidden="false" customHeight="false" outlineLevel="0" collapsed="false">
      <c r="A1671" s="1" t="n">
        <v>1670</v>
      </c>
      <c r="B1671" s="2" t="s">
        <v>8945</v>
      </c>
      <c r="C1671" s="1" t="n">
        <v>1</v>
      </c>
      <c r="D1671" s="1" t="n">
        <v>17</v>
      </c>
      <c r="E1671" s="1" t="n">
        <v>19</v>
      </c>
      <c r="F1671" s="1" t="n">
        <v>30</v>
      </c>
      <c r="G1671" s="1" t="n">
        <v>33</v>
      </c>
      <c r="H1671" s="1" t="n">
        <v>47</v>
      </c>
      <c r="I1671" s="1" t="str">
        <f aca="false">RIGHT(("0"&amp;C1671),2)&amp;RIGHT(("0"&amp;D1671),2)&amp;RIGHT(("0"&amp;E1671),2)&amp;RIGHT(("0"&amp;F1671),2)&amp;RIGHT(("0"&amp;G1671),2)&amp;RIGHT(("0"&amp;H1671),2)</f>
        <v>011719303347</v>
      </c>
      <c r="J1671" s="1" t="n">
        <f aca="false">COUNTIF(I:I,I1671)</f>
        <v>1</v>
      </c>
      <c r="K1671" s="1" t="n">
        <v>0</v>
      </c>
      <c r="M1671" s="1" t="s">
        <v>23</v>
      </c>
      <c r="N1671" s="1" t="n">
        <v>132</v>
      </c>
      <c r="O1671" s="1" t="s">
        <v>8946</v>
      </c>
      <c r="P1671" s="1" t="n">
        <v>10142</v>
      </c>
      <c r="Q1671" s="1" t="s">
        <v>8947</v>
      </c>
      <c r="R1671" s="1" t="s">
        <v>8948</v>
      </c>
      <c r="S1671" s="1" t="s">
        <v>8949</v>
      </c>
      <c r="T1671" s="1" t="s">
        <v>5281</v>
      </c>
      <c r="U1671" s="1" t="s">
        <v>8950</v>
      </c>
    </row>
    <row r="1672" customFormat="false" ht="13.8" hidden="false" customHeight="false" outlineLevel="0" collapsed="false">
      <c r="A1672" s="1" t="n">
        <v>1671</v>
      </c>
      <c r="B1672" s="2" t="s">
        <v>8951</v>
      </c>
      <c r="C1672" s="1" t="n">
        <v>21</v>
      </c>
      <c r="D1672" s="1" t="n">
        <v>27</v>
      </c>
      <c r="E1672" s="1" t="n">
        <v>31</v>
      </c>
      <c r="F1672" s="1" t="n">
        <v>45</v>
      </c>
      <c r="G1672" s="1" t="n">
        <v>55</v>
      </c>
      <c r="H1672" s="1" t="n">
        <v>56</v>
      </c>
      <c r="I1672" s="1" t="str">
        <f aca="false">RIGHT(("0"&amp;C1672),2)&amp;RIGHT(("0"&amp;D1672),2)&amp;RIGHT(("0"&amp;E1672),2)&amp;RIGHT(("0"&amp;F1672),2)&amp;RIGHT(("0"&amp;G1672),2)&amp;RIGHT(("0"&amp;H1672),2)</f>
        <v>212731455556</v>
      </c>
      <c r="J1672" s="1" t="n">
        <f aca="false">COUNTIF(I:I,I1672)</f>
        <v>1</v>
      </c>
      <c r="K1672" s="1" t="n">
        <v>0</v>
      </c>
      <c r="M1672" s="1" t="s">
        <v>23</v>
      </c>
      <c r="N1672" s="1" t="n">
        <v>71</v>
      </c>
      <c r="O1672" s="1" t="s">
        <v>8952</v>
      </c>
      <c r="P1672" s="1" t="n">
        <v>5343</v>
      </c>
      <c r="Q1672" s="1" t="s">
        <v>8953</v>
      </c>
      <c r="R1672" s="1" t="s">
        <v>8954</v>
      </c>
      <c r="S1672" s="1" t="s">
        <v>8955</v>
      </c>
      <c r="T1672" s="1" t="s">
        <v>5686</v>
      </c>
      <c r="U1672" s="1" t="s">
        <v>8956</v>
      </c>
    </row>
    <row r="1673" customFormat="false" ht="13.8" hidden="false" customHeight="false" outlineLevel="0" collapsed="false">
      <c r="A1673" s="1" t="n">
        <v>1672</v>
      </c>
      <c r="B1673" s="2" t="s">
        <v>8957</v>
      </c>
      <c r="C1673" s="1" t="n">
        <v>1</v>
      </c>
      <c r="D1673" s="1" t="n">
        <v>3</v>
      </c>
      <c r="E1673" s="1" t="n">
        <v>5</v>
      </c>
      <c r="F1673" s="1" t="n">
        <v>10</v>
      </c>
      <c r="G1673" s="1" t="n">
        <v>20</v>
      </c>
      <c r="H1673" s="1" t="n">
        <v>42</v>
      </c>
      <c r="I1673" s="1" t="str">
        <f aca="false">RIGHT(("0"&amp;C1673),2)&amp;RIGHT(("0"&amp;D1673),2)&amp;RIGHT(("0"&amp;E1673),2)&amp;RIGHT(("0"&amp;F1673),2)&amp;RIGHT(("0"&amp;G1673),2)&amp;RIGHT(("0"&amp;H1673),2)</f>
        <v>010305102042</v>
      </c>
      <c r="J1673" s="1" t="n">
        <f aca="false">COUNTIF(I:I,I1673)</f>
        <v>1</v>
      </c>
      <c r="K1673" s="1" t="n">
        <v>1</v>
      </c>
      <c r="L1673" s="1" t="s">
        <v>8958</v>
      </c>
      <c r="M1673" s="1" t="s">
        <v>8959</v>
      </c>
      <c r="N1673" s="1" t="n">
        <v>566</v>
      </c>
      <c r="O1673" s="1" t="s">
        <v>8960</v>
      </c>
      <c r="P1673" s="1" t="n">
        <v>28440</v>
      </c>
      <c r="Q1673" s="1" t="s">
        <v>8961</v>
      </c>
      <c r="R1673" s="1" t="s">
        <v>23</v>
      </c>
      <c r="S1673" s="1" t="s">
        <v>8962</v>
      </c>
      <c r="T1673" s="1" t="s">
        <v>473</v>
      </c>
      <c r="U1673" s="1" t="s">
        <v>8963</v>
      </c>
    </row>
    <row r="1674" customFormat="false" ht="13.8" hidden="false" customHeight="false" outlineLevel="0" collapsed="false">
      <c r="A1674" s="1" t="n">
        <v>1673</v>
      </c>
      <c r="B1674" s="2" t="s">
        <v>8964</v>
      </c>
      <c r="C1674" s="1" t="n">
        <v>5</v>
      </c>
      <c r="D1674" s="1" t="n">
        <v>10</v>
      </c>
      <c r="E1674" s="1" t="n">
        <v>23</v>
      </c>
      <c r="F1674" s="1" t="n">
        <v>24</v>
      </c>
      <c r="G1674" s="1" t="n">
        <v>35</v>
      </c>
      <c r="H1674" s="1" t="n">
        <v>47</v>
      </c>
      <c r="I1674" s="1" t="str">
        <f aca="false">RIGHT(("0"&amp;C1674),2)&amp;RIGHT(("0"&amp;D1674),2)&amp;RIGHT(("0"&amp;E1674),2)&amp;RIGHT(("0"&amp;F1674),2)&amp;RIGHT(("0"&amp;G1674),2)&amp;RIGHT(("0"&amp;H1674),2)</f>
        <v>051023243547</v>
      </c>
      <c r="J1674" s="1" t="n">
        <f aca="false">COUNTIF(I:I,I1674)</f>
        <v>1</v>
      </c>
      <c r="K1674" s="1" t="n">
        <v>0</v>
      </c>
      <c r="M1674" s="1" t="s">
        <v>23</v>
      </c>
      <c r="N1674" s="1" t="n">
        <v>97</v>
      </c>
      <c r="O1674" s="1" t="s">
        <v>8965</v>
      </c>
      <c r="P1674" s="1" t="n">
        <v>7613</v>
      </c>
      <c r="Q1674" s="1" t="s">
        <v>8966</v>
      </c>
      <c r="R1674" s="1" t="s">
        <v>8967</v>
      </c>
      <c r="S1674" s="1" t="s">
        <v>8968</v>
      </c>
      <c r="T1674" s="1" t="s">
        <v>4991</v>
      </c>
      <c r="U1674" s="1" t="s">
        <v>8969</v>
      </c>
    </row>
    <row r="1675" customFormat="false" ht="13.8" hidden="false" customHeight="false" outlineLevel="0" collapsed="false">
      <c r="A1675" s="1" t="n">
        <v>1674</v>
      </c>
      <c r="B1675" s="2" t="s">
        <v>8970</v>
      </c>
      <c r="C1675" s="1" t="n">
        <v>22</v>
      </c>
      <c r="D1675" s="1" t="n">
        <v>30</v>
      </c>
      <c r="E1675" s="1" t="n">
        <v>42</v>
      </c>
      <c r="F1675" s="1" t="n">
        <v>50</v>
      </c>
      <c r="G1675" s="1" t="n">
        <v>58</v>
      </c>
      <c r="H1675" s="1" t="n">
        <v>59</v>
      </c>
      <c r="I1675" s="1" t="str">
        <f aca="false">RIGHT(("0"&amp;C1675),2)&amp;RIGHT(("0"&amp;D1675),2)&amp;RIGHT(("0"&amp;E1675),2)&amp;RIGHT(("0"&amp;F1675),2)&amp;RIGHT(("0"&amp;G1675),2)&amp;RIGHT(("0"&amp;H1675),2)</f>
        <v>223042505859</v>
      </c>
      <c r="J1675" s="1" t="n">
        <f aca="false">COUNTIF(I:I,I1675)</f>
        <v>1</v>
      </c>
      <c r="K1675" s="1" t="n">
        <v>0</v>
      </c>
      <c r="M1675" s="1" t="s">
        <v>23</v>
      </c>
      <c r="N1675" s="1" t="n">
        <v>49</v>
      </c>
      <c r="O1675" s="1" t="s">
        <v>8971</v>
      </c>
      <c r="P1675" s="1" t="n">
        <v>2994</v>
      </c>
      <c r="Q1675" s="1" t="s">
        <v>8972</v>
      </c>
      <c r="R1675" s="1" t="s">
        <v>8973</v>
      </c>
      <c r="S1675" s="1" t="s">
        <v>8974</v>
      </c>
      <c r="T1675" s="1" t="s">
        <v>3892</v>
      </c>
      <c r="U1675" s="1" t="s">
        <v>8975</v>
      </c>
    </row>
    <row r="1676" customFormat="false" ht="13.8" hidden="false" customHeight="false" outlineLevel="0" collapsed="false">
      <c r="A1676" s="1" t="n">
        <v>1675</v>
      </c>
      <c r="B1676" s="2" t="s">
        <v>8976</v>
      </c>
      <c r="C1676" s="1" t="n">
        <v>3</v>
      </c>
      <c r="D1676" s="1" t="n">
        <v>18</v>
      </c>
      <c r="E1676" s="1" t="n">
        <v>34</v>
      </c>
      <c r="F1676" s="1" t="n">
        <v>35</v>
      </c>
      <c r="G1676" s="1" t="n">
        <v>36</v>
      </c>
      <c r="H1676" s="1" t="n">
        <v>56</v>
      </c>
      <c r="I1676" s="1" t="str">
        <f aca="false">RIGHT(("0"&amp;C1676),2)&amp;RIGHT(("0"&amp;D1676),2)&amp;RIGHT(("0"&amp;E1676),2)&amp;RIGHT(("0"&amp;F1676),2)&amp;RIGHT(("0"&amp;G1676),2)&amp;RIGHT(("0"&amp;H1676),2)</f>
        <v>031834353656</v>
      </c>
      <c r="J1676" s="1" t="n">
        <f aca="false">COUNTIF(I:I,I1676)</f>
        <v>1</v>
      </c>
      <c r="K1676" s="1" t="n">
        <v>1</v>
      </c>
      <c r="L1676" s="1" t="s">
        <v>8977</v>
      </c>
      <c r="M1676" s="1" t="s">
        <v>8978</v>
      </c>
      <c r="N1676" s="1" t="n">
        <v>139</v>
      </c>
      <c r="O1676" s="1" t="s">
        <v>8979</v>
      </c>
      <c r="P1676" s="1" t="n">
        <v>10903</v>
      </c>
      <c r="Q1676" s="1" t="s">
        <v>8980</v>
      </c>
      <c r="R1676" s="1" t="s">
        <v>23</v>
      </c>
      <c r="S1676" s="1" t="s">
        <v>8981</v>
      </c>
      <c r="T1676" s="1" t="s">
        <v>473</v>
      </c>
      <c r="U1676" s="1" t="s">
        <v>8982</v>
      </c>
    </row>
    <row r="1677" customFormat="false" ht="13.8" hidden="false" customHeight="false" outlineLevel="0" collapsed="false">
      <c r="A1677" s="1" t="n">
        <v>1676</v>
      </c>
      <c r="B1677" s="2" t="s">
        <v>8983</v>
      </c>
      <c r="C1677" s="1" t="n">
        <v>1</v>
      </c>
      <c r="D1677" s="1" t="n">
        <v>2</v>
      </c>
      <c r="E1677" s="1" t="n">
        <v>11</v>
      </c>
      <c r="F1677" s="1" t="n">
        <v>37</v>
      </c>
      <c r="G1677" s="1" t="n">
        <v>48</v>
      </c>
      <c r="H1677" s="1" t="n">
        <v>51</v>
      </c>
      <c r="I1677" s="1" t="str">
        <f aca="false">RIGHT(("0"&amp;C1677),2)&amp;RIGHT(("0"&amp;D1677),2)&amp;RIGHT(("0"&amp;E1677),2)&amp;RIGHT(("0"&amp;F1677),2)&amp;RIGHT(("0"&amp;G1677),2)&amp;RIGHT(("0"&amp;H1677),2)</f>
        <v>010211374851</v>
      </c>
      <c r="J1677" s="1" t="n">
        <f aca="false">COUNTIF(I:I,I1677)</f>
        <v>1</v>
      </c>
      <c r="K1677" s="1" t="n">
        <v>0</v>
      </c>
      <c r="M1677" s="1" t="s">
        <v>23</v>
      </c>
      <c r="N1677" s="1" t="n">
        <v>46</v>
      </c>
      <c r="O1677" s="1" t="s">
        <v>8984</v>
      </c>
      <c r="P1677" s="1" t="n">
        <v>4406</v>
      </c>
      <c r="Q1677" s="1" t="s">
        <v>8985</v>
      </c>
      <c r="R1677" s="1" t="s">
        <v>8986</v>
      </c>
      <c r="S1677" s="1" t="s">
        <v>8987</v>
      </c>
      <c r="T1677" s="1" t="s">
        <v>4232</v>
      </c>
      <c r="U1677" s="1" t="s">
        <v>8988</v>
      </c>
    </row>
    <row r="1678" customFormat="false" ht="13.8" hidden="false" customHeight="false" outlineLevel="0" collapsed="false">
      <c r="A1678" s="1" t="n">
        <v>1677</v>
      </c>
      <c r="B1678" s="2" t="s">
        <v>8989</v>
      </c>
      <c r="C1678" s="1" t="n">
        <v>10</v>
      </c>
      <c r="D1678" s="1" t="n">
        <v>15</v>
      </c>
      <c r="E1678" s="1" t="n">
        <v>28</v>
      </c>
      <c r="F1678" s="1" t="n">
        <v>33</v>
      </c>
      <c r="G1678" s="1" t="n">
        <v>51</v>
      </c>
      <c r="H1678" s="1" t="n">
        <v>52</v>
      </c>
      <c r="I1678" s="1" t="str">
        <f aca="false">RIGHT(("0"&amp;C1678),2)&amp;RIGHT(("0"&amp;D1678),2)&amp;RIGHT(("0"&amp;E1678),2)&amp;RIGHT(("0"&amp;F1678),2)&amp;RIGHT(("0"&amp;G1678),2)&amp;RIGHT(("0"&amp;H1678),2)</f>
        <v>101528335152</v>
      </c>
      <c r="J1678" s="1" t="n">
        <f aca="false">COUNTIF(I:I,I1678)</f>
        <v>1</v>
      </c>
      <c r="K1678" s="1" t="n">
        <v>2</v>
      </c>
      <c r="L1678" s="1" t="s">
        <v>8990</v>
      </c>
      <c r="M1678" s="1" t="s">
        <v>8991</v>
      </c>
      <c r="N1678" s="1" t="n">
        <v>154</v>
      </c>
      <c r="O1678" s="1" t="s">
        <v>8992</v>
      </c>
      <c r="P1678" s="1" t="n">
        <v>7597</v>
      </c>
      <c r="Q1678" s="1" t="s">
        <v>8993</v>
      </c>
      <c r="R1678" s="1" t="s">
        <v>23</v>
      </c>
      <c r="S1678" s="1" t="s">
        <v>8994</v>
      </c>
      <c r="T1678" s="1" t="s">
        <v>473</v>
      </c>
      <c r="U1678" s="1" t="s">
        <v>8995</v>
      </c>
    </row>
    <row r="1679" customFormat="false" ht="13.8" hidden="false" customHeight="false" outlineLevel="0" collapsed="false">
      <c r="A1679" s="1" t="n">
        <v>1678</v>
      </c>
      <c r="B1679" s="2" t="s">
        <v>8996</v>
      </c>
      <c r="C1679" s="1" t="n">
        <v>9</v>
      </c>
      <c r="D1679" s="1" t="n">
        <v>11</v>
      </c>
      <c r="E1679" s="1" t="n">
        <v>17</v>
      </c>
      <c r="F1679" s="1" t="n">
        <v>19</v>
      </c>
      <c r="G1679" s="1" t="n">
        <v>35</v>
      </c>
      <c r="H1679" s="1" t="n">
        <v>52</v>
      </c>
      <c r="I1679" s="1" t="str">
        <f aca="false">RIGHT(("0"&amp;C1679),2)&amp;RIGHT(("0"&amp;D1679),2)&amp;RIGHT(("0"&amp;E1679),2)&amp;RIGHT(("0"&amp;F1679),2)&amp;RIGHT(("0"&amp;G1679),2)&amp;RIGHT(("0"&amp;H1679),2)</f>
        <v>091117193552</v>
      </c>
      <c r="J1679" s="1" t="n">
        <f aca="false">COUNTIF(I:I,I1679)</f>
        <v>1</v>
      </c>
      <c r="K1679" s="1" t="n">
        <v>0</v>
      </c>
      <c r="M1679" s="1" t="s">
        <v>23</v>
      </c>
      <c r="N1679" s="1" t="n">
        <v>111</v>
      </c>
      <c r="O1679" s="1" t="s">
        <v>8997</v>
      </c>
      <c r="P1679" s="1" t="n">
        <v>6955</v>
      </c>
      <c r="Q1679" s="1" t="s">
        <v>8998</v>
      </c>
      <c r="R1679" s="1" t="s">
        <v>8999</v>
      </c>
      <c r="S1679" s="1" t="s">
        <v>9000</v>
      </c>
      <c r="T1679" s="1" t="s">
        <v>4342</v>
      </c>
      <c r="U1679" s="1" t="s">
        <v>9001</v>
      </c>
    </row>
    <row r="1680" customFormat="false" ht="13.8" hidden="false" customHeight="false" outlineLevel="0" collapsed="false">
      <c r="A1680" s="1" t="n">
        <v>1679</v>
      </c>
      <c r="B1680" s="2" t="s">
        <v>9002</v>
      </c>
      <c r="C1680" s="1" t="n">
        <v>1</v>
      </c>
      <c r="D1680" s="1" t="n">
        <v>2</v>
      </c>
      <c r="E1680" s="1" t="n">
        <v>27</v>
      </c>
      <c r="F1680" s="1" t="n">
        <v>28</v>
      </c>
      <c r="G1680" s="1" t="n">
        <v>46</v>
      </c>
      <c r="H1680" s="1" t="n">
        <v>47</v>
      </c>
      <c r="I1680" s="1" t="str">
        <f aca="false">RIGHT(("0"&amp;C1680),2)&amp;RIGHT(("0"&amp;D1680),2)&amp;RIGHT(("0"&amp;E1680),2)&amp;RIGHT(("0"&amp;F1680),2)&amp;RIGHT(("0"&amp;G1680),2)&amp;RIGHT(("0"&amp;H1680),2)</f>
        <v>010227284647</v>
      </c>
      <c r="J1680" s="1" t="n">
        <f aca="false">COUNTIF(I:I,I1680)</f>
        <v>1</v>
      </c>
      <c r="K1680" s="1" t="n">
        <v>1</v>
      </c>
      <c r="L1680" s="1" t="s">
        <v>8479</v>
      </c>
      <c r="M1680" s="1" t="s">
        <v>9003</v>
      </c>
      <c r="N1680" s="1" t="n">
        <v>35</v>
      </c>
      <c r="O1680" s="1" t="s">
        <v>9004</v>
      </c>
      <c r="P1680" s="1" t="n">
        <v>3289</v>
      </c>
      <c r="Q1680" s="1" t="s">
        <v>9005</v>
      </c>
      <c r="R1680" s="1" t="s">
        <v>23</v>
      </c>
      <c r="S1680" s="1" t="s">
        <v>9006</v>
      </c>
      <c r="T1680" s="1" t="s">
        <v>3602</v>
      </c>
      <c r="U1680" s="1" t="s">
        <v>9007</v>
      </c>
    </row>
    <row r="1681" customFormat="false" ht="13.8" hidden="false" customHeight="false" outlineLevel="0" collapsed="false">
      <c r="A1681" s="1" t="n">
        <v>1680</v>
      </c>
      <c r="B1681" s="2" t="s">
        <v>9008</v>
      </c>
      <c r="C1681" s="1" t="n">
        <v>23</v>
      </c>
      <c r="D1681" s="1" t="n">
        <v>37</v>
      </c>
      <c r="E1681" s="1" t="n">
        <v>38</v>
      </c>
      <c r="F1681" s="1" t="n">
        <v>46</v>
      </c>
      <c r="G1681" s="1" t="n">
        <v>47</v>
      </c>
      <c r="H1681" s="1" t="n">
        <v>51</v>
      </c>
      <c r="I1681" s="1" t="str">
        <f aca="false">RIGHT(("0"&amp;C1681),2)&amp;RIGHT(("0"&amp;D1681),2)&amp;RIGHT(("0"&amp;E1681),2)&amp;RIGHT(("0"&amp;F1681),2)&amp;RIGHT(("0"&amp;G1681),2)&amp;RIGHT(("0"&amp;H1681),2)</f>
        <v>233738464751</v>
      </c>
      <c r="J1681" s="1" t="n">
        <f aca="false">COUNTIF(I:I,I1681)</f>
        <v>1</v>
      </c>
      <c r="K1681" s="1" t="n">
        <v>1</v>
      </c>
      <c r="L1681" s="1" t="s">
        <v>8637</v>
      </c>
      <c r="M1681" s="1" t="s">
        <v>9009</v>
      </c>
      <c r="N1681" s="1" t="n">
        <v>298</v>
      </c>
      <c r="O1681" s="1" t="s">
        <v>9010</v>
      </c>
      <c r="P1681" s="1" t="n">
        <v>5821</v>
      </c>
      <c r="Q1681" s="1" t="s">
        <v>9011</v>
      </c>
      <c r="R1681" s="1" t="s">
        <v>23</v>
      </c>
      <c r="S1681" s="1" t="s">
        <v>9012</v>
      </c>
      <c r="T1681" s="1" t="s">
        <v>473</v>
      </c>
      <c r="U1681" s="1" t="s">
        <v>9013</v>
      </c>
    </row>
    <row r="1682" customFormat="false" ht="13.8" hidden="false" customHeight="false" outlineLevel="0" collapsed="false">
      <c r="A1682" s="1" t="n">
        <v>1681</v>
      </c>
      <c r="B1682" s="2" t="s">
        <v>9014</v>
      </c>
      <c r="C1682" s="1" t="n">
        <v>1</v>
      </c>
      <c r="D1682" s="1" t="n">
        <v>6</v>
      </c>
      <c r="E1682" s="1" t="n">
        <v>8</v>
      </c>
      <c r="F1682" s="1" t="n">
        <v>11</v>
      </c>
      <c r="G1682" s="1" t="n">
        <v>33</v>
      </c>
      <c r="H1682" s="1" t="n">
        <v>50</v>
      </c>
      <c r="I1682" s="1" t="str">
        <f aca="false">RIGHT(("0"&amp;C1682),2)&amp;RIGHT(("0"&amp;D1682),2)&amp;RIGHT(("0"&amp;E1682),2)&amp;RIGHT(("0"&amp;F1682),2)&amp;RIGHT(("0"&amp;G1682),2)&amp;RIGHT(("0"&amp;H1682),2)</f>
        <v>010608113350</v>
      </c>
      <c r="J1682" s="1" t="n">
        <f aca="false">COUNTIF(I:I,I1682)</f>
        <v>1</v>
      </c>
      <c r="K1682" s="1" t="n">
        <v>1</v>
      </c>
      <c r="L1682" s="1" t="s">
        <v>5484</v>
      </c>
      <c r="M1682" s="1" t="s">
        <v>9015</v>
      </c>
      <c r="N1682" s="1" t="n">
        <v>90</v>
      </c>
      <c r="O1682" s="1" t="s">
        <v>9016</v>
      </c>
      <c r="P1682" s="1" t="n">
        <v>6663</v>
      </c>
      <c r="Q1682" s="1" t="s">
        <v>9017</v>
      </c>
      <c r="R1682" s="1" t="s">
        <v>23</v>
      </c>
      <c r="S1682" s="1" t="s">
        <v>9018</v>
      </c>
      <c r="T1682" s="1" t="s">
        <v>473</v>
      </c>
      <c r="U1682" s="1" t="s">
        <v>9019</v>
      </c>
    </row>
    <row r="1683" customFormat="false" ht="13.8" hidden="false" customHeight="false" outlineLevel="0" collapsed="false">
      <c r="A1683" s="1" t="n">
        <v>1682</v>
      </c>
      <c r="B1683" s="2" t="s">
        <v>9020</v>
      </c>
      <c r="C1683" s="1" t="n">
        <v>7</v>
      </c>
      <c r="D1683" s="1" t="n">
        <v>13</v>
      </c>
      <c r="E1683" s="1" t="n">
        <v>35</v>
      </c>
      <c r="F1683" s="1" t="n">
        <v>37</v>
      </c>
      <c r="G1683" s="1" t="n">
        <v>39</v>
      </c>
      <c r="H1683" s="1" t="n">
        <v>51</v>
      </c>
      <c r="I1683" s="1" t="str">
        <f aca="false">RIGHT(("0"&amp;C1683),2)&amp;RIGHT(("0"&amp;D1683),2)&amp;RIGHT(("0"&amp;E1683),2)&amp;RIGHT(("0"&amp;F1683),2)&amp;RIGHT(("0"&amp;G1683),2)&amp;RIGHT(("0"&amp;H1683),2)</f>
        <v>071335373951</v>
      </c>
      <c r="J1683" s="1" t="n">
        <f aca="false">COUNTIF(I:I,I1683)</f>
        <v>1</v>
      </c>
      <c r="K1683" s="1" t="n">
        <v>0</v>
      </c>
      <c r="M1683" s="1" t="s">
        <v>23</v>
      </c>
      <c r="N1683" s="1" t="n">
        <v>201</v>
      </c>
      <c r="O1683" s="1" t="s">
        <v>9021</v>
      </c>
      <c r="P1683" s="1" t="n">
        <v>8761</v>
      </c>
      <c r="Q1683" s="1" t="s">
        <v>9022</v>
      </c>
      <c r="R1683" s="1" t="s">
        <v>9023</v>
      </c>
      <c r="S1683" s="1" t="s">
        <v>9024</v>
      </c>
      <c r="T1683" s="1" t="s">
        <v>4232</v>
      </c>
      <c r="U1683" s="1" t="s">
        <v>9025</v>
      </c>
    </row>
    <row r="1684" customFormat="false" ht="13.8" hidden="false" customHeight="false" outlineLevel="0" collapsed="false">
      <c r="A1684" s="1" t="n">
        <v>1683</v>
      </c>
      <c r="B1684" s="2" t="s">
        <v>9026</v>
      </c>
      <c r="C1684" s="1" t="n">
        <v>4</v>
      </c>
      <c r="D1684" s="1" t="n">
        <v>12</v>
      </c>
      <c r="E1684" s="1" t="n">
        <v>32</v>
      </c>
      <c r="F1684" s="1" t="n">
        <v>33</v>
      </c>
      <c r="G1684" s="1" t="n">
        <v>34</v>
      </c>
      <c r="H1684" s="1" t="n">
        <v>48</v>
      </c>
      <c r="I1684" s="1" t="str">
        <f aca="false">RIGHT(("0"&amp;C1684),2)&amp;RIGHT(("0"&amp;D1684),2)&amp;RIGHT(("0"&amp;E1684),2)&amp;RIGHT(("0"&amp;F1684),2)&amp;RIGHT(("0"&amp;G1684),2)&amp;RIGHT(("0"&amp;H1684),2)</f>
        <v>041232333448</v>
      </c>
      <c r="J1684" s="1" t="n">
        <f aca="false">COUNTIF(I:I,I1684)</f>
        <v>1</v>
      </c>
      <c r="K1684" s="1" t="n">
        <v>1</v>
      </c>
      <c r="L1684" s="1" t="s">
        <v>6569</v>
      </c>
      <c r="M1684" s="1" t="s">
        <v>9027</v>
      </c>
      <c r="N1684" s="1" t="n">
        <v>80</v>
      </c>
      <c r="O1684" s="1" t="s">
        <v>9028</v>
      </c>
      <c r="P1684" s="1" t="n">
        <v>6925</v>
      </c>
      <c r="Q1684" s="1" t="s">
        <v>9029</v>
      </c>
      <c r="R1684" s="1" t="s">
        <v>23</v>
      </c>
      <c r="S1684" s="1" t="s">
        <v>9030</v>
      </c>
      <c r="T1684" s="1" t="s">
        <v>473</v>
      </c>
      <c r="U1684" s="1" t="s">
        <v>9031</v>
      </c>
    </row>
    <row r="1685" customFormat="false" ht="13.8" hidden="false" customHeight="false" outlineLevel="0" collapsed="false">
      <c r="A1685" s="1" t="n">
        <v>1684</v>
      </c>
      <c r="B1685" s="2" t="s">
        <v>9032</v>
      </c>
      <c r="C1685" s="1" t="n">
        <v>9</v>
      </c>
      <c r="D1685" s="1" t="n">
        <v>12</v>
      </c>
      <c r="E1685" s="1" t="n">
        <v>18</v>
      </c>
      <c r="F1685" s="1" t="n">
        <v>31</v>
      </c>
      <c r="G1685" s="1" t="n">
        <v>39</v>
      </c>
      <c r="H1685" s="1" t="n">
        <v>50</v>
      </c>
      <c r="I1685" s="1" t="str">
        <f aca="false">RIGHT(("0"&amp;C1685),2)&amp;RIGHT(("0"&amp;D1685),2)&amp;RIGHT(("0"&amp;E1685),2)&amp;RIGHT(("0"&amp;F1685),2)&amp;RIGHT(("0"&amp;G1685),2)&amp;RIGHT(("0"&amp;H1685),2)</f>
        <v>091218313950</v>
      </c>
      <c r="J1685" s="1" t="n">
        <f aca="false">COUNTIF(I:I,I1685)</f>
        <v>1</v>
      </c>
      <c r="K1685" s="1" t="n">
        <v>0</v>
      </c>
      <c r="M1685" s="1" t="s">
        <v>23</v>
      </c>
      <c r="N1685" s="1" t="n">
        <v>49</v>
      </c>
      <c r="O1685" s="1" t="s">
        <v>9033</v>
      </c>
      <c r="P1685" s="1" t="n">
        <v>4143</v>
      </c>
      <c r="Q1685" s="1" t="s">
        <v>9034</v>
      </c>
      <c r="R1685" s="1" t="s">
        <v>9035</v>
      </c>
      <c r="S1685" s="1" t="s">
        <v>9036</v>
      </c>
      <c r="T1685" s="1" t="s">
        <v>4273</v>
      </c>
      <c r="U1685" s="1" t="s">
        <v>9037</v>
      </c>
    </row>
    <row r="1686" customFormat="false" ht="13.8" hidden="false" customHeight="false" outlineLevel="0" collapsed="false">
      <c r="A1686" s="1" t="n">
        <v>1685</v>
      </c>
      <c r="B1686" s="2" t="s">
        <v>9038</v>
      </c>
      <c r="C1686" s="1" t="n">
        <v>3</v>
      </c>
      <c r="D1686" s="1" t="n">
        <v>18</v>
      </c>
      <c r="E1686" s="1" t="n">
        <v>31</v>
      </c>
      <c r="F1686" s="1" t="n">
        <v>39</v>
      </c>
      <c r="G1686" s="1" t="n">
        <v>46</v>
      </c>
      <c r="H1686" s="1" t="n">
        <v>51</v>
      </c>
      <c r="I1686" s="1" t="str">
        <f aca="false">RIGHT(("0"&amp;C1686),2)&amp;RIGHT(("0"&amp;D1686),2)&amp;RIGHT(("0"&amp;E1686),2)&amp;RIGHT(("0"&amp;F1686),2)&amp;RIGHT(("0"&amp;G1686),2)&amp;RIGHT(("0"&amp;H1686),2)</f>
        <v>031831394651</v>
      </c>
      <c r="J1686" s="1" t="n">
        <f aca="false">COUNTIF(I:I,I1686)</f>
        <v>1</v>
      </c>
      <c r="K1686" s="1" t="n">
        <v>0</v>
      </c>
      <c r="M1686" s="1" t="s">
        <v>23</v>
      </c>
      <c r="N1686" s="1" t="n">
        <v>134</v>
      </c>
      <c r="O1686" s="1" t="s">
        <v>9039</v>
      </c>
      <c r="P1686" s="1" t="n">
        <v>7584</v>
      </c>
      <c r="Q1686" s="1" t="s">
        <v>9040</v>
      </c>
      <c r="R1686" s="1" t="s">
        <v>9041</v>
      </c>
      <c r="S1686" s="1" t="s">
        <v>9042</v>
      </c>
      <c r="T1686" s="1" t="s">
        <v>4213</v>
      </c>
      <c r="U1686" s="1" t="s">
        <v>9043</v>
      </c>
    </row>
    <row r="1687" customFormat="false" ht="13.8" hidden="false" customHeight="false" outlineLevel="0" collapsed="false">
      <c r="A1687" s="1" t="n">
        <v>1686</v>
      </c>
      <c r="B1687" s="2" t="s">
        <v>9044</v>
      </c>
      <c r="C1687" s="1" t="n">
        <v>9</v>
      </c>
      <c r="D1687" s="1" t="n">
        <v>14</v>
      </c>
      <c r="E1687" s="1" t="n">
        <v>37</v>
      </c>
      <c r="F1687" s="1" t="n">
        <v>44</v>
      </c>
      <c r="G1687" s="1" t="n">
        <v>46</v>
      </c>
      <c r="H1687" s="1" t="n">
        <v>55</v>
      </c>
      <c r="I1687" s="1" t="str">
        <f aca="false">RIGHT(("0"&amp;C1687),2)&amp;RIGHT(("0"&amp;D1687),2)&amp;RIGHT(("0"&amp;E1687),2)&amp;RIGHT(("0"&amp;F1687),2)&amp;RIGHT(("0"&amp;G1687),2)&amp;RIGHT(("0"&amp;H1687),2)</f>
        <v>091437444655</v>
      </c>
      <c r="J1687" s="1" t="n">
        <f aca="false">COUNTIF(I:I,I1687)</f>
        <v>1</v>
      </c>
      <c r="K1687" s="1" t="n">
        <v>3</v>
      </c>
      <c r="L1687" s="1" t="s">
        <v>9045</v>
      </c>
      <c r="M1687" s="1" t="s">
        <v>9046</v>
      </c>
      <c r="N1687" s="1" t="n">
        <v>117</v>
      </c>
      <c r="O1687" s="1" t="s">
        <v>9047</v>
      </c>
      <c r="P1687" s="1" t="n">
        <v>8999</v>
      </c>
      <c r="Q1687" s="1" t="s">
        <v>9048</v>
      </c>
      <c r="R1687" s="1" t="s">
        <v>23</v>
      </c>
      <c r="S1687" s="1" t="s">
        <v>9049</v>
      </c>
      <c r="T1687" s="1" t="s">
        <v>473</v>
      </c>
      <c r="U1687" s="1" t="s">
        <v>9050</v>
      </c>
    </row>
    <row r="1688" customFormat="false" ht="13.8" hidden="false" customHeight="false" outlineLevel="0" collapsed="false">
      <c r="A1688" s="1" t="n">
        <v>1687</v>
      </c>
      <c r="B1688" s="2" t="s">
        <v>9051</v>
      </c>
      <c r="C1688" s="1" t="n">
        <v>15</v>
      </c>
      <c r="D1688" s="1" t="n">
        <v>24</v>
      </c>
      <c r="E1688" s="1" t="n">
        <v>37</v>
      </c>
      <c r="F1688" s="1" t="n">
        <v>46</v>
      </c>
      <c r="G1688" s="1" t="n">
        <v>49</v>
      </c>
      <c r="H1688" s="1" t="n">
        <v>58</v>
      </c>
      <c r="I1688" s="1" t="str">
        <f aca="false">RIGHT(("0"&amp;C1688),2)&amp;RIGHT(("0"&amp;D1688),2)&amp;RIGHT(("0"&amp;E1688),2)&amp;RIGHT(("0"&amp;F1688),2)&amp;RIGHT(("0"&amp;G1688),2)&amp;RIGHT(("0"&amp;H1688),2)</f>
        <v>152437464958</v>
      </c>
      <c r="J1688" s="1" t="n">
        <f aca="false">COUNTIF(I:I,I1688)</f>
        <v>1</v>
      </c>
      <c r="K1688" s="1" t="n">
        <v>1</v>
      </c>
      <c r="L1688" s="1" t="s">
        <v>5728</v>
      </c>
      <c r="M1688" s="1" t="s">
        <v>9052</v>
      </c>
      <c r="N1688" s="1" t="n">
        <v>75</v>
      </c>
      <c r="O1688" s="1" t="s">
        <v>9053</v>
      </c>
      <c r="P1688" s="1" t="n">
        <v>4522</v>
      </c>
      <c r="Q1688" s="1" t="s">
        <v>9054</v>
      </c>
      <c r="R1688" s="1" t="s">
        <v>23</v>
      </c>
      <c r="S1688" s="1" t="s">
        <v>9055</v>
      </c>
      <c r="T1688" s="1" t="s">
        <v>473</v>
      </c>
      <c r="U1688" s="1" t="s">
        <v>9056</v>
      </c>
    </row>
    <row r="1689" customFormat="false" ht="13.8" hidden="false" customHeight="false" outlineLevel="0" collapsed="false">
      <c r="A1689" s="1" t="n">
        <v>1688</v>
      </c>
      <c r="B1689" s="2" t="s">
        <v>9057</v>
      </c>
      <c r="C1689" s="1" t="n">
        <v>18</v>
      </c>
      <c r="D1689" s="1" t="n">
        <v>23</v>
      </c>
      <c r="E1689" s="1" t="n">
        <v>30</v>
      </c>
      <c r="F1689" s="1" t="n">
        <v>32</v>
      </c>
      <c r="G1689" s="1" t="n">
        <v>42</v>
      </c>
      <c r="H1689" s="1" t="n">
        <v>56</v>
      </c>
      <c r="I1689" s="1" t="str">
        <f aca="false">RIGHT(("0"&amp;C1689),2)&amp;RIGHT(("0"&amp;D1689),2)&amp;RIGHT(("0"&amp;E1689),2)&amp;RIGHT(("0"&amp;F1689),2)&amp;RIGHT(("0"&amp;G1689),2)&amp;RIGHT(("0"&amp;H1689),2)</f>
        <v>182330324256</v>
      </c>
      <c r="J1689" s="1" t="n">
        <f aca="false">COUNTIF(I:I,I1689)</f>
        <v>1</v>
      </c>
      <c r="K1689" s="1" t="n">
        <v>0</v>
      </c>
      <c r="M1689" s="1" t="s">
        <v>23</v>
      </c>
      <c r="N1689" s="1" t="n">
        <v>47</v>
      </c>
      <c r="O1689" s="1" t="s">
        <v>9058</v>
      </c>
      <c r="P1689" s="1" t="n">
        <v>4355</v>
      </c>
      <c r="Q1689" s="1" t="s">
        <v>9059</v>
      </c>
      <c r="R1689" s="1" t="s">
        <v>9060</v>
      </c>
      <c r="S1689" s="1" t="s">
        <v>9061</v>
      </c>
      <c r="T1689" s="1" t="s">
        <v>4232</v>
      </c>
      <c r="U1689" s="1" t="s">
        <v>9062</v>
      </c>
    </row>
    <row r="1690" customFormat="false" ht="13.8" hidden="false" customHeight="false" outlineLevel="0" collapsed="false">
      <c r="A1690" s="1" t="n">
        <v>1689</v>
      </c>
      <c r="B1690" s="2" t="s">
        <v>9063</v>
      </c>
      <c r="C1690" s="1" t="n">
        <v>2</v>
      </c>
      <c r="D1690" s="1" t="n">
        <v>5</v>
      </c>
      <c r="E1690" s="1" t="n">
        <v>13</v>
      </c>
      <c r="F1690" s="1" t="n">
        <v>27</v>
      </c>
      <c r="G1690" s="1" t="n">
        <v>41</v>
      </c>
      <c r="H1690" s="1" t="n">
        <v>53</v>
      </c>
      <c r="I1690" s="1" t="str">
        <f aca="false">RIGHT(("0"&amp;C1690),2)&amp;RIGHT(("0"&amp;D1690),2)&amp;RIGHT(("0"&amp;E1690),2)&amp;RIGHT(("0"&amp;F1690),2)&amp;RIGHT(("0"&amp;G1690),2)&amp;RIGHT(("0"&amp;H1690),2)</f>
        <v>020513274153</v>
      </c>
      <c r="J1690" s="1" t="n">
        <f aca="false">COUNTIF(I:I,I1690)</f>
        <v>1</v>
      </c>
      <c r="K1690" s="1" t="n">
        <v>2</v>
      </c>
      <c r="L1690" s="1" t="s">
        <v>9064</v>
      </c>
      <c r="M1690" s="1" t="s">
        <v>9065</v>
      </c>
      <c r="N1690" s="1" t="n">
        <v>185</v>
      </c>
      <c r="O1690" s="1" t="s">
        <v>9066</v>
      </c>
      <c r="P1690" s="1" t="n">
        <v>9634</v>
      </c>
      <c r="Q1690" s="1" t="s">
        <v>9067</v>
      </c>
      <c r="R1690" s="1" t="s">
        <v>23</v>
      </c>
      <c r="S1690" s="1" t="s">
        <v>9068</v>
      </c>
      <c r="T1690" s="1" t="s">
        <v>4691</v>
      </c>
      <c r="U1690" s="1" t="s">
        <v>9069</v>
      </c>
    </row>
    <row r="1691" customFormat="false" ht="13.8" hidden="false" customHeight="false" outlineLevel="0" collapsed="false">
      <c r="A1691" s="1" t="n">
        <v>1690</v>
      </c>
      <c r="B1691" s="2" t="s">
        <v>9070</v>
      </c>
      <c r="C1691" s="1" t="n">
        <v>21</v>
      </c>
      <c r="D1691" s="1" t="n">
        <v>24</v>
      </c>
      <c r="E1691" s="1" t="n">
        <v>26</v>
      </c>
      <c r="F1691" s="1" t="n">
        <v>35</v>
      </c>
      <c r="G1691" s="1" t="n">
        <v>45</v>
      </c>
      <c r="H1691" s="1" t="n">
        <v>53</v>
      </c>
      <c r="I1691" s="1" t="str">
        <f aca="false">RIGHT(("0"&amp;C1691),2)&amp;RIGHT(("0"&amp;D1691),2)&amp;RIGHT(("0"&amp;E1691),2)&amp;RIGHT(("0"&amp;F1691),2)&amp;RIGHT(("0"&amp;G1691),2)&amp;RIGHT(("0"&amp;H1691),2)</f>
        <v>212426354553</v>
      </c>
      <c r="J1691" s="1" t="n">
        <f aca="false">COUNTIF(I:I,I1691)</f>
        <v>1</v>
      </c>
      <c r="K1691" s="1" t="n">
        <v>0</v>
      </c>
      <c r="M1691" s="1" t="s">
        <v>23</v>
      </c>
      <c r="N1691" s="1" t="n">
        <v>63</v>
      </c>
      <c r="O1691" s="1" t="s">
        <v>9071</v>
      </c>
      <c r="P1691" s="1" t="n">
        <v>5708</v>
      </c>
      <c r="Q1691" s="1" t="s">
        <v>9072</v>
      </c>
      <c r="R1691" s="1" t="s">
        <v>9073</v>
      </c>
      <c r="S1691" s="1" t="s">
        <v>9074</v>
      </c>
      <c r="T1691" s="1" t="s">
        <v>4718</v>
      </c>
      <c r="U1691" s="1" t="s">
        <v>9075</v>
      </c>
    </row>
    <row r="1692" customFormat="false" ht="13.8" hidden="false" customHeight="false" outlineLevel="0" collapsed="false">
      <c r="A1692" s="1" t="n">
        <v>1691</v>
      </c>
      <c r="B1692" s="2" t="s">
        <v>9076</v>
      </c>
      <c r="C1692" s="1" t="n">
        <v>1</v>
      </c>
      <c r="D1692" s="1" t="n">
        <v>10</v>
      </c>
      <c r="E1692" s="1" t="n">
        <v>24</v>
      </c>
      <c r="F1692" s="1" t="n">
        <v>39</v>
      </c>
      <c r="G1692" s="1" t="n">
        <v>45</v>
      </c>
      <c r="H1692" s="1" t="n">
        <v>58</v>
      </c>
      <c r="I1692" s="1" t="str">
        <f aca="false">RIGHT(("0"&amp;C1692),2)&amp;RIGHT(("0"&amp;D1692),2)&amp;RIGHT(("0"&amp;E1692),2)&amp;RIGHT(("0"&amp;F1692),2)&amp;RIGHT(("0"&amp;G1692),2)&amp;RIGHT(("0"&amp;H1692),2)</f>
        <v>011024394558</v>
      </c>
      <c r="J1692" s="1" t="n">
        <f aca="false">COUNTIF(I:I,I1692)</f>
        <v>1</v>
      </c>
      <c r="K1692" s="1" t="n">
        <v>0</v>
      </c>
      <c r="M1692" s="1" t="s">
        <v>23</v>
      </c>
      <c r="N1692" s="1" t="n">
        <v>145</v>
      </c>
      <c r="O1692" s="1" t="s">
        <v>9077</v>
      </c>
      <c r="P1692" s="1" t="n">
        <v>9387</v>
      </c>
      <c r="Q1692" s="1" t="s">
        <v>9078</v>
      </c>
      <c r="R1692" s="1" t="s">
        <v>9079</v>
      </c>
      <c r="S1692" s="1" t="s">
        <v>9080</v>
      </c>
      <c r="T1692" s="1" t="s">
        <v>4935</v>
      </c>
      <c r="U1692" s="1" t="s">
        <v>9081</v>
      </c>
    </row>
    <row r="1693" customFormat="false" ht="13.8" hidden="false" customHeight="false" outlineLevel="0" collapsed="false">
      <c r="A1693" s="1" t="n">
        <v>1692</v>
      </c>
      <c r="B1693" s="2" t="s">
        <v>9082</v>
      </c>
      <c r="C1693" s="1" t="n">
        <v>11</v>
      </c>
      <c r="D1693" s="1" t="n">
        <v>13</v>
      </c>
      <c r="E1693" s="1" t="n">
        <v>14</v>
      </c>
      <c r="F1693" s="1" t="n">
        <v>27</v>
      </c>
      <c r="G1693" s="1" t="n">
        <v>44</v>
      </c>
      <c r="H1693" s="1" t="n">
        <v>56</v>
      </c>
      <c r="I1693" s="1" t="str">
        <f aca="false">RIGHT(("0"&amp;C1693),2)&amp;RIGHT(("0"&amp;D1693),2)&amp;RIGHT(("0"&amp;E1693),2)&amp;RIGHT(("0"&amp;F1693),2)&amp;RIGHT(("0"&amp;G1693),2)&amp;RIGHT(("0"&amp;H1693),2)</f>
        <v>111314274456</v>
      </c>
      <c r="J1693" s="1" t="n">
        <f aca="false">COUNTIF(I:I,I1693)</f>
        <v>1</v>
      </c>
      <c r="K1693" s="1" t="n">
        <v>0</v>
      </c>
      <c r="M1693" s="1" t="s">
        <v>23</v>
      </c>
      <c r="N1693" s="1" t="n">
        <v>180</v>
      </c>
      <c r="O1693" s="1" t="s">
        <v>9083</v>
      </c>
      <c r="P1693" s="1" t="n">
        <v>12447</v>
      </c>
      <c r="Q1693" s="1" t="s">
        <v>9084</v>
      </c>
      <c r="R1693" s="1" t="s">
        <v>9085</v>
      </c>
      <c r="S1693" s="1" t="s">
        <v>9086</v>
      </c>
      <c r="T1693" s="1" t="s">
        <v>5294</v>
      </c>
      <c r="U1693" s="1" t="s">
        <v>9087</v>
      </c>
    </row>
    <row r="1694" customFormat="false" ht="13.8" hidden="false" customHeight="false" outlineLevel="0" collapsed="false">
      <c r="A1694" s="1" t="n">
        <v>1693</v>
      </c>
      <c r="B1694" s="2" t="s">
        <v>9088</v>
      </c>
      <c r="C1694" s="1" t="n">
        <v>5</v>
      </c>
      <c r="D1694" s="1" t="n">
        <v>15</v>
      </c>
      <c r="E1694" s="1" t="n">
        <v>18</v>
      </c>
      <c r="F1694" s="1" t="n">
        <v>19</v>
      </c>
      <c r="G1694" s="1" t="n">
        <v>21</v>
      </c>
      <c r="H1694" s="1" t="n">
        <v>38</v>
      </c>
      <c r="I1694" s="1" t="str">
        <f aca="false">RIGHT(("0"&amp;C1694),2)&amp;RIGHT(("0"&amp;D1694),2)&amp;RIGHT(("0"&amp;E1694),2)&amp;RIGHT(("0"&amp;F1694),2)&amp;RIGHT(("0"&amp;G1694),2)&amp;RIGHT(("0"&amp;H1694),2)</f>
        <v>051518192138</v>
      </c>
      <c r="J1694" s="1" t="n">
        <f aca="false">COUNTIF(I:I,I1694)</f>
        <v>1</v>
      </c>
      <c r="K1694" s="1" t="n">
        <v>0</v>
      </c>
      <c r="M1694" s="1" t="s">
        <v>23</v>
      </c>
      <c r="N1694" s="1" t="n">
        <v>178</v>
      </c>
      <c r="O1694" s="1" t="s">
        <v>9089</v>
      </c>
      <c r="P1694" s="1" t="n">
        <v>13997</v>
      </c>
      <c r="Q1694" s="1" t="s">
        <v>9090</v>
      </c>
      <c r="R1694" s="1" t="s">
        <v>9091</v>
      </c>
      <c r="S1694" s="1" t="s">
        <v>9092</v>
      </c>
      <c r="T1694" s="1" t="s">
        <v>6077</v>
      </c>
      <c r="U1694" s="1" t="s">
        <v>9093</v>
      </c>
    </row>
    <row r="1695" customFormat="false" ht="13.8" hidden="false" customHeight="false" outlineLevel="0" collapsed="false">
      <c r="A1695" s="1" t="n">
        <v>1694</v>
      </c>
      <c r="B1695" s="2" t="s">
        <v>9094</v>
      </c>
      <c r="C1695" s="1" t="n">
        <v>20</v>
      </c>
      <c r="D1695" s="1" t="n">
        <v>29</v>
      </c>
      <c r="E1695" s="1" t="n">
        <v>34</v>
      </c>
      <c r="F1695" s="1" t="n">
        <v>37</v>
      </c>
      <c r="G1695" s="1" t="n">
        <v>45</v>
      </c>
      <c r="H1695" s="1" t="n">
        <v>57</v>
      </c>
      <c r="I1695" s="1" t="str">
        <f aca="false">RIGHT(("0"&amp;C1695),2)&amp;RIGHT(("0"&amp;D1695),2)&amp;RIGHT(("0"&amp;E1695),2)&amp;RIGHT(("0"&amp;F1695),2)&amp;RIGHT(("0"&amp;G1695),2)&amp;RIGHT(("0"&amp;H1695),2)</f>
        <v>202934374557</v>
      </c>
      <c r="J1695" s="1" t="n">
        <f aca="false">COUNTIF(I:I,I1695)</f>
        <v>1</v>
      </c>
      <c r="K1695" s="1" t="n">
        <v>1</v>
      </c>
      <c r="L1695" s="1" t="s">
        <v>7960</v>
      </c>
      <c r="M1695" s="1" t="s">
        <v>9095</v>
      </c>
      <c r="N1695" s="1" t="n">
        <v>348</v>
      </c>
      <c r="O1695" s="1" t="s">
        <v>9096</v>
      </c>
      <c r="P1695" s="1" t="n">
        <v>10854</v>
      </c>
      <c r="Q1695" s="1" t="s">
        <v>9097</v>
      </c>
      <c r="R1695" s="1" t="s">
        <v>23</v>
      </c>
      <c r="S1695" s="1" t="s">
        <v>9098</v>
      </c>
      <c r="T1695" s="1" t="s">
        <v>4718</v>
      </c>
      <c r="U1695" s="1" t="s">
        <v>9099</v>
      </c>
    </row>
    <row r="1696" customFormat="false" ht="13.8" hidden="false" customHeight="false" outlineLevel="0" collapsed="false">
      <c r="A1696" s="1" t="n">
        <v>1695</v>
      </c>
      <c r="B1696" s="2" t="s">
        <v>9100</v>
      </c>
      <c r="C1696" s="1" t="n">
        <v>24</v>
      </c>
      <c r="D1696" s="1" t="n">
        <v>36</v>
      </c>
      <c r="E1696" s="1" t="n">
        <v>38</v>
      </c>
      <c r="F1696" s="1" t="n">
        <v>43</v>
      </c>
      <c r="G1696" s="1" t="n">
        <v>44</v>
      </c>
      <c r="H1696" s="1" t="n">
        <v>58</v>
      </c>
      <c r="I1696" s="1" t="str">
        <f aca="false">RIGHT(("0"&amp;C1696),2)&amp;RIGHT(("0"&amp;D1696),2)&amp;RIGHT(("0"&amp;E1696),2)&amp;RIGHT(("0"&amp;F1696),2)&amp;RIGHT(("0"&amp;G1696),2)&amp;RIGHT(("0"&amp;H1696),2)</f>
        <v>243638434458</v>
      </c>
      <c r="J1696" s="1" t="n">
        <f aca="false">COUNTIF(I:I,I1696)</f>
        <v>1</v>
      </c>
      <c r="K1696" s="1" t="n">
        <v>0</v>
      </c>
      <c r="M1696" s="1" t="s">
        <v>23</v>
      </c>
      <c r="N1696" s="1" t="n">
        <v>128</v>
      </c>
      <c r="O1696" s="1" t="s">
        <v>9101</v>
      </c>
      <c r="P1696" s="1" t="n">
        <v>8910</v>
      </c>
      <c r="Q1696" s="1" t="s">
        <v>9102</v>
      </c>
      <c r="R1696" s="1" t="s">
        <v>9103</v>
      </c>
      <c r="S1696" s="1" t="s">
        <v>9104</v>
      </c>
      <c r="T1696" s="1" t="s">
        <v>4304</v>
      </c>
      <c r="U1696" s="1" t="s">
        <v>9105</v>
      </c>
    </row>
    <row r="1697" customFormat="false" ht="13.8" hidden="false" customHeight="false" outlineLevel="0" collapsed="false">
      <c r="A1697" s="1" t="n">
        <v>1696</v>
      </c>
      <c r="B1697" s="2" t="s">
        <v>9106</v>
      </c>
      <c r="C1697" s="1" t="n">
        <v>1</v>
      </c>
      <c r="D1697" s="1" t="n">
        <v>12</v>
      </c>
      <c r="E1697" s="1" t="n">
        <v>17</v>
      </c>
      <c r="F1697" s="1" t="n">
        <v>31</v>
      </c>
      <c r="G1697" s="1" t="n">
        <v>37</v>
      </c>
      <c r="H1697" s="1" t="n">
        <v>46</v>
      </c>
      <c r="I1697" s="1" t="str">
        <f aca="false">RIGHT(("0"&amp;C1697),2)&amp;RIGHT(("0"&amp;D1697),2)&amp;RIGHT(("0"&amp;E1697),2)&amp;RIGHT(("0"&amp;F1697),2)&amp;RIGHT(("0"&amp;G1697),2)&amp;RIGHT(("0"&amp;H1697),2)</f>
        <v>011217313746</v>
      </c>
      <c r="J1697" s="1" t="n">
        <f aca="false">COUNTIF(I:I,I1697)</f>
        <v>1</v>
      </c>
      <c r="K1697" s="1" t="n">
        <v>1</v>
      </c>
      <c r="L1697" s="1" t="s">
        <v>9107</v>
      </c>
      <c r="M1697" s="1" t="s">
        <v>9108</v>
      </c>
      <c r="N1697" s="1" t="n">
        <v>135</v>
      </c>
      <c r="O1697" s="1" t="s">
        <v>9109</v>
      </c>
      <c r="P1697" s="1" t="n">
        <v>9824</v>
      </c>
      <c r="Q1697" s="1" t="s">
        <v>9110</v>
      </c>
      <c r="R1697" s="1" t="s">
        <v>23</v>
      </c>
      <c r="S1697" s="1" t="s">
        <v>9111</v>
      </c>
      <c r="T1697" s="1" t="s">
        <v>473</v>
      </c>
      <c r="U1697" s="1" t="s">
        <v>9112</v>
      </c>
    </row>
    <row r="1698" customFormat="false" ht="13.8" hidden="false" customHeight="false" outlineLevel="0" collapsed="false">
      <c r="A1698" s="1" t="n">
        <v>1697</v>
      </c>
      <c r="B1698" s="2" t="s">
        <v>9113</v>
      </c>
      <c r="C1698" s="1" t="n">
        <v>8</v>
      </c>
      <c r="D1698" s="1" t="n">
        <v>23</v>
      </c>
      <c r="E1698" s="1" t="n">
        <v>30</v>
      </c>
      <c r="F1698" s="1" t="n">
        <v>51</v>
      </c>
      <c r="G1698" s="1" t="n">
        <v>53</v>
      </c>
      <c r="H1698" s="1" t="n">
        <v>58</v>
      </c>
      <c r="I1698" s="1" t="str">
        <f aca="false">RIGHT(("0"&amp;C1698),2)&amp;RIGHT(("0"&amp;D1698),2)&amp;RIGHT(("0"&amp;E1698),2)&amp;RIGHT(("0"&amp;F1698),2)&amp;RIGHT(("0"&amp;G1698),2)&amp;RIGHT(("0"&amp;H1698),2)</f>
        <v>082330515358</v>
      </c>
      <c r="J1698" s="1" t="n">
        <f aca="false">COUNTIF(I:I,I1698)</f>
        <v>1</v>
      </c>
      <c r="K1698" s="1" t="n">
        <v>0</v>
      </c>
      <c r="M1698" s="1" t="s">
        <v>23</v>
      </c>
      <c r="N1698" s="1" t="n">
        <v>62</v>
      </c>
      <c r="O1698" s="1" t="s">
        <v>9114</v>
      </c>
      <c r="P1698" s="1" t="n">
        <v>3593</v>
      </c>
      <c r="Q1698" s="1" t="s">
        <v>9115</v>
      </c>
      <c r="R1698" s="1" t="s">
        <v>9116</v>
      </c>
      <c r="S1698" s="1" t="s">
        <v>9117</v>
      </c>
      <c r="T1698" s="1" t="s">
        <v>4342</v>
      </c>
      <c r="U1698" s="1" t="s">
        <v>9118</v>
      </c>
    </row>
    <row r="1699" customFormat="false" ht="13.8" hidden="false" customHeight="false" outlineLevel="0" collapsed="false">
      <c r="A1699" s="1" t="n">
        <v>1698</v>
      </c>
      <c r="B1699" s="2" t="s">
        <v>9119</v>
      </c>
      <c r="C1699" s="1" t="n">
        <v>11</v>
      </c>
      <c r="D1699" s="1" t="n">
        <v>13</v>
      </c>
      <c r="E1699" s="1" t="n">
        <v>24</v>
      </c>
      <c r="F1699" s="1" t="n">
        <v>28</v>
      </c>
      <c r="G1699" s="1" t="n">
        <v>44</v>
      </c>
      <c r="H1699" s="1" t="n">
        <v>45</v>
      </c>
      <c r="I1699" s="1" t="str">
        <f aca="false">RIGHT(("0"&amp;C1699),2)&amp;RIGHT(("0"&amp;D1699),2)&amp;RIGHT(("0"&amp;E1699),2)&amp;RIGHT(("0"&amp;F1699),2)&amp;RIGHT(("0"&amp;G1699),2)&amp;RIGHT(("0"&amp;H1699),2)</f>
        <v>111324284445</v>
      </c>
      <c r="J1699" s="1" t="n">
        <f aca="false">COUNTIF(I:I,I1699)</f>
        <v>1</v>
      </c>
      <c r="K1699" s="1" t="n">
        <v>0</v>
      </c>
      <c r="M1699" s="1" t="s">
        <v>23</v>
      </c>
      <c r="N1699" s="1" t="n">
        <v>132</v>
      </c>
      <c r="O1699" s="1" t="s">
        <v>9120</v>
      </c>
      <c r="P1699" s="1" t="n">
        <v>8869</v>
      </c>
      <c r="Q1699" s="1" t="s">
        <v>9121</v>
      </c>
      <c r="R1699" s="1" t="s">
        <v>9122</v>
      </c>
      <c r="S1699" s="1" t="s">
        <v>9123</v>
      </c>
      <c r="T1699" s="1" t="s">
        <v>4461</v>
      </c>
      <c r="U1699" s="1" t="s">
        <v>9124</v>
      </c>
    </row>
    <row r="1700" customFormat="false" ht="13.8" hidden="false" customHeight="false" outlineLevel="0" collapsed="false">
      <c r="A1700" s="1" t="n">
        <v>1699</v>
      </c>
      <c r="B1700" s="2" t="s">
        <v>9125</v>
      </c>
      <c r="C1700" s="1" t="n">
        <v>1</v>
      </c>
      <c r="D1700" s="1" t="n">
        <v>6</v>
      </c>
      <c r="E1700" s="1" t="n">
        <v>10</v>
      </c>
      <c r="F1700" s="1" t="n">
        <v>30</v>
      </c>
      <c r="G1700" s="1" t="n">
        <v>33</v>
      </c>
      <c r="H1700" s="1" t="n">
        <v>38</v>
      </c>
      <c r="I1700" s="1" t="str">
        <f aca="false">RIGHT(("0"&amp;C1700),2)&amp;RIGHT(("0"&amp;D1700),2)&amp;RIGHT(("0"&amp;E1700),2)&amp;RIGHT(("0"&amp;F1700),2)&amp;RIGHT(("0"&amp;G1700),2)&amp;RIGHT(("0"&amp;H1700),2)</f>
        <v>010610303338</v>
      </c>
      <c r="J1700" s="1" t="n">
        <f aca="false">COUNTIF(I:I,I1700)</f>
        <v>1</v>
      </c>
      <c r="K1700" s="1" t="n">
        <v>0</v>
      </c>
      <c r="M1700" s="1" t="s">
        <v>23</v>
      </c>
      <c r="N1700" s="1" t="n">
        <v>189</v>
      </c>
      <c r="O1700" s="1" t="s">
        <v>9126</v>
      </c>
      <c r="P1700" s="1" t="n">
        <v>9424</v>
      </c>
      <c r="Q1700" s="1" t="s">
        <v>9127</v>
      </c>
      <c r="R1700" s="1" t="s">
        <v>9128</v>
      </c>
      <c r="S1700" s="1" t="s">
        <v>9129</v>
      </c>
      <c r="T1700" s="1" t="s">
        <v>4304</v>
      </c>
      <c r="U1700" s="1" t="s">
        <v>9130</v>
      </c>
    </row>
    <row r="1701" customFormat="false" ht="13.8" hidden="false" customHeight="false" outlineLevel="0" collapsed="false">
      <c r="A1701" s="1" t="n">
        <v>1700</v>
      </c>
      <c r="B1701" s="2" t="s">
        <v>9131</v>
      </c>
      <c r="C1701" s="1" t="n">
        <v>15</v>
      </c>
      <c r="D1701" s="1" t="n">
        <v>18</v>
      </c>
      <c r="E1701" s="1" t="n">
        <v>41</v>
      </c>
      <c r="F1701" s="1" t="n">
        <v>48</v>
      </c>
      <c r="G1701" s="1" t="n">
        <v>50</v>
      </c>
      <c r="H1701" s="1" t="n">
        <v>58</v>
      </c>
      <c r="I1701" s="1" t="str">
        <f aca="false">RIGHT(("0"&amp;C1701),2)&amp;RIGHT(("0"&amp;D1701),2)&amp;RIGHT(("0"&amp;E1701),2)&amp;RIGHT(("0"&amp;F1701),2)&amp;RIGHT(("0"&amp;G1701),2)&amp;RIGHT(("0"&amp;H1701),2)</f>
        <v>151841485058</v>
      </c>
      <c r="J1701" s="1" t="n">
        <f aca="false">COUNTIF(I:I,I1701)</f>
        <v>1</v>
      </c>
      <c r="K1701" s="1" t="n">
        <v>1</v>
      </c>
      <c r="L1701" s="1" t="s">
        <v>9132</v>
      </c>
      <c r="M1701" s="1" t="s">
        <v>9133</v>
      </c>
      <c r="N1701" s="1" t="n">
        <v>65</v>
      </c>
      <c r="O1701" s="1" t="s">
        <v>9134</v>
      </c>
      <c r="P1701" s="1" t="n">
        <v>5380</v>
      </c>
      <c r="Q1701" s="1" t="s">
        <v>9135</v>
      </c>
      <c r="R1701" s="1" t="s">
        <v>23</v>
      </c>
      <c r="S1701" s="1" t="s">
        <v>9136</v>
      </c>
      <c r="T1701" s="1" t="s">
        <v>4256</v>
      </c>
      <c r="U1701" s="1" t="s">
        <v>9137</v>
      </c>
    </row>
    <row r="1702" customFormat="false" ht="13.8" hidden="false" customHeight="false" outlineLevel="0" collapsed="false">
      <c r="A1702" s="1" t="n">
        <v>1701</v>
      </c>
      <c r="B1702" s="2" t="s">
        <v>9138</v>
      </c>
      <c r="C1702" s="1" t="n">
        <v>3</v>
      </c>
      <c r="D1702" s="1" t="n">
        <v>9</v>
      </c>
      <c r="E1702" s="1" t="n">
        <v>18</v>
      </c>
      <c r="F1702" s="1" t="n">
        <v>32</v>
      </c>
      <c r="G1702" s="1" t="n">
        <v>40</v>
      </c>
      <c r="H1702" s="1" t="n">
        <v>56</v>
      </c>
      <c r="I1702" s="1" t="str">
        <f aca="false">RIGHT(("0"&amp;C1702),2)&amp;RIGHT(("0"&amp;D1702),2)&amp;RIGHT(("0"&amp;E1702),2)&amp;RIGHT(("0"&amp;F1702),2)&amp;RIGHT(("0"&amp;G1702),2)&amp;RIGHT(("0"&amp;H1702),2)</f>
        <v>030918324056</v>
      </c>
      <c r="J1702" s="1" t="n">
        <f aca="false">COUNTIF(I:I,I1702)</f>
        <v>1</v>
      </c>
      <c r="K1702" s="1" t="n">
        <v>1</v>
      </c>
      <c r="L1702" s="1" t="s">
        <v>9139</v>
      </c>
      <c r="M1702" s="1" t="s">
        <v>9140</v>
      </c>
      <c r="N1702" s="1" t="n">
        <v>59</v>
      </c>
      <c r="O1702" s="1" t="s">
        <v>9141</v>
      </c>
      <c r="P1702" s="1" t="n">
        <v>3328</v>
      </c>
      <c r="Q1702" s="1" t="s">
        <v>9142</v>
      </c>
      <c r="R1702" s="1" t="s">
        <v>23</v>
      </c>
      <c r="S1702" s="1" t="s">
        <v>9143</v>
      </c>
      <c r="T1702" s="1" t="s">
        <v>4732</v>
      </c>
      <c r="U1702" s="1" t="s">
        <v>9144</v>
      </c>
    </row>
    <row r="1703" customFormat="false" ht="13.8" hidden="false" customHeight="false" outlineLevel="0" collapsed="false">
      <c r="A1703" s="1" t="n">
        <v>1702</v>
      </c>
      <c r="B1703" s="2" t="s">
        <v>9145</v>
      </c>
      <c r="C1703" s="1" t="n">
        <v>17</v>
      </c>
      <c r="D1703" s="1" t="n">
        <v>19</v>
      </c>
      <c r="E1703" s="1" t="n">
        <v>33</v>
      </c>
      <c r="F1703" s="1" t="n">
        <v>35</v>
      </c>
      <c r="G1703" s="1" t="n">
        <v>39</v>
      </c>
      <c r="H1703" s="1" t="n">
        <v>52</v>
      </c>
      <c r="I1703" s="1" t="str">
        <f aca="false">RIGHT(("0"&amp;C1703),2)&amp;RIGHT(("0"&amp;D1703),2)&amp;RIGHT(("0"&amp;E1703),2)&amp;RIGHT(("0"&amp;F1703),2)&amp;RIGHT(("0"&amp;G1703),2)&amp;RIGHT(("0"&amp;H1703),2)</f>
        <v>171933353952</v>
      </c>
      <c r="J1703" s="1" t="n">
        <f aca="false">COUNTIF(I:I,I1703)</f>
        <v>1</v>
      </c>
      <c r="K1703" s="1" t="n">
        <v>1</v>
      </c>
      <c r="L1703" s="1" t="s">
        <v>9146</v>
      </c>
      <c r="M1703" s="1" t="s">
        <v>9147</v>
      </c>
      <c r="N1703" s="1" t="n">
        <v>139</v>
      </c>
      <c r="O1703" s="1" t="s">
        <v>9148</v>
      </c>
      <c r="P1703" s="1" t="n">
        <v>5963</v>
      </c>
      <c r="Q1703" s="1" t="s">
        <v>9149</v>
      </c>
      <c r="R1703" s="1" t="s">
        <v>23</v>
      </c>
      <c r="S1703" s="1" t="s">
        <v>9150</v>
      </c>
      <c r="T1703" s="1" t="s">
        <v>473</v>
      </c>
      <c r="U1703" s="1" t="s">
        <v>9151</v>
      </c>
    </row>
    <row r="1704" customFormat="false" ht="13.8" hidden="false" customHeight="false" outlineLevel="0" collapsed="false">
      <c r="A1704" s="1" t="n">
        <v>1703</v>
      </c>
      <c r="B1704" s="2" t="s">
        <v>9152</v>
      </c>
      <c r="C1704" s="1" t="n">
        <v>3</v>
      </c>
      <c r="D1704" s="1" t="n">
        <v>23</v>
      </c>
      <c r="E1704" s="1" t="n">
        <v>26</v>
      </c>
      <c r="F1704" s="1" t="n">
        <v>35</v>
      </c>
      <c r="G1704" s="1" t="n">
        <v>39</v>
      </c>
      <c r="H1704" s="1" t="n">
        <v>49</v>
      </c>
      <c r="I1704" s="1" t="str">
        <f aca="false">RIGHT(("0"&amp;C1704),2)&amp;RIGHT(("0"&amp;D1704),2)&amp;RIGHT(("0"&amp;E1704),2)&amp;RIGHT(("0"&amp;F1704),2)&amp;RIGHT(("0"&amp;G1704),2)&amp;RIGHT(("0"&amp;H1704),2)</f>
        <v>032326353949</v>
      </c>
      <c r="J1704" s="1" t="n">
        <f aca="false">COUNTIF(I:I,I1704)</f>
        <v>1</v>
      </c>
      <c r="K1704" s="1" t="n">
        <v>0</v>
      </c>
      <c r="M1704" s="1" t="s">
        <v>23</v>
      </c>
      <c r="N1704" s="1" t="n">
        <v>75</v>
      </c>
      <c r="O1704" s="1" t="s">
        <v>9153</v>
      </c>
      <c r="P1704" s="1" t="n">
        <v>4451</v>
      </c>
      <c r="Q1704" s="1" t="s">
        <v>9154</v>
      </c>
      <c r="R1704" s="1" t="s">
        <v>9155</v>
      </c>
      <c r="S1704" s="1" t="s">
        <v>9156</v>
      </c>
      <c r="T1704" s="1" t="s">
        <v>4232</v>
      </c>
      <c r="U1704" s="1" t="s">
        <v>9157</v>
      </c>
    </row>
    <row r="1705" customFormat="false" ht="13.8" hidden="false" customHeight="false" outlineLevel="0" collapsed="false">
      <c r="A1705" s="1" t="n">
        <v>1704</v>
      </c>
      <c r="B1705" s="2" t="s">
        <v>9158</v>
      </c>
      <c r="C1705" s="1" t="n">
        <v>1</v>
      </c>
      <c r="D1705" s="1" t="n">
        <v>7</v>
      </c>
      <c r="E1705" s="1" t="n">
        <v>11</v>
      </c>
      <c r="F1705" s="1" t="n">
        <v>32</v>
      </c>
      <c r="G1705" s="1" t="n">
        <v>51</v>
      </c>
      <c r="H1705" s="1" t="n">
        <v>59</v>
      </c>
      <c r="I1705" s="1" t="str">
        <f aca="false">RIGHT(("0"&amp;C1705),2)&amp;RIGHT(("0"&amp;D1705),2)&amp;RIGHT(("0"&amp;E1705),2)&amp;RIGHT(("0"&amp;F1705),2)&amp;RIGHT(("0"&amp;G1705),2)&amp;RIGHT(("0"&amp;H1705),2)</f>
        <v>010711325159</v>
      </c>
      <c r="J1705" s="1" t="n">
        <f aca="false">COUNTIF(I:I,I1705)</f>
        <v>1</v>
      </c>
      <c r="K1705" s="1" t="n">
        <v>0</v>
      </c>
      <c r="M1705" s="1" t="s">
        <v>23</v>
      </c>
      <c r="N1705" s="1" t="n">
        <v>74</v>
      </c>
      <c r="O1705" s="1" t="s">
        <v>9159</v>
      </c>
      <c r="P1705" s="1" t="n">
        <v>6399</v>
      </c>
      <c r="Q1705" s="1" t="s">
        <v>9160</v>
      </c>
      <c r="R1705" s="1" t="s">
        <v>9161</v>
      </c>
      <c r="S1705" s="1" t="s">
        <v>9162</v>
      </c>
      <c r="T1705" s="1" t="s">
        <v>4696</v>
      </c>
      <c r="U1705" s="1" t="s">
        <v>9163</v>
      </c>
    </row>
    <row r="1706" customFormat="false" ht="13.8" hidden="false" customHeight="false" outlineLevel="0" collapsed="false">
      <c r="A1706" s="1" t="n">
        <v>1705</v>
      </c>
      <c r="B1706" s="2" t="s">
        <v>9164</v>
      </c>
      <c r="C1706" s="1" t="n">
        <v>25</v>
      </c>
      <c r="D1706" s="1" t="n">
        <v>27</v>
      </c>
      <c r="E1706" s="1" t="n">
        <v>29</v>
      </c>
      <c r="F1706" s="1" t="n">
        <v>37</v>
      </c>
      <c r="G1706" s="1" t="n">
        <v>50</v>
      </c>
      <c r="H1706" s="1" t="n">
        <v>51</v>
      </c>
      <c r="I1706" s="1" t="str">
        <f aca="false">RIGHT(("0"&amp;C1706),2)&amp;RIGHT(("0"&amp;D1706),2)&amp;RIGHT(("0"&amp;E1706),2)&amp;RIGHT(("0"&amp;F1706),2)&amp;RIGHT(("0"&amp;G1706),2)&amp;RIGHT(("0"&amp;H1706),2)</f>
        <v>252729375051</v>
      </c>
      <c r="J1706" s="1" t="n">
        <f aca="false">COUNTIF(I:I,I1706)</f>
        <v>1</v>
      </c>
      <c r="K1706" s="1" t="n">
        <v>0</v>
      </c>
      <c r="M1706" s="1" t="s">
        <v>23</v>
      </c>
      <c r="N1706" s="1" t="n">
        <v>60</v>
      </c>
      <c r="O1706" s="1" t="s">
        <v>9165</v>
      </c>
      <c r="P1706" s="1" t="n">
        <v>6095</v>
      </c>
      <c r="Q1706" s="1" t="s">
        <v>9166</v>
      </c>
      <c r="R1706" s="1" t="s">
        <v>9167</v>
      </c>
      <c r="S1706" s="1" t="s">
        <v>9168</v>
      </c>
      <c r="T1706" s="1" t="s">
        <v>3892</v>
      </c>
      <c r="U1706" s="1" t="s">
        <v>9169</v>
      </c>
    </row>
    <row r="1707" customFormat="false" ht="13.8" hidden="false" customHeight="false" outlineLevel="0" collapsed="false">
      <c r="A1707" s="1" t="n">
        <v>1706</v>
      </c>
      <c r="B1707" s="2" t="s">
        <v>9170</v>
      </c>
      <c r="C1707" s="1" t="n">
        <v>12</v>
      </c>
      <c r="D1707" s="1" t="n">
        <v>31</v>
      </c>
      <c r="E1707" s="1" t="n">
        <v>34</v>
      </c>
      <c r="F1707" s="1" t="n">
        <v>36</v>
      </c>
      <c r="G1707" s="1" t="n">
        <v>48</v>
      </c>
      <c r="H1707" s="1" t="n">
        <v>56</v>
      </c>
      <c r="I1707" s="1" t="str">
        <f aca="false">RIGHT(("0"&amp;C1707),2)&amp;RIGHT(("0"&amp;D1707),2)&amp;RIGHT(("0"&amp;E1707),2)&amp;RIGHT(("0"&amp;F1707),2)&amp;RIGHT(("0"&amp;G1707),2)&amp;RIGHT(("0"&amp;H1707),2)</f>
        <v>123134364856</v>
      </c>
      <c r="J1707" s="1" t="n">
        <f aca="false">COUNTIF(I:I,I1707)</f>
        <v>1</v>
      </c>
      <c r="K1707" s="1" t="n">
        <v>1</v>
      </c>
      <c r="L1707" s="1" t="s">
        <v>7797</v>
      </c>
      <c r="M1707" s="1" t="s">
        <v>9171</v>
      </c>
      <c r="N1707" s="1" t="n">
        <v>136</v>
      </c>
      <c r="O1707" s="1" t="s">
        <v>9172</v>
      </c>
      <c r="P1707" s="1" t="n">
        <v>10756</v>
      </c>
      <c r="Q1707" s="1" t="s">
        <v>9173</v>
      </c>
      <c r="R1707" s="1" t="s">
        <v>23</v>
      </c>
      <c r="S1707" s="1" t="s">
        <v>9174</v>
      </c>
      <c r="T1707" s="1" t="s">
        <v>473</v>
      </c>
      <c r="U1707" s="1" t="s">
        <v>9175</v>
      </c>
    </row>
    <row r="1708" customFormat="false" ht="13.8" hidden="false" customHeight="false" outlineLevel="0" collapsed="false">
      <c r="A1708" s="1" t="n">
        <v>1707</v>
      </c>
      <c r="B1708" s="2" t="s">
        <v>9176</v>
      </c>
      <c r="C1708" s="1" t="n">
        <v>7</v>
      </c>
      <c r="D1708" s="1" t="n">
        <v>16</v>
      </c>
      <c r="E1708" s="1" t="n">
        <v>20</v>
      </c>
      <c r="F1708" s="1" t="n">
        <v>27</v>
      </c>
      <c r="G1708" s="1" t="n">
        <v>36</v>
      </c>
      <c r="H1708" s="1" t="n">
        <v>52</v>
      </c>
      <c r="I1708" s="1" t="str">
        <f aca="false">RIGHT(("0"&amp;C1708),2)&amp;RIGHT(("0"&amp;D1708),2)&amp;RIGHT(("0"&amp;E1708),2)&amp;RIGHT(("0"&amp;F1708),2)&amp;RIGHT(("0"&amp;G1708),2)&amp;RIGHT(("0"&amp;H1708),2)</f>
        <v>071620273652</v>
      </c>
      <c r="J1708" s="1" t="n">
        <f aca="false">COUNTIF(I:I,I1708)</f>
        <v>1</v>
      </c>
      <c r="K1708" s="1" t="n">
        <v>0</v>
      </c>
      <c r="M1708" s="1" t="s">
        <v>23</v>
      </c>
      <c r="N1708" s="1" t="n">
        <v>65</v>
      </c>
      <c r="O1708" s="1" t="s">
        <v>9177</v>
      </c>
      <c r="P1708" s="1" t="n">
        <v>4048</v>
      </c>
      <c r="Q1708" s="1" t="s">
        <v>9178</v>
      </c>
      <c r="R1708" s="1" t="s">
        <v>9179</v>
      </c>
      <c r="S1708" s="1" t="s">
        <v>9180</v>
      </c>
      <c r="T1708" s="1" t="s">
        <v>5931</v>
      </c>
      <c r="U1708" s="1" t="s">
        <v>9181</v>
      </c>
    </row>
    <row r="1709" customFormat="false" ht="13.8" hidden="false" customHeight="false" outlineLevel="0" collapsed="false">
      <c r="A1709" s="1" t="n">
        <v>1708</v>
      </c>
      <c r="B1709" s="2" t="s">
        <v>9182</v>
      </c>
      <c r="C1709" s="1" t="n">
        <v>17</v>
      </c>
      <c r="D1709" s="1" t="n">
        <v>29</v>
      </c>
      <c r="E1709" s="1" t="n">
        <v>32</v>
      </c>
      <c r="F1709" s="1" t="n">
        <v>38</v>
      </c>
      <c r="G1709" s="1" t="n">
        <v>45</v>
      </c>
      <c r="H1709" s="1" t="n">
        <v>50</v>
      </c>
      <c r="I1709" s="1" t="str">
        <f aca="false">RIGHT(("0"&amp;C1709),2)&amp;RIGHT(("0"&amp;D1709),2)&amp;RIGHT(("0"&amp;E1709),2)&amp;RIGHT(("0"&amp;F1709),2)&amp;RIGHT(("0"&amp;G1709),2)&amp;RIGHT(("0"&amp;H1709),2)</f>
        <v>172932384550</v>
      </c>
      <c r="J1709" s="1" t="n">
        <f aca="false">COUNTIF(I:I,I1709)</f>
        <v>1</v>
      </c>
      <c r="K1709" s="1" t="n">
        <v>0</v>
      </c>
      <c r="M1709" s="1" t="s">
        <v>23</v>
      </c>
      <c r="N1709" s="1" t="n">
        <v>72</v>
      </c>
      <c r="O1709" s="1" t="s">
        <v>9183</v>
      </c>
      <c r="P1709" s="1" t="n">
        <v>4174</v>
      </c>
      <c r="Q1709" s="1" t="s">
        <v>9184</v>
      </c>
      <c r="R1709" s="1" t="s">
        <v>9185</v>
      </c>
      <c r="S1709" s="1" t="s">
        <v>9186</v>
      </c>
      <c r="T1709" s="1" t="s">
        <v>3727</v>
      </c>
      <c r="U1709" s="1" t="s">
        <v>9187</v>
      </c>
    </row>
    <row r="1710" customFormat="false" ht="13.8" hidden="false" customHeight="false" outlineLevel="0" collapsed="false">
      <c r="A1710" s="1" t="n">
        <v>1709</v>
      </c>
      <c r="B1710" s="2" t="s">
        <v>9188</v>
      </c>
      <c r="C1710" s="1" t="n">
        <v>7</v>
      </c>
      <c r="D1710" s="1" t="n">
        <v>19</v>
      </c>
      <c r="E1710" s="1" t="n">
        <v>30</v>
      </c>
      <c r="F1710" s="1" t="n">
        <v>35</v>
      </c>
      <c r="G1710" s="1" t="n">
        <v>42</v>
      </c>
      <c r="H1710" s="1" t="n">
        <v>47</v>
      </c>
      <c r="I1710" s="1" t="str">
        <f aca="false">RIGHT(("0"&amp;C1710),2)&amp;RIGHT(("0"&amp;D1710),2)&amp;RIGHT(("0"&amp;E1710),2)&amp;RIGHT(("0"&amp;F1710),2)&amp;RIGHT(("0"&amp;G1710),2)&amp;RIGHT(("0"&amp;H1710),2)</f>
        <v>071930354247</v>
      </c>
      <c r="J1710" s="1" t="n">
        <f aca="false">COUNTIF(I:I,I1710)</f>
        <v>1</v>
      </c>
      <c r="K1710" s="1" t="n">
        <v>0</v>
      </c>
      <c r="M1710" s="1" t="s">
        <v>23</v>
      </c>
      <c r="N1710" s="1" t="n">
        <v>102</v>
      </c>
      <c r="O1710" s="1" t="s">
        <v>9189</v>
      </c>
      <c r="P1710" s="1" t="n">
        <v>6499</v>
      </c>
      <c r="Q1710" s="1" t="s">
        <v>9190</v>
      </c>
      <c r="R1710" s="1" t="s">
        <v>9191</v>
      </c>
      <c r="S1710" s="1" t="s">
        <v>9192</v>
      </c>
      <c r="T1710" s="1" t="s">
        <v>4304</v>
      </c>
      <c r="U1710" s="1" t="s">
        <v>9193</v>
      </c>
    </row>
    <row r="1711" customFormat="false" ht="13.8" hidden="false" customHeight="false" outlineLevel="0" collapsed="false">
      <c r="A1711" s="1" t="n">
        <v>1710</v>
      </c>
      <c r="B1711" s="2" t="s">
        <v>9194</v>
      </c>
      <c r="C1711" s="1" t="n">
        <v>7</v>
      </c>
      <c r="D1711" s="1" t="n">
        <v>21</v>
      </c>
      <c r="E1711" s="1" t="n">
        <v>28</v>
      </c>
      <c r="F1711" s="1" t="n">
        <v>56</v>
      </c>
      <c r="G1711" s="1" t="n">
        <v>58</v>
      </c>
      <c r="H1711" s="1" t="n">
        <v>59</v>
      </c>
      <c r="I1711" s="1" t="str">
        <f aca="false">RIGHT(("0"&amp;C1711),2)&amp;RIGHT(("0"&amp;D1711),2)&amp;RIGHT(("0"&amp;E1711),2)&amp;RIGHT(("0"&amp;F1711),2)&amp;RIGHT(("0"&amp;G1711),2)&amp;RIGHT(("0"&amp;H1711),2)</f>
        <v>072128565859</v>
      </c>
      <c r="J1711" s="1" t="n">
        <f aca="false">COUNTIF(I:I,I1711)</f>
        <v>1</v>
      </c>
      <c r="K1711" s="1" t="n">
        <v>0</v>
      </c>
      <c r="M1711" s="1" t="s">
        <v>23</v>
      </c>
      <c r="N1711" s="1" t="n">
        <v>90</v>
      </c>
      <c r="O1711" s="1" t="s">
        <v>9195</v>
      </c>
      <c r="P1711" s="1" t="n">
        <v>6845</v>
      </c>
      <c r="Q1711" s="1" t="s">
        <v>9196</v>
      </c>
      <c r="R1711" s="1" t="s">
        <v>9197</v>
      </c>
      <c r="S1711" s="1" t="s">
        <v>9198</v>
      </c>
      <c r="T1711" s="1" t="s">
        <v>7301</v>
      </c>
      <c r="U1711" s="1" t="s">
        <v>9199</v>
      </c>
    </row>
    <row r="1712" customFormat="false" ht="13.8" hidden="false" customHeight="false" outlineLevel="0" collapsed="false">
      <c r="A1712" s="1" t="n">
        <v>1711</v>
      </c>
      <c r="B1712" s="2" t="s">
        <v>9200</v>
      </c>
      <c r="C1712" s="1" t="n">
        <v>22</v>
      </c>
      <c r="D1712" s="1" t="n">
        <v>26</v>
      </c>
      <c r="E1712" s="1" t="n">
        <v>38</v>
      </c>
      <c r="F1712" s="1" t="n">
        <v>39</v>
      </c>
      <c r="G1712" s="1" t="n">
        <v>45</v>
      </c>
      <c r="H1712" s="1" t="n">
        <v>50</v>
      </c>
      <c r="I1712" s="1" t="str">
        <f aca="false">RIGHT(("0"&amp;C1712),2)&amp;RIGHT(("0"&amp;D1712),2)&amp;RIGHT(("0"&amp;E1712),2)&amp;RIGHT(("0"&amp;F1712),2)&amp;RIGHT(("0"&amp;G1712),2)&amp;RIGHT(("0"&amp;H1712),2)</f>
        <v>222638394550</v>
      </c>
      <c r="J1712" s="1" t="n">
        <f aca="false">COUNTIF(I:I,I1712)</f>
        <v>1</v>
      </c>
      <c r="K1712" s="1" t="n">
        <v>0</v>
      </c>
      <c r="M1712" s="1" t="s">
        <v>23</v>
      </c>
      <c r="N1712" s="1" t="n">
        <v>85</v>
      </c>
      <c r="O1712" s="1" t="s">
        <v>9201</v>
      </c>
      <c r="P1712" s="1" t="n">
        <v>6112</v>
      </c>
      <c r="Q1712" s="1" t="s">
        <v>9202</v>
      </c>
      <c r="R1712" s="1" t="s">
        <v>9203</v>
      </c>
      <c r="S1712" s="1" t="s">
        <v>9204</v>
      </c>
      <c r="T1712" s="1" t="s">
        <v>6559</v>
      </c>
      <c r="U1712" s="1" t="s">
        <v>9205</v>
      </c>
    </row>
    <row r="1713" customFormat="false" ht="13.8" hidden="false" customHeight="false" outlineLevel="0" collapsed="false">
      <c r="A1713" s="1" t="n">
        <v>1712</v>
      </c>
      <c r="B1713" s="2" t="s">
        <v>9206</v>
      </c>
      <c r="C1713" s="1" t="n">
        <v>2</v>
      </c>
      <c r="D1713" s="1" t="n">
        <v>12</v>
      </c>
      <c r="E1713" s="1" t="n">
        <v>19</v>
      </c>
      <c r="F1713" s="1" t="n">
        <v>29</v>
      </c>
      <c r="G1713" s="1" t="n">
        <v>50</v>
      </c>
      <c r="H1713" s="1" t="n">
        <v>59</v>
      </c>
      <c r="I1713" s="1" t="str">
        <f aca="false">RIGHT(("0"&amp;C1713),2)&amp;RIGHT(("0"&amp;D1713),2)&amp;RIGHT(("0"&amp;E1713),2)&amp;RIGHT(("0"&amp;F1713),2)&amp;RIGHT(("0"&amp;G1713),2)&amp;RIGHT(("0"&amp;H1713),2)</f>
        <v>021219295059</v>
      </c>
      <c r="J1713" s="1" t="n">
        <f aca="false">COUNTIF(I:I,I1713)</f>
        <v>1</v>
      </c>
      <c r="K1713" s="1" t="n">
        <v>0</v>
      </c>
      <c r="M1713" s="1" t="s">
        <v>23</v>
      </c>
      <c r="N1713" s="1" t="n">
        <v>169</v>
      </c>
      <c r="O1713" s="1" t="s">
        <v>9207</v>
      </c>
      <c r="P1713" s="1" t="n">
        <v>9443</v>
      </c>
      <c r="Q1713" s="1" t="s">
        <v>9208</v>
      </c>
      <c r="R1713" s="1" t="s">
        <v>9209</v>
      </c>
      <c r="S1713" s="1" t="s">
        <v>9210</v>
      </c>
      <c r="T1713" s="1" t="s">
        <v>9211</v>
      </c>
      <c r="U1713" s="1" t="s">
        <v>9212</v>
      </c>
    </row>
    <row r="1714" customFormat="false" ht="13.8" hidden="false" customHeight="false" outlineLevel="0" collapsed="false">
      <c r="A1714" s="1" t="n">
        <v>1713</v>
      </c>
      <c r="B1714" s="2" t="s">
        <v>9213</v>
      </c>
      <c r="C1714" s="1" t="n">
        <v>3</v>
      </c>
      <c r="D1714" s="1" t="n">
        <v>10</v>
      </c>
      <c r="E1714" s="1" t="n">
        <v>16</v>
      </c>
      <c r="F1714" s="1" t="n">
        <v>23</v>
      </c>
      <c r="G1714" s="1" t="n">
        <v>27</v>
      </c>
      <c r="H1714" s="1" t="n">
        <v>29</v>
      </c>
      <c r="I1714" s="1" t="str">
        <f aca="false">RIGHT(("0"&amp;C1714),2)&amp;RIGHT(("0"&amp;D1714),2)&amp;RIGHT(("0"&amp;E1714),2)&amp;RIGHT(("0"&amp;F1714),2)&amp;RIGHT(("0"&amp;G1714),2)&amp;RIGHT(("0"&amp;H1714),2)</f>
        <v>031016232729</v>
      </c>
      <c r="J1714" s="1" t="n">
        <f aca="false">COUNTIF(I:I,I1714)</f>
        <v>1</v>
      </c>
      <c r="K1714" s="1" t="n">
        <v>2</v>
      </c>
      <c r="L1714" s="1" t="s">
        <v>9214</v>
      </c>
      <c r="M1714" s="1" t="s">
        <v>9215</v>
      </c>
      <c r="N1714" s="1" t="n">
        <v>388</v>
      </c>
      <c r="O1714" s="1" t="s">
        <v>9216</v>
      </c>
      <c r="P1714" s="1" t="n">
        <v>21476</v>
      </c>
      <c r="Q1714" s="1" t="s">
        <v>9217</v>
      </c>
      <c r="R1714" s="1" t="s">
        <v>23</v>
      </c>
      <c r="S1714" s="1" t="s">
        <v>9218</v>
      </c>
      <c r="T1714" s="1" t="s">
        <v>473</v>
      </c>
      <c r="U1714" s="1" t="s">
        <v>9219</v>
      </c>
    </row>
    <row r="1715" customFormat="false" ht="13.8" hidden="false" customHeight="false" outlineLevel="0" collapsed="false">
      <c r="A1715" s="1" t="n">
        <v>1714</v>
      </c>
      <c r="B1715" s="2" t="s">
        <v>9220</v>
      </c>
      <c r="C1715" s="1" t="n">
        <v>2</v>
      </c>
      <c r="D1715" s="1" t="n">
        <v>8</v>
      </c>
      <c r="E1715" s="1" t="n">
        <v>24</v>
      </c>
      <c r="F1715" s="1" t="n">
        <v>36</v>
      </c>
      <c r="G1715" s="1" t="n">
        <v>51</v>
      </c>
      <c r="H1715" s="1" t="n">
        <v>52</v>
      </c>
      <c r="I1715" s="1" t="str">
        <f aca="false">RIGHT(("0"&amp;C1715),2)&amp;RIGHT(("0"&amp;D1715),2)&amp;RIGHT(("0"&amp;E1715),2)&amp;RIGHT(("0"&amp;F1715),2)&amp;RIGHT(("0"&amp;G1715),2)&amp;RIGHT(("0"&amp;H1715),2)</f>
        <v>020824365152</v>
      </c>
      <c r="J1715" s="1" t="n">
        <f aca="false">COUNTIF(I:I,I1715)</f>
        <v>1</v>
      </c>
      <c r="K1715" s="1" t="n">
        <v>0</v>
      </c>
      <c r="M1715" s="1" t="s">
        <v>23</v>
      </c>
      <c r="N1715" s="1" t="n">
        <v>106</v>
      </c>
      <c r="O1715" s="1" t="s">
        <v>9221</v>
      </c>
      <c r="P1715" s="1" t="n">
        <v>5421</v>
      </c>
      <c r="Q1715" s="1" t="s">
        <v>9222</v>
      </c>
      <c r="R1715" s="1" t="s">
        <v>9223</v>
      </c>
      <c r="S1715" s="1" t="s">
        <v>9224</v>
      </c>
      <c r="T1715" s="1" t="s">
        <v>4304</v>
      </c>
      <c r="U1715" s="1" t="s">
        <v>9225</v>
      </c>
    </row>
    <row r="1716" customFormat="false" ht="13.8" hidden="false" customHeight="false" outlineLevel="0" collapsed="false">
      <c r="A1716" s="1" t="n">
        <v>1715</v>
      </c>
      <c r="B1716" s="2" t="s">
        <v>9226</v>
      </c>
      <c r="C1716" s="1" t="n">
        <v>16</v>
      </c>
      <c r="D1716" s="1" t="n">
        <v>20</v>
      </c>
      <c r="E1716" s="1" t="n">
        <v>35</v>
      </c>
      <c r="F1716" s="1" t="n">
        <v>40</v>
      </c>
      <c r="G1716" s="1" t="n">
        <v>53</v>
      </c>
      <c r="H1716" s="1" t="n">
        <v>60</v>
      </c>
      <c r="I1716" s="1" t="str">
        <f aca="false">RIGHT(("0"&amp;C1716),2)&amp;RIGHT(("0"&amp;D1716),2)&amp;RIGHT(("0"&amp;E1716),2)&amp;RIGHT(("0"&amp;F1716),2)&amp;RIGHT(("0"&amp;G1716),2)&amp;RIGHT(("0"&amp;H1716),2)</f>
        <v>162035405360</v>
      </c>
      <c r="J1716" s="1" t="n">
        <f aca="false">COUNTIF(I:I,I1716)</f>
        <v>1</v>
      </c>
      <c r="K1716" s="1" t="n">
        <v>0</v>
      </c>
      <c r="M1716" s="1" t="s">
        <v>23</v>
      </c>
      <c r="N1716" s="1" t="n">
        <v>58</v>
      </c>
      <c r="O1716" s="1" t="s">
        <v>9227</v>
      </c>
      <c r="P1716" s="1" t="n">
        <v>4649</v>
      </c>
      <c r="Q1716" s="1" t="s">
        <v>9228</v>
      </c>
      <c r="R1716" s="1" t="s">
        <v>9229</v>
      </c>
      <c r="S1716" s="1" t="s">
        <v>9230</v>
      </c>
      <c r="T1716" s="1" t="s">
        <v>4309</v>
      </c>
      <c r="U1716" s="1" t="s">
        <v>9231</v>
      </c>
    </row>
    <row r="1717" customFormat="false" ht="13.8" hidden="false" customHeight="false" outlineLevel="0" collapsed="false">
      <c r="A1717" s="1" t="n">
        <v>1716</v>
      </c>
      <c r="B1717" s="2" t="s">
        <v>9232</v>
      </c>
      <c r="C1717" s="1" t="n">
        <v>2</v>
      </c>
      <c r="D1717" s="1" t="n">
        <v>25</v>
      </c>
      <c r="E1717" s="1" t="n">
        <v>36</v>
      </c>
      <c r="F1717" s="1" t="n">
        <v>41</v>
      </c>
      <c r="G1717" s="1" t="n">
        <v>42</v>
      </c>
      <c r="H1717" s="1" t="n">
        <v>53</v>
      </c>
      <c r="I1717" s="1" t="str">
        <f aca="false">RIGHT(("0"&amp;C1717),2)&amp;RIGHT(("0"&amp;D1717),2)&amp;RIGHT(("0"&amp;E1717),2)&amp;RIGHT(("0"&amp;F1717),2)&amp;RIGHT(("0"&amp;G1717),2)&amp;RIGHT(("0"&amp;H1717),2)</f>
        <v>022536414253</v>
      </c>
      <c r="J1717" s="1" t="n">
        <f aca="false">COUNTIF(I:I,I1717)</f>
        <v>1</v>
      </c>
      <c r="K1717" s="1" t="n">
        <v>1</v>
      </c>
      <c r="L1717" s="1" t="s">
        <v>5484</v>
      </c>
      <c r="M1717" s="1" t="s">
        <v>9233</v>
      </c>
      <c r="N1717" s="1" t="n">
        <v>62</v>
      </c>
      <c r="O1717" s="1" t="s">
        <v>9234</v>
      </c>
      <c r="P1717" s="1" t="n">
        <v>5896</v>
      </c>
      <c r="Q1717" s="1" t="s">
        <v>9235</v>
      </c>
      <c r="R1717" s="1" t="s">
        <v>23</v>
      </c>
      <c r="S1717" s="1" t="s">
        <v>9236</v>
      </c>
      <c r="T1717" s="1" t="s">
        <v>473</v>
      </c>
      <c r="U1717" s="1" t="s">
        <v>9237</v>
      </c>
    </row>
    <row r="1718" customFormat="false" ht="13.8" hidden="false" customHeight="false" outlineLevel="0" collapsed="false">
      <c r="A1718" s="1" t="n">
        <v>1717</v>
      </c>
      <c r="B1718" s="2" t="s">
        <v>9238</v>
      </c>
      <c r="C1718" s="1" t="n">
        <v>2</v>
      </c>
      <c r="D1718" s="1" t="n">
        <v>9</v>
      </c>
      <c r="E1718" s="1" t="n">
        <v>16</v>
      </c>
      <c r="F1718" s="1" t="n">
        <v>37</v>
      </c>
      <c r="G1718" s="1" t="n">
        <v>44</v>
      </c>
      <c r="H1718" s="1" t="n">
        <v>58</v>
      </c>
      <c r="I1718" s="1" t="str">
        <f aca="false">RIGHT(("0"&amp;C1718),2)&amp;RIGHT(("0"&amp;D1718),2)&amp;RIGHT(("0"&amp;E1718),2)&amp;RIGHT(("0"&amp;F1718),2)&amp;RIGHT(("0"&amp;G1718),2)&amp;RIGHT(("0"&amp;H1718),2)</f>
        <v>020916374458</v>
      </c>
      <c r="J1718" s="1" t="n">
        <f aca="false">COUNTIF(I:I,I1718)</f>
        <v>1</v>
      </c>
      <c r="K1718" s="1" t="n">
        <v>0</v>
      </c>
      <c r="M1718" s="1" t="s">
        <v>23</v>
      </c>
      <c r="N1718" s="1" t="n">
        <v>122</v>
      </c>
      <c r="O1718" s="1" t="s">
        <v>9239</v>
      </c>
      <c r="P1718" s="1" t="n">
        <v>4934</v>
      </c>
      <c r="Q1718" s="1" t="s">
        <v>9240</v>
      </c>
      <c r="R1718" s="1" t="s">
        <v>9241</v>
      </c>
      <c r="S1718" s="1" t="s">
        <v>9242</v>
      </c>
      <c r="T1718" s="1" t="s">
        <v>9243</v>
      </c>
      <c r="U1718" s="1" t="s">
        <v>9244</v>
      </c>
    </row>
    <row r="1719" customFormat="false" ht="13.8" hidden="false" customHeight="false" outlineLevel="0" collapsed="false">
      <c r="A1719" s="1" t="n">
        <v>1718</v>
      </c>
      <c r="B1719" s="2" t="s">
        <v>9245</v>
      </c>
      <c r="C1719" s="1" t="n">
        <v>4</v>
      </c>
      <c r="D1719" s="1" t="n">
        <v>30</v>
      </c>
      <c r="E1719" s="1" t="n">
        <v>31</v>
      </c>
      <c r="F1719" s="1" t="n">
        <v>32</v>
      </c>
      <c r="G1719" s="1" t="n">
        <v>47</v>
      </c>
      <c r="H1719" s="1" t="n">
        <v>53</v>
      </c>
      <c r="I1719" s="1" t="str">
        <f aca="false">RIGHT(("0"&amp;C1719),2)&amp;RIGHT(("0"&amp;D1719),2)&amp;RIGHT(("0"&amp;E1719),2)&amp;RIGHT(("0"&amp;F1719),2)&amp;RIGHT(("0"&amp;G1719),2)&amp;RIGHT(("0"&amp;H1719),2)</f>
        <v>043031324753</v>
      </c>
      <c r="J1719" s="1" t="n">
        <f aca="false">COUNTIF(I:I,I1719)</f>
        <v>1</v>
      </c>
      <c r="K1719" s="1" t="n">
        <v>0</v>
      </c>
      <c r="M1719" s="1" t="s">
        <v>23</v>
      </c>
      <c r="N1719" s="1" t="n">
        <v>49</v>
      </c>
      <c r="O1719" s="1" t="s">
        <v>9246</v>
      </c>
      <c r="P1719" s="1" t="n">
        <v>3197</v>
      </c>
      <c r="Q1719" s="1" t="s">
        <v>9247</v>
      </c>
      <c r="R1719" s="1" t="s">
        <v>9248</v>
      </c>
      <c r="S1719" s="1" t="s">
        <v>9249</v>
      </c>
      <c r="T1719" s="1" t="s">
        <v>9250</v>
      </c>
      <c r="U1719" s="1" t="s">
        <v>9251</v>
      </c>
    </row>
    <row r="1720" customFormat="false" ht="13.8" hidden="false" customHeight="false" outlineLevel="0" collapsed="false">
      <c r="A1720" s="1" t="n">
        <v>1719</v>
      </c>
      <c r="B1720" s="2" t="s">
        <v>9252</v>
      </c>
      <c r="C1720" s="1" t="n">
        <v>1</v>
      </c>
      <c r="D1720" s="1" t="n">
        <v>22</v>
      </c>
      <c r="E1720" s="1" t="n">
        <v>31</v>
      </c>
      <c r="F1720" s="1" t="n">
        <v>34</v>
      </c>
      <c r="G1720" s="1" t="n">
        <v>44</v>
      </c>
      <c r="H1720" s="1" t="n">
        <v>54</v>
      </c>
      <c r="I1720" s="1" t="str">
        <f aca="false">RIGHT(("0"&amp;C1720),2)&amp;RIGHT(("0"&amp;D1720),2)&amp;RIGHT(("0"&amp;E1720),2)&amp;RIGHT(("0"&amp;F1720),2)&amp;RIGHT(("0"&amp;G1720),2)&amp;RIGHT(("0"&amp;H1720),2)</f>
        <v>012231344454</v>
      </c>
      <c r="J1720" s="1" t="n">
        <f aca="false">COUNTIF(I:I,I1720)</f>
        <v>1</v>
      </c>
      <c r="K1720" s="1" t="n">
        <v>0</v>
      </c>
      <c r="M1720" s="1" t="s">
        <v>23</v>
      </c>
      <c r="N1720" s="1" t="n">
        <v>45</v>
      </c>
      <c r="O1720" s="1" t="s">
        <v>9253</v>
      </c>
      <c r="P1720" s="1" t="n">
        <v>3009</v>
      </c>
      <c r="Q1720" s="1" t="s">
        <v>9254</v>
      </c>
      <c r="R1720" s="1" t="s">
        <v>9255</v>
      </c>
      <c r="S1720" s="1" t="s">
        <v>9256</v>
      </c>
      <c r="T1720" s="1" t="s">
        <v>4304</v>
      </c>
      <c r="U1720" s="1" t="s">
        <v>9257</v>
      </c>
    </row>
    <row r="1721" customFormat="false" ht="13.8" hidden="false" customHeight="false" outlineLevel="0" collapsed="false">
      <c r="A1721" s="1" t="n">
        <v>1720</v>
      </c>
      <c r="B1721" s="2" t="s">
        <v>9258</v>
      </c>
      <c r="C1721" s="1" t="n">
        <v>18</v>
      </c>
      <c r="D1721" s="1" t="n">
        <v>23</v>
      </c>
      <c r="E1721" s="1" t="n">
        <v>31</v>
      </c>
      <c r="F1721" s="1" t="n">
        <v>39</v>
      </c>
      <c r="G1721" s="1" t="n">
        <v>49</v>
      </c>
      <c r="H1721" s="1" t="n">
        <v>57</v>
      </c>
      <c r="I1721" s="1" t="str">
        <f aca="false">RIGHT(("0"&amp;C1721),2)&amp;RIGHT(("0"&amp;D1721),2)&amp;RIGHT(("0"&amp;E1721),2)&amp;RIGHT(("0"&amp;F1721),2)&amp;RIGHT(("0"&amp;G1721),2)&amp;RIGHT(("0"&amp;H1721),2)</f>
        <v>182331394957</v>
      </c>
      <c r="J1721" s="1" t="n">
        <f aca="false">COUNTIF(I:I,I1721)</f>
        <v>1</v>
      </c>
      <c r="K1721" s="1" t="n">
        <v>0</v>
      </c>
      <c r="M1721" s="1" t="s">
        <v>23</v>
      </c>
      <c r="N1721" s="1" t="n">
        <v>47</v>
      </c>
      <c r="O1721" s="1" t="s">
        <v>9259</v>
      </c>
      <c r="P1721" s="1" t="n">
        <v>3410</v>
      </c>
      <c r="Q1721" s="1" t="s">
        <v>9260</v>
      </c>
      <c r="R1721" s="1" t="s">
        <v>9261</v>
      </c>
      <c r="S1721" s="1" t="s">
        <v>9262</v>
      </c>
      <c r="T1721" s="1" t="s">
        <v>4968</v>
      </c>
      <c r="U1721" s="1" t="s">
        <v>9263</v>
      </c>
    </row>
    <row r="1722" customFormat="false" ht="13.8" hidden="false" customHeight="false" outlineLevel="0" collapsed="false">
      <c r="A1722" s="1" t="n">
        <v>1721</v>
      </c>
      <c r="B1722" s="2" t="s">
        <v>9264</v>
      </c>
      <c r="C1722" s="1" t="n">
        <v>4</v>
      </c>
      <c r="D1722" s="1" t="n">
        <v>12</v>
      </c>
      <c r="E1722" s="1" t="n">
        <v>19</v>
      </c>
      <c r="F1722" s="1" t="n">
        <v>33</v>
      </c>
      <c r="G1722" s="1" t="n">
        <v>36</v>
      </c>
      <c r="H1722" s="1" t="n">
        <v>38</v>
      </c>
      <c r="I1722" s="1" t="str">
        <f aca="false">RIGHT(("0"&amp;C1722),2)&amp;RIGHT(("0"&amp;D1722),2)&amp;RIGHT(("0"&amp;E1722),2)&amp;RIGHT(("0"&amp;F1722),2)&amp;RIGHT(("0"&amp;G1722),2)&amp;RIGHT(("0"&amp;H1722),2)</f>
        <v>041219333638</v>
      </c>
      <c r="J1722" s="1" t="n">
        <f aca="false">COUNTIF(I:I,I1722)</f>
        <v>1</v>
      </c>
      <c r="K1722" s="1" t="n">
        <v>1</v>
      </c>
      <c r="L1722" s="1" t="s">
        <v>9265</v>
      </c>
      <c r="M1722" s="1" t="s">
        <v>9266</v>
      </c>
      <c r="N1722" s="1" t="n">
        <v>188</v>
      </c>
      <c r="O1722" s="1" t="s">
        <v>9267</v>
      </c>
      <c r="P1722" s="1" t="n">
        <v>9668</v>
      </c>
      <c r="Q1722" s="1" t="s">
        <v>9268</v>
      </c>
      <c r="R1722" s="1" t="s">
        <v>23</v>
      </c>
      <c r="S1722" s="1" t="s">
        <v>9269</v>
      </c>
      <c r="T1722" s="1" t="s">
        <v>473</v>
      </c>
      <c r="U1722" s="1" t="s">
        <v>9270</v>
      </c>
    </row>
    <row r="1723" customFormat="false" ht="13.8" hidden="false" customHeight="false" outlineLevel="0" collapsed="false">
      <c r="A1723" s="1" t="n">
        <v>1722</v>
      </c>
      <c r="B1723" s="2" t="s">
        <v>9271</v>
      </c>
      <c r="C1723" s="1" t="n">
        <v>9</v>
      </c>
      <c r="D1723" s="1" t="n">
        <v>23</v>
      </c>
      <c r="E1723" s="1" t="n">
        <v>39</v>
      </c>
      <c r="F1723" s="1" t="n">
        <v>41</v>
      </c>
      <c r="G1723" s="1" t="n">
        <v>49</v>
      </c>
      <c r="H1723" s="1" t="n">
        <v>58</v>
      </c>
      <c r="I1723" s="1" t="str">
        <f aca="false">RIGHT(("0"&amp;C1723),2)&amp;RIGHT(("0"&amp;D1723),2)&amp;RIGHT(("0"&amp;E1723),2)&amp;RIGHT(("0"&amp;F1723),2)&amp;RIGHT(("0"&amp;G1723),2)&amp;RIGHT(("0"&amp;H1723),2)</f>
        <v>092339414958</v>
      </c>
      <c r="J1723" s="1" t="n">
        <f aca="false">COUNTIF(I:I,I1723)</f>
        <v>1</v>
      </c>
      <c r="K1723" s="1" t="n">
        <v>0</v>
      </c>
      <c r="M1723" s="1" t="s">
        <v>23</v>
      </c>
      <c r="N1723" s="1" t="n">
        <v>33</v>
      </c>
      <c r="O1723" s="1" t="s">
        <v>9272</v>
      </c>
      <c r="P1723" s="1" t="n">
        <v>2640</v>
      </c>
      <c r="Q1723" s="1" t="s">
        <v>9273</v>
      </c>
      <c r="R1723" s="1" t="s">
        <v>9274</v>
      </c>
      <c r="S1723" s="1" t="s">
        <v>9275</v>
      </c>
      <c r="T1723" s="1" t="s">
        <v>4232</v>
      </c>
      <c r="U1723" s="1" t="s">
        <v>9276</v>
      </c>
    </row>
    <row r="1724" customFormat="false" ht="13.8" hidden="false" customHeight="false" outlineLevel="0" collapsed="false">
      <c r="A1724" s="1" t="n">
        <v>1723</v>
      </c>
      <c r="B1724" s="2" t="s">
        <v>9277</v>
      </c>
      <c r="C1724" s="1" t="n">
        <v>14</v>
      </c>
      <c r="D1724" s="1" t="n">
        <v>27</v>
      </c>
      <c r="E1724" s="1" t="n">
        <v>30</v>
      </c>
      <c r="F1724" s="1" t="n">
        <v>46</v>
      </c>
      <c r="G1724" s="1" t="n">
        <v>52</v>
      </c>
      <c r="H1724" s="1" t="n">
        <v>60</v>
      </c>
      <c r="I1724" s="1" t="str">
        <f aca="false">RIGHT(("0"&amp;C1724),2)&amp;RIGHT(("0"&amp;D1724),2)&amp;RIGHT(("0"&amp;E1724),2)&amp;RIGHT(("0"&amp;F1724),2)&amp;RIGHT(("0"&amp;G1724),2)&amp;RIGHT(("0"&amp;H1724),2)</f>
        <v>142730465260</v>
      </c>
      <c r="J1724" s="1" t="n">
        <f aca="false">COUNTIF(I:I,I1724)</f>
        <v>1</v>
      </c>
      <c r="K1724" s="1" t="n">
        <v>0</v>
      </c>
      <c r="M1724" s="1" t="s">
        <v>23</v>
      </c>
      <c r="N1724" s="1" t="n">
        <v>54</v>
      </c>
      <c r="O1724" s="1" t="s">
        <v>9278</v>
      </c>
      <c r="P1724" s="1" t="n">
        <v>3169</v>
      </c>
      <c r="Q1724" s="1" t="s">
        <v>9279</v>
      </c>
      <c r="R1724" s="1" t="s">
        <v>9280</v>
      </c>
      <c r="S1724" s="1" t="s">
        <v>9281</v>
      </c>
      <c r="T1724" s="1" t="s">
        <v>4461</v>
      </c>
      <c r="U1724" s="1" t="s">
        <v>9282</v>
      </c>
    </row>
    <row r="1725" customFormat="false" ht="13.8" hidden="false" customHeight="false" outlineLevel="0" collapsed="false">
      <c r="A1725" s="1" t="n">
        <v>1724</v>
      </c>
      <c r="B1725" s="2" t="s">
        <v>9283</v>
      </c>
      <c r="C1725" s="1" t="n">
        <v>27</v>
      </c>
      <c r="D1725" s="1" t="n">
        <v>33</v>
      </c>
      <c r="E1725" s="1" t="n">
        <v>37</v>
      </c>
      <c r="F1725" s="1" t="n">
        <v>39</v>
      </c>
      <c r="G1725" s="1" t="n">
        <v>58</v>
      </c>
      <c r="H1725" s="1" t="n">
        <v>60</v>
      </c>
      <c r="I1725" s="1" t="str">
        <f aca="false">RIGHT(("0"&amp;C1725),2)&amp;RIGHT(("0"&amp;D1725),2)&amp;RIGHT(("0"&amp;E1725),2)&amp;RIGHT(("0"&amp;F1725),2)&amp;RIGHT(("0"&amp;G1725),2)&amp;RIGHT(("0"&amp;H1725),2)</f>
        <v>273337395860</v>
      </c>
      <c r="J1725" s="1" t="n">
        <f aca="false">COUNTIF(I:I,I1725)</f>
        <v>1</v>
      </c>
      <c r="K1725" s="1" t="n">
        <v>0</v>
      </c>
      <c r="M1725" s="1" t="s">
        <v>23</v>
      </c>
      <c r="N1725" s="1" t="n">
        <v>53</v>
      </c>
      <c r="O1725" s="1" t="s">
        <v>9284</v>
      </c>
      <c r="P1725" s="1" t="n">
        <v>4281</v>
      </c>
      <c r="Q1725" s="1" t="s">
        <v>9285</v>
      </c>
      <c r="R1725" s="1" t="s">
        <v>9286</v>
      </c>
      <c r="S1725" s="1" t="s">
        <v>9287</v>
      </c>
      <c r="T1725" s="1" t="s">
        <v>4935</v>
      </c>
      <c r="U1725" s="1" t="s">
        <v>9288</v>
      </c>
    </row>
    <row r="1726" customFormat="false" ht="13.8" hidden="false" customHeight="false" outlineLevel="0" collapsed="false">
      <c r="A1726" s="1" t="n">
        <v>1725</v>
      </c>
      <c r="B1726" s="2" t="s">
        <v>9289</v>
      </c>
      <c r="C1726" s="1" t="n">
        <v>16</v>
      </c>
      <c r="D1726" s="1" t="n">
        <v>18</v>
      </c>
      <c r="E1726" s="1" t="n">
        <v>26</v>
      </c>
      <c r="F1726" s="1" t="n">
        <v>30</v>
      </c>
      <c r="G1726" s="1" t="n">
        <v>31</v>
      </c>
      <c r="H1726" s="1" t="n">
        <v>34</v>
      </c>
      <c r="I1726" s="1" t="str">
        <f aca="false">RIGHT(("0"&amp;C1726),2)&amp;RIGHT(("0"&amp;D1726),2)&amp;RIGHT(("0"&amp;E1726),2)&amp;RIGHT(("0"&amp;F1726),2)&amp;RIGHT(("0"&amp;G1726),2)&amp;RIGHT(("0"&amp;H1726),2)</f>
        <v>161826303134</v>
      </c>
      <c r="J1726" s="1" t="n">
        <f aca="false">COUNTIF(I:I,I1726)</f>
        <v>1</v>
      </c>
      <c r="K1726" s="1" t="n">
        <v>0</v>
      </c>
      <c r="M1726" s="1" t="s">
        <v>23</v>
      </c>
      <c r="N1726" s="1" t="n">
        <v>51</v>
      </c>
      <c r="O1726" s="1" t="s">
        <v>9290</v>
      </c>
      <c r="P1726" s="1" t="n">
        <v>5054</v>
      </c>
      <c r="Q1726" s="1" t="s">
        <v>9291</v>
      </c>
      <c r="R1726" s="1" t="s">
        <v>9292</v>
      </c>
      <c r="S1726" s="1" t="s">
        <v>9293</v>
      </c>
      <c r="T1726" s="1" t="s">
        <v>9294</v>
      </c>
      <c r="U1726" s="1" t="s">
        <v>9295</v>
      </c>
    </row>
    <row r="1727" customFormat="false" ht="13.8" hidden="false" customHeight="false" outlineLevel="0" collapsed="false">
      <c r="A1727" s="1" t="n">
        <v>1726</v>
      </c>
      <c r="B1727" s="2" t="s">
        <v>9296</v>
      </c>
      <c r="C1727" s="1" t="n">
        <v>3</v>
      </c>
      <c r="D1727" s="1" t="n">
        <v>10</v>
      </c>
      <c r="E1727" s="1" t="n">
        <v>42</v>
      </c>
      <c r="F1727" s="1" t="n">
        <v>49</v>
      </c>
      <c r="G1727" s="1" t="n">
        <v>54</v>
      </c>
      <c r="H1727" s="1" t="n">
        <v>57</v>
      </c>
      <c r="I1727" s="1" t="str">
        <f aca="false">RIGHT(("0"&amp;C1727),2)&amp;RIGHT(("0"&amp;D1727),2)&amp;RIGHT(("0"&amp;E1727),2)&amp;RIGHT(("0"&amp;F1727),2)&amp;RIGHT(("0"&amp;G1727),2)&amp;RIGHT(("0"&amp;H1727),2)</f>
        <v>031042495457</v>
      </c>
      <c r="J1727" s="1" t="n">
        <f aca="false">COUNTIF(I:I,I1727)</f>
        <v>1</v>
      </c>
      <c r="K1727" s="1" t="n">
        <v>0</v>
      </c>
      <c r="M1727" s="1" t="s">
        <v>23</v>
      </c>
      <c r="N1727" s="1" t="n">
        <v>111</v>
      </c>
      <c r="O1727" s="1" t="s">
        <v>9297</v>
      </c>
      <c r="P1727" s="1" t="n">
        <v>7581</v>
      </c>
      <c r="Q1727" s="1" t="s">
        <v>9298</v>
      </c>
      <c r="R1727" s="1" t="s">
        <v>9299</v>
      </c>
      <c r="S1727" s="1" t="s">
        <v>9300</v>
      </c>
      <c r="T1727" s="1" t="s">
        <v>6077</v>
      </c>
      <c r="U1727" s="1" t="s">
        <v>9301</v>
      </c>
    </row>
    <row r="1728" customFormat="false" ht="13.8" hidden="false" customHeight="false" outlineLevel="0" collapsed="false">
      <c r="A1728" s="1" t="n">
        <v>1727</v>
      </c>
      <c r="B1728" s="2" t="s">
        <v>9302</v>
      </c>
      <c r="C1728" s="1" t="n">
        <v>4</v>
      </c>
      <c r="D1728" s="1" t="n">
        <v>6</v>
      </c>
      <c r="E1728" s="1" t="n">
        <v>19</v>
      </c>
      <c r="F1728" s="1" t="n">
        <v>20</v>
      </c>
      <c r="G1728" s="1" t="n">
        <v>40</v>
      </c>
      <c r="H1728" s="1" t="n">
        <v>41</v>
      </c>
      <c r="I1728" s="1" t="str">
        <f aca="false">RIGHT(("0"&amp;C1728),2)&amp;RIGHT(("0"&amp;D1728),2)&amp;RIGHT(("0"&amp;E1728),2)&amp;RIGHT(("0"&amp;F1728),2)&amp;RIGHT(("0"&amp;G1728),2)&amp;RIGHT(("0"&amp;H1728),2)</f>
        <v>040619204041</v>
      </c>
      <c r="J1728" s="1" t="n">
        <f aca="false">COUNTIF(I:I,I1728)</f>
        <v>1</v>
      </c>
      <c r="K1728" s="1" t="n">
        <v>1</v>
      </c>
      <c r="L1728" s="1" t="s">
        <v>5484</v>
      </c>
      <c r="M1728" s="1" t="s">
        <v>9303</v>
      </c>
      <c r="N1728" s="1" t="n">
        <v>122</v>
      </c>
      <c r="O1728" s="1" t="s">
        <v>9304</v>
      </c>
      <c r="P1728" s="1" t="n">
        <v>8814</v>
      </c>
      <c r="Q1728" s="1" t="s">
        <v>9305</v>
      </c>
      <c r="R1728" s="1" t="s">
        <v>23</v>
      </c>
      <c r="S1728" s="1" t="s">
        <v>9306</v>
      </c>
      <c r="T1728" s="1" t="s">
        <v>473</v>
      </c>
      <c r="U1728" s="1" t="s">
        <v>9307</v>
      </c>
    </row>
    <row r="1729" customFormat="false" ht="13.8" hidden="false" customHeight="false" outlineLevel="0" collapsed="false">
      <c r="A1729" s="1" t="n">
        <v>1728</v>
      </c>
      <c r="B1729" s="2" t="s">
        <v>9308</v>
      </c>
      <c r="C1729" s="1" t="n">
        <v>3</v>
      </c>
      <c r="D1729" s="1" t="n">
        <v>8</v>
      </c>
      <c r="E1729" s="1" t="n">
        <v>28</v>
      </c>
      <c r="F1729" s="1" t="n">
        <v>39</v>
      </c>
      <c r="G1729" s="1" t="n">
        <v>42</v>
      </c>
      <c r="H1729" s="1" t="n">
        <v>59</v>
      </c>
      <c r="I1729" s="1" t="str">
        <f aca="false">RIGHT(("0"&amp;C1729),2)&amp;RIGHT(("0"&amp;D1729),2)&amp;RIGHT(("0"&amp;E1729),2)&amp;RIGHT(("0"&amp;F1729),2)&amp;RIGHT(("0"&amp;G1729),2)&amp;RIGHT(("0"&amp;H1729),2)</f>
        <v>030828394259</v>
      </c>
      <c r="J1729" s="1" t="n">
        <f aca="false">COUNTIF(I:I,I1729)</f>
        <v>1</v>
      </c>
      <c r="K1729" s="1" t="n">
        <v>0</v>
      </c>
      <c r="M1729" s="1" t="s">
        <v>23</v>
      </c>
      <c r="N1729" s="1" t="n">
        <v>45</v>
      </c>
      <c r="O1729" s="1" t="s">
        <v>9309</v>
      </c>
      <c r="P1729" s="1" t="n">
        <v>3617</v>
      </c>
      <c r="Q1729" s="1" t="s">
        <v>9310</v>
      </c>
      <c r="R1729" s="1" t="s">
        <v>9311</v>
      </c>
      <c r="S1729" s="1" t="s">
        <v>9312</v>
      </c>
      <c r="T1729" s="1" t="s">
        <v>4991</v>
      </c>
      <c r="U1729" s="1" t="s">
        <v>9313</v>
      </c>
    </row>
    <row r="1730" customFormat="false" ht="13.8" hidden="false" customHeight="false" outlineLevel="0" collapsed="false">
      <c r="A1730" s="1" t="n">
        <v>1729</v>
      </c>
      <c r="B1730" s="2" t="s">
        <v>9314</v>
      </c>
      <c r="C1730" s="1" t="n">
        <v>7</v>
      </c>
      <c r="D1730" s="1" t="n">
        <v>14</v>
      </c>
      <c r="E1730" s="1" t="n">
        <v>23</v>
      </c>
      <c r="F1730" s="1" t="n">
        <v>43</v>
      </c>
      <c r="G1730" s="1" t="n">
        <v>44</v>
      </c>
      <c r="H1730" s="1" t="n">
        <v>53</v>
      </c>
      <c r="I1730" s="1" t="str">
        <f aca="false">RIGHT(("0"&amp;C1730),2)&amp;RIGHT(("0"&amp;D1730),2)&amp;RIGHT(("0"&amp;E1730),2)&amp;RIGHT(("0"&amp;F1730),2)&amp;RIGHT(("0"&amp;G1730),2)&amp;RIGHT(("0"&amp;H1730),2)</f>
        <v>071423434453</v>
      </c>
      <c r="J1730" s="1" t="n">
        <f aca="false">COUNTIF(I:I,I1730)</f>
        <v>1</v>
      </c>
      <c r="K1730" s="1" t="n">
        <v>0</v>
      </c>
      <c r="M1730" s="1" t="s">
        <v>23</v>
      </c>
      <c r="N1730" s="1" t="n">
        <v>39</v>
      </c>
      <c r="O1730" s="1" t="s">
        <v>9315</v>
      </c>
      <c r="P1730" s="1" t="n">
        <v>2553</v>
      </c>
      <c r="Q1730" s="1" t="s">
        <v>9316</v>
      </c>
      <c r="R1730" s="1" t="s">
        <v>9317</v>
      </c>
      <c r="S1730" s="1" t="s">
        <v>9318</v>
      </c>
      <c r="T1730" s="1" t="s">
        <v>5281</v>
      </c>
      <c r="U1730" s="1" t="s">
        <v>9319</v>
      </c>
    </row>
    <row r="1731" customFormat="false" ht="13.8" hidden="false" customHeight="false" outlineLevel="0" collapsed="false">
      <c r="A1731" s="1" t="n">
        <v>1730</v>
      </c>
      <c r="B1731" s="2" t="s">
        <v>9320</v>
      </c>
      <c r="C1731" s="1" t="n">
        <v>1</v>
      </c>
      <c r="D1731" s="1" t="n">
        <v>10</v>
      </c>
      <c r="E1731" s="1" t="n">
        <v>17</v>
      </c>
      <c r="F1731" s="1" t="n">
        <v>24</v>
      </c>
      <c r="G1731" s="1" t="n">
        <v>42</v>
      </c>
      <c r="H1731" s="1" t="n">
        <v>51</v>
      </c>
      <c r="I1731" s="1" t="str">
        <f aca="false">RIGHT(("0"&amp;C1731),2)&amp;RIGHT(("0"&amp;D1731),2)&amp;RIGHT(("0"&amp;E1731),2)&amp;RIGHT(("0"&amp;F1731),2)&amp;RIGHT(("0"&amp;G1731),2)&amp;RIGHT(("0"&amp;H1731),2)</f>
        <v>011017244251</v>
      </c>
      <c r="J1731" s="1" t="n">
        <f aca="false">COUNTIF(I:I,I1731)</f>
        <v>1</v>
      </c>
      <c r="K1731" s="1" t="n">
        <v>2</v>
      </c>
      <c r="L1731" s="1" t="s">
        <v>9321</v>
      </c>
      <c r="M1731" s="1" t="s">
        <v>9322</v>
      </c>
      <c r="N1731" s="1" t="n">
        <v>195</v>
      </c>
      <c r="O1731" s="1" t="s">
        <v>9323</v>
      </c>
      <c r="P1731" s="1" t="n">
        <v>10089</v>
      </c>
      <c r="Q1731" s="1" t="s">
        <v>9324</v>
      </c>
      <c r="R1731" s="1" t="s">
        <v>23</v>
      </c>
      <c r="S1731" s="1" t="s">
        <v>9325</v>
      </c>
      <c r="T1731" s="1" t="s">
        <v>473</v>
      </c>
      <c r="U1731" s="1" t="s">
        <v>9326</v>
      </c>
    </row>
    <row r="1732" customFormat="false" ht="13.8" hidden="false" customHeight="false" outlineLevel="0" collapsed="false">
      <c r="A1732" s="1" t="n">
        <v>1731</v>
      </c>
      <c r="B1732" s="2" t="s">
        <v>9327</v>
      </c>
      <c r="C1732" s="1" t="n">
        <v>5</v>
      </c>
      <c r="D1732" s="1" t="n">
        <v>18</v>
      </c>
      <c r="E1732" s="1" t="n">
        <v>27</v>
      </c>
      <c r="F1732" s="1" t="n">
        <v>43</v>
      </c>
      <c r="G1732" s="1" t="n">
        <v>49</v>
      </c>
      <c r="H1732" s="1" t="n">
        <v>59</v>
      </c>
      <c r="I1732" s="1" t="str">
        <f aca="false">RIGHT(("0"&amp;C1732),2)&amp;RIGHT(("0"&amp;D1732),2)&amp;RIGHT(("0"&amp;E1732),2)&amp;RIGHT(("0"&amp;F1732),2)&amp;RIGHT(("0"&amp;G1732),2)&amp;RIGHT(("0"&amp;H1732),2)</f>
        <v>051827434959</v>
      </c>
      <c r="J1732" s="1" t="n">
        <f aca="false">COUNTIF(I:I,I1732)</f>
        <v>1</v>
      </c>
      <c r="K1732" s="1" t="n">
        <v>0</v>
      </c>
      <c r="M1732" s="1" t="s">
        <v>23</v>
      </c>
      <c r="N1732" s="1" t="n">
        <v>68</v>
      </c>
      <c r="O1732" s="1" t="s">
        <v>9328</v>
      </c>
      <c r="P1732" s="1" t="n">
        <v>4160</v>
      </c>
      <c r="Q1732" s="1" t="s">
        <v>9329</v>
      </c>
      <c r="R1732" s="1" t="s">
        <v>9330</v>
      </c>
      <c r="S1732" s="1" t="s">
        <v>9331</v>
      </c>
      <c r="T1732" s="1" t="s">
        <v>4232</v>
      </c>
      <c r="U1732" s="1" t="s">
        <v>9332</v>
      </c>
    </row>
    <row r="1733" customFormat="false" ht="13.8" hidden="false" customHeight="false" outlineLevel="0" collapsed="false">
      <c r="A1733" s="1" t="n">
        <v>1732</v>
      </c>
      <c r="B1733" s="2" t="s">
        <v>9333</v>
      </c>
      <c r="C1733" s="1" t="n">
        <v>25</v>
      </c>
      <c r="D1733" s="1" t="n">
        <v>34</v>
      </c>
      <c r="E1733" s="1" t="n">
        <v>38</v>
      </c>
      <c r="F1733" s="1" t="n">
        <v>45</v>
      </c>
      <c r="G1733" s="1" t="n">
        <v>53</v>
      </c>
      <c r="H1733" s="1" t="n">
        <v>60</v>
      </c>
      <c r="I1733" s="1" t="str">
        <f aca="false">RIGHT(("0"&amp;C1733),2)&amp;RIGHT(("0"&amp;D1733),2)&amp;RIGHT(("0"&amp;E1733),2)&amp;RIGHT(("0"&amp;F1733),2)&amp;RIGHT(("0"&amp;G1733),2)&amp;RIGHT(("0"&amp;H1733),2)</f>
        <v>253438455360</v>
      </c>
      <c r="J1733" s="1" t="n">
        <f aca="false">COUNTIF(I:I,I1733)</f>
        <v>1</v>
      </c>
      <c r="K1733" s="1" t="n">
        <v>1</v>
      </c>
      <c r="L1733" s="1" t="s">
        <v>5310</v>
      </c>
      <c r="M1733" s="1" t="s">
        <v>9334</v>
      </c>
      <c r="N1733" s="1" t="n">
        <v>73</v>
      </c>
      <c r="O1733" s="1" t="s">
        <v>9335</v>
      </c>
      <c r="P1733" s="1" t="n">
        <v>3177</v>
      </c>
      <c r="Q1733" s="1" t="s">
        <v>9336</v>
      </c>
      <c r="R1733" s="1" t="s">
        <v>23</v>
      </c>
      <c r="S1733" s="1" t="s">
        <v>9337</v>
      </c>
      <c r="T1733" s="1" t="s">
        <v>473</v>
      </c>
      <c r="U1733" s="1" t="s">
        <v>9338</v>
      </c>
    </row>
    <row r="1734" customFormat="false" ht="13.8" hidden="false" customHeight="false" outlineLevel="0" collapsed="false">
      <c r="A1734" s="1" t="n">
        <v>1733</v>
      </c>
      <c r="B1734" s="2" t="s">
        <v>9339</v>
      </c>
      <c r="C1734" s="1" t="n">
        <v>3</v>
      </c>
      <c r="D1734" s="1" t="n">
        <v>5</v>
      </c>
      <c r="E1734" s="1" t="n">
        <v>9</v>
      </c>
      <c r="F1734" s="1" t="n">
        <v>14</v>
      </c>
      <c r="G1734" s="1" t="n">
        <v>41</v>
      </c>
      <c r="H1734" s="1" t="n">
        <v>46</v>
      </c>
      <c r="I1734" s="1" t="str">
        <f aca="false">RIGHT(("0"&amp;C1734),2)&amp;RIGHT(("0"&amp;D1734),2)&amp;RIGHT(("0"&amp;E1734),2)&amp;RIGHT(("0"&amp;F1734),2)&amp;RIGHT(("0"&amp;G1734),2)&amp;RIGHT(("0"&amp;H1734),2)</f>
        <v>030509144146</v>
      </c>
      <c r="J1734" s="1" t="n">
        <f aca="false">COUNTIF(I:I,I1734)</f>
        <v>1</v>
      </c>
      <c r="K1734" s="1" t="n">
        <v>1</v>
      </c>
      <c r="L1734" s="1" t="s">
        <v>9340</v>
      </c>
      <c r="M1734" s="1" t="s">
        <v>9341</v>
      </c>
      <c r="N1734" s="1" t="n">
        <v>63</v>
      </c>
      <c r="O1734" s="1" t="s">
        <v>9342</v>
      </c>
      <c r="P1734" s="1" t="n">
        <v>4818</v>
      </c>
      <c r="Q1734" s="1" t="s">
        <v>9343</v>
      </c>
      <c r="R1734" s="1" t="s">
        <v>23</v>
      </c>
      <c r="S1734" s="1" t="s">
        <v>9344</v>
      </c>
      <c r="T1734" s="1" t="s">
        <v>473</v>
      </c>
      <c r="U1734" s="1" t="s">
        <v>9345</v>
      </c>
    </row>
    <row r="1735" customFormat="false" ht="13.8" hidden="false" customHeight="false" outlineLevel="0" collapsed="false">
      <c r="A1735" s="1" t="n">
        <v>1734</v>
      </c>
      <c r="B1735" s="2" t="s">
        <v>9346</v>
      </c>
      <c r="C1735" s="1" t="n">
        <v>12</v>
      </c>
      <c r="D1735" s="1" t="n">
        <v>17</v>
      </c>
      <c r="E1735" s="1" t="n">
        <v>25</v>
      </c>
      <c r="F1735" s="1" t="n">
        <v>29</v>
      </c>
      <c r="G1735" s="1" t="n">
        <v>41</v>
      </c>
      <c r="H1735" s="1" t="n">
        <v>52</v>
      </c>
      <c r="I1735" s="1" t="str">
        <f aca="false">RIGHT(("0"&amp;C1735),2)&amp;RIGHT(("0"&amp;D1735),2)&amp;RIGHT(("0"&amp;E1735),2)&amp;RIGHT(("0"&amp;F1735),2)&amp;RIGHT(("0"&amp;G1735),2)&amp;RIGHT(("0"&amp;H1735),2)</f>
        <v>121725294152</v>
      </c>
      <c r="J1735" s="1" t="n">
        <f aca="false">COUNTIF(I:I,I1735)</f>
        <v>1</v>
      </c>
      <c r="K1735" s="1" t="n">
        <v>0</v>
      </c>
      <c r="M1735" s="1" t="s">
        <v>23</v>
      </c>
      <c r="N1735" s="1" t="n">
        <v>64</v>
      </c>
      <c r="O1735" s="1" t="s">
        <v>9347</v>
      </c>
      <c r="P1735" s="1" t="n">
        <v>3315</v>
      </c>
      <c r="Q1735" s="1" t="s">
        <v>9348</v>
      </c>
      <c r="R1735" s="1" t="s">
        <v>9349</v>
      </c>
      <c r="S1735" s="1" t="s">
        <v>9350</v>
      </c>
      <c r="T1735" s="1" t="s">
        <v>4691</v>
      </c>
      <c r="U1735" s="1" t="s">
        <v>9351</v>
      </c>
    </row>
    <row r="1736" customFormat="false" ht="13.8" hidden="false" customHeight="false" outlineLevel="0" collapsed="false">
      <c r="A1736" s="1" t="n">
        <v>1735</v>
      </c>
      <c r="B1736" s="2" t="s">
        <v>9352</v>
      </c>
      <c r="C1736" s="1" t="n">
        <v>6</v>
      </c>
      <c r="D1736" s="1" t="n">
        <v>16</v>
      </c>
      <c r="E1736" s="1" t="n">
        <v>33</v>
      </c>
      <c r="F1736" s="1" t="n">
        <v>34</v>
      </c>
      <c r="G1736" s="1" t="n">
        <v>45</v>
      </c>
      <c r="H1736" s="1" t="n">
        <v>46</v>
      </c>
      <c r="I1736" s="1" t="str">
        <f aca="false">RIGHT(("0"&amp;C1736),2)&amp;RIGHT(("0"&amp;D1736),2)&amp;RIGHT(("0"&amp;E1736),2)&amp;RIGHT(("0"&amp;F1736),2)&amp;RIGHT(("0"&amp;G1736),2)&amp;RIGHT(("0"&amp;H1736),2)</f>
        <v>061633344546</v>
      </c>
      <c r="J1736" s="1" t="n">
        <f aca="false">COUNTIF(I:I,I1736)</f>
        <v>1</v>
      </c>
      <c r="K1736" s="1" t="n">
        <v>0</v>
      </c>
      <c r="M1736" s="1" t="s">
        <v>23</v>
      </c>
      <c r="N1736" s="1" t="n">
        <v>86</v>
      </c>
      <c r="O1736" s="1" t="s">
        <v>9353</v>
      </c>
      <c r="P1736" s="1" t="n">
        <v>4779</v>
      </c>
      <c r="Q1736" s="1" t="s">
        <v>9354</v>
      </c>
      <c r="R1736" s="1" t="s">
        <v>9355</v>
      </c>
      <c r="S1736" s="1" t="s">
        <v>9356</v>
      </c>
      <c r="T1736" s="1" t="s">
        <v>4718</v>
      </c>
      <c r="U1736" s="1" t="s">
        <v>9357</v>
      </c>
    </row>
    <row r="1737" customFormat="false" ht="13.8" hidden="false" customHeight="false" outlineLevel="0" collapsed="false">
      <c r="A1737" s="1" t="n">
        <v>1736</v>
      </c>
      <c r="B1737" s="2" t="s">
        <v>9358</v>
      </c>
      <c r="C1737" s="1" t="n">
        <v>12</v>
      </c>
      <c r="D1737" s="1" t="n">
        <v>13</v>
      </c>
      <c r="E1737" s="1" t="n">
        <v>24</v>
      </c>
      <c r="F1737" s="1" t="n">
        <v>29</v>
      </c>
      <c r="G1737" s="1" t="n">
        <v>32</v>
      </c>
      <c r="H1737" s="1" t="n">
        <v>41</v>
      </c>
      <c r="I1737" s="1" t="str">
        <f aca="false">RIGHT(("0"&amp;C1737),2)&amp;RIGHT(("0"&amp;D1737),2)&amp;RIGHT(("0"&amp;E1737),2)&amp;RIGHT(("0"&amp;F1737),2)&amp;RIGHT(("0"&amp;G1737),2)&amp;RIGHT(("0"&amp;H1737),2)</f>
        <v>121324293241</v>
      </c>
      <c r="J1737" s="1" t="n">
        <f aca="false">COUNTIF(I:I,I1737)</f>
        <v>1</v>
      </c>
      <c r="K1737" s="1" t="n">
        <v>0</v>
      </c>
      <c r="M1737" s="1" t="s">
        <v>23</v>
      </c>
      <c r="N1737" s="1" t="n">
        <v>105</v>
      </c>
      <c r="O1737" s="1" t="s">
        <v>9359</v>
      </c>
      <c r="P1737" s="1" t="n">
        <v>6581</v>
      </c>
      <c r="Q1737" s="1" t="s">
        <v>9360</v>
      </c>
      <c r="R1737" s="1" t="s">
        <v>9361</v>
      </c>
      <c r="S1737" s="1" t="s">
        <v>9362</v>
      </c>
      <c r="T1737" s="1" t="s">
        <v>6018</v>
      </c>
      <c r="U1737" s="1" t="s">
        <v>9363</v>
      </c>
    </row>
    <row r="1738" customFormat="false" ht="13.8" hidden="false" customHeight="false" outlineLevel="0" collapsed="false">
      <c r="A1738" s="1" t="n">
        <v>1737</v>
      </c>
      <c r="B1738" s="2" t="s">
        <v>9364</v>
      </c>
      <c r="C1738" s="1" t="n">
        <v>5</v>
      </c>
      <c r="D1738" s="1" t="n">
        <v>8</v>
      </c>
      <c r="E1738" s="1" t="n">
        <v>42</v>
      </c>
      <c r="F1738" s="1" t="n">
        <v>50</v>
      </c>
      <c r="G1738" s="1" t="n">
        <v>51</v>
      </c>
      <c r="H1738" s="1" t="n">
        <v>59</v>
      </c>
      <c r="I1738" s="1" t="str">
        <f aca="false">RIGHT(("0"&amp;C1738),2)&amp;RIGHT(("0"&amp;D1738),2)&amp;RIGHT(("0"&amp;E1738),2)&amp;RIGHT(("0"&amp;F1738),2)&amp;RIGHT(("0"&amp;G1738),2)&amp;RIGHT(("0"&amp;H1738),2)</f>
        <v>050842505159</v>
      </c>
      <c r="J1738" s="1" t="n">
        <f aca="false">COUNTIF(I:I,I1738)</f>
        <v>1</v>
      </c>
      <c r="K1738" s="1" t="n">
        <v>0</v>
      </c>
      <c r="M1738" s="1" t="s">
        <v>23</v>
      </c>
      <c r="N1738" s="1" t="n">
        <v>73</v>
      </c>
      <c r="O1738" s="1" t="s">
        <v>9365</v>
      </c>
      <c r="P1738" s="1" t="n">
        <v>5770</v>
      </c>
      <c r="Q1738" s="1" t="s">
        <v>9366</v>
      </c>
      <c r="R1738" s="1" t="s">
        <v>9367</v>
      </c>
      <c r="S1738" s="1" t="s">
        <v>9368</v>
      </c>
      <c r="T1738" s="1" t="s">
        <v>5775</v>
      </c>
      <c r="U1738" s="1" t="s">
        <v>9369</v>
      </c>
    </row>
    <row r="1739" customFormat="false" ht="13.8" hidden="false" customHeight="false" outlineLevel="0" collapsed="false">
      <c r="A1739" s="1" t="n">
        <v>1738</v>
      </c>
      <c r="B1739" s="2" t="s">
        <v>9370</v>
      </c>
      <c r="C1739" s="1" t="n">
        <v>12</v>
      </c>
      <c r="D1739" s="1" t="n">
        <v>28</v>
      </c>
      <c r="E1739" s="1" t="n">
        <v>37</v>
      </c>
      <c r="F1739" s="1" t="n">
        <v>46</v>
      </c>
      <c r="G1739" s="1" t="n">
        <v>48</v>
      </c>
      <c r="H1739" s="1" t="n">
        <v>53</v>
      </c>
      <c r="I1739" s="1" t="str">
        <f aca="false">RIGHT(("0"&amp;C1739),2)&amp;RIGHT(("0"&amp;D1739),2)&amp;RIGHT(("0"&amp;E1739),2)&amp;RIGHT(("0"&amp;F1739),2)&amp;RIGHT(("0"&amp;G1739),2)&amp;RIGHT(("0"&amp;H1739),2)</f>
        <v>122837464853</v>
      </c>
      <c r="J1739" s="1" t="n">
        <f aca="false">COUNTIF(I:I,I1739)</f>
        <v>1</v>
      </c>
      <c r="K1739" s="1" t="n">
        <v>1</v>
      </c>
      <c r="L1739" s="1" t="s">
        <v>9371</v>
      </c>
      <c r="M1739" s="1" t="s">
        <v>9372</v>
      </c>
      <c r="N1739" s="1" t="n">
        <v>96</v>
      </c>
      <c r="O1739" s="1" t="s">
        <v>9373</v>
      </c>
      <c r="P1739" s="1" t="n">
        <v>6889</v>
      </c>
      <c r="Q1739" s="1" t="s">
        <v>9374</v>
      </c>
      <c r="R1739" s="1" t="s">
        <v>23</v>
      </c>
      <c r="S1739" s="1" t="s">
        <v>9375</v>
      </c>
      <c r="T1739" s="1" t="s">
        <v>473</v>
      </c>
      <c r="U1739" s="1" t="s">
        <v>9376</v>
      </c>
    </row>
    <row r="1740" customFormat="false" ht="13.8" hidden="false" customHeight="false" outlineLevel="0" collapsed="false">
      <c r="A1740" s="1" t="n">
        <v>1739</v>
      </c>
      <c r="B1740" s="2" t="s">
        <v>9377</v>
      </c>
      <c r="C1740" s="1" t="n">
        <v>9</v>
      </c>
      <c r="D1740" s="1" t="n">
        <v>10</v>
      </c>
      <c r="E1740" s="1" t="n">
        <v>17</v>
      </c>
      <c r="F1740" s="1" t="n">
        <v>32</v>
      </c>
      <c r="G1740" s="1" t="n">
        <v>34</v>
      </c>
      <c r="H1740" s="1" t="n">
        <v>46</v>
      </c>
      <c r="I1740" s="1" t="str">
        <f aca="false">RIGHT(("0"&amp;C1740),2)&amp;RIGHT(("0"&amp;D1740),2)&amp;RIGHT(("0"&amp;E1740),2)&amp;RIGHT(("0"&amp;F1740),2)&amp;RIGHT(("0"&amp;G1740),2)&amp;RIGHT(("0"&amp;H1740),2)</f>
        <v>091017323446</v>
      </c>
      <c r="J1740" s="1" t="n">
        <f aca="false">COUNTIF(I:I,I1740)</f>
        <v>1</v>
      </c>
      <c r="K1740" s="1" t="n">
        <v>0</v>
      </c>
      <c r="M1740" s="1" t="s">
        <v>23</v>
      </c>
      <c r="N1740" s="1" t="n">
        <v>51</v>
      </c>
      <c r="O1740" s="1" t="s">
        <v>9378</v>
      </c>
      <c r="P1740" s="1" t="n">
        <v>4020</v>
      </c>
      <c r="Q1740" s="1" t="s">
        <v>9379</v>
      </c>
      <c r="R1740" s="1" t="s">
        <v>9380</v>
      </c>
      <c r="S1740" s="1" t="s">
        <v>9381</v>
      </c>
      <c r="T1740" s="1" t="s">
        <v>5281</v>
      </c>
      <c r="U1740" s="1" t="s">
        <v>9382</v>
      </c>
    </row>
    <row r="1741" customFormat="false" ht="13.8" hidden="false" customHeight="false" outlineLevel="0" collapsed="false">
      <c r="A1741" s="1" t="n">
        <v>1740</v>
      </c>
      <c r="B1741" s="2" t="s">
        <v>9383</v>
      </c>
      <c r="C1741" s="1" t="n">
        <v>10</v>
      </c>
      <c r="D1741" s="1" t="n">
        <v>15</v>
      </c>
      <c r="E1741" s="1" t="n">
        <v>25</v>
      </c>
      <c r="F1741" s="1" t="n">
        <v>38</v>
      </c>
      <c r="G1741" s="1" t="n">
        <v>47</v>
      </c>
      <c r="H1741" s="1" t="n">
        <v>53</v>
      </c>
      <c r="I1741" s="1" t="str">
        <f aca="false">RIGHT(("0"&amp;C1741),2)&amp;RIGHT(("0"&amp;D1741),2)&amp;RIGHT(("0"&amp;E1741),2)&amp;RIGHT(("0"&amp;F1741),2)&amp;RIGHT(("0"&amp;G1741),2)&amp;RIGHT(("0"&amp;H1741),2)</f>
        <v>101525384753</v>
      </c>
      <c r="J1741" s="1" t="n">
        <f aca="false">COUNTIF(I:I,I1741)</f>
        <v>1</v>
      </c>
      <c r="K1741" s="1" t="n">
        <v>0</v>
      </c>
      <c r="M1741" s="1" t="s">
        <v>23</v>
      </c>
      <c r="N1741" s="1" t="n">
        <v>62</v>
      </c>
      <c r="O1741" s="1" t="s">
        <v>9384</v>
      </c>
      <c r="P1741" s="1" t="n">
        <v>4599</v>
      </c>
      <c r="Q1741" s="1" t="s">
        <v>9385</v>
      </c>
      <c r="R1741" s="1" t="s">
        <v>9386</v>
      </c>
      <c r="S1741" s="1" t="s">
        <v>9387</v>
      </c>
      <c r="T1741" s="1" t="s">
        <v>3892</v>
      </c>
      <c r="U1741" s="1" t="s">
        <v>9388</v>
      </c>
    </row>
    <row r="1742" customFormat="false" ht="13.8" hidden="false" customHeight="false" outlineLevel="0" collapsed="false">
      <c r="A1742" s="1" t="n">
        <v>1741</v>
      </c>
      <c r="B1742" s="2" t="s">
        <v>9389</v>
      </c>
      <c r="C1742" s="1" t="n">
        <v>15</v>
      </c>
      <c r="D1742" s="1" t="n">
        <v>18</v>
      </c>
      <c r="E1742" s="1" t="n">
        <v>20</v>
      </c>
      <c r="F1742" s="1" t="n">
        <v>32</v>
      </c>
      <c r="G1742" s="1" t="n">
        <v>48</v>
      </c>
      <c r="H1742" s="1" t="n">
        <v>49</v>
      </c>
      <c r="I1742" s="1" t="str">
        <f aca="false">RIGHT(("0"&amp;C1742),2)&amp;RIGHT(("0"&amp;D1742),2)&amp;RIGHT(("0"&amp;E1742),2)&amp;RIGHT(("0"&amp;F1742),2)&amp;RIGHT(("0"&amp;G1742),2)&amp;RIGHT(("0"&amp;H1742),2)</f>
        <v>151820324849</v>
      </c>
      <c r="J1742" s="1" t="n">
        <f aca="false">COUNTIF(I:I,I1742)</f>
        <v>1</v>
      </c>
      <c r="K1742" s="1" t="n">
        <v>1</v>
      </c>
      <c r="L1742" s="1" t="s">
        <v>8479</v>
      </c>
      <c r="M1742" s="1" t="s">
        <v>9390</v>
      </c>
      <c r="N1742" s="1" t="n">
        <v>82</v>
      </c>
      <c r="O1742" s="1" t="s">
        <v>9391</v>
      </c>
      <c r="P1742" s="1" t="n">
        <v>6448</v>
      </c>
      <c r="Q1742" s="1" t="s">
        <v>9392</v>
      </c>
      <c r="R1742" s="1" t="s">
        <v>23</v>
      </c>
      <c r="S1742" s="1" t="s">
        <v>9393</v>
      </c>
      <c r="T1742" s="1" t="s">
        <v>473</v>
      </c>
      <c r="U1742" s="1" t="s">
        <v>9394</v>
      </c>
    </row>
    <row r="1743" customFormat="false" ht="13.8" hidden="false" customHeight="false" outlineLevel="0" collapsed="false">
      <c r="A1743" s="1" t="n">
        <v>1742</v>
      </c>
      <c r="B1743" s="2" t="s">
        <v>9395</v>
      </c>
      <c r="C1743" s="1" t="n">
        <v>11</v>
      </c>
      <c r="D1743" s="1" t="n">
        <v>19</v>
      </c>
      <c r="E1743" s="1" t="n">
        <v>21</v>
      </c>
      <c r="F1743" s="1" t="n">
        <v>23</v>
      </c>
      <c r="G1743" s="1" t="n">
        <v>27</v>
      </c>
      <c r="H1743" s="1" t="n">
        <v>52</v>
      </c>
      <c r="I1743" s="1" t="str">
        <f aca="false">RIGHT(("0"&amp;C1743),2)&amp;RIGHT(("0"&amp;D1743),2)&amp;RIGHT(("0"&amp;E1743),2)&amp;RIGHT(("0"&amp;F1743),2)&amp;RIGHT(("0"&amp;G1743),2)&amp;RIGHT(("0"&amp;H1743),2)</f>
        <v>111921232752</v>
      </c>
      <c r="J1743" s="1" t="n">
        <f aca="false">COUNTIF(I:I,I1743)</f>
        <v>1</v>
      </c>
      <c r="K1743" s="1" t="n">
        <v>0</v>
      </c>
      <c r="M1743" s="1" t="s">
        <v>23</v>
      </c>
      <c r="N1743" s="1" t="n">
        <v>83</v>
      </c>
      <c r="O1743" s="1" t="s">
        <v>9396</v>
      </c>
      <c r="P1743" s="1" t="n">
        <v>4483</v>
      </c>
      <c r="Q1743" s="1" t="s">
        <v>9397</v>
      </c>
      <c r="R1743" s="1" t="s">
        <v>9398</v>
      </c>
      <c r="S1743" s="1" t="s">
        <v>9399</v>
      </c>
      <c r="T1743" s="1" t="s">
        <v>4232</v>
      </c>
      <c r="U1743" s="1" t="s">
        <v>9400</v>
      </c>
    </row>
    <row r="1744" customFormat="false" ht="13.8" hidden="false" customHeight="false" outlineLevel="0" collapsed="false">
      <c r="A1744" s="1" t="n">
        <v>1743</v>
      </c>
      <c r="B1744" s="2" t="s">
        <v>9401</v>
      </c>
      <c r="C1744" s="1" t="n">
        <v>4</v>
      </c>
      <c r="D1744" s="1" t="n">
        <v>10</v>
      </c>
      <c r="E1744" s="1" t="n">
        <v>29</v>
      </c>
      <c r="F1744" s="1" t="n">
        <v>31</v>
      </c>
      <c r="G1744" s="1" t="n">
        <v>34</v>
      </c>
      <c r="H1744" s="1" t="n">
        <v>35</v>
      </c>
      <c r="I1744" s="1" t="str">
        <f aca="false">RIGHT(("0"&amp;C1744),2)&amp;RIGHT(("0"&amp;D1744),2)&amp;RIGHT(("0"&amp;E1744),2)&amp;RIGHT(("0"&amp;F1744),2)&amp;RIGHT(("0"&amp;G1744),2)&amp;RIGHT(("0"&amp;H1744),2)</f>
        <v>041029313435</v>
      </c>
      <c r="J1744" s="1" t="n">
        <f aca="false">COUNTIF(I:I,I1744)</f>
        <v>1</v>
      </c>
      <c r="K1744" s="1" t="n">
        <v>0</v>
      </c>
      <c r="M1744" s="1" t="s">
        <v>23</v>
      </c>
      <c r="N1744" s="1" t="n">
        <v>40</v>
      </c>
      <c r="O1744" s="1" t="s">
        <v>9402</v>
      </c>
      <c r="P1744" s="1" t="n">
        <v>3955</v>
      </c>
      <c r="Q1744" s="1" t="s">
        <v>9403</v>
      </c>
      <c r="R1744" s="1" t="s">
        <v>9404</v>
      </c>
      <c r="S1744" s="1" t="s">
        <v>9405</v>
      </c>
      <c r="T1744" s="1" t="s">
        <v>9250</v>
      </c>
      <c r="U1744" s="1" t="s">
        <v>9406</v>
      </c>
    </row>
    <row r="1745" customFormat="false" ht="13.8" hidden="false" customHeight="false" outlineLevel="0" collapsed="false">
      <c r="A1745" s="1" t="n">
        <v>1744</v>
      </c>
      <c r="B1745" s="2" t="s">
        <v>9407</v>
      </c>
      <c r="C1745" s="1" t="n">
        <v>9</v>
      </c>
      <c r="D1745" s="1" t="n">
        <v>12</v>
      </c>
      <c r="E1745" s="1" t="n">
        <v>14</v>
      </c>
      <c r="F1745" s="1" t="n">
        <v>29</v>
      </c>
      <c r="G1745" s="1" t="n">
        <v>42</v>
      </c>
      <c r="H1745" s="1" t="n">
        <v>56</v>
      </c>
      <c r="I1745" s="1" t="str">
        <f aca="false">RIGHT(("0"&amp;C1745),2)&amp;RIGHT(("0"&amp;D1745),2)&amp;RIGHT(("0"&amp;E1745),2)&amp;RIGHT(("0"&amp;F1745),2)&amp;RIGHT(("0"&amp;G1745),2)&amp;RIGHT(("0"&amp;H1745),2)</f>
        <v>091214294256</v>
      </c>
      <c r="J1745" s="1" t="n">
        <f aca="false">COUNTIF(I:I,I1745)</f>
        <v>1</v>
      </c>
      <c r="K1745" s="1" t="n">
        <v>0</v>
      </c>
      <c r="M1745" s="1" t="s">
        <v>23</v>
      </c>
      <c r="N1745" s="1" t="n">
        <v>96</v>
      </c>
      <c r="O1745" s="1" t="s">
        <v>9408</v>
      </c>
      <c r="P1745" s="1" t="n">
        <v>5272</v>
      </c>
      <c r="Q1745" s="1" t="s">
        <v>9409</v>
      </c>
      <c r="R1745" s="1" t="s">
        <v>9410</v>
      </c>
      <c r="S1745" s="1" t="s">
        <v>9411</v>
      </c>
      <c r="T1745" s="1" t="s">
        <v>3892</v>
      </c>
      <c r="U1745" s="1" t="s">
        <v>9412</v>
      </c>
    </row>
    <row r="1746" customFormat="false" ht="13.8" hidden="false" customHeight="false" outlineLevel="0" collapsed="false">
      <c r="A1746" s="1" t="n">
        <v>1745</v>
      </c>
      <c r="B1746" s="2" t="s">
        <v>9413</v>
      </c>
      <c r="C1746" s="1" t="n">
        <v>9</v>
      </c>
      <c r="D1746" s="1" t="n">
        <v>13</v>
      </c>
      <c r="E1746" s="1" t="n">
        <v>18</v>
      </c>
      <c r="F1746" s="1" t="n">
        <v>47</v>
      </c>
      <c r="G1746" s="1" t="n">
        <v>52</v>
      </c>
      <c r="H1746" s="1" t="n">
        <v>60</v>
      </c>
      <c r="I1746" s="1" t="str">
        <f aca="false">RIGHT(("0"&amp;C1746),2)&amp;RIGHT(("0"&amp;D1746),2)&amp;RIGHT(("0"&amp;E1746),2)&amp;RIGHT(("0"&amp;F1746),2)&amp;RIGHT(("0"&amp;G1746),2)&amp;RIGHT(("0"&amp;H1746),2)</f>
        <v>091318475260</v>
      </c>
      <c r="J1746" s="1" t="n">
        <f aca="false">COUNTIF(I:I,I1746)</f>
        <v>1</v>
      </c>
      <c r="K1746" s="1" t="n">
        <v>0</v>
      </c>
      <c r="M1746" s="1" t="s">
        <v>23</v>
      </c>
      <c r="N1746" s="1" t="n">
        <v>128</v>
      </c>
      <c r="O1746" s="1" t="s">
        <v>9414</v>
      </c>
      <c r="P1746" s="1" t="n">
        <v>6976</v>
      </c>
      <c r="Q1746" s="1" t="s">
        <v>9415</v>
      </c>
      <c r="R1746" s="1" t="s">
        <v>9416</v>
      </c>
      <c r="S1746" s="1" t="s">
        <v>9417</v>
      </c>
      <c r="T1746" s="1" t="s">
        <v>9418</v>
      </c>
      <c r="U1746" s="1" t="s">
        <v>9419</v>
      </c>
    </row>
    <row r="1747" customFormat="false" ht="13.8" hidden="false" customHeight="false" outlineLevel="0" collapsed="false">
      <c r="A1747" s="1" t="n">
        <v>1746</v>
      </c>
      <c r="B1747" s="2" t="s">
        <v>9420</v>
      </c>
      <c r="C1747" s="1" t="n">
        <v>6</v>
      </c>
      <c r="D1747" s="1" t="n">
        <v>18</v>
      </c>
      <c r="E1747" s="1" t="n">
        <v>37</v>
      </c>
      <c r="F1747" s="1" t="n">
        <v>40</v>
      </c>
      <c r="G1747" s="1" t="n">
        <v>41</v>
      </c>
      <c r="H1747" s="1" t="n">
        <v>58</v>
      </c>
      <c r="I1747" s="1" t="str">
        <f aca="false">RIGHT(("0"&amp;C1747),2)&amp;RIGHT(("0"&amp;D1747),2)&amp;RIGHT(("0"&amp;E1747),2)&amp;RIGHT(("0"&amp;F1747),2)&amp;RIGHT(("0"&amp;G1747),2)&amp;RIGHT(("0"&amp;H1747),2)</f>
        <v>061837404158</v>
      </c>
      <c r="J1747" s="1" t="n">
        <f aca="false">COUNTIF(I:I,I1747)</f>
        <v>1</v>
      </c>
      <c r="K1747" s="1" t="n">
        <v>0</v>
      </c>
      <c r="M1747" s="1" t="s">
        <v>23</v>
      </c>
      <c r="N1747" s="1" t="n">
        <v>106</v>
      </c>
      <c r="O1747" s="1" t="s">
        <v>9421</v>
      </c>
      <c r="P1747" s="1" t="n">
        <v>5849</v>
      </c>
      <c r="Q1747" s="1" t="s">
        <v>9422</v>
      </c>
      <c r="R1747" s="1" t="s">
        <v>9423</v>
      </c>
      <c r="S1747" s="1" t="s">
        <v>9424</v>
      </c>
      <c r="T1747" s="1" t="s">
        <v>4314</v>
      </c>
      <c r="U1747" s="1" t="s">
        <v>9425</v>
      </c>
    </row>
    <row r="1748" customFormat="false" ht="13.8" hidden="false" customHeight="false" outlineLevel="0" collapsed="false">
      <c r="A1748" s="1" t="n">
        <v>1747</v>
      </c>
      <c r="B1748" s="2" t="s">
        <v>9426</v>
      </c>
      <c r="C1748" s="1" t="n">
        <v>6</v>
      </c>
      <c r="D1748" s="1" t="n">
        <v>33</v>
      </c>
      <c r="E1748" s="1" t="n">
        <v>34</v>
      </c>
      <c r="F1748" s="1" t="n">
        <v>48</v>
      </c>
      <c r="G1748" s="1" t="n">
        <v>53</v>
      </c>
      <c r="H1748" s="1" t="n">
        <v>59</v>
      </c>
      <c r="I1748" s="1" t="str">
        <f aca="false">RIGHT(("0"&amp;C1748),2)&amp;RIGHT(("0"&amp;D1748),2)&amp;RIGHT(("0"&amp;E1748),2)&amp;RIGHT(("0"&amp;F1748),2)&amp;RIGHT(("0"&amp;G1748),2)&amp;RIGHT(("0"&amp;H1748),2)</f>
        <v>063334485359</v>
      </c>
      <c r="J1748" s="1" t="n">
        <f aca="false">COUNTIF(I:I,I1748)</f>
        <v>1</v>
      </c>
      <c r="K1748" s="1" t="n">
        <v>2</v>
      </c>
      <c r="L1748" s="1" t="s">
        <v>9427</v>
      </c>
      <c r="M1748" s="1" t="s">
        <v>9428</v>
      </c>
      <c r="N1748" s="1" t="n">
        <v>93</v>
      </c>
      <c r="O1748" s="1" t="s">
        <v>9429</v>
      </c>
      <c r="P1748" s="1" t="n">
        <v>8700</v>
      </c>
      <c r="Q1748" s="1" t="s">
        <v>9430</v>
      </c>
      <c r="R1748" s="1" t="s">
        <v>23</v>
      </c>
      <c r="S1748" s="1" t="s">
        <v>9431</v>
      </c>
      <c r="T1748" s="1" t="s">
        <v>473</v>
      </c>
      <c r="U1748" s="1" t="s">
        <v>9432</v>
      </c>
    </row>
    <row r="1749" customFormat="false" ht="13.8" hidden="false" customHeight="false" outlineLevel="0" collapsed="false">
      <c r="A1749" s="1" t="n">
        <v>1748</v>
      </c>
      <c r="B1749" s="2" t="s">
        <v>9433</v>
      </c>
      <c r="C1749" s="1" t="n">
        <v>2</v>
      </c>
      <c r="D1749" s="1" t="n">
        <v>10</v>
      </c>
      <c r="E1749" s="1" t="n">
        <v>13</v>
      </c>
      <c r="F1749" s="1" t="n">
        <v>41</v>
      </c>
      <c r="G1749" s="1" t="n">
        <v>49</v>
      </c>
      <c r="H1749" s="1" t="n">
        <v>53</v>
      </c>
      <c r="I1749" s="1" t="str">
        <f aca="false">RIGHT(("0"&amp;C1749),2)&amp;RIGHT(("0"&amp;D1749),2)&amp;RIGHT(("0"&amp;E1749),2)&amp;RIGHT(("0"&amp;F1749),2)&amp;RIGHT(("0"&amp;G1749),2)&amp;RIGHT(("0"&amp;H1749),2)</f>
        <v>021013414953</v>
      </c>
      <c r="J1749" s="1" t="n">
        <f aca="false">COUNTIF(I:I,I1749)</f>
        <v>1</v>
      </c>
      <c r="K1749" s="1" t="n">
        <v>0</v>
      </c>
      <c r="M1749" s="1" t="s">
        <v>23</v>
      </c>
      <c r="N1749" s="1" t="n">
        <v>76</v>
      </c>
      <c r="O1749" s="1" t="s">
        <v>9434</v>
      </c>
      <c r="P1749" s="1" t="n">
        <v>3731</v>
      </c>
      <c r="Q1749" s="1" t="s">
        <v>9435</v>
      </c>
      <c r="R1749" s="1" t="s">
        <v>9436</v>
      </c>
      <c r="S1749" s="1" t="s">
        <v>9437</v>
      </c>
      <c r="T1749" s="1" t="s">
        <v>4232</v>
      </c>
      <c r="U1749" s="1" t="s">
        <v>9438</v>
      </c>
    </row>
    <row r="1750" customFormat="false" ht="13.8" hidden="false" customHeight="false" outlineLevel="0" collapsed="false">
      <c r="A1750" s="1" t="n">
        <v>1749</v>
      </c>
      <c r="B1750" s="2" t="s">
        <v>9439</v>
      </c>
      <c r="C1750" s="1" t="n">
        <v>3</v>
      </c>
      <c r="D1750" s="1" t="n">
        <v>13</v>
      </c>
      <c r="E1750" s="1" t="n">
        <v>14</v>
      </c>
      <c r="F1750" s="1" t="n">
        <v>29</v>
      </c>
      <c r="G1750" s="1" t="n">
        <v>33</v>
      </c>
      <c r="H1750" s="1" t="n">
        <v>43</v>
      </c>
      <c r="I1750" s="1" t="str">
        <f aca="false">RIGHT(("0"&amp;C1750),2)&amp;RIGHT(("0"&amp;D1750),2)&amp;RIGHT(("0"&amp;E1750),2)&amp;RIGHT(("0"&amp;F1750),2)&amp;RIGHT(("0"&amp;G1750),2)&amp;RIGHT(("0"&amp;H1750),2)</f>
        <v>031314293343</v>
      </c>
      <c r="J1750" s="1" t="n">
        <f aca="false">COUNTIF(I:I,I1750)</f>
        <v>1</v>
      </c>
      <c r="K1750" s="1" t="n">
        <v>0</v>
      </c>
      <c r="M1750" s="1" t="s">
        <v>23</v>
      </c>
      <c r="N1750" s="1" t="n">
        <v>78</v>
      </c>
      <c r="O1750" s="1" t="s">
        <v>9440</v>
      </c>
      <c r="P1750" s="1" t="n">
        <v>7101</v>
      </c>
      <c r="Q1750" s="1" t="s">
        <v>9441</v>
      </c>
      <c r="R1750" s="1" t="s">
        <v>9442</v>
      </c>
      <c r="S1750" s="1" t="s">
        <v>9443</v>
      </c>
      <c r="T1750" s="1" t="s">
        <v>6018</v>
      </c>
      <c r="U1750" s="1" t="s">
        <v>9444</v>
      </c>
    </row>
    <row r="1751" customFormat="false" ht="13.8" hidden="false" customHeight="false" outlineLevel="0" collapsed="false">
      <c r="A1751" s="1" t="n">
        <v>1750</v>
      </c>
      <c r="B1751" s="2" t="s">
        <v>9445</v>
      </c>
      <c r="C1751" s="1" t="n">
        <v>15</v>
      </c>
      <c r="D1751" s="1" t="n">
        <v>17</v>
      </c>
      <c r="E1751" s="1" t="n">
        <v>20</v>
      </c>
      <c r="F1751" s="1" t="n">
        <v>31</v>
      </c>
      <c r="G1751" s="1" t="n">
        <v>41</v>
      </c>
      <c r="H1751" s="1" t="n">
        <v>48</v>
      </c>
      <c r="I1751" s="1" t="str">
        <f aca="false">RIGHT(("0"&amp;C1751),2)&amp;RIGHT(("0"&amp;D1751),2)&amp;RIGHT(("0"&amp;E1751),2)&amp;RIGHT(("0"&amp;F1751),2)&amp;RIGHT(("0"&amp;G1751),2)&amp;RIGHT(("0"&amp;H1751),2)</f>
        <v>151720314148</v>
      </c>
      <c r="J1751" s="1" t="n">
        <f aca="false">COUNTIF(I:I,I1751)</f>
        <v>1</v>
      </c>
      <c r="K1751" s="1" t="n">
        <v>0</v>
      </c>
      <c r="M1751" s="1" t="s">
        <v>23</v>
      </c>
      <c r="N1751" s="1" t="n">
        <v>23</v>
      </c>
      <c r="O1751" s="1" t="s">
        <v>9446</v>
      </c>
      <c r="P1751" s="1" t="n">
        <v>1865</v>
      </c>
      <c r="Q1751" s="1" t="s">
        <v>9447</v>
      </c>
      <c r="R1751" s="1" t="s">
        <v>9448</v>
      </c>
      <c r="S1751" s="1" t="s">
        <v>9449</v>
      </c>
      <c r="T1751" s="1" t="s">
        <v>4935</v>
      </c>
      <c r="U1751" s="1" t="s">
        <v>9450</v>
      </c>
    </row>
    <row r="1752" customFormat="false" ht="13.8" hidden="false" customHeight="false" outlineLevel="0" collapsed="false">
      <c r="A1752" s="1" t="n">
        <v>1751</v>
      </c>
      <c r="B1752" s="2" t="s">
        <v>9451</v>
      </c>
      <c r="C1752" s="1" t="n">
        <v>15</v>
      </c>
      <c r="D1752" s="1" t="n">
        <v>22</v>
      </c>
      <c r="E1752" s="1" t="n">
        <v>23</v>
      </c>
      <c r="F1752" s="1" t="n">
        <v>42</v>
      </c>
      <c r="G1752" s="1" t="n">
        <v>51</v>
      </c>
      <c r="H1752" s="1" t="n">
        <v>57</v>
      </c>
      <c r="I1752" s="1" t="str">
        <f aca="false">RIGHT(("0"&amp;C1752),2)&amp;RIGHT(("0"&amp;D1752),2)&amp;RIGHT(("0"&amp;E1752),2)&amp;RIGHT(("0"&amp;F1752),2)&amp;RIGHT(("0"&amp;G1752),2)&amp;RIGHT(("0"&amp;H1752),2)</f>
        <v>152223425157</v>
      </c>
      <c r="J1752" s="1" t="n">
        <f aca="false">COUNTIF(I:I,I1752)</f>
        <v>1</v>
      </c>
      <c r="K1752" s="1" t="n">
        <v>0</v>
      </c>
      <c r="M1752" s="1" t="s">
        <v>23</v>
      </c>
      <c r="N1752" s="1" t="n">
        <v>47</v>
      </c>
      <c r="O1752" s="1" t="s">
        <v>9452</v>
      </c>
      <c r="P1752" s="1" t="n">
        <v>4580</v>
      </c>
      <c r="Q1752" s="1" t="s">
        <v>9453</v>
      </c>
      <c r="R1752" s="1" t="s">
        <v>9454</v>
      </c>
      <c r="S1752" s="1" t="s">
        <v>9455</v>
      </c>
      <c r="T1752" s="1" t="s">
        <v>4309</v>
      </c>
      <c r="U1752" s="1" t="s">
        <v>9456</v>
      </c>
    </row>
    <row r="1753" customFormat="false" ht="13.8" hidden="false" customHeight="false" outlineLevel="0" collapsed="false">
      <c r="A1753" s="1" t="n">
        <v>1752</v>
      </c>
      <c r="B1753" s="2" t="s">
        <v>9457</v>
      </c>
      <c r="C1753" s="1" t="n">
        <v>9</v>
      </c>
      <c r="D1753" s="1" t="n">
        <v>36</v>
      </c>
      <c r="E1753" s="1" t="n">
        <v>37</v>
      </c>
      <c r="F1753" s="1" t="n">
        <v>53</v>
      </c>
      <c r="G1753" s="1" t="n">
        <v>55</v>
      </c>
      <c r="H1753" s="1" t="n">
        <v>60</v>
      </c>
      <c r="I1753" s="1" t="str">
        <f aca="false">RIGHT(("0"&amp;C1753),2)&amp;RIGHT(("0"&amp;D1753),2)&amp;RIGHT(("0"&amp;E1753),2)&amp;RIGHT(("0"&amp;F1753),2)&amp;RIGHT(("0"&amp;G1753),2)&amp;RIGHT(("0"&amp;H1753),2)</f>
        <v>093637535560</v>
      </c>
      <c r="J1753" s="1" t="n">
        <f aca="false">COUNTIF(I:I,I1753)</f>
        <v>1</v>
      </c>
      <c r="K1753" s="1" t="n">
        <v>0</v>
      </c>
      <c r="M1753" s="1" t="s">
        <v>23</v>
      </c>
      <c r="N1753" s="1" t="n">
        <v>70</v>
      </c>
      <c r="O1753" s="1" t="s">
        <v>9458</v>
      </c>
      <c r="P1753" s="1" t="n">
        <v>5668</v>
      </c>
      <c r="Q1753" s="1" t="s">
        <v>9459</v>
      </c>
      <c r="R1753" s="1" t="s">
        <v>9460</v>
      </c>
      <c r="S1753" s="1" t="s">
        <v>9461</v>
      </c>
      <c r="T1753" s="1" t="s">
        <v>6077</v>
      </c>
      <c r="U1753" s="1" t="s">
        <v>9462</v>
      </c>
    </row>
    <row r="1754" customFormat="false" ht="13.8" hidden="false" customHeight="false" outlineLevel="0" collapsed="false">
      <c r="A1754" s="1" t="n">
        <v>1753</v>
      </c>
      <c r="B1754" s="2" t="s">
        <v>9463</v>
      </c>
      <c r="C1754" s="1" t="n">
        <v>8</v>
      </c>
      <c r="D1754" s="1" t="n">
        <v>15</v>
      </c>
      <c r="E1754" s="1" t="n">
        <v>29</v>
      </c>
      <c r="F1754" s="1" t="n">
        <v>35</v>
      </c>
      <c r="G1754" s="1" t="n">
        <v>45</v>
      </c>
      <c r="H1754" s="1" t="n">
        <v>54</v>
      </c>
      <c r="I1754" s="1" t="str">
        <f aca="false">RIGHT(("0"&amp;C1754),2)&amp;RIGHT(("0"&amp;D1754),2)&amp;RIGHT(("0"&amp;E1754),2)&amp;RIGHT(("0"&amp;F1754),2)&amp;RIGHT(("0"&amp;G1754),2)&amp;RIGHT(("0"&amp;H1754),2)</f>
        <v>081529354554</v>
      </c>
      <c r="J1754" s="1" t="n">
        <f aca="false">COUNTIF(I:I,I1754)</f>
        <v>1</v>
      </c>
      <c r="K1754" s="1" t="n">
        <v>1</v>
      </c>
      <c r="L1754" s="1" t="s">
        <v>5633</v>
      </c>
      <c r="M1754" s="1" t="s">
        <v>9464</v>
      </c>
      <c r="N1754" s="1" t="n">
        <v>149</v>
      </c>
      <c r="O1754" s="1" t="s">
        <v>9465</v>
      </c>
      <c r="P1754" s="1" t="n">
        <v>8929</v>
      </c>
      <c r="Q1754" s="1" t="s">
        <v>9466</v>
      </c>
      <c r="R1754" s="1" t="s">
        <v>23</v>
      </c>
      <c r="S1754" s="1" t="s">
        <v>9467</v>
      </c>
      <c r="T1754" s="1" t="s">
        <v>473</v>
      </c>
      <c r="U1754" s="1" t="s">
        <v>9468</v>
      </c>
    </row>
    <row r="1755" customFormat="false" ht="13.8" hidden="false" customHeight="false" outlineLevel="0" collapsed="false">
      <c r="A1755" s="1" t="n">
        <v>1754</v>
      </c>
      <c r="B1755" s="2" t="s">
        <v>9469</v>
      </c>
      <c r="C1755" s="1" t="n">
        <v>20</v>
      </c>
      <c r="D1755" s="1" t="n">
        <v>27</v>
      </c>
      <c r="E1755" s="1" t="n">
        <v>30</v>
      </c>
      <c r="F1755" s="1" t="n">
        <v>31</v>
      </c>
      <c r="G1755" s="1" t="n">
        <v>40</v>
      </c>
      <c r="H1755" s="1" t="n">
        <v>53</v>
      </c>
      <c r="I1755" s="1" t="str">
        <f aca="false">RIGHT(("0"&amp;C1755),2)&amp;RIGHT(("0"&amp;D1755),2)&amp;RIGHT(("0"&amp;E1755),2)&amp;RIGHT(("0"&amp;F1755),2)&amp;RIGHT(("0"&amp;G1755),2)&amp;RIGHT(("0"&amp;H1755),2)</f>
        <v>202730314053</v>
      </c>
      <c r="J1755" s="1" t="n">
        <f aca="false">COUNTIF(I:I,I1755)</f>
        <v>1</v>
      </c>
      <c r="K1755" s="1" t="n">
        <v>0</v>
      </c>
      <c r="M1755" s="1" t="s">
        <v>23</v>
      </c>
      <c r="N1755" s="1" t="n">
        <v>22</v>
      </c>
      <c r="O1755" s="1" t="s">
        <v>9470</v>
      </c>
      <c r="P1755" s="1" t="n">
        <v>1958</v>
      </c>
      <c r="Q1755" s="1" t="s">
        <v>9471</v>
      </c>
      <c r="R1755" s="1" t="s">
        <v>9472</v>
      </c>
      <c r="S1755" s="1" t="s">
        <v>9473</v>
      </c>
      <c r="T1755" s="1" t="s">
        <v>4696</v>
      </c>
      <c r="U1755" s="1" t="s">
        <v>9474</v>
      </c>
    </row>
    <row r="1756" customFormat="false" ht="13.8" hidden="false" customHeight="false" outlineLevel="0" collapsed="false">
      <c r="A1756" s="1" t="n">
        <v>1755</v>
      </c>
      <c r="B1756" s="2" t="s">
        <v>9475</v>
      </c>
      <c r="C1756" s="1" t="n">
        <v>2</v>
      </c>
      <c r="D1756" s="1" t="n">
        <v>5</v>
      </c>
      <c r="E1756" s="1" t="n">
        <v>8</v>
      </c>
      <c r="F1756" s="1" t="n">
        <v>18</v>
      </c>
      <c r="G1756" s="1" t="n">
        <v>30</v>
      </c>
      <c r="H1756" s="1" t="n">
        <v>48</v>
      </c>
      <c r="I1756" s="1" t="str">
        <f aca="false">RIGHT(("0"&amp;C1756),2)&amp;RIGHT(("0"&amp;D1756),2)&amp;RIGHT(("0"&amp;E1756),2)&amp;RIGHT(("0"&amp;F1756),2)&amp;RIGHT(("0"&amp;G1756),2)&amp;RIGHT(("0"&amp;H1756),2)</f>
        <v>020508183048</v>
      </c>
      <c r="J1756" s="1" t="n">
        <f aca="false">COUNTIF(I:I,I1756)</f>
        <v>1</v>
      </c>
      <c r="K1756" s="1" t="n">
        <v>0</v>
      </c>
      <c r="M1756" s="1" t="s">
        <v>23</v>
      </c>
      <c r="N1756" s="1" t="n">
        <v>123</v>
      </c>
      <c r="O1756" s="1" t="s">
        <v>9476</v>
      </c>
      <c r="P1756" s="1" t="n">
        <v>8784</v>
      </c>
      <c r="Q1756" s="1" t="s">
        <v>9477</v>
      </c>
      <c r="R1756" s="1" t="s">
        <v>9478</v>
      </c>
      <c r="S1756" s="1" t="s">
        <v>9479</v>
      </c>
      <c r="T1756" s="1" t="s">
        <v>3892</v>
      </c>
      <c r="U1756" s="1" t="s">
        <v>9480</v>
      </c>
    </row>
    <row r="1757" customFormat="false" ht="13.8" hidden="false" customHeight="false" outlineLevel="0" collapsed="false">
      <c r="A1757" s="1" t="n">
        <v>1756</v>
      </c>
      <c r="B1757" s="2" t="s">
        <v>9481</v>
      </c>
      <c r="C1757" s="1" t="n">
        <v>6</v>
      </c>
      <c r="D1757" s="1" t="n">
        <v>13</v>
      </c>
      <c r="E1757" s="1" t="n">
        <v>14</v>
      </c>
      <c r="F1757" s="1" t="n">
        <v>28</v>
      </c>
      <c r="G1757" s="1" t="n">
        <v>35</v>
      </c>
      <c r="H1757" s="1" t="n">
        <v>45</v>
      </c>
      <c r="I1757" s="1" t="str">
        <f aca="false">RIGHT(("0"&amp;C1757),2)&amp;RIGHT(("0"&amp;D1757),2)&amp;RIGHT(("0"&amp;E1757),2)&amp;RIGHT(("0"&amp;F1757),2)&amp;RIGHT(("0"&amp;G1757),2)&amp;RIGHT(("0"&amp;H1757),2)</f>
        <v>061314283545</v>
      </c>
      <c r="J1757" s="1" t="n">
        <f aca="false">COUNTIF(I:I,I1757)</f>
        <v>1</v>
      </c>
      <c r="K1757" s="1" t="n">
        <v>0</v>
      </c>
      <c r="M1757" s="1" t="s">
        <v>23</v>
      </c>
      <c r="N1757" s="1" t="n">
        <v>134</v>
      </c>
      <c r="O1757" s="1" t="s">
        <v>9482</v>
      </c>
      <c r="P1757" s="1" t="n">
        <v>10310</v>
      </c>
      <c r="Q1757" s="1" t="s">
        <v>9483</v>
      </c>
      <c r="R1757" s="1" t="s">
        <v>9484</v>
      </c>
      <c r="S1757" s="1" t="s">
        <v>9485</v>
      </c>
      <c r="T1757" s="1" t="s">
        <v>5775</v>
      </c>
      <c r="U1757" s="1" t="s">
        <v>9486</v>
      </c>
    </row>
    <row r="1758" customFormat="false" ht="13.8" hidden="false" customHeight="false" outlineLevel="0" collapsed="false">
      <c r="A1758" s="1" t="n">
        <v>1757</v>
      </c>
      <c r="B1758" s="2" t="s">
        <v>9487</v>
      </c>
      <c r="C1758" s="1" t="n">
        <v>13</v>
      </c>
      <c r="D1758" s="1" t="n">
        <v>25</v>
      </c>
      <c r="E1758" s="1" t="n">
        <v>28</v>
      </c>
      <c r="F1758" s="1" t="n">
        <v>37</v>
      </c>
      <c r="G1758" s="1" t="n">
        <v>43</v>
      </c>
      <c r="H1758" s="1" t="n">
        <v>56</v>
      </c>
      <c r="I1758" s="1" t="str">
        <f aca="false">RIGHT(("0"&amp;C1758),2)&amp;RIGHT(("0"&amp;D1758),2)&amp;RIGHT(("0"&amp;E1758),2)&amp;RIGHT(("0"&amp;F1758),2)&amp;RIGHT(("0"&amp;G1758),2)&amp;RIGHT(("0"&amp;H1758),2)</f>
        <v>132528374356</v>
      </c>
      <c r="J1758" s="1" t="n">
        <f aca="false">COUNTIF(I:I,I1758)</f>
        <v>1</v>
      </c>
      <c r="K1758" s="1" t="n">
        <v>0</v>
      </c>
      <c r="M1758" s="1" t="s">
        <v>23</v>
      </c>
      <c r="N1758" s="1" t="n">
        <v>311</v>
      </c>
      <c r="O1758" s="1" t="s">
        <v>9488</v>
      </c>
      <c r="P1758" s="1" t="n">
        <v>11196</v>
      </c>
      <c r="Q1758" s="1" t="s">
        <v>9489</v>
      </c>
      <c r="R1758" s="1" t="s">
        <v>9490</v>
      </c>
      <c r="S1758" s="1" t="s">
        <v>9491</v>
      </c>
      <c r="T1758" s="1" t="s">
        <v>8236</v>
      </c>
      <c r="U1758" s="1" t="s">
        <v>9492</v>
      </c>
    </row>
    <row r="1759" customFormat="false" ht="13.8" hidden="false" customHeight="false" outlineLevel="0" collapsed="false">
      <c r="A1759" s="1" t="n">
        <v>1758</v>
      </c>
      <c r="B1759" s="2" t="s">
        <v>9493</v>
      </c>
      <c r="C1759" s="1" t="n">
        <v>6</v>
      </c>
      <c r="D1759" s="1" t="n">
        <v>11</v>
      </c>
      <c r="E1759" s="1" t="n">
        <v>16</v>
      </c>
      <c r="F1759" s="1" t="n">
        <v>23</v>
      </c>
      <c r="G1759" s="1" t="n">
        <v>36</v>
      </c>
      <c r="H1759" s="1" t="n">
        <v>42</v>
      </c>
      <c r="I1759" s="1" t="str">
        <f aca="false">RIGHT(("0"&amp;C1759),2)&amp;RIGHT(("0"&amp;D1759),2)&amp;RIGHT(("0"&amp;E1759),2)&amp;RIGHT(("0"&amp;F1759),2)&amp;RIGHT(("0"&amp;G1759),2)&amp;RIGHT(("0"&amp;H1759),2)</f>
        <v>061116233642</v>
      </c>
      <c r="J1759" s="1" t="n">
        <f aca="false">COUNTIF(I:I,I1759)</f>
        <v>1</v>
      </c>
      <c r="K1759" s="1" t="n">
        <v>0</v>
      </c>
      <c r="M1759" s="1" t="s">
        <v>23</v>
      </c>
      <c r="N1759" s="1" t="n">
        <v>230</v>
      </c>
      <c r="O1759" s="1" t="s">
        <v>9494</v>
      </c>
      <c r="P1759" s="1" t="n">
        <v>13800</v>
      </c>
      <c r="Q1759" s="1" t="s">
        <v>9495</v>
      </c>
      <c r="R1759" s="1" t="s">
        <v>9496</v>
      </c>
      <c r="S1759" s="1" t="s">
        <v>9497</v>
      </c>
      <c r="T1759" s="1" t="s">
        <v>5255</v>
      </c>
      <c r="U1759" s="1" t="s">
        <v>9498</v>
      </c>
    </row>
    <row r="1760" customFormat="false" ht="13.8" hidden="false" customHeight="false" outlineLevel="0" collapsed="false">
      <c r="A1760" s="1" t="n">
        <v>1759</v>
      </c>
      <c r="B1760" s="2" t="s">
        <v>9499</v>
      </c>
      <c r="C1760" s="1" t="n">
        <v>2</v>
      </c>
      <c r="D1760" s="1" t="n">
        <v>14</v>
      </c>
      <c r="E1760" s="1" t="n">
        <v>21</v>
      </c>
      <c r="F1760" s="1" t="n">
        <v>22</v>
      </c>
      <c r="G1760" s="1" t="n">
        <v>51</v>
      </c>
      <c r="H1760" s="1" t="n">
        <v>60</v>
      </c>
      <c r="I1760" s="1" t="str">
        <f aca="false">RIGHT(("0"&amp;C1760),2)&amp;RIGHT(("0"&amp;D1760),2)&amp;RIGHT(("0"&amp;E1760),2)&amp;RIGHT(("0"&amp;F1760),2)&amp;RIGHT(("0"&amp;G1760),2)&amp;RIGHT(("0"&amp;H1760),2)</f>
        <v>021421225160</v>
      </c>
      <c r="J1760" s="1" t="n">
        <f aca="false">COUNTIF(I:I,I1760)</f>
        <v>1</v>
      </c>
      <c r="K1760" s="1" t="n">
        <v>0</v>
      </c>
      <c r="M1760" s="1" t="s">
        <v>23</v>
      </c>
      <c r="N1760" s="1" t="n">
        <v>70</v>
      </c>
      <c r="O1760" s="1" t="s">
        <v>9500</v>
      </c>
      <c r="P1760" s="1" t="n">
        <v>5957</v>
      </c>
      <c r="Q1760" s="1" t="s">
        <v>9501</v>
      </c>
      <c r="R1760" s="1" t="s">
        <v>9502</v>
      </c>
      <c r="S1760" s="1" t="s">
        <v>9503</v>
      </c>
      <c r="T1760" s="1" t="s">
        <v>8842</v>
      </c>
      <c r="U1760" s="1" t="s">
        <v>9504</v>
      </c>
    </row>
    <row r="1761" customFormat="false" ht="13.8" hidden="false" customHeight="false" outlineLevel="0" collapsed="false">
      <c r="A1761" s="1" t="n">
        <v>1760</v>
      </c>
      <c r="B1761" s="2" t="s">
        <v>9505</v>
      </c>
      <c r="C1761" s="1" t="n">
        <v>10</v>
      </c>
      <c r="D1761" s="1" t="n">
        <v>24</v>
      </c>
      <c r="E1761" s="1" t="n">
        <v>25</v>
      </c>
      <c r="F1761" s="1" t="n">
        <v>36</v>
      </c>
      <c r="G1761" s="1" t="n">
        <v>47</v>
      </c>
      <c r="H1761" s="1" t="n">
        <v>48</v>
      </c>
      <c r="I1761" s="1" t="str">
        <f aca="false">RIGHT(("0"&amp;C1761),2)&amp;RIGHT(("0"&amp;D1761),2)&amp;RIGHT(("0"&amp;E1761),2)&amp;RIGHT(("0"&amp;F1761),2)&amp;RIGHT(("0"&amp;G1761),2)&amp;RIGHT(("0"&amp;H1761),2)</f>
        <v>102425364748</v>
      </c>
      <c r="J1761" s="1" t="n">
        <f aca="false">COUNTIF(I:I,I1761)</f>
        <v>1</v>
      </c>
      <c r="K1761" s="1" t="n">
        <v>0</v>
      </c>
      <c r="M1761" s="1" t="s">
        <v>23</v>
      </c>
      <c r="N1761" s="1" t="n">
        <v>206</v>
      </c>
      <c r="O1761" s="1" t="s">
        <v>9506</v>
      </c>
      <c r="P1761" s="1" t="n">
        <v>14689</v>
      </c>
      <c r="Q1761" s="1" t="s">
        <v>6773</v>
      </c>
      <c r="R1761" s="1" t="s">
        <v>9507</v>
      </c>
      <c r="S1761" s="1" t="s">
        <v>9508</v>
      </c>
      <c r="T1761" s="1" t="s">
        <v>9509</v>
      </c>
      <c r="U1761" s="1" t="s">
        <v>9510</v>
      </c>
    </row>
    <row r="1762" customFormat="false" ht="13.8" hidden="false" customHeight="false" outlineLevel="0" collapsed="false">
      <c r="A1762" s="1" t="n">
        <v>1761</v>
      </c>
      <c r="B1762" s="2" t="s">
        <v>9511</v>
      </c>
      <c r="C1762" s="1" t="n">
        <v>9</v>
      </c>
      <c r="D1762" s="1" t="n">
        <v>10</v>
      </c>
      <c r="E1762" s="1" t="n">
        <v>36</v>
      </c>
      <c r="F1762" s="1" t="n">
        <v>50</v>
      </c>
      <c r="G1762" s="1" t="n">
        <v>53</v>
      </c>
      <c r="H1762" s="1" t="n">
        <v>55</v>
      </c>
      <c r="I1762" s="1" t="str">
        <f aca="false">RIGHT(("0"&amp;C1762),2)&amp;RIGHT(("0"&amp;D1762),2)&amp;RIGHT(("0"&amp;E1762),2)&amp;RIGHT(("0"&amp;F1762),2)&amp;RIGHT(("0"&amp;G1762),2)&amp;RIGHT(("0"&amp;H1762),2)</f>
        <v>091036505355</v>
      </c>
      <c r="J1762" s="1" t="n">
        <f aca="false">COUNTIF(I:I,I1762)</f>
        <v>1</v>
      </c>
      <c r="K1762" s="1" t="n">
        <v>0</v>
      </c>
      <c r="M1762" s="1" t="s">
        <v>23</v>
      </c>
      <c r="N1762" s="1" t="n">
        <v>176</v>
      </c>
      <c r="O1762" s="1" t="s">
        <v>9512</v>
      </c>
      <c r="P1762" s="1" t="n">
        <v>17821</v>
      </c>
      <c r="Q1762" s="1" t="s">
        <v>9513</v>
      </c>
      <c r="R1762" s="1" t="s">
        <v>9514</v>
      </c>
      <c r="S1762" s="1" t="s">
        <v>9515</v>
      </c>
      <c r="T1762" s="1" t="s">
        <v>9516</v>
      </c>
      <c r="U1762" s="1" t="s">
        <v>9517</v>
      </c>
    </row>
    <row r="1763" customFormat="false" ht="13.8" hidden="false" customHeight="false" outlineLevel="0" collapsed="false">
      <c r="A1763" s="1" t="n">
        <v>1762</v>
      </c>
      <c r="B1763" s="2" t="s">
        <v>9518</v>
      </c>
      <c r="C1763" s="1" t="n">
        <v>26</v>
      </c>
      <c r="D1763" s="1" t="n">
        <v>32</v>
      </c>
      <c r="E1763" s="1" t="n">
        <v>42</v>
      </c>
      <c r="F1763" s="1" t="n">
        <v>45</v>
      </c>
      <c r="G1763" s="1" t="n">
        <v>55</v>
      </c>
      <c r="H1763" s="1" t="n">
        <v>59</v>
      </c>
      <c r="I1763" s="1" t="str">
        <f aca="false">RIGHT(("0"&amp;C1763),2)&amp;RIGHT(("0"&amp;D1763),2)&amp;RIGHT(("0"&amp;E1763),2)&amp;RIGHT(("0"&amp;F1763),2)&amp;RIGHT(("0"&amp;G1763),2)&amp;RIGHT(("0"&amp;H1763),2)</f>
        <v>263242455559</v>
      </c>
      <c r="J1763" s="1" t="n">
        <f aca="false">COUNTIF(I:I,I1763)</f>
        <v>1</v>
      </c>
      <c r="K1763" s="1" t="n">
        <v>0</v>
      </c>
      <c r="M1763" s="1" t="s">
        <v>23</v>
      </c>
      <c r="N1763" s="1" t="n">
        <v>219</v>
      </c>
      <c r="O1763" s="1" t="s">
        <v>9519</v>
      </c>
      <c r="P1763" s="1" t="n">
        <v>18595</v>
      </c>
      <c r="Q1763" s="1" t="s">
        <v>9520</v>
      </c>
      <c r="R1763" s="1" t="s">
        <v>9521</v>
      </c>
      <c r="S1763" s="1" t="s">
        <v>9522</v>
      </c>
      <c r="T1763" s="1" t="s">
        <v>6916</v>
      </c>
      <c r="U1763" s="1" t="s">
        <v>9523</v>
      </c>
    </row>
    <row r="1764" customFormat="false" ht="13.8" hidden="false" customHeight="false" outlineLevel="0" collapsed="false">
      <c r="A1764" s="1" t="n">
        <v>1763</v>
      </c>
      <c r="B1764" s="2" t="s">
        <v>9524</v>
      </c>
      <c r="C1764" s="1" t="n">
        <v>9</v>
      </c>
      <c r="D1764" s="1" t="n">
        <v>12</v>
      </c>
      <c r="E1764" s="1" t="n">
        <v>15</v>
      </c>
      <c r="F1764" s="1" t="n">
        <v>21</v>
      </c>
      <c r="G1764" s="1" t="n">
        <v>31</v>
      </c>
      <c r="H1764" s="1" t="n">
        <v>36</v>
      </c>
      <c r="I1764" s="1" t="str">
        <f aca="false">RIGHT(("0"&amp;C1764),2)&amp;RIGHT(("0"&amp;D1764),2)&amp;RIGHT(("0"&amp;E1764),2)&amp;RIGHT(("0"&amp;F1764),2)&amp;RIGHT(("0"&amp;G1764),2)&amp;RIGHT(("0"&amp;H1764),2)</f>
        <v>091215213136</v>
      </c>
      <c r="J1764" s="1" t="n">
        <f aca="false">COUNTIF(I:I,I1764)</f>
        <v>1</v>
      </c>
      <c r="K1764" s="1" t="n">
        <v>0</v>
      </c>
      <c r="M1764" s="1" t="s">
        <v>23</v>
      </c>
      <c r="N1764" s="1" t="n">
        <v>689</v>
      </c>
      <c r="O1764" s="1" t="s">
        <v>9525</v>
      </c>
      <c r="P1764" s="1" t="n">
        <v>43184</v>
      </c>
      <c r="Q1764" s="1" t="s">
        <v>9526</v>
      </c>
      <c r="R1764" s="1" t="s">
        <v>9527</v>
      </c>
      <c r="S1764" s="1" t="s">
        <v>9528</v>
      </c>
      <c r="T1764" s="1" t="s">
        <v>6260</v>
      </c>
      <c r="U1764" s="1" t="s">
        <v>9529</v>
      </c>
    </row>
    <row r="1765" customFormat="false" ht="13.8" hidden="false" customHeight="false" outlineLevel="0" collapsed="false">
      <c r="A1765" s="1" t="n">
        <v>1764</v>
      </c>
      <c r="B1765" s="2" t="s">
        <v>9530</v>
      </c>
      <c r="C1765" s="1" t="n">
        <v>6</v>
      </c>
      <c r="D1765" s="1" t="n">
        <v>7</v>
      </c>
      <c r="E1765" s="1" t="n">
        <v>29</v>
      </c>
      <c r="F1765" s="1" t="n">
        <v>39</v>
      </c>
      <c r="G1765" s="1" t="n">
        <v>41</v>
      </c>
      <c r="H1765" s="1" t="n">
        <v>55</v>
      </c>
      <c r="I1765" s="1" t="str">
        <f aca="false">RIGHT(("0"&amp;C1765),2)&amp;RIGHT(("0"&amp;D1765),2)&amp;RIGHT(("0"&amp;E1765),2)&amp;RIGHT(("0"&amp;F1765),2)&amp;RIGHT(("0"&amp;G1765),2)&amp;RIGHT(("0"&amp;H1765),2)</f>
        <v>060729394155</v>
      </c>
      <c r="J1765" s="1" t="n">
        <f aca="false">COUNTIF(I:I,I1765)</f>
        <v>1</v>
      </c>
      <c r="K1765" s="1" t="n">
        <v>1</v>
      </c>
      <c r="L1765" s="1" t="s">
        <v>5633</v>
      </c>
      <c r="M1765" s="1" t="s">
        <v>9531</v>
      </c>
      <c r="N1765" s="1" t="n">
        <v>401</v>
      </c>
      <c r="O1765" s="1" t="s">
        <v>9532</v>
      </c>
      <c r="P1765" s="1" t="n">
        <v>33850</v>
      </c>
      <c r="Q1765" s="1" t="s">
        <v>9533</v>
      </c>
      <c r="R1765" s="1" t="s">
        <v>23</v>
      </c>
      <c r="S1765" s="1" t="s">
        <v>9534</v>
      </c>
      <c r="T1765" s="1" t="s">
        <v>9535</v>
      </c>
      <c r="U1765" s="1" t="s">
        <v>9536</v>
      </c>
    </row>
    <row r="1766" customFormat="false" ht="13.8" hidden="false" customHeight="false" outlineLevel="0" collapsed="false">
      <c r="A1766" s="1" t="n">
        <v>1765</v>
      </c>
      <c r="B1766" s="2" t="s">
        <v>9537</v>
      </c>
      <c r="C1766" s="1" t="n">
        <v>1</v>
      </c>
      <c r="D1766" s="1" t="n">
        <v>6</v>
      </c>
      <c r="E1766" s="1" t="n">
        <v>28</v>
      </c>
      <c r="F1766" s="1" t="n">
        <v>37</v>
      </c>
      <c r="G1766" s="1" t="n">
        <v>56</v>
      </c>
      <c r="H1766" s="1" t="n">
        <v>58</v>
      </c>
      <c r="I1766" s="1" t="str">
        <f aca="false">RIGHT(("0"&amp;C1766),2)&amp;RIGHT(("0"&amp;D1766),2)&amp;RIGHT(("0"&amp;E1766),2)&amp;RIGHT(("0"&amp;F1766),2)&amp;RIGHT(("0"&amp;G1766),2)&amp;RIGHT(("0"&amp;H1766),2)</f>
        <v>010628375658</v>
      </c>
      <c r="J1766" s="1" t="n">
        <f aca="false">COUNTIF(I:I,I1766)</f>
        <v>1</v>
      </c>
      <c r="K1766" s="1" t="n">
        <v>0</v>
      </c>
      <c r="M1766" s="1" t="s">
        <v>23</v>
      </c>
      <c r="N1766" s="1" t="n">
        <v>185</v>
      </c>
      <c r="O1766" s="1" t="s">
        <v>9538</v>
      </c>
      <c r="P1766" s="1" t="n">
        <v>9138</v>
      </c>
      <c r="Q1766" s="1" t="s">
        <v>9539</v>
      </c>
      <c r="R1766" s="1" t="s">
        <v>9540</v>
      </c>
      <c r="S1766" s="1" t="s">
        <v>9541</v>
      </c>
      <c r="T1766" s="1" t="s">
        <v>8343</v>
      </c>
      <c r="U1766" s="1" t="s">
        <v>9542</v>
      </c>
    </row>
    <row r="1767" customFormat="false" ht="13.8" hidden="false" customHeight="false" outlineLevel="0" collapsed="false">
      <c r="A1767" s="1" t="n">
        <v>1766</v>
      </c>
      <c r="B1767" s="2" t="s">
        <v>9543</v>
      </c>
      <c r="C1767" s="1" t="n">
        <v>22</v>
      </c>
      <c r="D1767" s="1" t="n">
        <v>23</v>
      </c>
      <c r="E1767" s="1" t="n">
        <v>41</v>
      </c>
      <c r="F1767" s="1" t="n">
        <v>46</v>
      </c>
      <c r="G1767" s="1" t="n">
        <v>53</v>
      </c>
      <c r="H1767" s="1" t="n">
        <v>60</v>
      </c>
      <c r="I1767" s="1" t="str">
        <f aca="false">RIGHT(("0"&amp;C1767),2)&amp;RIGHT(("0"&amp;D1767),2)&amp;RIGHT(("0"&amp;E1767),2)&amp;RIGHT(("0"&amp;F1767),2)&amp;RIGHT(("0"&amp;G1767),2)&amp;RIGHT(("0"&amp;H1767),2)</f>
        <v>222341465360</v>
      </c>
      <c r="J1767" s="1" t="n">
        <f aca="false">COUNTIF(I:I,I1767)</f>
        <v>1</v>
      </c>
      <c r="K1767" s="1" t="n">
        <v>0</v>
      </c>
      <c r="M1767" s="1" t="s">
        <v>23</v>
      </c>
      <c r="N1767" s="1" t="n">
        <v>70</v>
      </c>
      <c r="O1767" s="1" t="s">
        <v>9544</v>
      </c>
      <c r="P1767" s="1" t="n">
        <v>7088</v>
      </c>
      <c r="Q1767" s="1" t="s">
        <v>9545</v>
      </c>
      <c r="R1767" s="1" t="s">
        <v>9546</v>
      </c>
      <c r="S1767" s="1" t="s">
        <v>9547</v>
      </c>
      <c r="T1767" s="1" t="s">
        <v>9509</v>
      </c>
      <c r="U1767" s="1" t="s">
        <v>9548</v>
      </c>
    </row>
    <row r="1768" customFormat="false" ht="13.8" hidden="false" customHeight="false" outlineLevel="0" collapsed="false">
      <c r="A1768" s="1" t="n">
        <v>1767</v>
      </c>
      <c r="B1768" s="2" t="s">
        <v>9549</v>
      </c>
      <c r="C1768" s="1" t="n">
        <v>16</v>
      </c>
      <c r="D1768" s="1" t="n">
        <v>26</v>
      </c>
      <c r="E1768" s="1" t="n">
        <v>35</v>
      </c>
      <c r="F1768" s="1" t="n">
        <v>39</v>
      </c>
      <c r="G1768" s="1" t="n">
        <v>44</v>
      </c>
      <c r="H1768" s="1" t="n">
        <v>45</v>
      </c>
      <c r="I1768" s="1" t="str">
        <f aca="false">RIGHT(("0"&amp;C1768),2)&amp;RIGHT(("0"&amp;D1768),2)&amp;RIGHT(("0"&amp;E1768),2)&amp;RIGHT(("0"&amp;F1768),2)&amp;RIGHT(("0"&amp;G1768),2)&amp;RIGHT(("0"&amp;H1768),2)</f>
        <v>162635394445</v>
      </c>
      <c r="J1768" s="1" t="n">
        <f aca="false">COUNTIF(I:I,I1768)</f>
        <v>1</v>
      </c>
      <c r="K1768" s="1" t="n">
        <v>0</v>
      </c>
      <c r="M1768" s="1" t="s">
        <v>23</v>
      </c>
      <c r="N1768" s="1" t="n">
        <v>84</v>
      </c>
      <c r="O1768" s="1" t="s">
        <v>9550</v>
      </c>
      <c r="P1768" s="1" t="n">
        <v>7608</v>
      </c>
      <c r="Q1768" s="1" t="s">
        <v>9551</v>
      </c>
      <c r="R1768" s="1" t="s">
        <v>9552</v>
      </c>
      <c r="S1768" s="1" t="s">
        <v>9553</v>
      </c>
      <c r="T1768" s="1" t="s">
        <v>9554</v>
      </c>
      <c r="U1768" s="1" t="s">
        <v>9555</v>
      </c>
    </row>
    <row r="1769" customFormat="false" ht="13.8" hidden="false" customHeight="false" outlineLevel="0" collapsed="false">
      <c r="A1769" s="1" t="n">
        <v>1768</v>
      </c>
      <c r="B1769" s="2" t="s">
        <v>9556</v>
      </c>
      <c r="C1769" s="1" t="n">
        <v>5</v>
      </c>
      <c r="D1769" s="1" t="n">
        <v>7</v>
      </c>
      <c r="E1769" s="1" t="n">
        <v>11</v>
      </c>
      <c r="F1769" s="1" t="n">
        <v>34</v>
      </c>
      <c r="G1769" s="1" t="n">
        <v>35</v>
      </c>
      <c r="H1769" s="1" t="n">
        <v>50</v>
      </c>
      <c r="I1769" s="1" t="str">
        <f aca="false">RIGHT(("0"&amp;C1769),2)&amp;RIGHT(("0"&amp;D1769),2)&amp;RIGHT(("0"&amp;E1769),2)&amp;RIGHT(("0"&amp;F1769),2)&amp;RIGHT(("0"&amp;G1769),2)&amp;RIGHT(("0"&amp;H1769),2)</f>
        <v>050711343550</v>
      </c>
      <c r="J1769" s="1" t="n">
        <f aca="false">COUNTIF(I:I,I1769)</f>
        <v>1</v>
      </c>
      <c r="K1769" s="1" t="n">
        <v>0</v>
      </c>
      <c r="M1769" s="1" t="s">
        <v>23</v>
      </c>
      <c r="N1769" s="1" t="n">
        <v>156</v>
      </c>
      <c r="O1769" s="1" t="s">
        <v>9557</v>
      </c>
      <c r="P1769" s="1" t="n">
        <v>12402</v>
      </c>
      <c r="Q1769" s="1" t="s">
        <v>9558</v>
      </c>
      <c r="R1769" s="1" t="s">
        <v>9559</v>
      </c>
      <c r="S1769" s="1" t="s">
        <v>9560</v>
      </c>
      <c r="T1769" s="1" t="s">
        <v>8849</v>
      </c>
      <c r="U1769" s="1" t="s">
        <v>9561</v>
      </c>
    </row>
    <row r="1770" customFormat="false" ht="13.8" hidden="false" customHeight="false" outlineLevel="0" collapsed="false">
      <c r="A1770" s="1" t="n">
        <v>1769</v>
      </c>
      <c r="B1770" s="2" t="s">
        <v>9562</v>
      </c>
      <c r="C1770" s="1" t="n">
        <v>32</v>
      </c>
      <c r="D1770" s="1" t="n">
        <v>37</v>
      </c>
      <c r="E1770" s="1" t="n">
        <v>44</v>
      </c>
      <c r="F1770" s="1" t="n">
        <v>47</v>
      </c>
      <c r="G1770" s="1" t="n">
        <v>54</v>
      </c>
      <c r="H1770" s="1" t="n">
        <v>60</v>
      </c>
      <c r="I1770" s="1" t="str">
        <f aca="false">RIGHT(("0"&amp;C1770),2)&amp;RIGHT(("0"&amp;D1770),2)&amp;RIGHT(("0"&amp;E1770),2)&amp;RIGHT(("0"&amp;F1770),2)&amp;RIGHT(("0"&amp;G1770),2)&amp;RIGHT(("0"&amp;H1770),2)</f>
        <v>323744475460</v>
      </c>
      <c r="J1770" s="1" t="n">
        <f aca="false">COUNTIF(I:I,I1770)</f>
        <v>1</v>
      </c>
      <c r="K1770" s="1" t="n">
        <v>0</v>
      </c>
      <c r="M1770" s="1" t="s">
        <v>23</v>
      </c>
      <c r="N1770" s="1" t="n">
        <v>105</v>
      </c>
      <c r="O1770" s="1" t="s">
        <v>9563</v>
      </c>
      <c r="P1770" s="1" t="n">
        <v>7782</v>
      </c>
      <c r="Q1770" s="1" t="s">
        <v>9564</v>
      </c>
      <c r="R1770" s="1" t="s">
        <v>9565</v>
      </c>
      <c r="S1770" s="1" t="s">
        <v>9566</v>
      </c>
      <c r="T1770" s="1" t="s">
        <v>9567</v>
      </c>
      <c r="U1770" s="1" t="s">
        <v>9568</v>
      </c>
    </row>
    <row r="1771" customFormat="false" ht="13.8" hidden="false" customHeight="false" outlineLevel="0" collapsed="false">
      <c r="A1771" s="1" t="n">
        <v>1770</v>
      </c>
      <c r="B1771" s="2" t="s">
        <v>9569</v>
      </c>
      <c r="C1771" s="1" t="n">
        <v>11</v>
      </c>
      <c r="D1771" s="1" t="n">
        <v>26</v>
      </c>
      <c r="E1771" s="1" t="n">
        <v>27</v>
      </c>
      <c r="F1771" s="1" t="n">
        <v>30</v>
      </c>
      <c r="G1771" s="1" t="n">
        <v>34</v>
      </c>
      <c r="H1771" s="1" t="n">
        <v>41</v>
      </c>
      <c r="I1771" s="1" t="str">
        <f aca="false">RIGHT(("0"&amp;C1771),2)&amp;RIGHT(("0"&amp;D1771),2)&amp;RIGHT(("0"&amp;E1771),2)&amp;RIGHT(("0"&amp;F1771),2)&amp;RIGHT(("0"&amp;G1771),2)&amp;RIGHT(("0"&amp;H1771),2)</f>
        <v>112627303441</v>
      </c>
      <c r="J1771" s="1" t="n">
        <f aca="false">COUNTIF(I:I,I1771)</f>
        <v>1</v>
      </c>
      <c r="K1771" s="1" t="n">
        <v>0</v>
      </c>
      <c r="M1771" s="1" t="s">
        <v>23</v>
      </c>
      <c r="N1771" s="1" t="n">
        <v>110</v>
      </c>
      <c r="O1771" s="1" t="s">
        <v>9570</v>
      </c>
      <c r="P1771" s="1" t="n">
        <v>8861</v>
      </c>
      <c r="Q1771" s="1" t="s">
        <v>9571</v>
      </c>
      <c r="R1771" s="1" t="s">
        <v>9572</v>
      </c>
      <c r="S1771" s="1" t="s">
        <v>9573</v>
      </c>
      <c r="T1771" s="1" t="s">
        <v>9574</v>
      </c>
      <c r="U1771" s="1" t="s">
        <v>9575</v>
      </c>
    </row>
    <row r="1772" customFormat="false" ht="13.8" hidden="false" customHeight="false" outlineLevel="0" collapsed="false">
      <c r="A1772" s="1" t="n">
        <v>1771</v>
      </c>
      <c r="B1772" s="2" t="s">
        <v>9576</v>
      </c>
      <c r="C1772" s="1" t="n">
        <v>2</v>
      </c>
      <c r="D1772" s="1" t="n">
        <v>20</v>
      </c>
      <c r="E1772" s="1" t="n">
        <v>27</v>
      </c>
      <c r="F1772" s="1" t="n">
        <v>28</v>
      </c>
      <c r="G1772" s="1" t="n">
        <v>32</v>
      </c>
      <c r="H1772" s="1" t="n">
        <v>38</v>
      </c>
      <c r="I1772" s="1" t="str">
        <f aca="false">RIGHT(("0"&amp;C1772),2)&amp;RIGHT(("0"&amp;D1772),2)&amp;RIGHT(("0"&amp;E1772),2)&amp;RIGHT(("0"&amp;F1772),2)&amp;RIGHT(("0"&amp;G1772),2)&amp;RIGHT(("0"&amp;H1772),2)</f>
        <v>022027283238</v>
      </c>
      <c r="J1772" s="1" t="n">
        <f aca="false">COUNTIF(I:I,I1772)</f>
        <v>1</v>
      </c>
      <c r="K1772" s="1" t="n">
        <v>0</v>
      </c>
      <c r="M1772" s="1" t="s">
        <v>23</v>
      </c>
      <c r="N1772" s="1" t="n">
        <v>123</v>
      </c>
      <c r="O1772" s="1" t="s">
        <v>9577</v>
      </c>
      <c r="P1772" s="1" t="n">
        <v>10330</v>
      </c>
      <c r="Q1772" s="1" t="s">
        <v>9578</v>
      </c>
      <c r="R1772" s="1" t="s">
        <v>9579</v>
      </c>
      <c r="S1772" s="1" t="s">
        <v>9580</v>
      </c>
      <c r="T1772" s="1" t="s">
        <v>9581</v>
      </c>
      <c r="U1772" s="1" t="s">
        <v>9582</v>
      </c>
    </row>
    <row r="1773" customFormat="false" ht="13.8" hidden="false" customHeight="false" outlineLevel="0" collapsed="false">
      <c r="A1773" s="1" t="n">
        <v>1772</v>
      </c>
      <c r="B1773" s="2" t="s">
        <v>9583</v>
      </c>
      <c r="C1773" s="1" t="n">
        <v>12</v>
      </c>
      <c r="D1773" s="1" t="n">
        <v>19</v>
      </c>
      <c r="E1773" s="1" t="n">
        <v>27</v>
      </c>
      <c r="F1773" s="1" t="n">
        <v>39</v>
      </c>
      <c r="G1773" s="1" t="n">
        <v>41</v>
      </c>
      <c r="H1773" s="1" t="n">
        <v>45</v>
      </c>
      <c r="I1773" s="1" t="str">
        <f aca="false">RIGHT(("0"&amp;C1773),2)&amp;RIGHT(("0"&amp;D1773),2)&amp;RIGHT(("0"&amp;E1773),2)&amp;RIGHT(("0"&amp;F1773),2)&amp;RIGHT(("0"&amp;G1773),2)&amp;RIGHT(("0"&amp;H1773),2)</f>
        <v>121927394145</v>
      </c>
      <c r="J1773" s="1" t="n">
        <f aca="false">COUNTIF(I:I,I1773)</f>
        <v>1</v>
      </c>
      <c r="K1773" s="1" t="n">
        <v>2</v>
      </c>
      <c r="L1773" s="1" t="s">
        <v>9584</v>
      </c>
      <c r="M1773" s="1" t="s">
        <v>9585</v>
      </c>
      <c r="N1773" s="1" t="n">
        <v>244</v>
      </c>
      <c r="O1773" s="1" t="s">
        <v>9586</v>
      </c>
      <c r="P1773" s="1" t="n">
        <v>13112</v>
      </c>
      <c r="Q1773" s="1" t="s">
        <v>9587</v>
      </c>
      <c r="R1773" s="1" t="s">
        <v>23</v>
      </c>
      <c r="S1773" s="1" t="s">
        <v>9588</v>
      </c>
      <c r="T1773" s="1" t="s">
        <v>473</v>
      </c>
      <c r="U1773" s="1" t="s">
        <v>9589</v>
      </c>
    </row>
    <row r="1774" customFormat="false" ht="13.8" hidden="false" customHeight="false" outlineLevel="0" collapsed="false">
      <c r="A1774" s="1" t="n">
        <v>1773</v>
      </c>
      <c r="B1774" s="2" t="s">
        <v>9590</v>
      </c>
      <c r="C1774" s="1" t="n">
        <v>15</v>
      </c>
      <c r="D1774" s="1" t="n">
        <v>30</v>
      </c>
      <c r="E1774" s="1" t="n">
        <v>39</v>
      </c>
      <c r="F1774" s="1" t="n">
        <v>41</v>
      </c>
      <c r="G1774" s="1" t="n">
        <v>45</v>
      </c>
      <c r="H1774" s="1" t="n">
        <v>59</v>
      </c>
      <c r="I1774" s="1" t="str">
        <f aca="false">RIGHT(("0"&amp;C1774),2)&amp;RIGHT(("0"&amp;D1774),2)&amp;RIGHT(("0"&amp;E1774),2)&amp;RIGHT(("0"&amp;F1774),2)&amp;RIGHT(("0"&amp;G1774),2)&amp;RIGHT(("0"&amp;H1774),2)</f>
        <v>153039414559</v>
      </c>
      <c r="J1774" s="1" t="n">
        <f aca="false">COUNTIF(I:I,I1774)</f>
        <v>1</v>
      </c>
      <c r="K1774" s="1" t="n">
        <v>0</v>
      </c>
      <c r="M1774" s="1" t="s">
        <v>23</v>
      </c>
      <c r="N1774" s="1" t="n">
        <v>36</v>
      </c>
      <c r="O1774" s="1" t="s">
        <v>9591</v>
      </c>
      <c r="P1774" s="1" t="n">
        <v>2312</v>
      </c>
      <c r="Q1774" s="1" t="s">
        <v>9592</v>
      </c>
      <c r="R1774" s="1" t="s">
        <v>9593</v>
      </c>
      <c r="S1774" s="1" t="s">
        <v>9594</v>
      </c>
      <c r="T1774" s="1" t="s">
        <v>4342</v>
      </c>
      <c r="U1774" s="1" t="s">
        <v>9595</v>
      </c>
    </row>
    <row r="1775" customFormat="false" ht="13.8" hidden="false" customHeight="false" outlineLevel="0" collapsed="false">
      <c r="A1775" s="1" t="n">
        <v>1774</v>
      </c>
      <c r="B1775" s="2" t="s">
        <v>9596</v>
      </c>
      <c r="C1775" s="1" t="n">
        <v>1</v>
      </c>
      <c r="D1775" s="1" t="n">
        <v>12</v>
      </c>
      <c r="E1775" s="1" t="n">
        <v>20</v>
      </c>
      <c r="F1775" s="1" t="n">
        <v>30</v>
      </c>
      <c r="G1775" s="1" t="n">
        <v>52</v>
      </c>
      <c r="H1775" s="1" t="n">
        <v>60</v>
      </c>
      <c r="I1775" s="1" t="str">
        <f aca="false">RIGHT(("0"&amp;C1775),2)&amp;RIGHT(("0"&amp;D1775),2)&amp;RIGHT(("0"&amp;E1775),2)&amp;RIGHT(("0"&amp;F1775),2)&amp;RIGHT(("0"&amp;G1775),2)&amp;RIGHT(("0"&amp;H1775),2)</f>
        <v>011220305260</v>
      </c>
      <c r="J1775" s="1" t="n">
        <f aca="false">COUNTIF(I:I,I1775)</f>
        <v>1</v>
      </c>
      <c r="K1775" s="1" t="n">
        <v>0</v>
      </c>
      <c r="M1775" s="1" t="s">
        <v>23</v>
      </c>
      <c r="N1775" s="1" t="n">
        <v>37</v>
      </c>
      <c r="O1775" s="1" t="s">
        <v>9597</v>
      </c>
      <c r="P1775" s="1" t="n">
        <v>2707</v>
      </c>
      <c r="Q1775" s="1" t="s">
        <v>9598</v>
      </c>
      <c r="R1775" s="1" t="s">
        <v>9599</v>
      </c>
      <c r="S1775" s="1" t="s">
        <v>9600</v>
      </c>
      <c r="T1775" s="1" t="s">
        <v>9601</v>
      </c>
      <c r="U1775" s="1" t="s">
        <v>9599</v>
      </c>
    </row>
    <row r="1776" customFormat="false" ht="13.8" hidden="false" customHeight="false" outlineLevel="0" collapsed="false">
      <c r="A1776" s="1" t="n">
        <v>1775</v>
      </c>
      <c r="B1776" s="2" t="s">
        <v>9602</v>
      </c>
      <c r="C1776" s="1" t="n">
        <v>2</v>
      </c>
      <c r="D1776" s="1" t="n">
        <v>18</v>
      </c>
      <c r="E1776" s="1" t="n">
        <v>31</v>
      </c>
      <c r="F1776" s="1" t="n">
        <v>42</v>
      </c>
      <c r="G1776" s="1" t="n">
        <v>51</v>
      </c>
      <c r="H1776" s="1" t="n">
        <v>56</v>
      </c>
      <c r="I1776" s="1" t="str">
        <f aca="false">RIGHT(("0"&amp;C1776),2)&amp;RIGHT(("0"&amp;D1776),2)&amp;RIGHT(("0"&amp;E1776),2)&amp;RIGHT(("0"&amp;F1776),2)&amp;RIGHT(("0"&amp;G1776),2)&amp;RIGHT(("0"&amp;H1776),2)</f>
        <v>021831425156</v>
      </c>
      <c r="J1776" s="1" t="n">
        <f aca="false">COUNTIF(I:I,I1776)</f>
        <v>1</v>
      </c>
      <c r="K1776" s="1" t="n">
        <v>6</v>
      </c>
      <c r="L1776" s="1" t="s">
        <v>9603</v>
      </c>
      <c r="M1776" s="1" t="s">
        <v>9604</v>
      </c>
      <c r="N1776" s="1" t="n">
        <v>827</v>
      </c>
      <c r="O1776" s="1" t="s">
        <v>9605</v>
      </c>
      <c r="P1776" s="1" t="n">
        <v>62767</v>
      </c>
      <c r="Q1776" s="1" t="s">
        <v>9606</v>
      </c>
      <c r="R1776" s="1" t="s">
        <v>23</v>
      </c>
      <c r="S1776" s="1" t="s">
        <v>9607</v>
      </c>
      <c r="T1776" s="1" t="s">
        <v>4218</v>
      </c>
      <c r="U1776" s="1" t="s">
        <v>23</v>
      </c>
    </row>
    <row r="1777" customFormat="false" ht="13.8" hidden="false" customHeight="false" outlineLevel="0" collapsed="false">
      <c r="A1777" s="1" t="n">
        <v>1776</v>
      </c>
      <c r="B1777" s="2" t="s">
        <v>9608</v>
      </c>
      <c r="C1777" s="1" t="n">
        <v>10</v>
      </c>
      <c r="D1777" s="1" t="n">
        <v>11</v>
      </c>
      <c r="E1777" s="1" t="n">
        <v>14</v>
      </c>
      <c r="F1777" s="1" t="n">
        <v>19</v>
      </c>
      <c r="G1777" s="1" t="n">
        <v>39</v>
      </c>
      <c r="H1777" s="1" t="n">
        <v>48</v>
      </c>
      <c r="I1777" s="1" t="str">
        <f aca="false">RIGHT(("0"&amp;C1777),2)&amp;RIGHT(("0"&amp;D1777),2)&amp;RIGHT(("0"&amp;E1777),2)&amp;RIGHT(("0"&amp;F1777),2)&amp;RIGHT(("0"&amp;G1777),2)&amp;RIGHT(("0"&amp;H1777),2)</f>
        <v>101114193948</v>
      </c>
      <c r="J1777" s="1" t="n">
        <f aca="false">COUNTIF(I:I,I1777)</f>
        <v>1</v>
      </c>
      <c r="K1777" s="1" t="n">
        <v>0</v>
      </c>
      <c r="M1777" s="1" t="s">
        <v>23</v>
      </c>
      <c r="N1777" s="1" t="n">
        <v>17</v>
      </c>
      <c r="O1777" s="1" t="s">
        <v>9609</v>
      </c>
      <c r="P1777" s="1" t="n">
        <v>1051</v>
      </c>
      <c r="Q1777" s="1" t="s">
        <v>9610</v>
      </c>
      <c r="R1777" s="1" t="s">
        <v>9611</v>
      </c>
      <c r="S1777" s="1" t="s">
        <v>9612</v>
      </c>
      <c r="T1777" s="1" t="s">
        <v>4256</v>
      </c>
      <c r="U1777" s="1" t="s">
        <v>9613</v>
      </c>
    </row>
    <row r="1778" customFormat="false" ht="13.8" hidden="false" customHeight="false" outlineLevel="0" collapsed="false">
      <c r="A1778" s="1" t="n">
        <v>1777</v>
      </c>
      <c r="B1778" s="2" t="s">
        <v>9614</v>
      </c>
      <c r="C1778" s="1" t="n">
        <v>4</v>
      </c>
      <c r="D1778" s="1" t="n">
        <v>19</v>
      </c>
      <c r="E1778" s="1" t="n">
        <v>38</v>
      </c>
      <c r="F1778" s="1" t="n">
        <v>44</v>
      </c>
      <c r="G1778" s="1" t="n">
        <v>52</v>
      </c>
      <c r="H1778" s="1" t="n">
        <v>55</v>
      </c>
      <c r="I1778" s="1" t="str">
        <f aca="false">RIGHT(("0"&amp;C1778),2)&amp;RIGHT(("0"&amp;D1778),2)&amp;RIGHT(("0"&amp;E1778),2)&amp;RIGHT(("0"&amp;F1778),2)&amp;RIGHT(("0"&amp;G1778),2)&amp;RIGHT(("0"&amp;H1778),2)</f>
        <v>041938445255</v>
      </c>
      <c r="J1778" s="1" t="n">
        <f aca="false">COUNTIF(I:I,I1778)</f>
        <v>1</v>
      </c>
      <c r="K1778" s="1" t="n">
        <v>0</v>
      </c>
      <c r="M1778" s="1" t="s">
        <v>23</v>
      </c>
      <c r="N1778" s="1" t="n">
        <v>62</v>
      </c>
      <c r="O1778" s="1" t="s">
        <v>9615</v>
      </c>
      <c r="P1778" s="1" t="n">
        <v>3484</v>
      </c>
      <c r="Q1778" s="1" t="s">
        <v>9616</v>
      </c>
      <c r="R1778" s="1" t="s">
        <v>9617</v>
      </c>
      <c r="S1778" s="1" t="s">
        <v>9618</v>
      </c>
      <c r="T1778" s="1" t="s">
        <v>4991</v>
      </c>
      <c r="U1778" s="1" t="s">
        <v>9619</v>
      </c>
    </row>
    <row r="1779" customFormat="false" ht="13.8" hidden="false" customHeight="false" outlineLevel="0" collapsed="false">
      <c r="A1779" s="1" t="n">
        <v>1778</v>
      </c>
      <c r="B1779" s="2" t="s">
        <v>9620</v>
      </c>
      <c r="C1779" s="1" t="n">
        <v>4</v>
      </c>
      <c r="D1779" s="1" t="n">
        <v>10</v>
      </c>
      <c r="E1779" s="1" t="n">
        <v>38</v>
      </c>
      <c r="F1779" s="1" t="n">
        <v>40</v>
      </c>
      <c r="G1779" s="1" t="n">
        <v>45</v>
      </c>
      <c r="H1779" s="1" t="n">
        <v>48</v>
      </c>
      <c r="I1779" s="1" t="str">
        <f aca="false">RIGHT(("0"&amp;C1779),2)&amp;RIGHT(("0"&amp;D1779),2)&amp;RIGHT(("0"&amp;E1779),2)&amp;RIGHT(("0"&amp;F1779),2)&amp;RIGHT(("0"&amp;G1779),2)&amp;RIGHT(("0"&amp;H1779),2)</f>
        <v>041038404548</v>
      </c>
      <c r="J1779" s="1" t="n">
        <f aca="false">COUNTIF(I:I,I1779)</f>
        <v>1</v>
      </c>
      <c r="K1779" s="1" t="n">
        <v>0</v>
      </c>
      <c r="M1779" s="1" t="s">
        <v>23</v>
      </c>
      <c r="N1779" s="1" t="n">
        <v>37</v>
      </c>
      <c r="O1779" s="1" t="s">
        <v>9621</v>
      </c>
      <c r="P1779" s="1" t="n">
        <v>3457</v>
      </c>
      <c r="Q1779" s="1" t="s">
        <v>9622</v>
      </c>
      <c r="R1779" s="1" t="s">
        <v>9623</v>
      </c>
      <c r="S1779" s="1" t="s">
        <v>9624</v>
      </c>
      <c r="T1779" s="1" t="s">
        <v>3727</v>
      </c>
      <c r="U1779" s="1" t="s">
        <v>9625</v>
      </c>
    </row>
    <row r="1780" customFormat="false" ht="13.8" hidden="false" customHeight="false" outlineLevel="0" collapsed="false">
      <c r="A1780" s="1" t="n">
        <v>1779</v>
      </c>
      <c r="B1780" s="2" t="s">
        <v>9626</v>
      </c>
      <c r="C1780" s="1" t="n">
        <v>12</v>
      </c>
      <c r="D1780" s="1" t="n">
        <v>25</v>
      </c>
      <c r="E1780" s="1" t="n">
        <v>30</v>
      </c>
      <c r="F1780" s="1" t="n">
        <v>39</v>
      </c>
      <c r="G1780" s="1" t="n">
        <v>56</v>
      </c>
      <c r="H1780" s="1" t="n">
        <v>57</v>
      </c>
      <c r="I1780" s="1" t="str">
        <f aca="false">RIGHT(("0"&amp;C1780),2)&amp;RIGHT(("0"&amp;D1780),2)&amp;RIGHT(("0"&amp;E1780),2)&amp;RIGHT(("0"&amp;F1780),2)&amp;RIGHT(("0"&amp;G1780),2)&amp;RIGHT(("0"&amp;H1780),2)</f>
        <v>122530395657</v>
      </c>
      <c r="J1780" s="1" t="n">
        <f aca="false">COUNTIF(I:I,I1780)</f>
        <v>1</v>
      </c>
      <c r="K1780" s="1" t="n">
        <v>0</v>
      </c>
      <c r="M1780" s="1" t="s">
        <v>23</v>
      </c>
      <c r="N1780" s="1" t="n">
        <v>30</v>
      </c>
      <c r="O1780" s="1" t="s">
        <v>9627</v>
      </c>
      <c r="P1780" s="1" t="n">
        <v>2162</v>
      </c>
      <c r="Q1780" s="1" t="s">
        <v>9628</v>
      </c>
      <c r="R1780" s="1" t="s">
        <v>9629</v>
      </c>
      <c r="S1780" s="1" t="s">
        <v>9630</v>
      </c>
      <c r="T1780" s="1" t="s">
        <v>4691</v>
      </c>
      <c r="U1780" s="1" t="s">
        <v>9631</v>
      </c>
    </row>
    <row r="1781" customFormat="false" ht="13.8" hidden="false" customHeight="false" outlineLevel="0" collapsed="false">
      <c r="A1781" s="1" t="n">
        <v>1780</v>
      </c>
      <c r="B1781" s="2" t="s">
        <v>9632</v>
      </c>
      <c r="C1781" s="1" t="n">
        <v>6</v>
      </c>
      <c r="D1781" s="1" t="n">
        <v>20</v>
      </c>
      <c r="E1781" s="1" t="n">
        <v>22</v>
      </c>
      <c r="F1781" s="1" t="n">
        <v>31</v>
      </c>
      <c r="G1781" s="1" t="n">
        <v>33</v>
      </c>
      <c r="H1781" s="1" t="n">
        <v>34</v>
      </c>
      <c r="I1781" s="1" t="str">
        <f aca="false">RIGHT(("0"&amp;C1781),2)&amp;RIGHT(("0"&amp;D1781),2)&amp;RIGHT(("0"&amp;E1781),2)&amp;RIGHT(("0"&amp;F1781),2)&amp;RIGHT(("0"&amp;G1781),2)&amp;RIGHT(("0"&amp;H1781),2)</f>
        <v>062022313334</v>
      </c>
      <c r="J1781" s="1" t="n">
        <f aca="false">COUNTIF(I:I,I1781)</f>
        <v>1</v>
      </c>
      <c r="K1781" s="1" t="n">
        <v>0</v>
      </c>
      <c r="M1781" s="1" t="s">
        <v>23</v>
      </c>
      <c r="N1781" s="1" t="n">
        <v>30</v>
      </c>
      <c r="O1781" s="1" t="s">
        <v>9633</v>
      </c>
      <c r="P1781" s="1" t="n">
        <v>3095</v>
      </c>
      <c r="Q1781" s="1" t="s">
        <v>9634</v>
      </c>
      <c r="R1781" s="1" t="s">
        <v>9635</v>
      </c>
      <c r="S1781" s="1" t="s">
        <v>9636</v>
      </c>
      <c r="T1781" s="1" t="s">
        <v>4328</v>
      </c>
      <c r="U1781" s="1" t="s">
        <v>9637</v>
      </c>
    </row>
    <row r="1782" customFormat="false" ht="13.8" hidden="false" customHeight="false" outlineLevel="0" collapsed="false">
      <c r="A1782" s="1" t="n">
        <v>1781</v>
      </c>
      <c r="B1782" s="2" t="s">
        <v>9638</v>
      </c>
      <c r="C1782" s="1" t="n">
        <v>1</v>
      </c>
      <c r="D1782" s="1" t="n">
        <v>8</v>
      </c>
      <c r="E1782" s="1" t="n">
        <v>22</v>
      </c>
      <c r="F1782" s="1" t="n">
        <v>49</v>
      </c>
      <c r="G1782" s="1" t="n">
        <v>52</v>
      </c>
      <c r="H1782" s="1" t="n">
        <v>53</v>
      </c>
      <c r="I1782" s="1" t="str">
        <f aca="false">RIGHT(("0"&amp;C1782),2)&amp;RIGHT(("0"&amp;D1782),2)&amp;RIGHT(("0"&amp;E1782),2)&amp;RIGHT(("0"&amp;F1782),2)&amp;RIGHT(("0"&amp;G1782),2)&amp;RIGHT(("0"&amp;H1782),2)</f>
        <v>010822495253</v>
      </c>
      <c r="J1782" s="1" t="n">
        <f aca="false">COUNTIF(I:I,I1782)</f>
        <v>1</v>
      </c>
      <c r="K1782" s="1" t="n">
        <v>2</v>
      </c>
      <c r="L1782" s="1" t="s">
        <v>9639</v>
      </c>
      <c r="M1782" s="1" t="s">
        <v>9640</v>
      </c>
      <c r="N1782" s="1" t="n">
        <v>54</v>
      </c>
      <c r="O1782" s="1" t="s">
        <v>9641</v>
      </c>
      <c r="P1782" s="1" t="n">
        <v>3941</v>
      </c>
      <c r="Q1782" s="1" t="s">
        <v>9642</v>
      </c>
      <c r="R1782" s="1" t="s">
        <v>23</v>
      </c>
      <c r="S1782" s="1" t="s">
        <v>9643</v>
      </c>
      <c r="T1782" s="1" t="s">
        <v>473</v>
      </c>
      <c r="U1782" s="1" t="s">
        <v>9644</v>
      </c>
    </row>
    <row r="1783" customFormat="false" ht="13.8" hidden="false" customHeight="false" outlineLevel="0" collapsed="false">
      <c r="A1783" s="1" t="n">
        <v>1782</v>
      </c>
      <c r="B1783" s="2" t="s">
        <v>9645</v>
      </c>
      <c r="C1783" s="1" t="n">
        <v>6</v>
      </c>
      <c r="D1783" s="1" t="n">
        <v>18</v>
      </c>
      <c r="E1783" s="1" t="n">
        <v>34</v>
      </c>
      <c r="F1783" s="1" t="n">
        <v>47</v>
      </c>
      <c r="G1783" s="1" t="n">
        <v>52</v>
      </c>
      <c r="H1783" s="1" t="n">
        <v>57</v>
      </c>
      <c r="I1783" s="1" t="str">
        <f aca="false">RIGHT(("0"&amp;C1783),2)&amp;RIGHT(("0"&amp;D1783),2)&amp;RIGHT(("0"&amp;E1783),2)&amp;RIGHT(("0"&amp;F1783),2)&amp;RIGHT(("0"&amp;G1783),2)&amp;RIGHT(("0"&amp;H1783),2)</f>
        <v>061834475257</v>
      </c>
      <c r="J1783" s="1" t="n">
        <f aca="false">COUNTIF(I:I,I1783)</f>
        <v>1</v>
      </c>
      <c r="K1783" s="1" t="n">
        <v>0</v>
      </c>
      <c r="M1783" s="1" t="s">
        <v>23</v>
      </c>
      <c r="N1783" s="1" t="n">
        <v>110</v>
      </c>
      <c r="O1783" s="1" t="s">
        <v>9646</v>
      </c>
      <c r="P1783" s="1" t="n">
        <v>3430</v>
      </c>
      <c r="Q1783" s="1" t="s">
        <v>9647</v>
      </c>
      <c r="R1783" s="1" t="s">
        <v>9648</v>
      </c>
      <c r="S1783" s="1" t="s">
        <v>9649</v>
      </c>
      <c r="T1783" s="1" t="s">
        <v>4342</v>
      </c>
      <c r="U1783" s="1" t="s">
        <v>9650</v>
      </c>
      <c r="V1783" s="1" t="s">
        <v>8510</v>
      </c>
    </row>
    <row r="1784" customFormat="false" ht="13.8" hidden="false" customHeight="false" outlineLevel="0" collapsed="false">
      <c r="A1784" s="1" t="n">
        <v>1783</v>
      </c>
      <c r="B1784" s="2" t="s">
        <v>9651</v>
      </c>
      <c r="C1784" s="1" t="n">
        <v>4</v>
      </c>
      <c r="D1784" s="1" t="n">
        <v>6</v>
      </c>
      <c r="E1784" s="1" t="n">
        <v>16</v>
      </c>
      <c r="F1784" s="1" t="n">
        <v>18</v>
      </c>
      <c r="G1784" s="1" t="n">
        <v>21</v>
      </c>
      <c r="H1784" s="1" t="n">
        <v>38</v>
      </c>
      <c r="I1784" s="1" t="str">
        <f aca="false">RIGHT(("0"&amp;C1784),2)&amp;RIGHT(("0"&amp;D1784),2)&amp;RIGHT(("0"&amp;E1784),2)&amp;RIGHT(("0"&amp;F1784),2)&amp;RIGHT(("0"&amp;G1784),2)&amp;RIGHT(("0"&amp;H1784),2)</f>
        <v>040616182138</v>
      </c>
      <c r="J1784" s="1" t="n">
        <f aca="false">COUNTIF(I:I,I1784)</f>
        <v>1</v>
      </c>
      <c r="K1784" s="1" t="n">
        <v>0</v>
      </c>
      <c r="M1784" s="1" t="s">
        <v>23</v>
      </c>
      <c r="N1784" s="1" t="n">
        <v>67</v>
      </c>
      <c r="O1784" s="1" t="s">
        <v>9652</v>
      </c>
      <c r="P1784" s="1" t="n">
        <v>4886</v>
      </c>
      <c r="Q1784" s="1" t="s">
        <v>9653</v>
      </c>
      <c r="R1784" s="1" t="s">
        <v>9654</v>
      </c>
      <c r="S1784" s="1" t="s">
        <v>9655</v>
      </c>
      <c r="T1784" s="1" t="s">
        <v>4195</v>
      </c>
      <c r="U1784" s="1" t="s">
        <v>9656</v>
      </c>
    </row>
    <row r="1785" customFormat="false" ht="13.8" hidden="false" customHeight="false" outlineLevel="0" collapsed="false">
      <c r="A1785" s="1" t="n">
        <v>1784</v>
      </c>
      <c r="B1785" s="2" t="s">
        <v>9657</v>
      </c>
      <c r="C1785" s="1" t="n">
        <v>4</v>
      </c>
      <c r="D1785" s="1" t="n">
        <v>15</v>
      </c>
      <c r="E1785" s="1" t="n">
        <v>26</v>
      </c>
      <c r="F1785" s="1" t="n">
        <v>30</v>
      </c>
      <c r="G1785" s="1" t="n">
        <v>54</v>
      </c>
      <c r="H1785" s="1" t="n">
        <v>55</v>
      </c>
      <c r="I1785" s="1" t="str">
        <f aca="false">RIGHT(("0"&amp;C1785),2)&amp;RIGHT(("0"&amp;D1785),2)&amp;RIGHT(("0"&amp;E1785),2)&amp;RIGHT(("0"&amp;F1785),2)&amp;RIGHT(("0"&amp;G1785),2)&amp;RIGHT(("0"&amp;H1785),2)</f>
        <v>041526305455</v>
      </c>
      <c r="J1785" s="1" t="n">
        <f aca="false">COUNTIF(I:I,I1785)</f>
        <v>1</v>
      </c>
      <c r="K1785" s="1" t="n">
        <v>0</v>
      </c>
      <c r="M1785" s="1" t="s">
        <v>23</v>
      </c>
      <c r="N1785" s="1" t="n">
        <v>32</v>
      </c>
      <c r="O1785" s="1" t="s">
        <v>9658</v>
      </c>
      <c r="P1785" s="1" t="n">
        <v>2896</v>
      </c>
      <c r="Q1785" s="1" t="s">
        <v>9659</v>
      </c>
      <c r="R1785" s="1" t="s">
        <v>9660</v>
      </c>
      <c r="S1785" s="1" t="s">
        <v>9661</v>
      </c>
      <c r="T1785" s="1" t="s">
        <v>4718</v>
      </c>
      <c r="U1785" s="1" t="s">
        <v>9662</v>
      </c>
    </row>
    <row r="1786" customFormat="false" ht="13.8" hidden="false" customHeight="false" outlineLevel="0" collapsed="false">
      <c r="A1786" s="1" t="n">
        <v>1785</v>
      </c>
      <c r="B1786" s="2" t="s">
        <v>9663</v>
      </c>
      <c r="C1786" s="1" t="n">
        <v>5</v>
      </c>
      <c r="D1786" s="1" t="n">
        <v>11</v>
      </c>
      <c r="E1786" s="1" t="n">
        <v>27</v>
      </c>
      <c r="F1786" s="1" t="n">
        <v>41</v>
      </c>
      <c r="G1786" s="1" t="n">
        <v>42</v>
      </c>
      <c r="H1786" s="1" t="n">
        <v>54</v>
      </c>
      <c r="I1786" s="1" t="str">
        <f aca="false">RIGHT(("0"&amp;C1786),2)&amp;RIGHT(("0"&amp;D1786),2)&amp;RIGHT(("0"&amp;E1786),2)&amp;RIGHT(("0"&amp;F1786),2)&amp;RIGHT(("0"&amp;G1786),2)&amp;RIGHT(("0"&amp;H1786),2)</f>
        <v>051127414254</v>
      </c>
      <c r="J1786" s="1" t="n">
        <f aca="false">COUNTIF(I:I,I1786)</f>
        <v>1</v>
      </c>
      <c r="K1786" s="1" t="n">
        <v>0</v>
      </c>
      <c r="M1786" s="1" t="s">
        <v>23</v>
      </c>
      <c r="N1786" s="1" t="n">
        <v>91</v>
      </c>
      <c r="O1786" s="1" t="s">
        <v>9664</v>
      </c>
      <c r="P1786" s="1" t="n">
        <v>6410</v>
      </c>
      <c r="Q1786" s="1" t="s">
        <v>9665</v>
      </c>
      <c r="R1786" s="1" t="s">
        <v>9666</v>
      </c>
      <c r="S1786" s="1" t="s">
        <v>9667</v>
      </c>
      <c r="T1786" s="1" t="s">
        <v>3892</v>
      </c>
      <c r="U1786" s="1" t="s">
        <v>9668</v>
      </c>
    </row>
    <row r="1787" customFormat="false" ht="13.8" hidden="false" customHeight="false" outlineLevel="0" collapsed="false">
      <c r="A1787" s="1" t="n">
        <v>1786</v>
      </c>
      <c r="B1787" s="2" t="s">
        <v>9669</v>
      </c>
      <c r="C1787" s="1" t="n">
        <v>2</v>
      </c>
      <c r="D1787" s="1" t="n">
        <v>6</v>
      </c>
      <c r="E1787" s="1" t="n">
        <v>8</v>
      </c>
      <c r="F1787" s="1" t="n">
        <v>21</v>
      </c>
      <c r="G1787" s="1" t="n">
        <v>25</v>
      </c>
      <c r="H1787" s="1" t="n">
        <v>34</v>
      </c>
      <c r="I1787" s="1" t="str">
        <f aca="false">RIGHT(("0"&amp;C1787),2)&amp;RIGHT(("0"&amp;D1787),2)&amp;RIGHT(("0"&amp;E1787),2)&amp;RIGHT(("0"&amp;F1787),2)&amp;RIGHT(("0"&amp;G1787),2)&amp;RIGHT(("0"&amp;H1787),2)</f>
        <v>020608212534</v>
      </c>
      <c r="J1787" s="1" t="n">
        <f aca="false">COUNTIF(I:I,I1787)</f>
        <v>1</v>
      </c>
      <c r="K1787" s="1" t="n">
        <v>0</v>
      </c>
      <c r="M1787" s="1" t="s">
        <v>23</v>
      </c>
      <c r="N1787" s="1" t="n">
        <v>76</v>
      </c>
      <c r="O1787" s="1" t="s">
        <v>9670</v>
      </c>
      <c r="P1787" s="1" t="n">
        <v>5065</v>
      </c>
      <c r="Q1787" s="1" t="s">
        <v>9671</v>
      </c>
      <c r="R1787" s="1" t="s">
        <v>9672</v>
      </c>
      <c r="S1787" s="1" t="s">
        <v>9673</v>
      </c>
      <c r="T1787" s="1" t="s">
        <v>4304</v>
      </c>
      <c r="U1787" s="1" t="s">
        <v>9674</v>
      </c>
    </row>
    <row r="1788" customFormat="false" ht="13.8" hidden="false" customHeight="false" outlineLevel="0" collapsed="false">
      <c r="A1788" s="1" t="n">
        <v>1787</v>
      </c>
      <c r="B1788" s="2" t="s">
        <v>9675</v>
      </c>
      <c r="C1788" s="1" t="n">
        <v>1</v>
      </c>
      <c r="D1788" s="1" t="n">
        <v>5</v>
      </c>
      <c r="E1788" s="1" t="n">
        <v>13</v>
      </c>
      <c r="F1788" s="1" t="n">
        <v>25</v>
      </c>
      <c r="G1788" s="1" t="n">
        <v>26</v>
      </c>
      <c r="H1788" s="1" t="n">
        <v>29</v>
      </c>
      <c r="I1788" s="1" t="str">
        <f aca="false">RIGHT(("0"&amp;C1788),2)&amp;RIGHT(("0"&amp;D1788),2)&amp;RIGHT(("0"&amp;E1788),2)&amp;RIGHT(("0"&amp;F1788),2)&amp;RIGHT(("0"&amp;G1788),2)&amp;RIGHT(("0"&amp;H1788),2)</f>
        <v>010513252629</v>
      </c>
      <c r="J1788" s="1" t="n">
        <f aca="false">COUNTIF(I:I,I1788)</f>
        <v>1</v>
      </c>
      <c r="K1788" s="1" t="n">
        <v>2</v>
      </c>
      <c r="L1788" s="1" t="s">
        <v>9676</v>
      </c>
      <c r="M1788" s="1" t="s">
        <v>9677</v>
      </c>
      <c r="N1788" s="1" t="n">
        <v>167</v>
      </c>
      <c r="O1788" s="1" t="s">
        <v>9678</v>
      </c>
      <c r="P1788" s="1" t="n">
        <v>8897</v>
      </c>
      <c r="Q1788" s="1" t="s">
        <v>9679</v>
      </c>
      <c r="R1788" s="1" t="s">
        <v>23</v>
      </c>
      <c r="S1788" s="1" t="s">
        <v>9680</v>
      </c>
      <c r="T1788" s="1" t="s">
        <v>473</v>
      </c>
      <c r="U1788" s="1" t="s">
        <v>9681</v>
      </c>
    </row>
    <row r="1789" customFormat="false" ht="13.8" hidden="false" customHeight="false" outlineLevel="0" collapsed="false">
      <c r="A1789" s="1" t="n">
        <v>1788</v>
      </c>
      <c r="B1789" s="2" t="s">
        <v>9682</v>
      </c>
      <c r="C1789" s="1" t="n">
        <v>3</v>
      </c>
      <c r="D1789" s="1" t="n">
        <v>13</v>
      </c>
      <c r="E1789" s="1" t="n">
        <v>42</v>
      </c>
      <c r="F1789" s="1" t="n">
        <v>45</v>
      </c>
      <c r="G1789" s="1" t="n">
        <v>56</v>
      </c>
      <c r="H1789" s="1" t="n">
        <v>59</v>
      </c>
      <c r="I1789" s="1" t="str">
        <f aca="false">RIGHT(("0"&amp;C1789),2)&amp;RIGHT(("0"&amp;D1789),2)&amp;RIGHT(("0"&amp;E1789),2)&amp;RIGHT(("0"&amp;F1789),2)&amp;RIGHT(("0"&amp;G1789),2)&amp;RIGHT(("0"&amp;H1789),2)</f>
        <v>031342455659</v>
      </c>
      <c r="J1789" s="1" t="n">
        <f aca="false">COUNTIF(I:I,I1789)</f>
        <v>1</v>
      </c>
      <c r="K1789" s="1" t="n">
        <v>0</v>
      </c>
      <c r="M1789" s="1" t="s">
        <v>23</v>
      </c>
      <c r="N1789" s="1" t="n">
        <v>41</v>
      </c>
      <c r="O1789" s="1" t="s">
        <v>9683</v>
      </c>
      <c r="P1789" s="1" t="n">
        <v>3508</v>
      </c>
      <c r="Q1789" s="1" t="s">
        <v>9684</v>
      </c>
      <c r="R1789" s="1" t="s">
        <v>9685</v>
      </c>
      <c r="S1789" s="1" t="s">
        <v>9686</v>
      </c>
      <c r="T1789" s="1" t="s">
        <v>4337</v>
      </c>
      <c r="U1789" s="1" t="s">
        <v>9687</v>
      </c>
    </row>
    <row r="1790" customFormat="false" ht="13.8" hidden="false" customHeight="false" outlineLevel="0" collapsed="false">
      <c r="A1790" s="1" t="n">
        <v>1789</v>
      </c>
      <c r="B1790" s="2" t="s">
        <v>9688</v>
      </c>
      <c r="C1790" s="1" t="n">
        <v>6</v>
      </c>
      <c r="D1790" s="1" t="n">
        <v>25</v>
      </c>
      <c r="E1790" s="1" t="n">
        <v>43</v>
      </c>
      <c r="F1790" s="1" t="n">
        <v>57</v>
      </c>
      <c r="G1790" s="1" t="n">
        <v>58</v>
      </c>
      <c r="H1790" s="1" t="n">
        <v>59</v>
      </c>
      <c r="I1790" s="1" t="str">
        <f aca="false">RIGHT(("0"&amp;C1790),2)&amp;RIGHT(("0"&amp;D1790),2)&amp;RIGHT(("0"&amp;E1790),2)&amp;RIGHT(("0"&amp;F1790),2)&amp;RIGHT(("0"&amp;G1790),2)&amp;RIGHT(("0"&amp;H1790),2)</f>
        <v>062543575859</v>
      </c>
      <c r="J1790" s="1" t="n">
        <f aca="false">COUNTIF(I:I,I1790)</f>
        <v>1</v>
      </c>
      <c r="K1790" s="1" t="n">
        <v>0</v>
      </c>
      <c r="M1790" s="1" t="s">
        <v>23</v>
      </c>
      <c r="N1790" s="1" t="n">
        <v>16</v>
      </c>
      <c r="O1790" s="1" t="s">
        <v>9689</v>
      </c>
      <c r="P1790" s="1" t="n">
        <v>1574</v>
      </c>
      <c r="Q1790" s="1" t="s">
        <v>9690</v>
      </c>
      <c r="R1790" s="1" t="s">
        <v>9691</v>
      </c>
      <c r="S1790" s="1" t="s">
        <v>9692</v>
      </c>
      <c r="T1790" s="1" t="s">
        <v>4241</v>
      </c>
      <c r="U1790" s="1" t="s">
        <v>9693</v>
      </c>
    </row>
    <row r="1791" customFormat="false" ht="13.8" hidden="false" customHeight="false" outlineLevel="0" collapsed="false">
      <c r="A1791" s="1" t="n">
        <v>1790</v>
      </c>
      <c r="B1791" s="2" t="s">
        <v>9694</v>
      </c>
      <c r="C1791" s="1" t="n">
        <v>11</v>
      </c>
      <c r="D1791" s="1" t="n">
        <v>13</v>
      </c>
      <c r="E1791" s="1" t="n">
        <v>26</v>
      </c>
      <c r="F1791" s="1" t="n">
        <v>27</v>
      </c>
      <c r="G1791" s="1" t="n">
        <v>28</v>
      </c>
      <c r="H1791" s="1" t="n">
        <v>50</v>
      </c>
      <c r="I1791" s="1" t="str">
        <f aca="false">RIGHT(("0"&amp;C1791),2)&amp;RIGHT(("0"&amp;D1791),2)&amp;RIGHT(("0"&amp;E1791),2)&amp;RIGHT(("0"&amp;F1791),2)&amp;RIGHT(("0"&amp;G1791),2)&amp;RIGHT(("0"&amp;H1791),2)</f>
        <v>111326272850</v>
      </c>
      <c r="J1791" s="1" t="n">
        <f aca="false">COUNTIF(I:I,I1791)</f>
        <v>1</v>
      </c>
      <c r="K1791" s="1" t="n">
        <v>0</v>
      </c>
      <c r="M1791" s="1" t="s">
        <v>23</v>
      </c>
      <c r="N1791" s="1" t="n">
        <v>72</v>
      </c>
      <c r="O1791" s="1" t="s">
        <v>9695</v>
      </c>
      <c r="P1791" s="1" t="n">
        <v>5672</v>
      </c>
      <c r="Q1791" s="1" t="s">
        <v>9696</v>
      </c>
      <c r="R1791" s="1" t="s">
        <v>9697</v>
      </c>
      <c r="S1791" s="1" t="s">
        <v>9698</v>
      </c>
      <c r="T1791" s="1" t="s">
        <v>4328</v>
      </c>
      <c r="U1791" s="1" t="s">
        <v>9699</v>
      </c>
    </row>
    <row r="1792" customFormat="false" ht="13.8" hidden="false" customHeight="false" outlineLevel="0" collapsed="false">
      <c r="A1792" s="1" t="n">
        <v>1791</v>
      </c>
      <c r="B1792" s="2" t="s">
        <v>9700</v>
      </c>
      <c r="C1792" s="1" t="n">
        <v>12</v>
      </c>
      <c r="D1792" s="1" t="n">
        <v>18</v>
      </c>
      <c r="E1792" s="1" t="n">
        <v>46</v>
      </c>
      <c r="F1792" s="1" t="n">
        <v>50</v>
      </c>
      <c r="G1792" s="1" t="n">
        <v>53</v>
      </c>
      <c r="H1792" s="1" t="n">
        <v>55</v>
      </c>
      <c r="I1792" s="1" t="str">
        <f aca="false">RIGHT(("0"&amp;C1792),2)&amp;RIGHT(("0"&amp;D1792),2)&amp;RIGHT(("0"&amp;E1792),2)&amp;RIGHT(("0"&amp;F1792),2)&amp;RIGHT(("0"&amp;G1792),2)&amp;RIGHT(("0"&amp;H1792),2)</f>
        <v>121846505355</v>
      </c>
      <c r="J1792" s="1" t="n">
        <f aca="false">COUNTIF(I:I,I1792)</f>
        <v>1</v>
      </c>
      <c r="K1792" s="1" t="n">
        <v>0</v>
      </c>
      <c r="M1792" s="1" t="s">
        <v>23</v>
      </c>
      <c r="N1792" s="1" t="n">
        <v>36</v>
      </c>
      <c r="O1792" s="1" t="s">
        <v>9701</v>
      </c>
      <c r="P1792" s="1" t="n">
        <v>3703</v>
      </c>
      <c r="Q1792" s="1" t="s">
        <v>9702</v>
      </c>
      <c r="R1792" s="1" t="s">
        <v>9703</v>
      </c>
      <c r="S1792" s="1" t="s">
        <v>9704</v>
      </c>
      <c r="T1792" s="1" t="s">
        <v>3892</v>
      </c>
      <c r="U1792" s="1" t="s">
        <v>9705</v>
      </c>
    </row>
    <row r="1793" customFormat="false" ht="13.8" hidden="false" customHeight="false" outlineLevel="0" collapsed="false">
      <c r="A1793" s="1" t="n">
        <v>1792</v>
      </c>
      <c r="B1793" s="2" t="s">
        <v>9706</v>
      </c>
      <c r="C1793" s="1" t="n">
        <v>2</v>
      </c>
      <c r="D1793" s="1" t="n">
        <v>16</v>
      </c>
      <c r="E1793" s="1" t="n">
        <v>17</v>
      </c>
      <c r="F1793" s="1" t="n">
        <v>18</v>
      </c>
      <c r="G1793" s="1" t="n">
        <v>41</v>
      </c>
      <c r="H1793" s="1" t="n">
        <v>47</v>
      </c>
      <c r="I1793" s="1" t="str">
        <f aca="false">RIGHT(("0"&amp;C1793),2)&amp;RIGHT(("0"&amp;D1793),2)&amp;RIGHT(("0"&amp;E1793),2)&amp;RIGHT(("0"&amp;F1793),2)&amp;RIGHT(("0"&amp;G1793),2)&amp;RIGHT(("0"&amp;H1793),2)</f>
        <v>021617184147</v>
      </c>
      <c r="J1793" s="1" t="n">
        <f aca="false">COUNTIF(I:I,I1793)</f>
        <v>1</v>
      </c>
      <c r="K1793" s="1" t="n">
        <v>0</v>
      </c>
      <c r="M1793" s="1" t="s">
        <v>23</v>
      </c>
      <c r="N1793" s="1" t="n">
        <v>85</v>
      </c>
      <c r="O1793" s="1" t="s">
        <v>9707</v>
      </c>
      <c r="P1793" s="1" t="n">
        <v>6593</v>
      </c>
      <c r="Q1793" s="1" t="s">
        <v>9708</v>
      </c>
      <c r="R1793" s="1" t="s">
        <v>9709</v>
      </c>
      <c r="S1793" s="1" t="s">
        <v>9710</v>
      </c>
      <c r="T1793" s="1" t="s">
        <v>4968</v>
      </c>
      <c r="U1793" s="1" t="s">
        <v>9711</v>
      </c>
    </row>
    <row r="1794" customFormat="false" ht="13.8" hidden="false" customHeight="false" outlineLevel="0" collapsed="false">
      <c r="A1794" s="1" t="n">
        <v>1793</v>
      </c>
      <c r="B1794" s="2" t="s">
        <v>9712</v>
      </c>
      <c r="C1794" s="1" t="n">
        <v>13</v>
      </c>
      <c r="D1794" s="1" t="n">
        <v>14</v>
      </c>
      <c r="E1794" s="1" t="n">
        <v>22</v>
      </c>
      <c r="F1794" s="1" t="n">
        <v>54</v>
      </c>
      <c r="G1794" s="1" t="n">
        <v>56</v>
      </c>
      <c r="H1794" s="1" t="n">
        <v>58</v>
      </c>
      <c r="I1794" s="1" t="str">
        <f aca="false">RIGHT(("0"&amp;C1794),2)&amp;RIGHT(("0"&amp;D1794),2)&amp;RIGHT(("0"&amp;E1794),2)&amp;RIGHT(("0"&amp;F1794),2)&amp;RIGHT(("0"&amp;G1794),2)&amp;RIGHT(("0"&amp;H1794),2)</f>
        <v>131422545658</v>
      </c>
      <c r="J1794" s="1" t="n">
        <f aca="false">COUNTIF(I:I,I1794)</f>
        <v>1</v>
      </c>
      <c r="K1794" s="1" t="n">
        <v>1</v>
      </c>
      <c r="L1794" s="1" t="s">
        <v>9713</v>
      </c>
      <c r="M1794" s="1" t="s">
        <v>9714</v>
      </c>
      <c r="N1794" s="1" t="n">
        <v>80</v>
      </c>
      <c r="O1794" s="1" t="s">
        <v>9715</v>
      </c>
      <c r="P1794" s="1" t="n">
        <v>5158</v>
      </c>
      <c r="Q1794" s="1" t="s">
        <v>9716</v>
      </c>
      <c r="R1794" s="1" t="s">
        <v>23</v>
      </c>
      <c r="S1794" s="1" t="s">
        <v>9717</v>
      </c>
      <c r="T1794" s="1" t="s">
        <v>473</v>
      </c>
      <c r="U1794" s="1" t="s">
        <v>9718</v>
      </c>
    </row>
    <row r="1795" customFormat="false" ht="13.8" hidden="false" customHeight="false" outlineLevel="0" collapsed="false">
      <c r="A1795" s="1" t="n">
        <v>1794</v>
      </c>
      <c r="B1795" s="2" t="s">
        <v>9719</v>
      </c>
      <c r="C1795" s="1" t="n">
        <v>1</v>
      </c>
      <c r="D1795" s="1" t="n">
        <v>5</v>
      </c>
      <c r="E1795" s="1" t="n">
        <v>34</v>
      </c>
      <c r="F1795" s="1" t="n">
        <v>37</v>
      </c>
      <c r="G1795" s="1" t="n">
        <v>40</v>
      </c>
      <c r="H1795" s="1" t="n">
        <v>60</v>
      </c>
      <c r="I1795" s="1" t="str">
        <f aca="false">RIGHT(("0"&amp;C1795),2)&amp;RIGHT(("0"&amp;D1795),2)&amp;RIGHT(("0"&amp;E1795),2)&amp;RIGHT(("0"&amp;F1795),2)&amp;RIGHT(("0"&amp;G1795),2)&amp;RIGHT(("0"&amp;H1795),2)</f>
        <v>010534374060</v>
      </c>
      <c r="J1795" s="1" t="n">
        <f aca="false">COUNTIF(I:I,I1795)</f>
        <v>1</v>
      </c>
      <c r="K1795" s="1" t="n">
        <v>1</v>
      </c>
      <c r="L1795" s="1" t="s">
        <v>7021</v>
      </c>
      <c r="M1795" s="1" t="s">
        <v>9720</v>
      </c>
      <c r="N1795" s="1" t="n">
        <v>64</v>
      </c>
      <c r="O1795" s="1" t="s">
        <v>9721</v>
      </c>
      <c r="P1795" s="1" t="n">
        <v>3568</v>
      </c>
      <c r="Q1795" s="1" t="s">
        <v>9722</v>
      </c>
      <c r="R1795" s="1" t="s">
        <v>23</v>
      </c>
      <c r="S1795" s="1" t="s">
        <v>9723</v>
      </c>
      <c r="T1795" s="1" t="s">
        <v>4241</v>
      </c>
      <c r="U1795" s="1" t="s">
        <v>9724</v>
      </c>
    </row>
    <row r="1796" customFormat="false" ht="13.8" hidden="false" customHeight="false" outlineLevel="0" collapsed="false">
      <c r="A1796" s="1" t="n">
        <v>1795</v>
      </c>
      <c r="B1796" s="2" t="s">
        <v>9725</v>
      </c>
      <c r="C1796" s="1" t="n">
        <v>30</v>
      </c>
      <c r="D1796" s="1" t="n">
        <v>42</v>
      </c>
      <c r="E1796" s="1" t="n">
        <v>47</v>
      </c>
      <c r="F1796" s="1" t="n">
        <v>50</v>
      </c>
      <c r="G1796" s="1" t="n">
        <v>55</v>
      </c>
      <c r="H1796" s="1" t="n">
        <v>58</v>
      </c>
      <c r="I1796" s="1" t="str">
        <f aca="false">RIGHT(("0"&amp;C1796),2)&amp;RIGHT(("0"&amp;D1796),2)&amp;RIGHT(("0"&amp;E1796),2)&amp;RIGHT(("0"&amp;F1796),2)&amp;RIGHT(("0"&amp;G1796),2)&amp;RIGHT(("0"&amp;H1796),2)</f>
        <v>304247505558</v>
      </c>
      <c r="J1796" s="1" t="n">
        <f aca="false">COUNTIF(I:I,I1796)</f>
        <v>1</v>
      </c>
      <c r="K1796" s="1" t="n">
        <v>0</v>
      </c>
      <c r="M1796" s="1" t="s">
        <v>23</v>
      </c>
      <c r="N1796" s="1" t="n">
        <v>48</v>
      </c>
      <c r="O1796" s="1" t="s">
        <v>9726</v>
      </c>
      <c r="P1796" s="1" t="n">
        <v>2549</v>
      </c>
      <c r="Q1796" s="1" t="s">
        <v>9727</v>
      </c>
      <c r="R1796" s="1" t="s">
        <v>9728</v>
      </c>
      <c r="S1796" s="1" t="s">
        <v>9729</v>
      </c>
      <c r="T1796" s="1" t="s">
        <v>4328</v>
      </c>
      <c r="U1796" s="1" t="s">
        <v>9730</v>
      </c>
    </row>
    <row r="1797" customFormat="false" ht="13.8" hidden="false" customHeight="false" outlineLevel="0" collapsed="false">
      <c r="A1797" s="1" t="n">
        <v>1796</v>
      </c>
      <c r="B1797" s="2" t="s">
        <v>9731</v>
      </c>
      <c r="C1797" s="1" t="n">
        <v>22</v>
      </c>
      <c r="D1797" s="1" t="n">
        <v>23</v>
      </c>
      <c r="E1797" s="1" t="n">
        <v>34</v>
      </c>
      <c r="F1797" s="1" t="n">
        <v>48</v>
      </c>
      <c r="G1797" s="1" t="n">
        <v>53</v>
      </c>
      <c r="H1797" s="1" t="n">
        <v>54</v>
      </c>
      <c r="I1797" s="1" t="str">
        <f aca="false">RIGHT(("0"&amp;C1797),2)&amp;RIGHT(("0"&amp;D1797),2)&amp;RIGHT(("0"&amp;E1797),2)&amp;RIGHT(("0"&amp;F1797),2)&amp;RIGHT(("0"&amp;G1797),2)&amp;RIGHT(("0"&amp;H1797),2)</f>
        <v>222334485354</v>
      </c>
      <c r="J1797" s="1" t="n">
        <f aca="false">COUNTIF(I:I,I1797)</f>
        <v>1</v>
      </c>
      <c r="K1797" s="1" t="n">
        <v>1</v>
      </c>
      <c r="L1797" s="1" t="s">
        <v>8479</v>
      </c>
      <c r="M1797" s="1" t="s">
        <v>9732</v>
      </c>
      <c r="N1797" s="1" t="n">
        <v>48</v>
      </c>
      <c r="O1797" s="1" t="s">
        <v>9733</v>
      </c>
      <c r="P1797" s="1" t="n">
        <v>4783</v>
      </c>
      <c r="Q1797" s="1" t="s">
        <v>9734</v>
      </c>
      <c r="R1797" s="1" t="s">
        <v>23</v>
      </c>
      <c r="S1797" s="1" t="s">
        <v>9735</v>
      </c>
      <c r="T1797" s="1" t="s">
        <v>473</v>
      </c>
      <c r="U1797" s="1" t="s">
        <v>9736</v>
      </c>
    </row>
    <row r="1798" customFormat="false" ht="13.8" hidden="false" customHeight="false" outlineLevel="0" collapsed="false">
      <c r="A1798" s="1" t="n">
        <v>1797</v>
      </c>
      <c r="B1798" s="2" t="s">
        <v>9737</v>
      </c>
      <c r="C1798" s="1" t="n">
        <v>2</v>
      </c>
      <c r="D1798" s="1" t="n">
        <v>13</v>
      </c>
      <c r="E1798" s="1" t="n">
        <v>14</v>
      </c>
      <c r="F1798" s="1" t="n">
        <v>35</v>
      </c>
      <c r="G1798" s="1" t="n">
        <v>54</v>
      </c>
      <c r="H1798" s="1" t="n">
        <v>57</v>
      </c>
      <c r="I1798" s="1" t="str">
        <f aca="false">RIGHT(("0"&amp;C1798),2)&amp;RIGHT(("0"&amp;D1798),2)&amp;RIGHT(("0"&amp;E1798),2)&amp;RIGHT(("0"&amp;F1798),2)&amp;RIGHT(("0"&amp;G1798),2)&amp;RIGHT(("0"&amp;H1798),2)</f>
        <v>021314355457</v>
      </c>
      <c r="J1798" s="1" t="n">
        <f aca="false">COUNTIF(I:I,I1798)</f>
        <v>1</v>
      </c>
      <c r="K1798" s="1" t="n">
        <v>0</v>
      </c>
      <c r="M1798" s="1" t="s">
        <v>23</v>
      </c>
      <c r="N1798" s="1" t="n">
        <v>32</v>
      </c>
      <c r="O1798" s="1" t="s">
        <v>9738</v>
      </c>
      <c r="P1798" s="1" t="n">
        <v>2516</v>
      </c>
      <c r="Q1798" s="1" t="s">
        <v>9739</v>
      </c>
      <c r="R1798" s="1" t="s">
        <v>9740</v>
      </c>
      <c r="S1798" s="1" t="s">
        <v>9741</v>
      </c>
      <c r="T1798" s="1" t="s">
        <v>4337</v>
      </c>
      <c r="U1798" s="1" t="s">
        <v>9742</v>
      </c>
    </row>
    <row r="1799" customFormat="false" ht="13.8" hidden="false" customHeight="false" outlineLevel="0" collapsed="false">
      <c r="A1799" s="1" t="n">
        <v>1798</v>
      </c>
      <c r="B1799" s="2" t="s">
        <v>9743</v>
      </c>
      <c r="C1799" s="1" t="n">
        <v>2</v>
      </c>
      <c r="D1799" s="1" t="n">
        <v>9</v>
      </c>
      <c r="E1799" s="1" t="n">
        <v>23</v>
      </c>
      <c r="F1799" s="1" t="n">
        <v>28</v>
      </c>
      <c r="G1799" s="1" t="n">
        <v>45</v>
      </c>
      <c r="H1799" s="1" t="n">
        <v>53</v>
      </c>
      <c r="I1799" s="1" t="str">
        <f aca="false">RIGHT(("0"&amp;C1799),2)&amp;RIGHT(("0"&amp;D1799),2)&amp;RIGHT(("0"&amp;E1799),2)&amp;RIGHT(("0"&amp;F1799),2)&amp;RIGHT(("0"&amp;G1799),2)&amp;RIGHT(("0"&amp;H1799),2)</f>
        <v>020923284553</v>
      </c>
      <c r="J1799" s="1" t="n">
        <f aca="false">COUNTIF(I:I,I1799)</f>
        <v>1</v>
      </c>
      <c r="K1799" s="1" t="n">
        <v>0</v>
      </c>
      <c r="M1799" s="1" t="s">
        <v>23</v>
      </c>
      <c r="N1799" s="1" t="n">
        <v>88</v>
      </c>
      <c r="O1799" s="1" t="s">
        <v>9744</v>
      </c>
      <c r="P1799" s="1" t="n">
        <v>4315</v>
      </c>
      <c r="Q1799" s="1" t="s">
        <v>9745</v>
      </c>
      <c r="R1799" s="1" t="s">
        <v>9746</v>
      </c>
      <c r="S1799" s="1" t="s">
        <v>9747</v>
      </c>
      <c r="T1799" s="1" t="s">
        <v>8685</v>
      </c>
      <c r="U1799" s="1" t="s">
        <v>9748</v>
      </c>
    </row>
    <row r="1800" customFormat="false" ht="13.8" hidden="false" customHeight="false" outlineLevel="0" collapsed="false">
      <c r="A1800" s="1" t="n">
        <v>1799</v>
      </c>
      <c r="B1800" s="2" t="s">
        <v>9749</v>
      </c>
      <c r="C1800" s="1" t="n">
        <v>1</v>
      </c>
      <c r="D1800" s="1" t="n">
        <v>3</v>
      </c>
      <c r="E1800" s="1" t="n">
        <v>4</v>
      </c>
      <c r="F1800" s="1" t="n">
        <v>39</v>
      </c>
      <c r="G1800" s="1" t="n">
        <v>51</v>
      </c>
      <c r="H1800" s="1" t="n">
        <v>53</v>
      </c>
      <c r="I1800" s="1" t="str">
        <f aca="false">RIGHT(("0"&amp;C1800),2)&amp;RIGHT(("0"&amp;D1800),2)&amp;RIGHT(("0"&amp;E1800),2)&amp;RIGHT(("0"&amp;F1800),2)&amp;RIGHT(("0"&amp;G1800),2)&amp;RIGHT(("0"&amp;H1800),2)</f>
        <v>010304395153</v>
      </c>
      <c r="J1800" s="1" t="n">
        <f aca="false">COUNTIF(I:I,I1800)</f>
        <v>1</v>
      </c>
      <c r="K1800" s="1" t="n">
        <v>0</v>
      </c>
      <c r="M1800" s="1" t="s">
        <v>23</v>
      </c>
      <c r="N1800" s="1" t="n">
        <v>39</v>
      </c>
      <c r="O1800" s="1" t="s">
        <v>9750</v>
      </c>
      <c r="P1800" s="1" t="n">
        <v>3102</v>
      </c>
      <c r="Q1800" s="1" t="s">
        <v>9751</v>
      </c>
      <c r="R1800" s="1" t="s">
        <v>9752</v>
      </c>
      <c r="S1800" s="1" t="s">
        <v>9753</v>
      </c>
      <c r="T1800" s="1" t="s">
        <v>4299</v>
      </c>
      <c r="U1800" s="1" t="s">
        <v>9754</v>
      </c>
    </row>
    <row r="1801" customFormat="false" ht="13.8" hidden="false" customHeight="false" outlineLevel="0" collapsed="false">
      <c r="A1801" s="1" t="n">
        <v>1800</v>
      </c>
      <c r="B1801" s="2" t="s">
        <v>9755</v>
      </c>
      <c r="C1801" s="1" t="n">
        <v>6</v>
      </c>
      <c r="D1801" s="1" t="n">
        <v>11</v>
      </c>
      <c r="E1801" s="1" t="n">
        <v>16</v>
      </c>
      <c r="F1801" s="1" t="n">
        <v>19</v>
      </c>
      <c r="G1801" s="1" t="n">
        <v>31</v>
      </c>
      <c r="H1801" s="1" t="n">
        <v>56</v>
      </c>
      <c r="I1801" s="1" t="str">
        <f aca="false">RIGHT(("0"&amp;C1801),2)&amp;RIGHT(("0"&amp;D1801),2)&amp;RIGHT(("0"&amp;E1801),2)&amp;RIGHT(("0"&amp;F1801),2)&amp;RIGHT(("0"&amp;G1801),2)&amp;RIGHT(("0"&amp;H1801),2)</f>
        <v>061116193156</v>
      </c>
      <c r="J1801" s="1" t="n">
        <f aca="false">COUNTIF(I:I,I1801)</f>
        <v>1</v>
      </c>
      <c r="K1801" s="1" t="n">
        <v>1</v>
      </c>
      <c r="L1801" s="1" t="s">
        <v>7737</v>
      </c>
      <c r="M1801" s="1" t="s">
        <v>9756</v>
      </c>
      <c r="N1801" s="1" t="n">
        <v>96</v>
      </c>
      <c r="O1801" s="1" t="s">
        <v>9757</v>
      </c>
      <c r="P1801" s="1" t="n">
        <v>5710</v>
      </c>
      <c r="Q1801" s="1" t="s">
        <v>9758</v>
      </c>
      <c r="R1801" s="1" t="s">
        <v>23</v>
      </c>
      <c r="S1801" s="1" t="s">
        <v>9759</v>
      </c>
      <c r="T1801" s="1" t="s">
        <v>473</v>
      </c>
      <c r="U1801" s="1" t="s">
        <v>9760</v>
      </c>
    </row>
    <row r="1802" customFormat="false" ht="13.8" hidden="false" customHeight="false" outlineLevel="0" collapsed="false">
      <c r="A1802" s="1" t="n">
        <v>1801</v>
      </c>
      <c r="B1802" s="2" t="s">
        <v>9761</v>
      </c>
      <c r="C1802" s="1" t="n">
        <v>6</v>
      </c>
      <c r="D1802" s="1" t="n">
        <v>19</v>
      </c>
      <c r="E1802" s="1" t="n">
        <v>34</v>
      </c>
      <c r="F1802" s="1" t="n">
        <v>43</v>
      </c>
      <c r="G1802" s="1" t="n">
        <v>45</v>
      </c>
      <c r="H1802" s="1" t="n">
        <v>54</v>
      </c>
      <c r="I1802" s="1" t="str">
        <f aca="false">RIGHT(("0"&amp;C1802),2)&amp;RIGHT(("0"&amp;D1802),2)&amp;RIGHT(("0"&amp;E1802),2)&amp;RIGHT(("0"&amp;F1802),2)&amp;RIGHT(("0"&amp;G1802),2)&amp;RIGHT(("0"&amp;H1802),2)</f>
        <v>061934434554</v>
      </c>
      <c r="J1802" s="1" t="n">
        <f aca="false">COUNTIF(I:I,I1802)</f>
        <v>1</v>
      </c>
      <c r="K1802" s="1" t="n">
        <v>0</v>
      </c>
      <c r="M1802" s="1" t="s">
        <v>23</v>
      </c>
      <c r="N1802" s="1" t="n">
        <v>82</v>
      </c>
      <c r="O1802" s="1" t="s">
        <v>9762</v>
      </c>
      <c r="P1802" s="1" t="n">
        <v>3265</v>
      </c>
      <c r="Q1802" s="1" t="s">
        <v>9763</v>
      </c>
      <c r="R1802" s="1" t="s">
        <v>9764</v>
      </c>
      <c r="S1802" s="1" t="s">
        <v>9765</v>
      </c>
      <c r="T1802" s="1" t="s">
        <v>5931</v>
      </c>
      <c r="U1802" s="1" t="s">
        <v>9766</v>
      </c>
    </row>
    <row r="1803" customFormat="false" ht="13.8" hidden="false" customHeight="false" outlineLevel="0" collapsed="false">
      <c r="A1803" s="1" t="n">
        <v>1802</v>
      </c>
      <c r="B1803" s="2" t="s">
        <v>9767</v>
      </c>
      <c r="C1803" s="1" t="n">
        <v>2</v>
      </c>
      <c r="D1803" s="1" t="n">
        <v>6</v>
      </c>
      <c r="E1803" s="1" t="n">
        <v>13</v>
      </c>
      <c r="F1803" s="1" t="n">
        <v>14</v>
      </c>
      <c r="G1803" s="1" t="n">
        <v>17</v>
      </c>
      <c r="H1803" s="1" t="n">
        <v>44</v>
      </c>
      <c r="I1803" s="1" t="str">
        <f aca="false">RIGHT(("0"&amp;C1803),2)&amp;RIGHT(("0"&amp;D1803),2)&amp;RIGHT(("0"&amp;E1803),2)&amp;RIGHT(("0"&amp;F1803),2)&amp;RIGHT(("0"&amp;G1803),2)&amp;RIGHT(("0"&amp;H1803),2)</f>
        <v>020613141744</v>
      </c>
      <c r="J1803" s="1" t="n">
        <f aca="false">COUNTIF(I:I,I1803)</f>
        <v>1</v>
      </c>
      <c r="K1803" s="1" t="n">
        <v>0</v>
      </c>
      <c r="M1803" s="1" t="s">
        <v>23</v>
      </c>
      <c r="N1803" s="1" t="n">
        <v>99</v>
      </c>
      <c r="O1803" s="1" t="s">
        <v>9768</v>
      </c>
      <c r="P1803" s="1" t="n">
        <v>6229</v>
      </c>
      <c r="Q1803" s="1" t="s">
        <v>9769</v>
      </c>
      <c r="R1803" s="1" t="s">
        <v>9770</v>
      </c>
      <c r="S1803" s="1" t="s">
        <v>9771</v>
      </c>
      <c r="T1803" s="1" t="s">
        <v>4190</v>
      </c>
      <c r="U1803" s="1" t="s">
        <v>9772</v>
      </c>
    </row>
    <row r="1804" customFormat="false" ht="13.8" hidden="false" customHeight="false" outlineLevel="0" collapsed="false">
      <c r="A1804" s="1" t="n">
        <v>1803</v>
      </c>
      <c r="B1804" s="2" t="s">
        <v>9773</v>
      </c>
      <c r="C1804" s="1" t="n">
        <v>4</v>
      </c>
      <c r="D1804" s="1" t="n">
        <v>8</v>
      </c>
      <c r="E1804" s="1" t="n">
        <v>29</v>
      </c>
      <c r="F1804" s="1" t="n">
        <v>38</v>
      </c>
      <c r="G1804" s="1" t="n">
        <v>49</v>
      </c>
      <c r="H1804" s="1" t="n">
        <v>50</v>
      </c>
      <c r="I1804" s="1" t="str">
        <f aca="false">RIGHT(("0"&amp;C1804),2)&amp;RIGHT(("0"&amp;D1804),2)&amp;RIGHT(("0"&amp;E1804),2)&amp;RIGHT(("0"&amp;F1804),2)&amp;RIGHT(("0"&amp;G1804),2)&amp;RIGHT(("0"&amp;H1804),2)</f>
        <v>040829384950</v>
      </c>
      <c r="J1804" s="1" t="n">
        <f aca="false">COUNTIF(I:I,I1804)</f>
        <v>1</v>
      </c>
      <c r="K1804" s="1" t="n">
        <v>0</v>
      </c>
      <c r="M1804" s="1" t="s">
        <v>23</v>
      </c>
      <c r="N1804" s="1" t="n">
        <v>35</v>
      </c>
      <c r="O1804" s="1" t="s">
        <v>9774</v>
      </c>
      <c r="P1804" s="1" t="n">
        <v>2641</v>
      </c>
      <c r="Q1804" s="1" t="s">
        <v>9775</v>
      </c>
      <c r="R1804" s="1" t="s">
        <v>9776</v>
      </c>
      <c r="S1804" s="1" t="s">
        <v>9777</v>
      </c>
      <c r="T1804" s="1" t="s">
        <v>4531</v>
      </c>
      <c r="U1804" s="1" t="s">
        <v>9778</v>
      </c>
    </row>
    <row r="1805" customFormat="false" ht="13.8" hidden="false" customHeight="false" outlineLevel="0" collapsed="false">
      <c r="A1805" s="1" t="n">
        <v>1804</v>
      </c>
      <c r="B1805" s="2" t="s">
        <v>9779</v>
      </c>
      <c r="C1805" s="1" t="n">
        <v>20</v>
      </c>
      <c r="D1805" s="1" t="n">
        <v>21</v>
      </c>
      <c r="E1805" s="1" t="n">
        <v>28</v>
      </c>
      <c r="F1805" s="1" t="n">
        <v>48</v>
      </c>
      <c r="G1805" s="1" t="n">
        <v>50</v>
      </c>
      <c r="H1805" s="1" t="n">
        <v>59</v>
      </c>
      <c r="I1805" s="1" t="str">
        <f aca="false">RIGHT(("0"&amp;C1805),2)&amp;RIGHT(("0"&amp;D1805),2)&amp;RIGHT(("0"&amp;E1805),2)&amp;RIGHT(("0"&amp;F1805),2)&amp;RIGHT(("0"&amp;G1805),2)&amp;RIGHT(("0"&amp;H1805),2)</f>
        <v>202128485059</v>
      </c>
      <c r="J1805" s="1" t="n">
        <f aca="false">COUNTIF(I:I,I1805)</f>
        <v>1</v>
      </c>
      <c r="K1805" s="1" t="n">
        <v>0</v>
      </c>
      <c r="M1805" s="1" t="s">
        <v>23</v>
      </c>
      <c r="N1805" s="1" t="n">
        <v>23</v>
      </c>
      <c r="O1805" s="1" t="s">
        <v>9780</v>
      </c>
      <c r="P1805" s="1" t="n">
        <v>2088</v>
      </c>
      <c r="Q1805" s="1" t="s">
        <v>9781</v>
      </c>
      <c r="R1805" s="1" t="s">
        <v>9782</v>
      </c>
      <c r="S1805" s="1" t="s">
        <v>9783</v>
      </c>
      <c r="T1805" s="1" t="s">
        <v>5242</v>
      </c>
      <c r="U1805" s="1" t="s">
        <v>9784</v>
      </c>
    </row>
    <row r="1806" customFormat="false" ht="13.8" hidden="false" customHeight="false" outlineLevel="0" collapsed="false">
      <c r="A1806" s="1" t="n">
        <v>1805</v>
      </c>
      <c r="B1806" s="2" t="s">
        <v>9785</v>
      </c>
      <c r="C1806" s="1" t="n">
        <v>17</v>
      </c>
      <c r="D1806" s="1" t="n">
        <v>22</v>
      </c>
      <c r="E1806" s="1" t="n">
        <v>27</v>
      </c>
      <c r="F1806" s="1" t="n">
        <v>31</v>
      </c>
      <c r="G1806" s="1" t="n">
        <v>49</v>
      </c>
      <c r="H1806" s="1" t="n">
        <v>57</v>
      </c>
      <c r="I1806" s="1" t="str">
        <f aca="false">RIGHT(("0"&amp;C1806),2)&amp;RIGHT(("0"&amp;D1806),2)&amp;RIGHT(("0"&amp;E1806),2)&amp;RIGHT(("0"&amp;F1806),2)&amp;RIGHT(("0"&amp;G1806),2)&amp;RIGHT(("0"&amp;H1806),2)</f>
        <v>172227314957</v>
      </c>
      <c r="J1806" s="1" t="n">
        <f aca="false">COUNTIF(I:I,I1806)</f>
        <v>1</v>
      </c>
      <c r="K1806" s="1" t="n">
        <v>0</v>
      </c>
      <c r="M1806" s="1" t="s">
        <v>23</v>
      </c>
      <c r="N1806" s="1" t="n">
        <v>53</v>
      </c>
      <c r="O1806" s="1" t="s">
        <v>9786</v>
      </c>
      <c r="P1806" s="1" t="n">
        <v>4693</v>
      </c>
      <c r="Q1806" s="1" t="s">
        <v>9787</v>
      </c>
      <c r="R1806" s="1" t="s">
        <v>9788</v>
      </c>
      <c r="S1806" s="1" t="s">
        <v>9789</v>
      </c>
      <c r="T1806" s="1" t="s">
        <v>5686</v>
      </c>
      <c r="U1806" s="1" t="s">
        <v>9790</v>
      </c>
    </row>
    <row r="1807" customFormat="false" ht="13.8" hidden="false" customHeight="false" outlineLevel="0" collapsed="false">
      <c r="A1807" s="1" t="n">
        <v>1806</v>
      </c>
      <c r="B1807" s="2" t="s">
        <v>9791</v>
      </c>
      <c r="C1807" s="1" t="n">
        <v>11</v>
      </c>
      <c r="D1807" s="1" t="n">
        <v>20</v>
      </c>
      <c r="E1807" s="1" t="n">
        <v>35</v>
      </c>
      <c r="F1807" s="1" t="n">
        <v>42</v>
      </c>
      <c r="G1807" s="1" t="n">
        <v>55</v>
      </c>
      <c r="H1807" s="1" t="n">
        <v>58</v>
      </c>
      <c r="I1807" s="1" t="str">
        <f aca="false">RIGHT(("0"&amp;C1807),2)&amp;RIGHT(("0"&amp;D1807),2)&amp;RIGHT(("0"&amp;E1807),2)&amp;RIGHT(("0"&amp;F1807),2)&amp;RIGHT(("0"&amp;G1807),2)&amp;RIGHT(("0"&amp;H1807),2)</f>
        <v>112035425558</v>
      </c>
      <c r="J1807" s="1" t="n">
        <f aca="false">COUNTIF(I:I,I1807)</f>
        <v>1</v>
      </c>
      <c r="K1807" s="1" t="n">
        <v>0</v>
      </c>
      <c r="M1807" s="1" t="s">
        <v>23</v>
      </c>
      <c r="N1807" s="1" t="n">
        <v>86</v>
      </c>
      <c r="O1807" s="1" t="s">
        <v>9792</v>
      </c>
      <c r="P1807" s="1" t="n">
        <v>5047</v>
      </c>
      <c r="Q1807" s="1" t="s">
        <v>9793</v>
      </c>
      <c r="R1807" s="1" t="s">
        <v>9794</v>
      </c>
      <c r="S1807" s="1" t="s">
        <v>9795</v>
      </c>
      <c r="T1807" s="1" t="s">
        <v>4309</v>
      </c>
      <c r="U1807" s="1" t="s">
        <v>9796</v>
      </c>
    </row>
    <row r="1808" customFormat="false" ht="13.8" hidden="false" customHeight="false" outlineLevel="0" collapsed="false">
      <c r="A1808" s="1" t="n">
        <v>1807</v>
      </c>
      <c r="B1808" s="2" t="s">
        <v>9797</v>
      </c>
      <c r="C1808" s="1" t="n">
        <v>1</v>
      </c>
      <c r="D1808" s="1" t="n">
        <v>15</v>
      </c>
      <c r="E1808" s="1" t="n">
        <v>16</v>
      </c>
      <c r="F1808" s="1" t="n">
        <v>22</v>
      </c>
      <c r="G1808" s="1" t="n">
        <v>25</v>
      </c>
      <c r="H1808" s="1" t="n">
        <v>43</v>
      </c>
      <c r="I1808" s="1" t="str">
        <f aca="false">RIGHT(("0"&amp;C1808),2)&amp;RIGHT(("0"&amp;D1808),2)&amp;RIGHT(("0"&amp;E1808),2)&amp;RIGHT(("0"&amp;F1808),2)&amp;RIGHT(("0"&amp;G1808),2)&amp;RIGHT(("0"&amp;H1808),2)</f>
        <v>011516222543</v>
      </c>
      <c r="J1808" s="1" t="n">
        <f aca="false">COUNTIF(I:I,I1808)</f>
        <v>1</v>
      </c>
      <c r="K1808" s="1" t="n">
        <v>0</v>
      </c>
      <c r="M1808" s="1" t="s">
        <v>23</v>
      </c>
      <c r="N1808" s="1" t="n">
        <v>94</v>
      </c>
      <c r="O1808" s="1" t="s">
        <v>9798</v>
      </c>
      <c r="P1808" s="1" t="n">
        <v>7609</v>
      </c>
      <c r="Q1808" s="1" t="s">
        <v>9799</v>
      </c>
      <c r="R1808" s="1" t="s">
        <v>9800</v>
      </c>
      <c r="S1808" s="1" t="s">
        <v>9801</v>
      </c>
      <c r="T1808" s="1" t="s">
        <v>6559</v>
      </c>
      <c r="U1808" s="1" t="s">
        <v>9802</v>
      </c>
    </row>
    <row r="1809" customFormat="false" ht="13.8" hidden="false" customHeight="false" outlineLevel="0" collapsed="false">
      <c r="A1809" s="1" t="n">
        <v>1808</v>
      </c>
      <c r="B1809" s="2" t="s">
        <v>9803</v>
      </c>
      <c r="C1809" s="1" t="n">
        <v>2</v>
      </c>
      <c r="D1809" s="1" t="n">
        <v>14</v>
      </c>
      <c r="E1809" s="1" t="n">
        <v>20</v>
      </c>
      <c r="F1809" s="1" t="n">
        <v>25</v>
      </c>
      <c r="G1809" s="1" t="n">
        <v>41</v>
      </c>
      <c r="H1809" s="1" t="n">
        <v>45</v>
      </c>
      <c r="I1809" s="1" t="str">
        <f aca="false">RIGHT(("0"&amp;C1809),2)&amp;RIGHT(("0"&amp;D1809),2)&amp;RIGHT(("0"&amp;E1809),2)&amp;RIGHT(("0"&amp;F1809),2)&amp;RIGHT(("0"&amp;G1809),2)&amp;RIGHT(("0"&amp;H1809),2)</f>
        <v>021420254145</v>
      </c>
      <c r="J1809" s="1" t="n">
        <f aca="false">COUNTIF(I:I,I1809)</f>
        <v>1</v>
      </c>
      <c r="K1809" s="1" t="n">
        <v>0</v>
      </c>
      <c r="M1809" s="1" t="s">
        <v>23</v>
      </c>
      <c r="N1809" s="1" t="n">
        <v>141</v>
      </c>
      <c r="O1809" s="1" t="s">
        <v>9804</v>
      </c>
      <c r="P1809" s="1" t="n">
        <v>9208</v>
      </c>
      <c r="Q1809" s="1" t="s">
        <v>9805</v>
      </c>
      <c r="R1809" s="1" t="s">
        <v>9806</v>
      </c>
      <c r="S1809" s="1" t="s">
        <v>9807</v>
      </c>
      <c r="T1809" s="1" t="s">
        <v>8797</v>
      </c>
      <c r="U1809" s="1" t="s">
        <v>9808</v>
      </c>
    </row>
    <row r="1810" customFormat="false" ht="13.8" hidden="false" customHeight="false" outlineLevel="0" collapsed="false">
      <c r="A1810" s="1" t="n">
        <v>1809</v>
      </c>
      <c r="B1810" s="2" t="s">
        <v>9809</v>
      </c>
      <c r="C1810" s="1" t="n">
        <v>9</v>
      </c>
      <c r="D1810" s="1" t="n">
        <v>12</v>
      </c>
      <c r="E1810" s="1" t="n">
        <v>23</v>
      </c>
      <c r="F1810" s="1" t="n">
        <v>24</v>
      </c>
      <c r="G1810" s="1" t="n">
        <v>46</v>
      </c>
      <c r="H1810" s="1" t="n">
        <v>54</v>
      </c>
      <c r="I1810" s="1" t="str">
        <f aca="false">RIGHT(("0"&amp;C1810),2)&amp;RIGHT(("0"&amp;D1810),2)&amp;RIGHT(("0"&amp;E1810),2)&amp;RIGHT(("0"&amp;F1810),2)&amp;RIGHT(("0"&amp;G1810),2)&amp;RIGHT(("0"&amp;H1810),2)</f>
        <v>091223244654</v>
      </c>
      <c r="J1810" s="1" t="n">
        <f aca="false">COUNTIF(I:I,I1810)</f>
        <v>1</v>
      </c>
      <c r="K1810" s="1" t="n">
        <v>0</v>
      </c>
      <c r="M1810" s="1" t="s">
        <v>23</v>
      </c>
      <c r="N1810" s="1" t="n">
        <v>188</v>
      </c>
      <c r="O1810" s="1" t="s">
        <v>9810</v>
      </c>
      <c r="P1810" s="1" t="n">
        <v>13704</v>
      </c>
      <c r="Q1810" s="1" t="s">
        <v>9811</v>
      </c>
      <c r="R1810" s="1" t="s">
        <v>9812</v>
      </c>
      <c r="S1810" s="1" t="s">
        <v>9813</v>
      </c>
      <c r="T1810" s="1" t="s">
        <v>9814</v>
      </c>
      <c r="U1810" s="1" t="s">
        <v>9815</v>
      </c>
    </row>
    <row r="1811" customFormat="false" ht="13.8" hidden="false" customHeight="false" outlineLevel="0" collapsed="false">
      <c r="A1811" s="1" t="n">
        <v>1810</v>
      </c>
      <c r="B1811" s="2" t="s">
        <v>9816</v>
      </c>
      <c r="C1811" s="1" t="n">
        <v>1</v>
      </c>
      <c r="D1811" s="1" t="n">
        <v>10</v>
      </c>
      <c r="E1811" s="1" t="n">
        <v>25</v>
      </c>
      <c r="F1811" s="1" t="n">
        <v>43</v>
      </c>
      <c r="G1811" s="1" t="n">
        <v>50</v>
      </c>
      <c r="H1811" s="1" t="n">
        <v>56</v>
      </c>
      <c r="I1811" s="1" t="str">
        <f aca="false">RIGHT(("0"&amp;C1811),2)&amp;RIGHT(("0"&amp;D1811),2)&amp;RIGHT(("0"&amp;E1811),2)&amp;RIGHT(("0"&amp;F1811),2)&amp;RIGHT(("0"&amp;G1811),2)&amp;RIGHT(("0"&amp;H1811),2)</f>
        <v>011025435056</v>
      </c>
      <c r="J1811" s="1" t="n">
        <f aca="false">COUNTIF(I:I,I1811)</f>
        <v>1</v>
      </c>
      <c r="K1811" s="1" t="n">
        <v>1</v>
      </c>
      <c r="L1811" s="1" t="s">
        <v>9817</v>
      </c>
      <c r="M1811" s="1" t="s">
        <v>9818</v>
      </c>
      <c r="N1811" s="1" t="n">
        <v>266</v>
      </c>
      <c r="O1811" s="1" t="s">
        <v>9819</v>
      </c>
      <c r="P1811" s="1" t="n">
        <v>14324</v>
      </c>
      <c r="Q1811" s="1" t="s">
        <v>9820</v>
      </c>
      <c r="R1811" s="1" t="s">
        <v>23</v>
      </c>
      <c r="S1811" s="1" t="s">
        <v>9821</v>
      </c>
      <c r="T1811" s="1" t="s">
        <v>4256</v>
      </c>
      <c r="U1811" s="1" t="s">
        <v>9822</v>
      </c>
    </row>
    <row r="1812" customFormat="false" ht="13.8" hidden="false" customHeight="false" outlineLevel="0" collapsed="false">
      <c r="A1812" s="1" t="n">
        <v>1811</v>
      </c>
      <c r="B1812" s="2" t="s">
        <v>9823</v>
      </c>
      <c r="C1812" s="1" t="n">
        <v>5</v>
      </c>
      <c r="D1812" s="1" t="n">
        <v>17</v>
      </c>
      <c r="E1812" s="1" t="n">
        <v>32</v>
      </c>
      <c r="F1812" s="1" t="n">
        <v>35</v>
      </c>
      <c r="G1812" s="1" t="n">
        <v>37</v>
      </c>
      <c r="H1812" s="1" t="n">
        <v>57</v>
      </c>
      <c r="I1812" s="1" t="str">
        <f aca="false">RIGHT(("0"&amp;C1812),2)&amp;RIGHT(("0"&amp;D1812),2)&amp;RIGHT(("0"&amp;E1812),2)&amp;RIGHT(("0"&amp;F1812),2)&amp;RIGHT(("0"&amp;G1812),2)&amp;RIGHT(("0"&amp;H1812),2)</f>
        <v>051732353757</v>
      </c>
      <c r="J1812" s="1" t="n">
        <f aca="false">COUNTIF(I:I,I1812)</f>
        <v>1</v>
      </c>
      <c r="K1812" s="1" t="n">
        <v>0</v>
      </c>
      <c r="M1812" s="1" t="s">
        <v>23</v>
      </c>
      <c r="N1812" s="1" t="n">
        <v>82</v>
      </c>
      <c r="O1812" s="1" t="s">
        <v>9824</v>
      </c>
      <c r="P1812" s="1" t="n">
        <v>4309</v>
      </c>
      <c r="Q1812" s="1" t="s">
        <v>9825</v>
      </c>
      <c r="R1812" s="1" t="s">
        <v>9826</v>
      </c>
      <c r="S1812" s="1" t="s">
        <v>9827</v>
      </c>
      <c r="T1812" s="1" t="s">
        <v>4342</v>
      </c>
      <c r="U1812" s="1" t="s">
        <v>9828</v>
      </c>
    </row>
    <row r="1813" customFormat="false" ht="13.8" hidden="false" customHeight="false" outlineLevel="0" collapsed="false">
      <c r="A1813" s="1" t="n">
        <v>1812</v>
      </c>
      <c r="B1813" s="2" t="s">
        <v>9829</v>
      </c>
      <c r="C1813" s="1" t="n">
        <v>20</v>
      </c>
      <c r="D1813" s="1" t="n">
        <v>23</v>
      </c>
      <c r="E1813" s="1" t="n">
        <v>32</v>
      </c>
      <c r="F1813" s="1" t="n">
        <v>34</v>
      </c>
      <c r="G1813" s="1" t="n">
        <v>37</v>
      </c>
      <c r="H1813" s="1" t="n">
        <v>45</v>
      </c>
      <c r="I1813" s="1" t="str">
        <f aca="false">RIGHT(("0"&amp;C1813),2)&amp;RIGHT(("0"&amp;D1813),2)&amp;RIGHT(("0"&amp;E1813),2)&amp;RIGHT(("0"&amp;F1813),2)&amp;RIGHT(("0"&amp;G1813),2)&amp;RIGHT(("0"&amp;H1813),2)</f>
        <v>202332343745</v>
      </c>
      <c r="J1813" s="1" t="n">
        <f aca="false">COUNTIF(I:I,I1813)</f>
        <v>1</v>
      </c>
      <c r="K1813" s="1" t="n">
        <v>0</v>
      </c>
      <c r="M1813" s="1" t="s">
        <v>23</v>
      </c>
      <c r="N1813" s="1" t="n">
        <v>43</v>
      </c>
      <c r="O1813" s="1" t="s">
        <v>9830</v>
      </c>
      <c r="P1813" s="1" t="n">
        <v>2976</v>
      </c>
      <c r="Q1813" s="1" t="s">
        <v>9831</v>
      </c>
      <c r="R1813" s="1" t="s">
        <v>9832</v>
      </c>
      <c r="S1813" s="1" t="s">
        <v>9833</v>
      </c>
      <c r="T1813" s="1" t="s">
        <v>4195</v>
      </c>
      <c r="U1813" s="1" t="s">
        <v>9834</v>
      </c>
    </row>
    <row r="1814" customFormat="false" ht="13.8" hidden="false" customHeight="false" outlineLevel="0" collapsed="false">
      <c r="A1814" s="1" t="n">
        <v>1813</v>
      </c>
      <c r="B1814" s="2" t="s">
        <v>9835</v>
      </c>
      <c r="C1814" s="1" t="n">
        <v>9</v>
      </c>
      <c r="D1814" s="1" t="n">
        <v>11</v>
      </c>
      <c r="E1814" s="1" t="n">
        <v>13</v>
      </c>
      <c r="F1814" s="1" t="n">
        <v>15</v>
      </c>
      <c r="G1814" s="1" t="n">
        <v>19</v>
      </c>
      <c r="H1814" s="1" t="n">
        <v>51</v>
      </c>
      <c r="I1814" s="1" t="str">
        <f aca="false">RIGHT(("0"&amp;C1814),2)&amp;RIGHT(("0"&amp;D1814),2)&amp;RIGHT(("0"&amp;E1814),2)&amp;RIGHT(("0"&amp;F1814),2)&amp;RIGHT(("0"&amp;G1814),2)&amp;RIGHT(("0"&amp;H1814),2)</f>
        <v>091113151951</v>
      </c>
      <c r="J1814" s="1" t="n">
        <f aca="false">COUNTIF(I:I,I1814)</f>
        <v>1</v>
      </c>
      <c r="K1814" s="1" t="n">
        <v>0</v>
      </c>
      <c r="M1814" s="1" t="s">
        <v>23</v>
      </c>
      <c r="N1814" s="1" t="n">
        <v>209</v>
      </c>
      <c r="O1814" s="1" t="s">
        <v>9836</v>
      </c>
      <c r="P1814" s="1" t="n">
        <v>9346</v>
      </c>
      <c r="Q1814" s="1" t="s">
        <v>9837</v>
      </c>
      <c r="R1814" s="1" t="s">
        <v>9838</v>
      </c>
      <c r="S1814" s="1" t="s">
        <v>9839</v>
      </c>
      <c r="T1814" s="1" t="s">
        <v>4203</v>
      </c>
      <c r="U1814" s="1" t="s">
        <v>9840</v>
      </c>
    </row>
    <row r="1815" customFormat="false" ht="13.8" hidden="false" customHeight="false" outlineLevel="0" collapsed="false">
      <c r="A1815" s="1" t="n">
        <v>1814</v>
      </c>
      <c r="B1815" s="2" t="s">
        <v>9841</v>
      </c>
      <c r="C1815" s="1" t="n">
        <v>9</v>
      </c>
      <c r="D1815" s="1" t="n">
        <v>11</v>
      </c>
      <c r="E1815" s="1" t="n">
        <v>27</v>
      </c>
      <c r="F1815" s="1" t="n">
        <v>46</v>
      </c>
      <c r="G1815" s="1" t="n">
        <v>51</v>
      </c>
      <c r="H1815" s="1" t="n">
        <v>53</v>
      </c>
      <c r="I1815" s="1" t="str">
        <f aca="false">RIGHT(("0"&amp;C1815),2)&amp;RIGHT(("0"&amp;D1815),2)&amp;RIGHT(("0"&amp;E1815),2)&amp;RIGHT(("0"&amp;F1815),2)&amp;RIGHT(("0"&amp;G1815),2)&amp;RIGHT(("0"&amp;H1815),2)</f>
        <v>091127465153</v>
      </c>
      <c r="J1815" s="1" t="n">
        <f aca="false">COUNTIF(I:I,I1815)</f>
        <v>1</v>
      </c>
      <c r="K1815" s="1" t="n">
        <v>0</v>
      </c>
      <c r="M1815" s="1" t="s">
        <v>23</v>
      </c>
      <c r="N1815" s="1" t="n">
        <v>51</v>
      </c>
      <c r="O1815" s="1" t="s">
        <v>9842</v>
      </c>
      <c r="P1815" s="1" t="n">
        <v>3473</v>
      </c>
      <c r="Q1815" s="1" t="s">
        <v>9843</v>
      </c>
      <c r="R1815" s="1" t="s">
        <v>9844</v>
      </c>
      <c r="S1815" s="1" t="s">
        <v>9845</v>
      </c>
      <c r="T1815" s="1" t="s">
        <v>9846</v>
      </c>
      <c r="U1815" s="1" t="s">
        <v>9847</v>
      </c>
    </row>
    <row r="1816" customFormat="false" ht="13.8" hidden="false" customHeight="false" outlineLevel="0" collapsed="false">
      <c r="A1816" s="1" t="n">
        <v>1815</v>
      </c>
      <c r="B1816" s="2" t="s">
        <v>9848</v>
      </c>
      <c r="C1816" s="1" t="n">
        <v>8</v>
      </c>
      <c r="D1816" s="1" t="n">
        <v>11</v>
      </c>
      <c r="E1816" s="1" t="n">
        <v>25</v>
      </c>
      <c r="F1816" s="1" t="n">
        <v>39</v>
      </c>
      <c r="G1816" s="1" t="n">
        <v>41</v>
      </c>
      <c r="H1816" s="1" t="n">
        <v>60</v>
      </c>
      <c r="I1816" s="1" t="str">
        <f aca="false">RIGHT(("0"&amp;C1816),2)&amp;RIGHT(("0"&amp;D1816),2)&amp;RIGHT(("0"&amp;E1816),2)&amp;RIGHT(("0"&amp;F1816),2)&amp;RIGHT(("0"&amp;G1816),2)&amp;RIGHT(("0"&amp;H1816),2)</f>
        <v>081125394160</v>
      </c>
      <c r="J1816" s="1" t="n">
        <f aca="false">COUNTIF(I:I,I1816)</f>
        <v>1</v>
      </c>
      <c r="K1816" s="1" t="n">
        <v>3</v>
      </c>
      <c r="L1816" s="1" t="s">
        <v>9849</v>
      </c>
      <c r="M1816" s="1" t="s">
        <v>9850</v>
      </c>
      <c r="N1816" s="1" t="n">
        <v>84</v>
      </c>
      <c r="O1816" s="1" t="s">
        <v>9851</v>
      </c>
      <c r="P1816" s="1" t="n">
        <v>4553</v>
      </c>
      <c r="Q1816" s="1" t="s">
        <v>9852</v>
      </c>
      <c r="R1816" s="1" t="s">
        <v>23</v>
      </c>
      <c r="S1816" s="1" t="s">
        <v>9853</v>
      </c>
      <c r="T1816" s="1" t="s">
        <v>473</v>
      </c>
      <c r="U1816" s="1" t="s">
        <v>9854</v>
      </c>
    </row>
    <row r="1817" customFormat="false" ht="13.8" hidden="false" customHeight="false" outlineLevel="0" collapsed="false">
      <c r="A1817" s="1" t="n">
        <v>1816</v>
      </c>
      <c r="B1817" s="2" t="s">
        <v>9855</v>
      </c>
      <c r="C1817" s="1" t="n">
        <v>5</v>
      </c>
      <c r="D1817" s="1" t="n">
        <v>10</v>
      </c>
      <c r="E1817" s="1" t="n">
        <v>12</v>
      </c>
      <c r="F1817" s="1" t="n">
        <v>22</v>
      </c>
      <c r="G1817" s="1" t="n">
        <v>28</v>
      </c>
      <c r="H1817" s="1" t="n">
        <v>46</v>
      </c>
      <c r="I1817" s="1" t="str">
        <f aca="false">RIGHT(("0"&amp;C1817),2)&amp;RIGHT(("0"&amp;D1817),2)&amp;RIGHT(("0"&amp;E1817),2)&amp;RIGHT(("0"&amp;F1817),2)&amp;RIGHT(("0"&amp;G1817),2)&amp;RIGHT(("0"&amp;H1817),2)</f>
        <v>051012222846</v>
      </c>
      <c r="J1817" s="1" t="n">
        <f aca="false">COUNTIF(I:I,I1817)</f>
        <v>1</v>
      </c>
      <c r="K1817" s="1" t="n">
        <v>0</v>
      </c>
      <c r="M1817" s="1" t="s">
        <v>23</v>
      </c>
      <c r="N1817" s="1" t="n">
        <v>112</v>
      </c>
      <c r="O1817" s="1" t="s">
        <v>9856</v>
      </c>
      <c r="P1817" s="1" t="n">
        <v>6085</v>
      </c>
      <c r="Q1817" s="1" t="s">
        <v>9857</v>
      </c>
      <c r="R1817" s="1" t="s">
        <v>9858</v>
      </c>
      <c r="S1817" s="1" t="s">
        <v>9859</v>
      </c>
      <c r="T1817" s="1" t="s">
        <v>5931</v>
      </c>
      <c r="U1817" s="1" t="s">
        <v>9860</v>
      </c>
    </row>
    <row r="1818" customFormat="false" ht="13.8" hidden="false" customHeight="false" outlineLevel="0" collapsed="false">
      <c r="A1818" s="1" t="n">
        <v>1817</v>
      </c>
      <c r="B1818" s="2" t="s">
        <v>9861</v>
      </c>
      <c r="C1818" s="1" t="n">
        <v>1</v>
      </c>
      <c r="D1818" s="1" t="n">
        <v>4</v>
      </c>
      <c r="E1818" s="1" t="n">
        <v>26</v>
      </c>
      <c r="F1818" s="1" t="n">
        <v>39</v>
      </c>
      <c r="G1818" s="1" t="n">
        <v>47</v>
      </c>
      <c r="H1818" s="1" t="n">
        <v>55</v>
      </c>
      <c r="I1818" s="1" t="str">
        <f aca="false">RIGHT(("0"&amp;C1818),2)&amp;RIGHT(("0"&amp;D1818),2)&amp;RIGHT(("0"&amp;E1818),2)&amp;RIGHT(("0"&amp;F1818),2)&amp;RIGHT(("0"&amp;G1818),2)&amp;RIGHT(("0"&amp;H1818),2)</f>
        <v>010426394755</v>
      </c>
      <c r="J1818" s="1" t="n">
        <f aca="false">COUNTIF(I:I,I1818)</f>
        <v>1</v>
      </c>
      <c r="K1818" s="1" t="n">
        <v>0</v>
      </c>
      <c r="M1818" s="1" t="s">
        <v>23</v>
      </c>
      <c r="N1818" s="1" t="n">
        <v>49</v>
      </c>
      <c r="O1818" s="1" t="s">
        <v>9862</v>
      </c>
      <c r="P1818" s="1" t="n">
        <v>3620</v>
      </c>
      <c r="Q1818" s="1" t="s">
        <v>9863</v>
      </c>
      <c r="R1818" s="1" t="s">
        <v>9864</v>
      </c>
      <c r="S1818" s="1" t="s">
        <v>9865</v>
      </c>
      <c r="T1818" s="1" t="s">
        <v>4195</v>
      </c>
      <c r="U1818" s="1" t="s">
        <v>9866</v>
      </c>
    </row>
    <row r="1819" customFormat="false" ht="13.8" hidden="false" customHeight="false" outlineLevel="0" collapsed="false">
      <c r="A1819" s="1" t="n">
        <v>1818</v>
      </c>
      <c r="B1819" s="2" t="s">
        <v>9867</v>
      </c>
      <c r="C1819" s="1" t="n">
        <v>2</v>
      </c>
      <c r="D1819" s="1" t="n">
        <v>6</v>
      </c>
      <c r="E1819" s="1" t="n">
        <v>10</v>
      </c>
      <c r="F1819" s="1" t="n">
        <v>15</v>
      </c>
      <c r="G1819" s="1" t="n">
        <v>53</v>
      </c>
      <c r="H1819" s="1" t="n">
        <v>56</v>
      </c>
      <c r="I1819" s="1" t="str">
        <f aca="false">RIGHT(("0"&amp;C1819),2)&amp;RIGHT(("0"&amp;D1819),2)&amp;RIGHT(("0"&amp;E1819),2)&amp;RIGHT(("0"&amp;F1819),2)&amp;RIGHT(("0"&amp;G1819),2)&amp;RIGHT(("0"&amp;H1819),2)</f>
        <v>020610155356</v>
      </c>
      <c r="J1819" s="1" t="n">
        <f aca="false">COUNTIF(I:I,I1819)</f>
        <v>1</v>
      </c>
      <c r="K1819" s="1" t="n">
        <v>0</v>
      </c>
      <c r="M1819" s="1" t="s">
        <v>23</v>
      </c>
      <c r="N1819" s="1" t="n">
        <v>98</v>
      </c>
      <c r="O1819" s="1" t="s">
        <v>9868</v>
      </c>
      <c r="P1819" s="1" t="n">
        <v>6394</v>
      </c>
      <c r="Q1819" s="1" t="s">
        <v>9869</v>
      </c>
      <c r="R1819" s="1" t="s">
        <v>9870</v>
      </c>
      <c r="S1819" s="1" t="s">
        <v>9871</v>
      </c>
      <c r="T1819" s="1" t="s">
        <v>3928</v>
      </c>
      <c r="U1819" s="1" t="s">
        <v>9872</v>
      </c>
    </row>
    <row r="1820" customFormat="false" ht="13.8" hidden="false" customHeight="false" outlineLevel="0" collapsed="false">
      <c r="A1820" s="1" t="n">
        <v>1819</v>
      </c>
      <c r="B1820" s="2" t="s">
        <v>9873</v>
      </c>
      <c r="C1820" s="1" t="n">
        <v>17</v>
      </c>
      <c r="D1820" s="1" t="n">
        <v>18</v>
      </c>
      <c r="E1820" s="1" t="n">
        <v>26</v>
      </c>
      <c r="F1820" s="1" t="n">
        <v>30</v>
      </c>
      <c r="G1820" s="1" t="n">
        <v>33</v>
      </c>
      <c r="H1820" s="1" t="n">
        <v>37</v>
      </c>
      <c r="I1820" s="1" t="str">
        <f aca="false">RIGHT(("0"&amp;C1820),2)&amp;RIGHT(("0"&amp;D1820),2)&amp;RIGHT(("0"&amp;E1820),2)&amp;RIGHT(("0"&amp;F1820),2)&amp;RIGHT(("0"&amp;G1820),2)&amp;RIGHT(("0"&amp;H1820),2)</f>
        <v>171826303337</v>
      </c>
      <c r="J1820" s="1" t="n">
        <f aca="false">COUNTIF(I:I,I1820)</f>
        <v>1</v>
      </c>
      <c r="K1820" s="1" t="n">
        <v>0</v>
      </c>
      <c r="M1820" s="1" t="s">
        <v>23</v>
      </c>
      <c r="N1820" s="1" t="n">
        <v>30</v>
      </c>
      <c r="O1820" s="1" t="s">
        <v>9874</v>
      </c>
      <c r="P1820" s="1" t="n">
        <v>4092</v>
      </c>
      <c r="Q1820" s="1" t="s">
        <v>9875</v>
      </c>
      <c r="R1820" s="1" t="s">
        <v>9876</v>
      </c>
      <c r="S1820" s="1" t="s">
        <v>9877</v>
      </c>
      <c r="T1820" s="1" t="s">
        <v>4304</v>
      </c>
      <c r="U1820" s="1" t="s">
        <v>9878</v>
      </c>
    </row>
    <row r="1821" customFormat="false" ht="13.8" hidden="false" customHeight="false" outlineLevel="0" collapsed="false">
      <c r="A1821" s="1" t="n">
        <v>1820</v>
      </c>
      <c r="B1821" s="2" t="s">
        <v>9879</v>
      </c>
      <c r="C1821" s="1" t="n">
        <v>3</v>
      </c>
      <c r="D1821" s="1" t="n">
        <v>19</v>
      </c>
      <c r="E1821" s="1" t="n">
        <v>23</v>
      </c>
      <c r="F1821" s="1" t="n">
        <v>27</v>
      </c>
      <c r="G1821" s="1" t="n">
        <v>40</v>
      </c>
      <c r="H1821" s="1" t="n">
        <v>45</v>
      </c>
      <c r="I1821" s="1" t="str">
        <f aca="false">RIGHT(("0"&amp;C1821),2)&amp;RIGHT(("0"&amp;D1821),2)&amp;RIGHT(("0"&amp;E1821),2)&amp;RIGHT(("0"&amp;F1821),2)&amp;RIGHT(("0"&amp;G1821),2)&amp;RIGHT(("0"&amp;H1821),2)</f>
        <v>031923274045</v>
      </c>
      <c r="J1821" s="1" t="n">
        <f aca="false">COUNTIF(I:I,I1821)</f>
        <v>1</v>
      </c>
      <c r="K1821" s="1" t="n">
        <v>0</v>
      </c>
      <c r="M1821" s="1" t="s">
        <v>23</v>
      </c>
      <c r="N1821" s="1" t="n">
        <v>182</v>
      </c>
      <c r="O1821" s="1" t="s">
        <v>9880</v>
      </c>
      <c r="P1821" s="1" t="n">
        <v>9333</v>
      </c>
      <c r="Q1821" s="1" t="s">
        <v>9881</v>
      </c>
      <c r="R1821" s="1" t="s">
        <v>9882</v>
      </c>
      <c r="S1821" s="1" t="s">
        <v>9883</v>
      </c>
      <c r="T1821" s="1" t="s">
        <v>4309</v>
      </c>
      <c r="U1821" s="1" t="s">
        <v>9884</v>
      </c>
    </row>
    <row r="1822" customFormat="false" ht="13.8" hidden="false" customHeight="false" outlineLevel="0" collapsed="false">
      <c r="A1822" s="1" t="n">
        <v>1821</v>
      </c>
      <c r="B1822" s="2" t="s">
        <v>9885</v>
      </c>
      <c r="C1822" s="1" t="n">
        <v>19</v>
      </c>
      <c r="D1822" s="1" t="n">
        <v>22</v>
      </c>
      <c r="E1822" s="1" t="n">
        <v>31</v>
      </c>
      <c r="F1822" s="1" t="n">
        <v>36</v>
      </c>
      <c r="G1822" s="1" t="n">
        <v>52</v>
      </c>
      <c r="H1822" s="1" t="n">
        <v>53</v>
      </c>
      <c r="I1822" s="1" t="str">
        <f aca="false">RIGHT(("0"&amp;C1822),2)&amp;RIGHT(("0"&amp;D1822),2)&amp;RIGHT(("0"&amp;E1822),2)&amp;RIGHT(("0"&amp;F1822),2)&amp;RIGHT(("0"&amp;G1822),2)&amp;RIGHT(("0"&amp;H1822),2)</f>
        <v>192231365253</v>
      </c>
      <c r="J1822" s="1" t="n">
        <f aca="false">COUNTIF(I:I,I1822)</f>
        <v>1</v>
      </c>
      <c r="K1822" s="1" t="n">
        <v>2</v>
      </c>
      <c r="L1822" s="1" t="s">
        <v>9886</v>
      </c>
      <c r="M1822" s="1" t="s">
        <v>9887</v>
      </c>
      <c r="N1822" s="1" t="n">
        <v>84</v>
      </c>
      <c r="O1822" s="1" t="s">
        <v>9888</v>
      </c>
      <c r="P1822" s="1" t="n">
        <v>6145</v>
      </c>
      <c r="Q1822" s="1" t="s">
        <v>9889</v>
      </c>
      <c r="R1822" s="1" t="s">
        <v>23</v>
      </c>
      <c r="S1822" s="1" t="s">
        <v>9890</v>
      </c>
      <c r="T1822" s="1" t="s">
        <v>4256</v>
      </c>
      <c r="U1822" s="1" t="s">
        <v>9891</v>
      </c>
    </row>
    <row r="1823" customFormat="false" ht="13.8" hidden="false" customHeight="false" outlineLevel="0" collapsed="false">
      <c r="A1823" s="1" t="n">
        <v>1822</v>
      </c>
      <c r="B1823" s="2" t="s">
        <v>9892</v>
      </c>
      <c r="C1823" s="1" t="n">
        <v>1</v>
      </c>
      <c r="D1823" s="1" t="n">
        <v>22</v>
      </c>
      <c r="E1823" s="1" t="n">
        <v>26</v>
      </c>
      <c r="F1823" s="1" t="n">
        <v>43</v>
      </c>
      <c r="G1823" s="1" t="n">
        <v>50</v>
      </c>
      <c r="H1823" s="1" t="n">
        <v>53</v>
      </c>
      <c r="I1823" s="1" t="str">
        <f aca="false">RIGHT(("0"&amp;C1823),2)&amp;RIGHT(("0"&amp;D1823),2)&amp;RIGHT(("0"&amp;E1823),2)&amp;RIGHT(("0"&amp;F1823),2)&amp;RIGHT(("0"&amp;G1823),2)&amp;RIGHT(("0"&amp;H1823),2)</f>
        <v>012226435053</v>
      </c>
      <c r="J1823" s="1" t="n">
        <f aca="false">COUNTIF(I:I,I1823)</f>
        <v>1</v>
      </c>
      <c r="K1823" s="1" t="n">
        <v>0</v>
      </c>
      <c r="M1823" s="1" t="s">
        <v>23</v>
      </c>
      <c r="N1823" s="1" t="n">
        <v>23</v>
      </c>
      <c r="O1823" s="1" t="s">
        <v>9893</v>
      </c>
      <c r="P1823" s="1" t="n">
        <v>1885</v>
      </c>
      <c r="Q1823" s="1" t="s">
        <v>9894</v>
      </c>
      <c r="R1823" s="1" t="s">
        <v>9895</v>
      </c>
      <c r="S1823" s="1" t="s">
        <v>9896</v>
      </c>
      <c r="T1823" s="1" t="s">
        <v>4342</v>
      </c>
      <c r="U1823" s="1" t="s">
        <v>9897</v>
      </c>
    </row>
    <row r="1824" customFormat="false" ht="13.8" hidden="false" customHeight="false" outlineLevel="0" collapsed="false">
      <c r="A1824" s="1" t="n">
        <v>1823</v>
      </c>
      <c r="B1824" s="2" t="s">
        <v>9898</v>
      </c>
      <c r="C1824" s="1" t="n">
        <v>4</v>
      </c>
      <c r="D1824" s="1" t="n">
        <v>9</v>
      </c>
      <c r="E1824" s="1" t="n">
        <v>21</v>
      </c>
      <c r="F1824" s="1" t="n">
        <v>34</v>
      </c>
      <c r="G1824" s="1" t="n">
        <v>54</v>
      </c>
      <c r="H1824" s="1" t="n">
        <v>59</v>
      </c>
      <c r="I1824" s="1" t="str">
        <f aca="false">RIGHT(("0"&amp;C1824),2)&amp;RIGHT(("0"&amp;D1824),2)&amp;RIGHT(("0"&amp;E1824),2)&amp;RIGHT(("0"&amp;F1824),2)&amp;RIGHT(("0"&amp;G1824),2)&amp;RIGHT(("0"&amp;H1824),2)</f>
        <v>040921345459</v>
      </c>
      <c r="J1824" s="1" t="n">
        <f aca="false">COUNTIF(I:I,I1824)</f>
        <v>1</v>
      </c>
      <c r="K1824" s="1" t="n">
        <v>0</v>
      </c>
      <c r="M1824" s="1" t="s">
        <v>23</v>
      </c>
      <c r="N1824" s="1" t="n">
        <v>70</v>
      </c>
      <c r="O1824" s="1" t="s">
        <v>9899</v>
      </c>
      <c r="P1824" s="1" t="n">
        <v>4110</v>
      </c>
      <c r="Q1824" s="1" t="s">
        <v>9900</v>
      </c>
      <c r="R1824" s="1" t="s">
        <v>9901</v>
      </c>
      <c r="S1824" s="1" t="s">
        <v>9902</v>
      </c>
      <c r="T1824" s="1" t="s">
        <v>4195</v>
      </c>
      <c r="U1824" s="1" t="s">
        <v>9903</v>
      </c>
    </row>
    <row r="1825" customFormat="false" ht="13.8" hidden="false" customHeight="false" outlineLevel="0" collapsed="false">
      <c r="A1825" s="1" t="n">
        <v>1824</v>
      </c>
      <c r="B1825" s="2" t="s">
        <v>9904</v>
      </c>
      <c r="C1825" s="1" t="n">
        <v>5</v>
      </c>
      <c r="D1825" s="1" t="n">
        <v>6</v>
      </c>
      <c r="E1825" s="1" t="n">
        <v>12</v>
      </c>
      <c r="F1825" s="1" t="n">
        <v>19</v>
      </c>
      <c r="G1825" s="1" t="n">
        <v>30</v>
      </c>
      <c r="H1825" s="1" t="n">
        <v>60</v>
      </c>
      <c r="I1825" s="1" t="str">
        <f aca="false">RIGHT(("0"&amp;C1825),2)&amp;RIGHT(("0"&amp;D1825),2)&amp;RIGHT(("0"&amp;E1825),2)&amp;RIGHT(("0"&amp;F1825),2)&amp;RIGHT(("0"&amp;G1825),2)&amp;RIGHT(("0"&amp;H1825),2)</f>
        <v>050612193060</v>
      </c>
      <c r="J1825" s="1" t="n">
        <f aca="false">COUNTIF(I:I,I1825)</f>
        <v>1</v>
      </c>
      <c r="K1825" s="1" t="n">
        <v>0</v>
      </c>
      <c r="M1825" s="1" t="s">
        <v>23</v>
      </c>
      <c r="N1825" s="1" t="n">
        <v>157</v>
      </c>
      <c r="O1825" s="1" t="s">
        <v>9905</v>
      </c>
      <c r="P1825" s="1" t="n">
        <v>8192</v>
      </c>
      <c r="Q1825" s="1" t="s">
        <v>9906</v>
      </c>
      <c r="R1825" s="1" t="s">
        <v>9907</v>
      </c>
      <c r="S1825" s="1" t="s">
        <v>9908</v>
      </c>
      <c r="T1825" s="1" t="s">
        <v>9909</v>
      </c>
      <c r="U1825" s="1" t="s">
        <v>9910</v>
      </c>
    </row>
    <row r="1826" customFormat="false" ht="13.8" hidden="false" customHeight="false" outlineLevel="0" collapsed="false">
      <c r="A1826" s="1" t="n">
        <v>1825</v>
      </c>
      <c r="B1826" s="2" t="s">
        <v>9911</v>
      </c>
      <c r="C1826" s="1" t="n">
        <v>10</v>
      </c>
      <c r="D1826" s="1" t="n">
        <v>11</v>
      </c>
      <c r="E1826" s="1" t="n">
        <v>21</v>
      </c>
      <c r="F1826" s="1" t="n">
        <v>50</v>
      </c>
      <c r="G1826" s="1" t="n">
        <v>51</v>
      </c>
      <c r="H1826" s="1" t="n">
        <v>54</v>
      </c>
      <c r="I1826" s="1" t="str">
        <f aca="false">RIGHT(("0"&amp;C1826),2)&amp;RIGHT(("0"&amp;D1826),2)&amp;RIGHT(("0"&amp;E1826),2)&amp;RIGHT(("0"&amp;F1826),2)&amp;RIGHT(("0"&amp;G1826),2)&amp;RIGHT(("0"&amp;H1826),2)</f>
        <v>101121505154</v>
      </c>
      <c r="J1826" s="1" t="n">
        <f aca="false">COUNTIF(I:I,I1826)</f>
        <v>1</v>
      </c>
      <c r="K1826" s="1" t="n">
        <v>1</v>
      </c>
      <c r="L1826" s="1" t="s">
        <v>6152</v>
      </c>
      <c r="M1826" s="1" t="s">
        <v>9912</v>
      </c>
      <c r="N1826" s="1" t="n">
        <v>41</v>
      </c>
      <c r="O1826" s="1" t="s">
        <v>9913</v>
      </c>
      <c r="P1826" s="1" t="n">
        <v>3176</v>
      </c>
      <c r="Q1826" s="1" t="s">
        <v>9914</v>
      </c>
      <c r="R1826" s="1" t="s">
        <v>23</v>
      </c>
      <c r="S1826" s="1" t="s">
        <v>9915</v>
      </c>
      <c r="T1826" s="1" t="s">
        <v>9916</v>
      </c>
      <c r="U1826" s="1" t="s">
        <v>9917</v>
      </c>
    </row>
    <row r="1827" customFormat="false" ht="13.8" hidden="false" customHeight="false" outlineLevel="0" collapsed="false">
      <c r="A1827" s="1" t="n">
        <v>1826</v>
      </c>
      <c r="B1827" s="2" t="s">
        <v>9918</v>
      </c>
      <c r="C1827" s="1" t="n">
        <v>17</v>
      </c>
      <c r="D1827" s="1" t="n">
        <v>19</v>
      </c>
      <c r="E1827" s="1" t="n">
        <v>32</v>
      </c>
      <c r="F1827" s="1" t="n">
        <v>43</v>
      </c>
      <c r="G1827" s="1" t="n">
        <v>48</v>
      </c>
      <c r="H1827" s="1" t="n">
        <v>51</v>
      </c>
      <c r="I1827" s="1" t="str">
        <f aca="false">RIGHT(("0"&amp;C1827),2)&amp;RIGHT(("0"&amp;D1827),2)&amp;RIGHT(("0"&amp;E1827),2)&amp;RIGHT(("0"&amp;F1827),2)&amp;RIGHT(("0"&amp;G1827),2)&amp;RIGHT(("0"&amp;H1827),2)</f>
        <v>171932434851</v>
      </c>
      <c r="J1827" s="1" t="n">
        <f aca="false">COUNTIF(I:I,I1827)</f>
        <v>1</v>
      </c>
      <c r="K1827" s="1" t="n">
        <v>0</v>
      </c>
      <c r="M1827" s="1" t="s">
        <v>23</v>
      </c>
      <c r="N1827" s="1" t="n">
        <v>42</v>
      </c>
      <c r="O1827" s="1" t="s">
        <v>9919</v>
      </c>
      <c r="P1827" s="1" t="n">
        <v>2476</v>
      </c>
      <c r="Q1827" s="1" t="s">
        <v>9920</v>
      </c>
      <c r="R1827" s="1" t="s">
        <v>9921</v>
      </c>
      <c r="S1827" s="1" t="s">
        <v>9922</v>
      </c>
      <c r="T1827" s="1" t="s">
        <v>4227</v>
      </c>
      <c r="U1827" s="1" t="s">
        <v>9923</v>
      </c>
    </row>
    <row r="1828" customFormat="false" ht="13.8" hidden="false" customHeight="false" outlineLevel="0" collapsed="false">
      <c r="A1828" s="1" t="n">
        <v>1827</v>
      </c>
      <c r="B1828" s="2" t="s">
        <v>9924</v>
      </c>
      <c r="C1828" s="1" t="n">
        <v>26</v>
      </c>
      <c r="D1828" s="1" t="n">
        <v>33</v>
      </c>
      <c r="E1828" s="1" t="n">
        <v>42</v>
      </c>
      <c r="F1828" s="1" t="n">
        <v>43</v>
      </c>
      <c r="G1828" s="1" t="n">
        <v>53</v>
      </c>
      <c r="H1828" s="1" t="n">
        <v>54</v>
      </c>
      <c r="I1828" s="1" t="str">
        <f aca="false">RIGHT(("0"&amp;C1828),2)&amp;RIGHT(("0"&amp;D1828),2)&amp;RIGHT(("0"&amp;E1828),2)&amp;RIGHT(("0"&amp;F1828),2)&amp;RIGHT(("0"&amp;G1828),2)&amp;RIGHT(("0"&amp;H1828),2)</f>
        <v>263342435354</v>
      </c>
      <c r="J1828" s="1" t="n">
        <f aca="false">COUNTIF(I:I,I1828)</f>
        <v>1</v>
      </c>
      <c r="K1828" s="1" t="n">
        <v>0</v>
      </c>
      <c r="M1828" s="1" t="s">
        <v>23</v>
      </c>
      <c r="N1828" s="1" t="n">
        <v>44</v>
      </c>
      <c r="O1828" s="1" t="s">
        <v>9925</v>
      </c>
      <c r="P1828" s="1" t="n">
        <v>2487</v>
      </c>
      <c r="Q1828" s="1" t="s">
        <v>9926</v>
      </c>
      <c r="R1828" s="1" t="s">
        <v>9927</v>
      </c>
      <c r="S1828" s="1" t="s">
        <v>9928</v>
      </c>
      <c r="T1828" s="1" t="s">
        <v>4190</v>
      </c>
      <c r="U1828" s="1" t="s">
        <v>9929</v>
      </c>
    </row>
    <row r="1829" customFormat="false" ht="13.8" hidden="false" customHeight="false" outlineLevel="0" collapsed="false">
      <c r="A1829" s="1" t="n">
        <v>1828</v>
      </c>
      <c r="B1829" s="2" t="s">
        <v>9930</v>
      </c>
      <c r="C1829" s="1" t="n">
        <v>6</v>
      </c>
      <c r="D1829" s="1" t="n">
        <v>11</v>
      </c>
      <c r="E1829" s="1" t="n">
        <v>32</v>
      </c>
      <c r="F1829" s="1" t="n">
        <v>40</v>
      </c>
      <c r="G1829" s="1" t="n">
        <v>48</v>
      </c>
      <c r="H1829" s="1" t="n">
        <v>59</v>
      </c>
      <c r="I1829" s="1" t="str">
        <f aca="false">RIGHT(("0"&amp;C1829),2)&amp;RIGHT(("0"&amp;D1829),2)&amp;RIGHT(("0"&amp;E1829),2)&amp;RIGHT(("0"&amp;F1829),2)&amp;RIGHT(("0"&amp;G1829),2)&amp;RIGHT(("0"&amp;H1829),2)</f>
        <v>061132404859</v>
      </c>
      <c r="J1829" s="1" t="n">
        <f aca="false">COUNTIF(I:I,I1829)</f>
        <v>1</v>
      </c>
      <c r="K1829" s="1" t="n">
        <v>0</v>
      </c>
      <c r="M1829" s="1" t="s">
        <v>23</v>
      </c>
      <c r="N1829" s="1" t="n">
        <v>36</v>
      </c>
      <c r="O1829" s="1" t="s">
        <v>9931</v>
      </c>
      <c r="P1829" s="1" t="n">
        <v>2502</v>
      </c>
      <c r="Q1829" s="1" t="s">
        <v>9932</v>
      </c>
      <c r="R1829" s="1" t="s">
        <v>9933</v>
      </c>
      <c r="S1829" s="1" t="s">
        <v>9934</v>
      </c>
      <c r="T1829" s="1" t="s">
        <v>4531</v>
      </c>
      <c r="U1829" s="1" t="s">
        <v>9935</v>
      </c>
    </row>
    <row r="1830" customFormat="false" ht="13.8" hidden="false" customHeight="false" outlineLevel="0" collapsed="false">
      <c r="A1830" s="1" t="n">
        <v>1829</v>
      </c>
      <c r="B1830" s="2" t="s">
        <v>9936</v>
      </c>
      <c r="C1830" s="1" t="n">
        <v>7</v>
      </c>
      <c r="D1830" s="1" t="n">
        <v>13</v>
      </c>
      <c r="E1830" s="1" t="n">
        <v>24</v>
      </c>
      <c r="F1830" s="1" t="n">
        <v>30</v>
      </c>
      <c r="G1830" s="1" t="n">
        <v>32</v>
      </c>
      <c r="H1830" s="1" t="n">
        <v>53</v>
      </c>
      <c r="I1830" s="1" t="str">
        <f aca="false">RIGHT(("0"&amp;C1830),2)&amp;RIGHT(("0"&amp;D1830),2)&amp;RIGHT(("0"&amp;E1830),2)&amp;RIGHT(("0"&amp;F1830),2)&amp;RIGHT(("0"&amp;G1830),2)&amp;RIGHT(("0"&amp;H1830),2)</f>
        <v>071324303253</v>
      </c>
      <c r="J1830" s="1" t="n">
        <f aca="false">COUNTIF(I:I,I1830)</f>
        <v>1</v>
      </c>
      <c r="K1830" s="1" t="n">
        <v>0</v>
      </c>
      <c r="M1830" s="1" t="s">
        <v>23</v>
      </c>
      <c r="N1830" s="1" t="n">
        <v>103</v>
      </c>
      <c r="O1830" s="1" t="s">
        <v>9937</v>
      </c>
      <c r="P1830" s="1" t="n">
        <v>6254</v>
      </c>
      <c r="Q1830" s="1" t="s">
        <v>6110</v>
      </c>
      <c r="R1830" s="1" t="s">
        <v>9938</v>
      </c>
      <c r="S1830" s="1" t="s">
        <v>9939</v>
      </c>
      <c r="T1830" s="1" t="s">
        <v>5281</v>
      </c>
      <c r="U1830" s="1" t="s">
        <v>9940</v>
      </c>
    </row>
    <row r="1831" customFormat="false" ht="13.8" hidden="false" customHeight="false" outlineLevel="0" collapsed="false">
      <c r="A1831" s="1" t="n">
        <v>1830</v>
      </c>
      <c r="B1831" s="2" t="s">
        <v>9941</v>
      </c>
      <c r="C1831" s="1" t="n">
        <v>3</v>
      </c>
      <c r="D1831" s="1" t="n">
        <v>7</v>
      </c>
      <c r="E1831" s="1" t="n">
        <v>29</v>
      </c>
      <c r="F1831" s="1" t="n">
        <v>37</v>
      </c>
      <c r="G1831" s="1" t="n">
        <v>54</v>
      </c>
      <c r="H1831" s="1" t="n">
        <v>60</v>
      </c>
      <c r="I1831" s="1" t="str">
        <f aca="false">RIGHT(("0"&amp;C1831),2)&amp;RIGHT(("0"&amp;D1831),2)&amp;RIGHT(("0"&amp;E1831),2)&amp;RIGHT(("0"&amp;F1831),2)&amp;RIGHT(("0"&amp;G1831),2)&amp;RIGHT(("0"&amp;H1831),2)</f>
        <v>030729375460</v>
      </c>
      <c r="J1831" s="1" t="n">
        <f aca="false">COUNTIF(I:I,I1831)</f>
        <v>1</v>
      </c>
      <c r="K1831" s="1" t="n">
        <v>1</v>
      </c>
      <c r="L1831" s="1" t="s">
        <v>5310</v>
      </c>
      <c r="M1831" s="1" t="s">
        <v>9942</v>
      </c>
      <c r="N1831" s="1" t="n">
        <v>100</v>
      </c>
      <c r="O1831" s="1" t="s">
        <v>9943</v>
      </c>
      <c r="P1831" s="1" t="n">
        <v>6640</v>
      </c>
      <c r="Q1831" s="1" t="s">
        <v>9944</v>
      </c>
      <c r="R1831" s="1" t="s">
        <v>23</v>
      </c>
      <c r="S1831" s="1" t="s">
        <v>9945</v>
      </c>
      <c r="T1831" s="1" t="s">
        <v>4256</v>
      </c>
      <c r="U1831" s="1" t="s">
        <v>9946</v>
      </c>
    </row>
    <row r="1832" customFormat="false" ht="13.8" hidden="false" customHeight="false" outlineLevel="0" collapsed="false">
      <c r="A1832" s="1" t="n">
        <v>1831</v>
      </c>
      <c r="B1832" s="2" t="s">
        <v>9947</v>
      </c>
      <c r="C1832" s="1" t="n">
        <v>15</v>
      </c>
      <c r="D1832" s="1" t="n">
        <v>27</v>
      </c>
      <c r="E1832" s="1" t="n">
        <v>28</v>
      </c>
      <c r="F1832" s="1" t="n">
        <v>32</v>
      </c>
      <c r="G1832" s="1" t="n">
        <v>48</v>
      </c>
      <c r="H1832" s="1" t="n">
        <v>55</v>
      </c>
      <c r="I1832" s="1" t="str">
        <f aca="false">RIGHT(("0"&amp;C1832),2)&amp;RIGHT(("0"&amp;D1832),2)&amp;RIGHT(("0"&amp;E1832),2)&amp;RIGHT(("0"&amp;F1832),2)&amp;RIGHT(("0"&amp;G1832),2)&amp;RIGHT(("0"&amp;H1832),2)</f>
        <v>152728324855</v>
      </c>
      <c r="J1832" s="1" t="n">
        <f aca="false">COUNTIF(I:I,I1832)</f>
        <v>1</v>
      </c>
      <c r="K1832" s="1" t="n">
        <v>1</v>
      </c>
      <c r="L1832" s="1" t="s">
        <v>9948</v>
      </c>
      <c r="M1832" s="1" t="s">
        <v>9949</v>
      </c>
      <c r="N1832" s="1" t="n">
        <v>71</v>
      </c>
      <c r="O1832" s="1" t="s">
        <v>9950</v>
      </c>
      <c r="P1832" s="1" t="n">
        <v>3168</v>
      </c>
      <c r="Q1832" s="1" t="s">
        <v>9951</v>
      </c>
      <c r="R1832" s="1" t="s">
        <v>23</v>
      </c>
      <c r="S1832" s="1" t="s">
        <v>9952</v>
      </c>
      <c r="T1832" s="1" t="s">
        <v>4256</v>
      </c>
      <c r="U1832" s="1" t="s">
        <v>9953</v>
      </c>
    </row>
    <row r="1833" customFormat="false" ht="13.8" hidden="false" customHeight="false" outlineLevel="0" collapsed="false">
      <c r="A1833" s="1" t="n">
        <v>1832</v>
      </c>
      <c r="B1833" s="2" t="s">
        <v>9954</v>
      </c>
      <c r="C1833" s="1" t="n">
        <v>14</v>
      </c>
      <c r="D1833" s="1" t="n">
        <v>34</v>
      </c>
      <c r="E1833" s="1" t="n">
        <v>46</v>
      </c>
      <c r="F1833" s="1" t="n">
        <v>47</v>
      </c>
      <c r="G1833" s="1" t="n">
        <v>56</v>
      </c>
      <c r="H1833" s="1" t="n">
        <v>57</v>
      </c>
      <c r="I1833" s="1" t="str">
        <f aca="false">RIGHT(("0"&amp;C1833),2)&amp;RIGHT(("0"&amp;D1833),2)&amp;RIGHT(("0"&amp;E1833),2)&amp;RIGHT(("0"&amp;F1833),2)&amp;RIGHT(("0"&amp;G1833),2)&amp;RIGHT(("0"&amp;H1833),2)</f>
        <v>143446475657</v>
      </c>
      <c r="J1833" s="1" t="n">
        <f aca="false">COUNTIF(I:I,I1833)</f>
        <v>1</v>
      </c>
      <c r="K1833" s="1" t="n">
        <v>0</v>
      </c>
      <c r="M1833" s="1" t="s">
        <v>23</v>
      </c>
      <c r="N1833" s="1" t="n">
        <v>31</v>
      </c>
      <c r="O1833" s="1" t="s">
        <v>9955</v>
      </c>
      <c r="P1833" s="1" t="n">
        <v>1786</v>
      </c>
      <c r="Q1833" s="1" t="s">
        <v>9956</v>
      </c>
      <c r="R1833" s="1" t="s">
        <v>9957</v>
      </c>
      <c r="S1833" s="1" t="s">
        <v>9958</v>
      </c>
      <c r="T1833" s="1" t="s">
        <v>7089</v>
      </c>
      <c r="U1833" s="1" t="s">
        <v>9959</v>
      </c>
    </row>
    <row r="1834" customFormat="false" ht="13.8" hidden="false" customHeight="false" outlineLevel="0" collapsed="false">
      <c r="A1834" s="1" t="n">
        <v>1833</v>
      </c>
      <c r="B1834" s="2" t="s">
        <v>9960</v>
      </c>
      <c r="C1834" s="1" t="n">
        <v>2</v>
      </c>
      <c r="D1834" s="1" t="n">
        <v>3</v>
      </c>
      <c r="E1834" s="1" t="n">
        <v>7</v>
      </c>
      <c r="F1834" s="1" t="n">
        <v>16</v>
      </c>
      <c r="G1834" s="1" t="n">
        <v>27</v>
      </c>
      <c r="H1834" s="1" t="n">
        <v>42</v>
      </c>
      <c r="I1834" s="1" t="str">
        <f aca="false">RIGHT(("0"&amp;C1834),2)&amp;RIGHT(("0"&amp;D1834),2)&amp;RIGHT(("0"&amp;E1834),2)&amp;RIGHT(("0"&amp;F1834),2)&amp;RIGHT(("0"&amp;G1834),2)&amp;RIGHT(("0"&amp;H1834),2)</f>
        <v>020307162742</v>
      </c>
      <c r="J1834" s="1" t="n">
        <f aca="false">COUNTIF(I:I,I1834)</f>
        <v>1</v>
      </c>
      <c r="K1834" s="1" t="n">
        <v>0</v>
      </c>
      <c r="M1834" s="1" t="s">
        <v>23</v>
      </c>
      <c r="N1834" s="1" t="n">
        <v>105</v>
      </c>
      <c r="O1834" s="1" t="s">
        <v>9961</v>
      </c>
      <c r="P1834" s="1" t="n">
        <v>6930</v>
      </c>
      <c r="Q1834" s="1" t="s">
        <v>9962</v>
      </c>
      <c r="R1834" s="1" t="s">
        <v>9963</v>
      </c>
      <c r="S1834" s="1" t="s">
        <v>9964</v>
      </c>
      <c r="T1834" s="1" t="s">
        <v>4190</v>
      </c>
      <c r="U1834" s="1" t="s">
        <v>9965</v>
      </c>
    </row>
    <row r="1835" customFormat="false" ht="13.8" hidden="false" customHeight="false" outlineLevel="0" collapsed="false">
      <c r="A1835" s="1" t="n">
        <v>1834</v>
      </c>
      <c r="B1835" s="2" t="s">
        <v>9966</v>
      </c>
      <c r="C1835" s="1" t="n">
        <v>2</v>
      </c>
      <c r="D1835" s="1" t="n">
        <v>17</v>
      </c>
      <c r="E1835" s="1" t="n">
        <v>22</v>
      </c>
      <c r="F1835" s="1" t="n">
        <v>24</v>
      </c>
      <c r="G1835" s="1" t="n">
        <v>48</v>
      </c>
      <c r="H1835" s="1" t="n">
        <v>51</v>
      </c>
      <c r="I1835" s="1" t="str">
        <f aca="false">RIGHT(("0"&amp;C1835),2)&amp;RIGHT(("0"&amp;D1835),2)&amp;RIGHT(("0"&amp;E1835),2)&amp;RIGHT(("0"&amp;F1835),2)&amp;RIGHT(("0"&amp;G1835),2)&amp;RIGHT(("0"&amp;H1835),2)</f>
        <v>021722244851</v>
      </c>
      <c r="J1835" s="1" t="n">
        <f aca="false">COUNTIF(I:I,I1835)</f>
        <v>1</v>
      </c>
      <c r="K1835" s="1" t="n">
        <v>1</v>
      </c>
      <c r="L1835" s="1" t="s">
        <v>9967</v>
      </c>
      <c r="M1835" s="1" t="s">
        <v>9968</v>
      </c>
      <c r="N1835" s="1" t="n">
        <v>100</v>
      </c>
      <c r="O1835" s="1" t="s">
        <v>9969</v>
      </c>
      <c r="P1835" s="1" t="n">
        <v>5132</v>
      </c>
      <c r="Q1835" s="1" t="s">
        <v>9970</v>
      </c>
      <c r="R1835" s="1" t="s">
        <v>23</v>
      </c>
      <c r="S1835" s="1" t="s">
        <v>9971</v>
      </c>
      <c r="T1835" s="1" t="s">
        <v>3602</v>
      </c>
      <c r="U1835" s="1" t="s">
        <v>9972</v>
      </c>
    </row>
    <row r="1836" customFormat="false" ht="13.8" hidden="false" customHeight="false" outlineLevel="0" collapsed="false">
      <c r="A1836" s="1" t="n">
        <v>1835</v>
      </c>
      <c r="B1836" s="2" t="s">
        <v>9973</v>
      </c>
      <c r="C1836" s="1" t="n">
        <v>8</v>
      </c>
      <c r="D1836" s="1" t="n">
        <v>28</v>
      </c>
      <c r="E1836" s="1" t="n">
        <v>36</v>
      </c>
      <c r="F1836" s="1" t="n">
        <v>47</v>
      </c>
      <c r="G1836" s="1" t="n">
        <v>50</v>
      </c>
      <c r="H1836" s="1" t="n">
        <v>58</v>
      </c>
      <c r="I1836" s="1" t="str">
        <f aca="false">RIGHT(("0"&amp;C1836),2)&amp;RIGHT(("0"&amp;D1836),2)&amp;RIGHT(("0"&amp;E1836),2)&amp;RIGHT(("0"&amp;F1836),2)&amp;RIGHT(("0"&amp;G1836),2)&amp;RIGHT(("0"&amp;H1836),2)</f>
        <v>082836475058</v>
      </c>
      <c r="J1836" s="1" t="n">
        <f aca="false">COUNTIF(I:I,I1836)</f>
        <v>1</v>
      </c>
      <c r="K1836" s="1" t="n">
        <v>0</v>
      </c>
      <c r="M1836" s="1" t="s">
        <v>23</v>
      </c>
      <c r="N1836" s="1" t="n">
        <v>41</v>
      </c>
      <c r="O1836" s="1" t="s">
        <v>9974</v>
      </c>
      <c r="P1836" s="1" t="n">
        <v>3133</v>
      </c>
      <c r="Q1836" s="1" t="s">
        <v>9975</v>
      </c>
      <c r="R1836" s="1" t="s">
        <v>9976</v>
      </c>
      <c r="S1836" s="1" t="s">
        <v>9977</v>
      </c>
      <c r="T1836" s="1" t="s">
        <v>4241</v>
      </c>
      <c r="U1836" s="1" t="s">
        <v>9978</v>
      </c>
    </row>
    <row r="1837" customFormat="false" ht="13.8" hidden="false" customHeight="false" outlineLevel="0" collapsed="false">
      <c r="A1837" s="1" t="n">
        <v>1836</v>
      </c>
      <c r="B1837" s="2" t="s">
        <v>9979</v>
      </c>
      <c r="C1837" s="1" t="n">
        <v>8</v>
      </c>
      <c r="D1837" s="1" t="n">
        <v>15</v>
      </c>
      <c r="E1837" s="1" t="n">
        <v>18</v>
      </c>
      <c r="F1837" s="1" t="n">
        <v>45</v>
      </c>
      <c r="G1837" s="1" t="n">
        <v>59</v>
      </c>
      <c r="H1837" s="1" t="n">
        <v>60</v>
      </c>
      <c r="I1837" s="1" t="str">
        <f aca="false">RIGHT(("0"&amp;C1837),2)&amp;RIGHT(("0"&amp;D1837),2)&amp;RIGHT(("0"&amp;E1837),2)&amp;RIGHT(("0"&amp;F1837),2)&amp;RIGHT(("0"&amp;G1837),2)&amp;RIGHT(("0"&amp;H1837),2)</f>
        <v>081518455960</v>
      </c>
      <c r="J1837" s="1" t="n">
        <f aca="false">COUNTIF(I:I,I1837)</f>
        <v>1</v>
      </c>
      <c r="K1837" s="1" t="n">
        <v>0</v>
      </c>
      <c r="M1837" s="1" t="s">
        <v>23</v>
      </c>
      <c r="N1837" s="1" t="n">
        <v>46</v>
      </c>
      <c r="O1837" s="1" t="s">
        <v>9980</v>
      </c>
      <c r="P1837" s="1" t="n">
        <v>2948</v>
      </c>
      <c r="Q1837" s="1" t="s">
        <v>9981</v>
      </c>
      <c r="R1837" s="1" t="s">
        <v>9982</v>
      </c>
      <c r="S1837" s="1" t="s">
        <v>9983</v>
      </c>
      <c r="T1837" s="1" t="s">
        <v>4273</v>
      </c>
      <c r="U1837" s="1" t="s">
        <v>9984</v>
      </c>
    </row>
    <row r="1838" customFormat="false" ht="13.8" hidden="false" customHeight="false" outlineLevel="0" collapsed="false">
      <c r="A1838" s="1" t="n">
        <v>1837</v>
      </c>
      <c r="B1838" s="2" t="s">
        <v>9985</v>
      </c>
      <c r="C1838" s="1" t="n">
        <v>41</v>
      </c>
      <c r="D1838" s="1" t="n">
        <v>44</v>
      </c>
      <c r="E1838" s="1" t="n">
        <v>48</v>
      </c>
      <c r="F1838" s="1" t="n">
        <v>50</v>
      </c>
      <c r="G1838" s="1" t="n">
        <v>54</v>
      </c>
      <c r="H1838" s="1" t="n">
        <v>57</v>
      </c>
      <c r="I1838" s="1" t="str">
        <f aca="false">RIGHT(("0"&amp;C1838),2)&amp;RIGHT(("0"&amp;D1838),2)&amp;RIGHT(("0"&amp;E1838),2)&amp;RIGHT(("0"&amp;F1838),2)&amp;RIGHT(("0"&amp;G1838),2)&amp;RIGHT(("0"&amp;H1838),2)</f>
        <v>414448505457</v>
      </c>
      <c r="J1838" s="1" t="n">
        <f aca="false">COUNTIF(I:I,I1838)</f>
        <v>1</v>
      </c>
      <c r="K1838" s="1" t="n">
        <v>0</v>
      </c>
      <c r="M1838" s="1" t="s">
        <v>23</v>
      </c>
      <c r="N1838" s="1" t="n">
        <v>32</v>
      </c>
      <c r="O1838" s="1" t="s">
        <v>9986</v>
      </c>
      <c r="P1838" s="1" t="n">
        <v>2346</v>
      </c>
      <c r="Q1838" s="1" t="s">
        <v>9987</v>
      </c>
      <c r="R1838" s="1" t="s">
        <v>9988</v>
      </c>
      <c r="S1838" s="1" t="s">
        <v>9989</v>
      </c>
      <c r="T1838" s="1" t="s">
        <v>4718</v>
      </c>
      <c r="U1838" s="1" t="s">
        <v>9990</v>
      </c>
    </row>
    <row r="1839" customFormat="false" ht="13.8" hidden="false" customHeight="false" outlineLevel="0" collapsed="false">
      <c r="A1839" s="1" t="n">
        <v>1838</v>
      </c>
      <c r="B1839" s="2" t="s">
        <v>9991</v>
      </c>
      <c r="C1839" s="1" t="n">
        <v>5</v>
      </c>
      <c r="D1839" s="1" t="n">
        <v>8</v>
      </c>
      <c r="E1839" s="1" t="n">
        <v>24</v>
      </c>
      <c r="F1839" s="1" t="n">
        <v>30</v>
      </c>
      <c r="G1839" s="1" t="n">
        <v>57</v>
      </c>
      <c r="H1839" s="1" t="n">
        <v>59</v>
      </c>
      <c r="I1839" s="1" t="str">
        <f aca="false">RIGHT(("0"&amp;C1839),2)&amp;RIGHT(("0"&amp;D1839),2)&amp;RIGHT(("0"&amp;E1839),2)&amp;RIGHT(("0"&amp;F1839),2)&amp;RIGHT(("0"&amp;G1839),2)&amp;RIGHT(("0"&amp;H1839),2)</f>
        <v>050824305759</v>
      </c>
      <c r="J1839" s="1" t="n">
        <f aca="false">COUNTIF(I:I,I1839)</f>
        <v>1</v>
      </c>
      <c r="K1839" s="1" t="n">
        <v>1</v>
      </c>
      <c r="L1839" s="1" t="s">
        <v>6843</v>
      </c>
      <c r="M1839" s="1" t="s">
        <v>9992</v>
      </c>
      <c r="N1839" s="1" t="n">
        <v>115</v>
      </c>
      <c r="O1839" s="1" t="s">
        <v>9993</v>
      </c>
      <c r="P1839" s="1" t="n">
        <v>5293</v>
      </c>
      <c r="Q1839" s="1" t="s">
        <v>9994</v>
      </c>
      <c r="R1839" s="1" t="s">
        <v>23</v>
      </c>
      <c r="S1839" s="1" t="s">
        <v>9995</v>
      </c>
      <c r="T1839" s="1" t="s">
        <v>4256</v>
      </c>
      <c r="U1839" s="1" t="s">
        <v>9996</v>
      </c>
    </row>
    <row r="1840" customFormat="false" ht="13.8" hidden="false" customHeight="false" outlineLevel="0" collapsed="false">
      <c r="A1840" s="1" t="n">
        <v>1839</v>
      </c>
      <c r="B1840" s="2" t="s">
        <v>9997</v>
      </c>
      <c r="C1840" s="1" t="n">
        <v>7</v>
      </c>
      <c r="D1840" s="1" t="n">
        <v>22</v>
      </c>
      <c r="E1840" s="1" t="n">
        <v>28</v>
      </c>
      <c r="F1840" s="1" t="n">
        <v>32</v>
      </c>
      <c r="G1840" s="1" t="n">
        <v>56</v>
      </c>
      <c r="H1840" s="1" t="n">
        <v>58</v>
      </c>
      <c r="I1840" s="1" t="str">
        <f aca="false">RIGHT(("0"&amp;C1840),2)&amp;RIGHT(("0"&amp;D1840),2)&amp;RIGHT(("0"&amp;E1840),2)&amp;RIGHT(("0"&amp;F1840),2)&amp;RIGHT(("0"&amp;G1840),2)&amp;RIGHT(("0"&amp;H1840),2)</f>
        <v>072228325658</v>
      </c>
      <c r="J1840" s="1" t="n">
        <f aca="false">COUNTIF(I:I,I1840)</f>
        <v>1</v>
      </c>
      <c r="K1840" s="1" t="n">
        <v>0</v>
      </c>
      <c r="M1840" s="1" t="s">
        <v>23</v>
      </c>
      <c r="N1840" s="1" t="n">
        <v>30</v>
      </c>
      <c r="O1840" s="1" t="s">
        <v>9998</v>
      </c>
      <c r="P1840" s="1" t="n">
        <v>2933</v>
      </c>
      <c r="Q1840" s="1" t="s">
        <v>9999</v>
      </c>
      <c r="R1840" s="1" t="s">
        <v>10000</v>
      </c>
      <c r="S1840" s="1" t="s">
        <v>10001</v>
      </c>
      <c r="T1840" s="1" t="s">
        <v>4241</v>
      </c>
      <c r="U1840" s="1" t="s">
        <v>10002</v>
      </c>
    </row>
    <row r="1841" customFormat="false" ht="13.8" hidden="false" customHeight="false" outlineLevel="0" collapsed="false">
      <c r="A1841" s="1" t="n">
        <v>1840</v>
      </c>
      <c r="B1841" s="2" t="s">
        <v>10003</v>
      </c>
      <c r="C1841" s="1" t="n">
        <v>15</v>
      </c>
      <c r="D1841" s="1" t="n">
        <v>17</v>
      </c>
      <c r="E1841" s="1" t="n">
        <v>33</v>
      </c>
      <c r="F1841" s="1" t="n">
        <v>41</v>
      </c>
      <c r="G1841" s="1" t="n">
        <v>47</v>
      </c>
      <c r="H1841" s="1" t="n">
        <v>48</v>
      </c>
      <c r="I1841" s="1" t="str">
        <f aca="false">RIGHT(("0"&amp;C1841),2)&amp;RIGHT(("0"&amp;D1841),2)&amp;RIGHT(("0"&amp;E1841),2)&amp;RIGHT(("0"&amp;F1841),2)&amp;RIGHT(("0"&amp;G1841),2)&amp;RIGHT(("0"&amp;H1841),2)</f>
        <v>151733414748</v>
      </c>
      <c r="J1841" s="1" t="n">
        <f aca="false">COUNTIF(I:I,I1841)</f>
        <v>1</v>
      </c>
      <c r="K1841" s="1" t="n">
        <v>0</v>
      </c>
      <c r="M1841" s="1" t="s">
        <v>23</v>
      </c>
      <c r="N1841" s="1" t="n">
        <v>59</v>
      </c>
      <c r="O1841" s="1" t="s">
        <v>10004</v>
      </c>
      <c r="P1841" s="1" t="n">
        <v>4879</v>
      </c>
      <c r="Q1841" s="1" t="s">
        <v>10005</v>
      </c>
      <c r="R1841" s="1" t="s">
        <v>10006</v>
      </c>
      <c r="S1841" s="1" t="s">
        <v>10007</v>
      </c>
      <c r="T1841" s="1" t="s">
        <v>10008</v>
      </c>
      <c r="U1841" s="1" t="s">
        <v>10009</v>
      </c>
    </row>
    <row r="1842" customFormat="false" ht="13.8" hidden="false" customHeight="false" outlineLevel="0" collapsed="false">
      <c r="A1842" s="1" t="n">
        <v>1841</v>
      </c>
      <c r="B1842" s="2" t="s">
        <v>10010</v>
      </c>
      <c r="C1842" s="1" t="n">
        <v>3</v>
      </c>
      <c r="D1842" s="1" t="n">
        <v>6</v>
      </c>
      <c r="E1842" s="1" t="n">
        <v>13</v>
      </c>
      <c r="F1842" s="1" t="n">
        <v>38</v>
      </c>
      <c r="G1842" s="1" t="n">
        <v>49</v>
      </c>
      <c r="H1842" s="1" t="n">
        <v>51</v>
      </c>
      <c r="I1842" s="1" t="str">
        <f aca="false">RIGHT(("0"&amp;C1842),2)&amp;RIGHT(("0"&amp;D1842),2)&amp;RIGHT(("0"&amp;E1842),2)&amp;RIGHT(("0"&amp;F1842),2)&amp;RIGHT(("0"&amp;G1842),2)&amp;RIGHT(("0"&amp;H1842),2)</f>
        <v>030613384951</v>
      </c>
      <c r="J1842" s="1" t="n">
        <f aca="false">COUNTIF(I:I,I1842)</f>
        <v>1</v>
      </c>
      <c r="K1842" s="1" t="n">
        <v>0</v>
      </c>
      <c r="M1842" s="1" t="s">
        <v>23</v>
      </c>
      <c r="N1842" s="1" t="n">
        <v>81</v>
      </c>
      <c r="O1842" s="1" t="s">
        <v>10011</v>
      </c>
      <c r="P1842" s="1" t="n">
        <v>6170</v>
      </c>
      <c r="Q1842" s="1" t="s">
        <v>10012</v>
      </c>
      <c r="R1842" s="1" t="s">
        <v>10013</v>
      </c>
      <c r="S1842" s="1" t="s">
        <v>10014</v>
      </c>
      <c r="T1842" s="1" t="s">
        <v>5281</v>
      </c>
      <c r="U1842" s="1" t="s">
        <v>10015</v>
      </c>
    </row>
    <row r="1843" customFormat="false" ht="13.8" hidden="false" customHeight="false" outlineLevel="0" collapsed="false">
      <c r="A1843" s="1" t="n">
        <v>1842</v>
      </c>
      <c r="B1843" s="2" t="s">
        <v>10016</v>
      </c>
      <c r="C1843" s="1" t="n">
        <v>16</v>
      </c>
      <c r="D1843" s="1" t="n">
        <v>18</v>
      </c>
      <c r="E1843" s="1" t="n">
        <v>22</v>
      </c>
      <c r="F1843" s="1" t="n">
        <v>24</v>
      </c>
      <c r="G1843" s="1" t="n">
        <v>34</v>
      </c>
      <c r="H1843" s="1" t="n">
        <v>43</v>
      </c>
      <c r="I1843" s="1" t="str">
        <f aca="false">RIGHT(("0"&amp;C1843),2)&amp;RIGHT(("0"&amp;D1843),2)&amp;RIGHT(("0"&amp;E1843),2)&amp;RIGHT(("0"&amp;F1843),2)&amp;RIGHT(("0"&amp;G1843),2)&amp;RIGHT(("0"&amp;H1843),2)</f>
        <v>161822243443</v>
      </c>
      <c r="J1843" s="1" t="n">
        <f aca="false">COUNTIF(I:I,I1843)</f>
        <v>1</v>
      </c>
      <c r="K1843" s="1" t="n">
        <v>1</v>
      </c>
      <c r="L1843" s="1" t="s">
        <v>10017</v>
      </c>
      <c r="M1843" s="1" t="s">
        <v>10018</v>
      </c>
      <c r="N1843" s="1" t="n">
        <v>100</v>
      </c>
      <c r="O1843" s="1" t="s">
        <v>10019</v>
      </c>
      <c r="P1843" s="1" t="n">
        <v>6722</v>
      </c>
      <c r="Q1843" s="1" t="s">
        <v>10020</v>
      </c>
      <c r="R1843" s="1" t="s">
        <v>23</v>
      </c>
      <c r="S1843" s="1" t="s">
        <v>10021</v>
      </c>
      <c r="T1843" s="1" t="s">
        <v>4256</v>
      </c>
      <c r="U1843" s="1" t="s">
        <v>10022</v>
      </c>
    </row>
    <row r="1844" customFormat="false" ht="13.8" hidden="false" customHeight="false" outlineLevel="0" collapsed="false">
      <c r="A1844" s="1" t="n">
        <v>1843</v>
      </c>
      <c r="B1844" s="2" t="s">
        <v>10023</v>
      </c>
      <c r="C1844" s="1" t="n">
        <v>8</v>
      </c>
      <c r="D1844" s="1" t="n">
        <v>26</v>
      </c>
      <c r="E1844" s="1" t="n">
        <v>28</v>
      </c>
      <c r="F1844" s="1" t="n">
        <v>33</v>
      </c>
      <c r="G1844" s="1" t="n">
        <v>41</v>
      </c>
      <c r="H1844" s="1" t="n">
        <v>54</v>
      </c>
      <c r="I1844" s="1" t="str">
        <f aca="false">RIGHT(("0"&amp;C1844),2)&amp;RIGHT(("0"&amp;D1844),2)&amp;RIGHT(("0"&amp;E1844),2)&amp;RIGHT(("0"&amp;F1844),2)&amp;RIGHT(("0"&amp;G1844),2)&amp;RIGHT(("0"&amp;H1844),2)</f>
        <v>082628334154</v>
      </c>
      <c r="J1844" s="1" t="n">
        <f aca="false">COUNTIF(I:I,I1844)</f>
        <v>1</v>
      </c>
      <c r="K1844" s="1" t="n">
        <v>1</v>
      </c>
      <c r="L1844" s="1" t="s">
        <v>10024</v>
      </c>
      <c r="M1844" s="1" t="s">
        <v>10025</v>
      </c>
      <c r="N1844" s="1" t="n">
        <v>51</v>
      </c>
      <c r="O1844" s="1" t="s">
        <v>10026</v>
      </c>
      <c r="P1844" s="1" t="n">
        <v>3046</v>
      </c>
      <c r="Q1844" s="1" t="s">
        <v>10027</v>
      </c>
      <c r="R1844" s="1" t="s">
        <v>23</v>
      </c>
      <c r="S1844" s="1" t="s">
        <v>10028</v>
      </c>
      <c r="T1844" s="1" t="s">
        <v>4256</v>
      </c>
      <c r="U1844" s="1" t="s">
        <v>10029</v>
      </c>
    </row>
    <row r="1845" customFormat="false" ht="13.8" hidden="false" customHeight="false" outlineLevel="0" collapsed="false">
      <c r="A1845" s="1" t="n">
        <v>1844</v>
      </c>
      <c r="B1845" s="2" t="s">
        <v>10030</v>
      </c>
      <c r="C1845" s="1" t="n">
        <v>3</v>
      </c>
      <c r="D1845" s="1" t="n">
        <v>4</v>
      </c>
      <c r="E1845" s="1" t="n">
        <v>37</v>
      </c>
      <c r="F1845" s="1" t="n">
        <v>39</v>
      </c>
      <c r="G1845" s="1" t="n">
        <v>48</v>
      </c>
      <c r="H1845" s="1" t="n">
        <v>50</v>
      </c>
      <c r="I1845" s="1" t="str">
        <f aca="false">RIGHT(("0"&amp;C1845),2)&amp;RIGHT(("0"&amp;D1845),2)&amp;RIGHT(("0"&amp;E1845),2)&amp;RIGHT(("0"&amp;F1845),2)&amp;RIGHT(("0"&amp;G1845),2)&amp;RIGHT(("0"&amp;H1845),2)</f>
        <v>030437394850</v>
      </c>
      <c r="J1845" s="1" t="n">
        <f aca="false">COUNTIF(I:I,I1845)</f>
        <v>1</v>
      </c>
      <c r="K1845" s="1" t="n">
        <v>0</v>
      </c>
      <c r="M1845" s="1" t="s">
        <v>23</v>
      </c>
      <c r="N1845" s="1" t="n">
        <v>21</v>
      </c>
      <c r="O1845" s="1" t="s">
        <v>10031</v>
      </c>
      <c r="P1845" s="1" t="n">
        <v>2121</v>
      </c>
      <c r="Q1845" s="1" t="s">
        <v>10032</v>
      </c>
      <c r="R1845" s="1" t="s">
        <v>10033</v>
      </c>
      <c r="S1845" s="1" t="s">
        <v>10034</v>
      </c>
      <c r="T1845" s="1" t="s">
        <v>4691</v>
      </c>
      <c r="U1845" s="1" t="s">
        <v>10035</v>
      </c>
    </row>
    <row r="1846" customFormat="false" ht="13.8" hidden="false" customHeight="false" outlineLevel="0" collapsed="false">
      <c r="A1846" s="1" t="n">
        <v>1845</v>
      </c>
      <c r="B1846" s="2" t="s">
        <v>10036</v>
      </c>
      <c r="C1846" s="1" t="n">
        <v>3</v>
      </c>
      <c r="D1846" s="1" t="n">
        <v>9</v>
      </c>
      <c r="E1846" s="1" t="n">
        <v>13</v>
      </c>
      <c r="F1846" s="1" t="n">
        <v>29</v>
      </c>
      <c r="G1846" s="1" t="n">
        <v>30</v>
      </c>
      <c r="H1846" s="1" t="n">
        <v>51</v>
      </c>
      <c r="I1846" s="1" t="str">
        <f aca="false">RIGHT(("0"&amp;C1846),2)&amp;RIGHT(("0"&amp;D1846),2)&amp;RIGHT(("0"&amp;E1846),2)&amp;RIGHT(("0"&amp;F1846),2)&amp;RIGHT(("0"&amp;G1846),2)&amp;RIGHT(("0"&amp;H1846),2)</f>
        <v>030913293051</v>
      </c>
      <c r="J1846" s="1" t="n">
        <f aca="false">COUNTIF(I:I,I1846)</f>
        <v>1</v>
      </c>
      <c r="K1846" s="1" t="n">
        <v>0</v>
      </c>
      <c r="M1846" s="1" t="s">
        <v>23</v>
      </c>
      <c r="N1846" s="1" t="n">
        <v>75</v>
      </c>
      <c r="O1846" s="1" t="s">
        <v>10037</v>
      </c>
      <c r="P1846" s="1" t="n">
        <v>4312</v>
      </c>
      <c r="Q1846" s="1" t="s">
        <v>10038</v>
      </c>
      <c r="R1846" s="1" t="s">
        <v>10039</v>
      </c>
      <c r="S1846" s="1" t="s">
        <v>10040</v>
      </c>
      <c r="T1846" s="1" t="s">
        <v>4299</v>
      </c>
      <c r="U1846" s="1" t="s">
        <v>10041</v>
      </c>
    </row>
    <row r="1847" customFormat="false" ht="13.8" hidden="false" customHeight="false" outlineLevel="0" collapsed="false">
      <c r="A1847" s="1" t="n">
        <v>1846</v>
      </c>
      <c r="B1847" s="2" t="s">
        <v>10042</v>
      </c>
      <c r="C1847" s="1" t="n">
        <v>6</v>
      </c>
      <c r="D1847" s="1" t="n">
        <v>24</v>
      </c>
      <c r="E1847" s="1" t="n">
        <v>26</v>
      </c>
      <c r="F1847" s="1" t="n">
        <v>30</v>
      </c>
      <c r="G1847" s="1" t="n">
        <v>34</v>
      </c>
      <c r="H1847" s="1" t="n">
        <v>49</v>
      </c>
      <c r="I1847" s="1" t="str">
        <f aca="false">RIGHT(("0"&amp;C1847),2)&amp;RIGHT(("0"&amp;D1847),2)&amp;RIGHT(("0"&amp;E1847),2)&amp;RIGHT(("0"&amp;F1847),2)&amp;RIGHT(("0"&amp;G1847),2)&amp;RIGHT(("0"&amp;H1847),2)</f>
        <v>062426303449</v>
      </c>
      <c r="J1847" s="1" t="n">
        <f aca="false">COUNTIF(I:I,I1847)</f>
        <v>1</v>
      </c>
      <c r="K1847" s="1" t="n">
        <v>0</v>
      </c>
      <c r="M1847" s="1" t="s">
        <v>23</v>
      </c>
      <c r="N1847" s="1" t="n">
        <v>49</v>
      </c>
      <c r="O1847" s="1" t="s">
        <v>10043</v>
      </c>
      <c r="P1847" s="1" t="n">
        <v>3189</v>
      </c>
      <c r="Q1847" s="1" t="s">
        <v>10044</v>
      </c>
      <c r="R1847" s="1" t="s">
        <v>10045</v>
      </c>
      <c r="S1847" s="1" t="s">
        <v>10046</v>
      </c>
      <c r="T1847" s="1" t="s">
        <v>5281</v>
      </c>
      <c r="U1847" s="1" t="s">
        <v>10047</v>
      </c>
    </row>
    <row r="1848" customFormat="false" ht="13.8" hidden="false" customHeight="false" outlineLevel="0" collapsed="false">
      <c r="A1848" s="1" t="n">
        <v>1847</v>
      </c>
      <c r="B1848" s="2" t="s">
        <v>10048</v>
      </c>
      <c r="C1848" s="1" t="n">
        <v>1</v>
      </c>
      <c r="D1848" s="1" t="n">
        <v>6</v>
      </c>
      <c r="E1848" s="1" t="n">
        <v>45</v>
      </c>
      <c r="F1848" s="1" t="n">
        <v>49</v>
      </c>
      <c r="G1848" s="1" t="n">
        <v>50</v>
      </c>
      <c r="H1848" s="1" t="n">
        <v>57</v>
      </c>
      <c r="I1848" s="1" t="str">
        <f aca="false">RIGHT(("0"&amp;C1848),2)&amp;RIGHT(("0"&amp;D1848),2)&amp;RIGHT(("0"&amp;E1848),2)&amp;RIGHT(("0"&amp;F1848),2)&amp;RIGHT(("0"&amp;G1848),2)&amp;RIGHT(("0"&amp;H1848),2)</f>
        <v>010645495057</v>
      </c>
      <c r="J1848" s="1" t="n">
        <f aca="false">COUNTIF(I:I,I1848)</f>
        <v>1</v>
      </c>
      <c r="K1848" s="1" t="n">
        <v>0</v>
      </c>
      <c r="M1848" s="1" t="s">
        <v>23</v>
      </c>
      <c r="N1848" s="1" t="n">
        <v>44</v>
      </c>
      <c r="O1848" s="1" t="s">
        <v>10049</v>
      </c>
      <c r="P1848" s="1" t="n">
        <v>3678</v>
      </c>
      <c r="Q1848" s="1" t="s">
        <v>10050</v>
      </c>
      <c r="R1848" s="1" t="s">
        <v>10051</v>
      </c>
      <c r="S1848" s="1" t="s">
        <v>10052</v>
      </c>
      <c r="T1848" s="1" t="s">
        <v>4935</v>
      </c>
      <c r="U1848" s="1" t="s">
        <v>10053</v>
      </c>
    </row>
    <row r="1849" customFormat="false" ht="13.8" hidden="false" customHeight="false" outlineLevel="0" collapsed="false">
      <c r="A1849" s="1" t="n">
        <v>1848</v>
      </c>
      <c r="B1849" s="2" t="s">
        <v>10054</v>
      </c>
      <c r="C1849" s="1" t="n">
        <v>9</v>
      </c>
      <c r="D1849" s="1" t="n">
        <v>40</v>
      </c>
      <c r="E1849" s="1" t="n">
        <v>41</v>
      </c>
      <c r="F1849" s="1" t="n">
        <v>50</v>
      </c>
      <c r="G1849" s="1" t="n">
        <v>55</v>
      </c>
      <c r="H1849" s="1" t="n">
        <v>58</v>
      </c>
      <c r="I1849" s="1" t="str">
        <f aca="false">RIGHT(("0"&amp;C1849),2)&amp;RIGHT(("0"&amp;D1849),2)&amp;RIGHT(("0"&amp;E1849),2)&amp;RIGHT(("0"&amp;F1849),2)&amp;RIGHT(("0"&amp;G1849),2)&amp;RIGHT(("0"&amp;H1849),2)</f>
        <v>094041505558</v>
      </c>
      <c r="J1849" s="1" t="n">
        <f aca="false">COUNTIF(I:I,I1849)</f>
        <v>1</v>
      </c>
      <c r="K1849" s="1" t="n">
        <v>0</v>
      </c>
      <c r="M1849" s="1" t="s">
        <v>23</v>
      </c>
      <c r="N1849" s="1" t="n">
        <v>46</v>
      </c>
      <c r="O1849" s="1" t="s">
        <v>10055</v>
      </c>
      <c r="P1849" s="1" t="n">
        <v>3330</v>
      </c>
      <c r="Q1849" s="1" t="s">
        <v>10056</v>
      </c>
      <c r="R1849" s="1" t="s">
        <v>10057</v>
      </c>
      <c r="S1849" s="1" t="s">
        <v>10058</v>
      </c>
      <c r="T1849" s="1" t="s">
        <v>5294</v>
      </c>
      <c r="U1849" s="1" t="s">
        <v>10059</v>
      </c>
    </row>
    <row r="1850" customFormat="false" ht="13.8" hidden="false" customHeight="false" outlineLevel="0" collapsed="false">
      <c r="A1850" s="1" t="n">
        <v>1849</v>
      </c>
      <c r="B1850" s="2" t="s">
        <v>10060</v>
      </c>
      <c r="C1850" s="1" t="n">
        <v>3</v>
      </c>
      <c r="D1850" s="1" t="n">
        <v>5</v>
      </c>
      <c r="E1850" s="1" t="n">
        <v>11</v>
      </c>
      <c r="F1850" s="1" t="n">
        <v>27</v>
      </c>
      <c r="G1850" s="1" t="n">
        <v>35</v>
      </c>
      <c r="H1850" s="1" t="n">
        <v>44</v>
      </c>
      <c r="I1850" s="1" t="str">
        <f aca="false">RIGHT(("0"&amp;C1850),2)&amp;RIGHT(("0"&amp;D1850),2)&amp;RIGHT(("0"&amp;E1850),2)&amp;RIGHT(("0"&amp;F1850),2)&amp;RIGHT(("0"&amp;G1850),2)&amp;RIGHT(("0"&amp;H1850),2)</f>
        <v>030511273544</v>
      </c>
      <c r="J1850" s="1" t="n">
        <f aca="false">COUNTIF(I:I,I1850)</f>
        <v>1</v>
      </c>
      <c r="K1850" s="1" t="n">
        <v>0</v>
      </c>
      <c r="M1850" s="1" t="s">
        <v>23</v>
      </c>
      <c r="N1850" s="1" t="n">
        <v>194</v>
      </c>
      <c r="O1850" s="1" t="s">
        <v>10061</v>
      </c>
      <c r="P1850" s="1" t="n">
        <v>11341</v>
      </c>
      <c r="Q1850" s="1" t="s">
        <v>10062</v>
      </c>
      <c r="R1850" s="1" t="s">
        <v>10063</v>
      </c>
      <c r="S1850" s="1" t="s">
        <v>10064</v>
      </c>
      <c r="T1850" s="1" t="s">
        <v>10065</v>
      </c>
      <c r="U1850" s="1" t="s">
        <v>10066</v>
      </c>
    </row>
    <row r="1851" customFormat="false" ht="13.8" hidden="false" customHeight="false" outlineLevel="0" collapsed="false">
      <c r="A1851" s="1" t="n">
        <v>1850</v>
      </c>
      <c r="B1851" s="2" t="s">
        <v>10067</v>
      </c>
      <c r="C1851" s="1" t="n">
        <v>23</v>
      </c>
      <c r="D1851" s="1" t="n">
        <v>24</v>
      </c>
      <c r="E1851" s="1" t="n">
        <v>32</v>
      </c>
      <c r="F1851" s="1" t="n">
        <v>38</v>
      </c>
      <c r="G1851" s="1" t="n">
        <v>40</v>
      </c>
      <c r="H1851" s="1" t="n">
        <v>41</v>
      </c>
      <c r="I1851" s="1" t="str">
        <f aca="false">RIGHT(("0"&amp;C1851),2)&amp;RIGHT(("0"&amp;D1851),2)&amp;RIGHT(("0"&amp;E1851),2)&amp;RIGHT(("0"&amp;F1851),2)&amp;RIGHT(("0"&amp;G1851),2)&amp;RIGHT(("0"&amp;H1851),2)</f>
        <v>232432384041</v>
      </c>
      <c r="J1851" s="1" t="n">
        <f aca="false">COUNTIF(I:I,I1851)</f>
        <v>1</v>
      </c>
      <c r="K1851" s="1" t="n">
        <v>1</v>
      </c>
      <c r="L1851" s="1" t="s">
        <v>5310</v>
      </c>
      <c r="M1851" s="1" t="s">
        <v>10068</v>
      </c>
      <c r="N1851" s="1" t="n">
        <v>81</v>
      </c>
      <c r="O1851" s="1" t="s">
        <v>10069</v>
      </c>
      <c r="P1851" s="1" t="n">
        <v>5935</v>
      </c>
      <c r="Q1851" s="1" t="s">
        <v>10070</v>
      </c>
      <c r="R1851" s="1" t="s">
        <v>23</v>
      </c>
      <c r="S1851" s="1" t="s">
        <v>10071</v>
      </c>
      <c r="T1851" s="1" t="s">
        <v>4256</v>
      </c>
      <c r="U1851" s="1" t="s">
        <v>10072</v>
      </c>
    </row>
    <row r="1852" customFormat="false" ht="13.8" hidden="false" customHeight="false" outlineLevel="0" collapsed="false">
      <c r="A1852" s="1" t="n">
        <v>1851</v>
      </c>
      <c r="B1852" s="2" t="s">
        <v>10073</v>
      </c>
      <c r="C1852" s="1" t="n">
        <v>8</v>
      </c>
      <c r="D1852" s="1" t="n">
        <v>18</v>
      </c>
      <c r="E1852" s="1" t="n">
        <v>21</v>
      </c>
      <c r="F1852" s="1" t="n">
        <v>22</v>
      </c>
      <c r="G1852" s="1" t="n">
        <v>35</v>
      </c>
      <c r="H1852" s="1" t="n">
        <v>37</v>
      </c>
      <c r="I1852" s="1" t="str">
        <f aca="false">RIGHT(("0"&amp;C1852),2)&amp;RIGHT(("0"&amp;D1852),2)&amp;RIGHT(("0"&amp;E1852),2)&amp;RIGHT(("0"&amp;F1852),2)&amp;RIGHT(("0"&amp;G1852),2)&amp;RIGHT(("0"&amp;H1852),2)</f>
        <v>081821223537</v>
      </c>
      <c r="J1852" s="1" t="n">
        <f aca="false">COUNTIF(I:I,I1852)</f>
        <v>1</v>
      </c>
      <c r="K1852" s="1" t="n">
        <v>0</v>
      </c>
      <c r="M1852" s="1" t="s">
        <v>23</v>
      </c>
      <c r="N1852" s="1" t="n">
        <v>40</v>
      </c>
      <c r="O1852" s="1" t="s">
        <v>10074</v>
      </c>
      <c r="P1852" s="1" t="n">
        <v>3146</v>
      </c>
      <c r="Q1852" s="1" t="s">
        <v>10075</v>
      </c>
      <c r="R1852" s="1" t="s">
        <v>10076</v>
      </c>
      <c r="S1852" s="1" t="s">
        <v>10077</v>
      </c>
      <c r="T1852" s="1" t="s">
        <v>10078</v>
      </c>
      <c r="U1852" s="1" t="s">
        <v>10079</v>
      </c>
    </row>
    <row r="1853" customFormat="false" ht="13.8" hidden="false" customHeight="false" outlineLevel="0" collapsed="false">
      <c r="A1853" s="1" t="n">
        <v>1852</v>
      </c>
      <c r="B1853" s="2" t="s">
        <v>10080</v>
      </c>
      <c r="C1853" s="1" t="n">
        <v>13</v>
      </c>
      <c r="D1853" s="1" t="n">
        <v>17</v>
      </c>
      <c r="E1853" s="1" t="n">
        <v>29</v>
      </c>
      <c r="F1853" s="1" t="n">
        <v>45</v>
      </c>
      <c r="G1853" s="1" t="n">
        <v>49</v>
      </c>
      <c r="H1853" s="1" t="n">
        <v>50</v>
      </c>
      <c r="I1853" s="1" t="str">
        <f aca="false">RIGHT(("0"&amp;C1853),2)&amp;RIGHT(("0"&amp;D1853),2)&amp;RIGHT(("0"&amp;E1853),2)&amp;RIGHT(("0"&amp;F1853),2)&amp;RIGHT(("0"&amp;G1853),2)&amp;RIGHT(("0"&amp;H1853),2)</f>
        <v>131729454950</v>
      </c>
      <c r="J1853" s="1" t="n">
        <f aca="false">COUNTIF(I:I,I1853)</f>
        <v>1</v>
      </c>
      <c r="K1853" s="1" t="n">
        <v>0</v>
      </c>
      <c r="M1853" s="1" t="s">
        <v>23</v>
      </c>
      <c r="N1853" s="1" t="n">
        <v>83</v>
      </c>
      <c r="O1853" s="1" t="s">
        <v>10081</v>
      </c>
      <c r="P1853" s="1" t="n">
        <v>4187</v>
      </c>
      <c r="Q1853" s="1" t="s">
        <v>10082</v>
      </c>
      <c r="R1853" s="1" t="s">
        <v>10083</v>
      </c>
      <c r="S1853" s="1" t="s">
        <v>10084</v>
      </c>
      <c r="T1853" s="1" t="s">
        <v>4195</v>
      </c>
      <c r="U1853" s="1" t="s">
        <v>10085</v>
      </c>
    </row>
    <row r="1854" customFormat="false" ht="13.8" hidden="false" customHeight="false" outlineLevel="0" collapsed="false">
      <c r="A1854" s="1" t="n">
        <v>1853</v>
      </c>
      <c r="B1854" s="2" t="s">
        <v>10086</v>
      </c>
      <c r="C1854" s="1" t="n">
        <v>1</v>
      </c>
      <c r="D1854" s="1" t="n">
        <v>2</v>
      </c>
      <c r="E1854" s="1" t="n">
        <v>34</v>
      </c>
      <c r="F1854" s="1" t="n">
        <v>39</v>
      </c>
      <c r="G1854" s="1" t="n">
        <v>41</v>
      </c>
      <c r="H1854" s="1" t="n">
        <v>45</v>
      </c>
      <c r="I1854" s="1" t="str">
        <f aca="false">RIGHT(("0"&amp;C1854),2)&amp;RIGHT(("0"&amp;D1854),2)&amp;RIGHT(("0"&amp;E1854),2)&amp;RIGHT(("0"&amp;F1854),2)&amp;RIGHT(("0"&amp;G1854),2)&amp;RIGHT(("0"&amp;H1854),2)</f>
        <v>010234394145</v>
      </c>
      <c r="J1854" s="1" t="n">
        <f aca="false">COUNTIF(I:I,I1854)</f>
        <v>1</v>
      </c>
      <c r="K1854" s="1" t="n">
        <v>1</v>
      </c>
      <c r="L1854" s="1" t="s">
        <v>5633</v>
      </c>
      <c r="M1854" s="1" t="s">
        <v>10087</v>
      </c>
      <c r="N1854" s="1" t="n">
        <v>28</v>
      </c>
      <c r="O1854" s="1" t="s">
        <v>10088</v>
      </c>
      <c r="P1854" s="1" t="n">
        <v>2780</v>
      </c>
      <c r="Q1854" s="1" t="s">
        <v>10089</v>
      </c>
      <c r="R1854" s="1" t="s">
        <v>23</v>
      </c>
      <c r="S1854" s="1" t="s">
        <v>10090</v>
      </c>
      <c r="T1854" s="1" t="s">
        <v>473</v>
      </c>
      <c r="U1854" s="1" t="s">
        <v>10091</v>
      </c>
    </row>
    <row r="1855" customFormat="false" ht="13.8" hidden="false" customHeight="false" outlineLevel="0" collapsed="false">
      <c r="A1855" s="1" t="n">
        <v>1854</v>
      </c>
      <c r="B1855" s="2" t="s">
        <v>10092</v>
      </c>
      <c r="C1855" s="1" t="n">
        <v>25</v>
      </c>
      <c r="D1855" s="1" t="n">
        <v>30</v>
      </c>
      <c r="E1855" s="1" t="n">
        <v>31</v>
      </c>
      <c r="F1855" s="1" t="n">
        <v>34</v>
      </c>
      <c r="G1855" s="1" t="n">
        <v>43</v>
      </c>
      <c r="H1855" s="1" t="n">
        <v>59</v>
      </c>
      <c r="I1855" s="1" t="str">
        <f aca="false">RIGHT(("0"&amp;C1855),2)&amp;RIGHT(("0"&amp;D1855),2)&amp;RIGHT(("0"&amp;E1855),2)&amp;RIGHT(("0"&amp;F1855),2)&amp;RIGHT(("0"&amp;G1855),2)&amp;RIGHT(("0"&amp;H1855),2)</f>
        <v>253031344359</v>
      </c>
      <c r="J1855" s="1" t="n">
        <f aca="false">COUNTIF(I:I,I1855)</f>
        <v>1</v>
      </c>
      <c r="K1855" s="1" t="n">
        <v>0</v>
      </c>
      <c r="M1855" s="1" t="s">
        <v>23</v>
      </c>
      <c r="N1855" s="1" t="n">
        <v>18</v>
      </c>
      <c r="O1855" s="1" t="s">
        <v>10093</v>
      </c>
      <c r="P1855" s="1" t="n">
        <v>1548</v>
      </c>
      <c r="Q1855" s="1" t="s">
        <v>10094</v>
      </c>
      <c r="R1855" s="1" t="s">
        <v>10095</v>
      </c>
      <c r="S1855" s="1" t="s">
        <v>10096</v>
      </c>
      <c r="T1855" s="1" t="s">
        <v>4208</v>
      </c>
      <c r="U1855" s="1" t="s">
        <v>10097</v>
      </c>
    </row>
    <row r="1856" customFormat="false" ht="13.8" hidden="false" customHeight="false" outlineLevel="0" collapsed="false">
      <c r="A1856" s="1" t="n">
        <v>1855</v>
      </c>
      <c r="B1856" s="2" t="s">
        <v>10098</v>
      </c>
      <c r="C1856" s="1" t="n">
        <v>6</v>
      </c>
      <c r="D1856" s="1" t="n">
        <v>10</v>
      </c>
      <c r="E1856" s="1" t="n">
        <v>15</v>
      </c>
      <c r="F1856" s="1" t="n">
        <v>24</v>
      </c>
      <c r="G1856" s="1" t="n">
        <v>38</v>
      </c>
      <c r="H1856" s="1" t="n">
        <v>39</v>
      </c>
      <c r="I1856" s="1" t="str">
        <f aca="false">RIGHT(("0"&amp;C1856),2)&amp;RIGHT(("0"&amp;D1856),2)&amp;RIGHT(("0"&amp;E1856),2)&amp;RIGHT(("0"&amp;F1856),2)&amp;RIGHT(("0"&amp;G1856),2)&amp;RIGHT(("0"&amp;H1856),2)</f>
        <v>061015243839</v>
      </c>
      <c r="J1856" s="1" t="n">
        <f aca="false">COUNTIF(I:I,I1856)</f>
        <v>1</v>
      </c>
      <c r="K1856" s="1" t="n">
        <v>0</v>
      </c>
      <c r="M1856" s="1" t="s">
        <v>23</v>
      </c>
      <c r="N1856" s="1" t="n">
        <v>55</v>
      </c>
      <c r="O1856" s="1" t="s">
        <v>10099</v>
      </c>
      <c r="P1856" s="1" t="n">
        <v>4074</v>
      </c>
      <c r="Q1856" s="1" t="s">
        <v>10100</v>
      </c>
      <c r="R1856" s="1" t="s">
        <v>10101</v>
      </c>
      <c r="S1856" s="1" t="s">
        <v>10102</v>
      </c>
      <c r="T1856" s="1" t="s">
        <v>4246</v>
      </c>
      <c r="U1856" s="1" t="s">
        <v>10103</v>
      </c>
    </row>
    <row r="1857" customFormat="false" ht="13.8" hidden="false" customHeight="false" outlineLevel="0" collapsed="false">
      <c r="A1857" s="1" t="n">
        <v>1856</v>
      </c>
      <c r="B1857" s="2" t="s">
        <v>10104</v>
      </c>
      <c r="C1857" s="1" t="n">
        <v>2</v>
      </c>
      <c r="D1857" s="1" t="n">
        <v>9</v>
      </c>
      <c r="E1857" s="1" t="n">
        <v>14</v>
      </c>
      <c r="F1857" s="1" t="n">
        <v>22</v>
      </c>
      <c r="G1857" s="1" t="n">
        <v>32</v>
      </c>
      <c r="H1857" s="1" t="n">
        <v>37</v>
      </c>
      <c r="I1857" s="1" t="str">
        <f aca="false">RIGHT(("0"&amp;C1857),2)&amp;RIGHT(("0"&amp;D1857),2)&amp;RIGHT(("0"&amp;E1857),2)&amp;RIGHT(("0"&amp;F1857),2)&amp;RIGHT(("0"&amp;G1857),2)&amp;RIGHT(("0"&amp;H1857),2)</f>
        <v>020914223237</v>
      </c>
      <c r="J1857" s="1" t="n">
        <f aca="false">COUNTIF(I:I,I1857)</f>
        <v>1</v>
      </c>
      <c r="K1857" s="1" t="n">
        <v>0</v>
      </c>
      <c r="M1857" s="1" t="s">
        <v>23</v>
      </c>
      <c r="N1857" s="1" t="n">
        <v>122</v>
      </c>
      <c r="O1857" s="1" t="s">
        <v>10105</v>
      </c>
      <c r="P1857" s="1" t="n">
        <v>7199</v>
      </c>
      <c r="Q1857" s="1" t="s">
        <v>10106</v>
      </c>
      <c r="R1857" s="1" t="s">
        <v>10107</v>
      </c>
      <c r="S1857" s="1" t="s">
        <v>10108</v>
      </c>
      <c r="T1857" s="1" t="s">
        <v>5242</v>
      </c>
      <c r="U1857" s="1" t="s">
        <v>10109</v>
      </c>
    </row>
    <row r="1858" customFormat="false" ht="13.8" hidden="false" customHeight="false" outlineLevel="0" collapsed="false">
      <c r="A1858" s="1" t="n">
        <v>1857</v>
      </c>
      <c r="B1858" s="2" t="s">
        <v>10110</v>
      </c>
      <c r="C1858" s="1" t="n">
        <v>13</v>
      </c>
      <c r="D1858" s="1" t="n">
        <v>23</v>
      </c>
      <c r="E1858" s="1" t="n">
        <v>25</v>
      </c>
      <c r="F1858" s="1" t="n">
        <v>35</v>
      </c>
      <c r="G1858" s="1" t="n">
        <v>52</v>
      </c>
      <c r="H1858" s="1" t="n">
        <v>53</v>
      </c>
      <c r="I1858" s="1" t="str">
        <f aca="false">RIGHT(("0"&amp;C1858),2)&amp;RIGHT(("0"&amp;D1858),2)&amp;RIGHT(("0"&amp;E1858),2)&amp;RIGHT(("0"&amp;F1858),2)&amp;RIGHT(("0"&amp;G1858),2)&amp;RIGHT(("0"&amp;H1858),2)</f>
        <v>132325355253</v>
      </c>
      <c r="J1858" s="1" t="n">
        <f aca="false">COUNTIF(I:I,I1858)</f>
        <v>1</v>
      </c>
      <c r="K1858" s="1" t="n">
        <v>0</v>
      </c>
      <c r="M1858" s="1" t="s">
        <v>23</v>
      </c>
      <c r="N1858" s="1" t="n">
        <v>198</v>
      </c>
      <c r="O1858" s="1" t="s">
        <v>10111</v>
      </c>
      <c r="P1858" s="1" t="n">
        <v>5600</v>
      </c>
      <c r="Q1858" s="1" t="s">
        <v>10112</v>
      </c>
      <c r="R1858" s="1" t="s">
        <v>10113</v>
      </c>
      <c r="S1858" s="1" t="s">
        <v>10114</v>
      </c>
      <c r="T1858" s="1" t="s">
        <v>4935</v>
      </c>
      <c r="U1858" s="1" t="s">
        <v>10115</v>
      </c>
    </row>
    <row r="1859" customFormat="false" ht="13.8" hidden="false" customHeight="false" outlineLevel="0" collapsed="false">
      <c r="A1859" s="1" t="n">
        <v>1858</v>
      </c>
      <c r="B1859" s="2" t="s">
        <v>10116</v>
      </c>
      <c r="C1859" s="1" t="n">
        <v>22</v>
      </c>
      <c r="D1859" s="1" t="n">
        <v>28</v>
      </c>
      <c r="E1859" s="1" t="n">
        <v>30</v>
      </c>
      <c r="F1859" s="1" t="n">
        <v>33</v>
      </c>
      <c r="G1859" s="1" t="n">
        <v>55</v>
      </c>
      <c r="H1859" s="1" t="n">
        <v>59</v>
      </c>
      <c r="I1859" s="1" t="str">
        <f aca="false">RIGHT(("0"&amp;C1859),2)&amp;RIGHT(("0"&amp;D1859),2)&amp;RIGHT(("0"&amp;E1859),2)&amp;RIGHT(("0"&amp;F1859),2)&amp;RIGHT(("0"&amp;G1859),2)&amp;RIGHT(("0"&amp;H1859),2)</f>
        <v>222830335559</v>
      </c>
      <c r="J1859" s="1" t="n">
        <f aca="false">COUNTIF(I:I,I1859)</f>
        <v>1</v>
      </c>
      <c r="K1859" s="1" t="n">
        <v>0</v>
      </c>
      <c r="M1859" s="1" t="s">
        <v>23</v>
      </c>
      <c r="N1859" s="1" t="n">
        <v>53</v>
      </c>
      <c r="O1859" s="1" t="s">
        <v>10117</v>
      </c>
      <c r="P1859" s="1" t="n">
        <v>3799</v>
      </c>
      <c r="Q1859" s="1" t="s">
        <v>10118</v>
      </c>
      <c r="R1859" s="1" t="s">
        <v>10119</v>
      </c>
      <c r="S1859" s="1" t="s">
        <v>10120</v>
      </c>
      <c r="T1859" s="1" t="s">
        <v>5154</v>
      </c>
      <c r="U1859" s="1" t="s">
        <v>10121</v>
      </c>
    </row>
    <row r="1860" customFormat="false" ht="13.8" hidden="false" customHeight="false" outlineLevel="0" collapsed="false">
      <c r="A1860" s="1" t="n">
        <v>1859</v>
      </c>
      <c r="B1860" s="2" t="s">
        <v>10122</v>
      </c>
      <c r="C1860" s="1" t="n">
        <v>1</v>
      </c>
      <c r="D1860" s="1" t="n">
        <v>13</v>
      </c>
      <c r="E1860" s="1" t="n">
        <v>14</v>
      </c>
      <c r="F1860" s="1" t="n">
        <v>21</v>
      </c>
      <c r="G1860" s="1" t="n">
        <v>26</v>
      </c>
      <c r="H1860" s="1" t="n">
        <v>51</v>
      </c>
      <c r="I1860" s="1" t="str">
        <f aca="false">RIGHT(("0"&amp;C1860),2)&amp;RIGHT(("0"&amp;D1860),2)&amp;RIGHT(("0"&amp;E1860),2)&amp;RIGHT(("0"&amp;F1860),2)&amp;RIGHT(("0"&amp;G1860),2)&amp;RIGHT(("0"&amp;H1860),2)</f>
        <v>011314212651</v>
      </c>
      <c r="J1860" s="1" t="n">
        <f aca="false">COUNTIF(I:I,I1860)</f>
        <v>1</v>
      </c>
      <c r="K1860" s="1" t="n">
        <v>0</v>
      </c>
      <c r="M1860" s="1" t="s">
        <v>23</v>
      </c>
      <c r="N1860" s="1" t="n">
        <v>88</v>
      </c>
      <c r="O1860" s="1" t="s">
        <v>10123</v>
      </c>
      <c r="P1860" s="1" t="n">
        <v>6049</v>
      </c>
      <c r="Q1860" s="1" t="s">
        <v>10124</v>
      </c>
      <c r="R1860" s="1" t="s">
        <v>10125</v>
      </c>
      <c r="S1860" s="1" t="s">
        <v>10126</v>
      </c>
      <c r="T1860" s="1" t="s">
        <v>10127</v>
      </c>
      <c r="U1860" s="1" t="s">
        <v>10128</v>
      </c>
    </row>
    <row r="1861" customFormat="false" ht="13.8" hidden="false" customHeight="false" outlineLevel="0" collapsed="false">
      <c r="A1861" s="1" t="n">
        <v>1860</v>
      </c>
      <c r="B1861" s="2" t="s">
        <v>10129</v>
      </c>
      <c r="C1861" s="1" t="n">
        <v>10</v>
      </c>
      <c r="D1861" s="1" t="n">
        <v>30</v>
      </c>
      <c r="E1861" s="1" t="n">
        <v>36</v>
      </c>
      <c r="F1861" s="1" t="n">
        <v>40</v>
      </c>
      <c r="G1861" s="1" t="n">
        <v>44</v>
      </c>
      <c r="H1861" s="1" t="n">
        <v>60</v>
      </c>
      <c r="I1861" s="1" t="str">
        <f aca="false">RIGHT(("0"&amp;C1861),2)&amp;RIGHT(("0"&amp;D1861),2)&amp;RIGHT(("0"&amp;E1861),2)&amp;RIGHT(("0"&amp;F1861),2)&amp;RIGHT(("0"&amp;G1861),2)&amp;RIGHT(("0"&amp;H1861),2)</f>
        <v>103036404460</v>
      </c>
      <c r="J1861" s="1" t="n">
        <f aca="false">COUNTIF(I:I,I1861)</f>
        <v>1</v>
      </c>
      <c r="K1861" s="1" t="n">
        <v>1</v>
      </c>
      <c r="L1861" s="1" t="s">
        <v>6912</v>
      </c>
      <c r="M1861" s="1" t="s">
        <v>10130</v>
      </c>
      <c r="N1861" s="1" t="n">
        <v>109</v>
      </c>
      <c r="O1861" s="1" t="s">
        <v>10131</v>
      </c>
      <c r="P1861" s="1" t="n">
        <v>11392</v>
      </c>
      <c r="Q1861" s="1" t="s">
        <v>10132</v>
      </c>
      <c r="R1861" s="1" t="s">
        <v>23</v>
      </c>
      <c r="S1861" s="1" t="s">
        <v>10133</v>
      </c>
      <c r="T1861" s="1" t="s">
        <v>4256</v>
      </c>
      <c r="U1861" s="1" t="s">
        <v>10134</v>
      </c>
    </row>
    <row r="1862" customFormat="false" ht="13.8" hidden="false" customHeight="false" outlineLevel="0" collapsed="false">
      <c r="A1862" s="1" t="n">
        <v>1861</v>
      </c>
      <c r="B1862" s="2" t="s">
        <v>10135</v>
      </c>
      <c r="C1862" s="1" t="n">
        <v>2</v>
      </c>
      <c r="D1862" s="1" t="n">
        <v>4</v>
      </c>
      <c r="E1862" s="1" t="n">
        <v>9</v>
      </c>
      <c r="F1862" s="1" t="n">
        <v>35</v>
      </c>
      <c r="G1862" s="1" t="n">
        <v>45</v>
      </c>
      <c r="H1862" s="1" t="n">
        <v>60</v>
      </c>
      <c r="I1862" s="1" t="str">
        <f aca="false">RIGHT(("0"&amp;C1862),2)&amp;RIGHT(("0"&amp;D1862),2)&amp;RIGHT(("0"&amp;E1862),2)&amp;RIGHT(("0"&amp;F1862),2)&amp;RIGHT(("0"&amp;G1862),2)&amp;RIGHT(("0"&amp;H1862),2)</f>
        <v>020409354560</v>
      </c>
      <c r="J1862" s="1" t="n">
        <f aca="false">COUNTIF(I:I,I1862)</f>
        <v>1</v>
      </c>
      <c r="K1862" s="1" t="n">
        <v>0</v>
      </c>
      <c r="M1862" s="1" t="s">
        <v>23</v>
      </c>
      <c r="N1862" s="1" t="n">
        <v>41</v>
      </c>
      <c r="O1862" s="1" t="s">
        <v>10136</v>
      </c>
      <c r="P1862" s="1" t="n">
        <v>3181</v>
      </c>
      <c r="Q1862" s="1" t="s">
        <v>10137</v>
      </c>
      <c r="R1862" s="1" t="s">
        <v>10138</v>
      </c>
      <c r="S1862" s="1" t="s">
        <v>10139</v>
      </c>
      <c r="T1862" s="1" t="s">
        <v>7089</v>
      </c>
      <c r="U1862" s="1" t="s">
        <v>10140</v>
      </c>
    </row>
    <row r="1863" customFormat="false" ht="13.8" hidden="false" customHeight="false" outlineLevel="0" collapsed="false">
      <c r="A1863" s="1" t="n">
        <v>1862</v>
      </c>
      <c r="B1863" s="2" t="s">
        <v>10141</v>
      </c>
      <c r="C1863" s="1" t="n">
        <v>2</v>
      </c>
      <c r="D1863" s="1" t="n">
        <v>8</v>
      </c>
      <c r="E1863" s="1" t="n">
        <v>35</v>
      </c>
      <c r="F1863" s="1" t="n">
        <v>42</v>
      </c>
      <c r="G1863" s="1" t="n">
        <v>49</v>
      </c>
      <c r="H1863" s="1" t="n">
        <v>56</v>
      </c>
      <c r="I1863" s="1" t="str">
        <f aca="false">RIGHT(("0"&amp;C1863),2)&amp;RIGHT(("0"&amp;D1863),2)&amp;RIGHT(("0"&amp;E1863),2)&amp;RIGHT(("0"&amp;F1863),2)&amp;RIGHT(("0"&amp;G1863),2)&amp;RIGHT(("0"&amp;H1863),2)</f>
        <v>020835424956</v>
      </c>
      <c r="J1863" s="1" t="n">
        <f aca="false">COUNTIF(I:I,I1863)</f>
        <v>1</v>
      </c>
      <c r="K1863" s="1" t="n">
        <v>2</v>
      </c>
      <c r="L1863" s="1" t="s">
        <v>6139</v>
      </c>
      <c r="M1863" s="1" t="s">
        <v>10142</v>
      </c>
      <c r="N1863" s="1" t="n">
        <v>99</v>
      </c>
      <c r="O1863" s="1" t="s">
        <v>10143</v>
      </c>
      <c r="P1863" s="1" t="n">
        <v>4549</v>
      </c>
      <c r="Q1863" s="1" t="s">
        <v>10144</v>
      </c>
      <c r="R1863" s="1" t="s">
        <v>23</v>
      </c>
      <c r="S1863" s="1" t="s">
        <v>10145</v>
      </c>
      <c r="T1863" s="1" t="s">
        <v>473</v>
      </c>
      <c r="U1863" s="1" t="s">
        <v>10146</v>
      </c>
    </row>
    <row r="1864" customFormat="false" ht="13.8" hidden="false" customHeight="false" outlineLevel="0" collapsed="false">
      <c r="A1864" s="1" t="n">
        <v>1863</v>
      </c>
      <c r="B1864" s="2" t="s">
        <v>10147</v>
      </c>
      <c r="C1864" s="1" t="n">
        <v>16</v>
      </c>
      <c r="D1864" s="1" t="n">
        <v>23</v>
      </c>
      <c r="E1864" s="1" t="n">
        <v>45</v>
      </c>
      <c r="F1864" s="1" t="n">
        <v>56</v>
      </c>
      <c r="G1864" s="1" t="n">
        <v>58</v>
      </c>
      <c r="H1864" s="1" t="n">
        <v>59</v>
      </c>
      <c r="I1864" s="1" t="str">
        <f aca="false">RIGHT(("0"&amp;C1864),2)&amp;RIGHT(("0"&amp;D1864),2)&amp;RIGHT(("0"&amp;E1864),2)&amp;RIGHT(("0"&amp;F1864),2)&amp;RIGHT(("0"&amp;G1864),2)&amp;RIGHT(("0"&amp;H1864),2)</f>
        <v>162345565859</v>
      </c>
      <c r="J1864" s="1" t="n">
        <f aca="false">COUNTIF(I:I,I1864)</f>
        <v>1</v>
      </c>
      <c r="K1864" s="1" t="n">
        <v>0</v>
      </c>
      <c r="M1864" s="1" t="s">
        <v>23</v>
      </c>
      <c r="N1864" s="1" t="n">
        <v>31</v>
      </c>
      <c r="O1864" s="1" t="s">
        <v>10148</v>
      </c>
      <c r="P1864" s="1" t="n">
        <v>2542</v>
      </c>
      <c r="Q1864" s="1" t="s">
        <v>10149</v>
      </c>
      <c r="R1864" s="1" t="s">
        <v>10150</v>
      </c>
      <c r="S1864" s="1" t="s">
        <v>10151</v>
      </c>
      <c r="T1864" s="1" t="s">
        <v>7089</v>
      </c>
      <c r="U1864" s="1" t="s">
        <v>10152</v>
      </c>
    </row>
    <row r="1865" customFormat="false" ht="13.8" hidden="false" customHeight="false" outlineLevel="0" collapsed="false">
      <c r="A1865" s="1" t="n">
        <v>1864</v>
      </c>
      <c r="B1865" s="2" t="s">
        <v>10153</v>
      </c>
      <c r="C1865" s="1" t="n">
        <v>4</v>
      </c>
      <c r="D1865" s="1" t="n">
        <v>5</v>
      </c>
      <c r="E1865" s="1" t="n">
        <v>14</v>
      </c>
      <c r="F1865" s="1" t="n">
        <v>37</v>
      </c>
      <c r="G1865" s="1" t="n">
        <v>40</v>
      </c>
      <c r="H1865" s="1" t="n">
        <v>60</v>
      </c>
      <c r="I1865" s="1" t="str">
        <f aca="false">RIGHT(("0"&amp;C1865),2)&amp;RIGHT(("0"&amp;D1865),2)&amp;RIGHT(("0"&amp;E1865),2)&amp;RIGHT(("0"&amp;F1865),2)&amp;RIGHT(("0"&amp;G1865),2)&amp;RIGHT(("0"&amp;H1865),2)</f>
        <v>040514374060</v>
      </c>
      <c r="J1865" s="1" t="n">
        <f aca="false">COUNTIF(I:I,I1865)</f>
        <v>1</v>
      </c>
      <c r="K1865" s="1" t="n">
        <v>0</v>
      </c>
      <c r="M1865" s="1" t="s">
        <v>23</v>
      </c>
      <c r="N1865" s="1" t="n">
        <v>43</v>
      </c>
      <c r="O1865" s="1" t="s">
        <v>10154</v>
      </c>
      <c r="P1865" s="1" t="n">
        <v>3530</v>
      </c>
      <c r="Q1865" s="1" t="s">
        <v>10155</v>
      </c>
      <c r="R1865" s="1" t="s">
        <v>10156</v>
      </c>
      <c r="S1865" s="1" t="s">
        <v>10157</v>
      </c>
      <c r="T1865" s="1" t="s">
        <v>4246</v>
      </c>
      <c r="U1865" s="1" t="s">
        <v>10158</v>
      </c>
    </row>
    <row r="1866" customFormat="false" ht="13.8" hidden="false" customHeight="false" outlineLevel="0" collapsed="false">
      <c r="A1866" s="1" t="n">
        <v>1865</v>
      </c>
      <c r="B1866" s="2" t="s">
        <v>10159</v>
      </c>
      <c r="C1866" s="1" t="n">
        <v>1</v>
      </c>
      <c r="D1866" s="1" t="n">
        <v>5</v>
      </c>
      <c r="E1866" s="1" t="n">
        <v>31</v>
      </c>
      <c r="F1866" s="1" t="n">
        <v>32</v>
      </c>
      <c r="G1866" s="1" t="n">
        <v>37</v>
      </c>
      <c r="H1866" s="1" t="n">
        <v>42</v>
      </c>
      <c r="I1866" s="1" t="str">
        <f aca="false">RIGHT(("0"&amp;C1866),2)&amp;RIGHT(("0"&amp;D1866),2)&amp;RIGHT(("0"&amp;E1866),2)&amp;RIGHT(("0"&amp;F1866),2)&amp;RIGHT(("0"&amp;G1866),2)&amp;RIGHT(("0"&amp;H1866),2)</f>
        <v>010531323742</v>
      </c>
      <c r="J1866" s="1" t="n">
        <f aca="false">COUNTIF(I:I,I1866)</f>
        <v>1</v>
      </c>
      <c r="K1866" s="1" t="n">
        <v>0</v>
      </c>
      <c r="M1866" s="1" t="s">
        <v>23</v>
      </c>
      <c r="N1866" s="1" t="n">
        <v>38</v>
      </c>
      <c r="O1866" s="1" t="s">
        <v>10160</v>
      </c>
      <c r="P1866" s="1" t="n">
        <v>3936</v>
      </c>
      <c r="Q1866" s="1" t="s">
        <v>10161</v>
      </c>
      <c r="R1866" s="1" t="s">
        <v>10162</v>
      </c>
      <c r="S1866" s="1" t="s">
        <v>10163</v>
      </c>
      <c r="T1866" s="1" t="s">
        <v>5281</v>
      </c>
      <c r="U1866" s="1" t="s">
        <v>10164</v>
      </c>
    </row>
    <row r="1867" customFormat="false" ht="13.8" hidden="false" customHeight="false" outlineLevel="0" collapsed="false">
      <c r="A1867" s="1" t="n">
        <v>1866</v>
      </c>
      <c r="B1867" s="2" t="s">
        <v>10165</v>
      </c>
      <c r="C1867" s="1" t="n">
        <v>14</v>
      </c>
      <c r="D1867" s="1" t="n">
        <v>17</v>
      </c>
      <c r="E1867" s="1" t="n">
        <v>36</v>
      </c>
      <c r="F1867" s="1" t="n">
        <v>38</v>
      </c>
      <c r="G1867" s="1" t="n">
        <v>44</v>
      </c>
      <c r="H1867" s="1" t="n">
        <v>60</v>
      </c>
      <c r="I1867" s="1" t="str">
        <f aca="false">RIGHT(("0"&amp;C1867),2)&amp;RIGHT(("0"&amp;D1867),2)&amp;RIGHT(("0"&amp;E1867),2)&amp;RIGHT(("0"&amp;F1867),2)&amp;RIGHT(("0"&amp;G1867),2)&amp;RIGHT(("0"&amp;H1867),2)</f>
        <v>141736384460</v>
      </c>
      <c r="J1867" s="1" t="n">
        <f aca="false">COUNTIF(I:I,I1867)</f>
        <v>1</v>
      </c>
      <c r="K1867" s="1" t="n">
        <v>0</v>
      </c>
      <c r="M1867" s="1" t="s">
        <v>23</v>
      </c>
      <c r="N1867" s="1" t="n">
        <v>129</v>
      </c>
      <c r="O1867" s="1" t="s">
        <v>10166</v>
      </c>
      <c r="P1867" s="1" t="n">
        <v>6185</v>
      </c>
      <c r="Q1867" s="1" t="s">
        <v>10167</v>
      </c>
      <c r="R1867" s="1" t="s">
        <v>10168</v>
      </c>
      <c r="S1867" s="1" t="s">
        <v>10169</v>
      </c>
      <c r="T1867" s="1" t="s">
        <v>4304</v>
      </c>
      <c r="U1867" s="1" t="s">
        <v>10170</v>
      </c>
    </row>
    <row r="1868" customFormat="false" ht="13.8" hidden="false" customHeight="false" outlineLevel="0" collapsed="false">
      <c r="A1868" s="1" t="n">
        <v>1867</v>
      </c>
      <c r="B1868" s="2" t="s">
        <v>10171</v>
      </c>
      <c r="C1868" s="1" t="n">
        <v>3</v>
      </c>
      <c r="D1868" s="1" t="n">
        <v>10</v>
      </c>
      <c r="E1868" s="1" t="n">
        <v>17</v>
      </c>
      <c r="F1868" s="1" t="n">
        <v>21</v>
      </c>
      <c r="G1868" s="1" t="n">
        <v>22</v>
      </c>
      <c r="H1868" s="1" t="n">
        <v>43</v>
      </c>
      <c r="I1868" s="1" t="str">
        <f aca="false">RIGHT(("0"&amp;C1868),2)&amp;RIGHT(("0"&amp;D1868),2)&amp;RIGHT(("0"&amp;E1868),2)&amp;RIGHT(("0"&amp;F1868),2)&amp;RIGHT(("0"&amp;G1868),2)&amp;RIGHT(("0"&amp;H1868),2)</f>
        <v>031017212243</v>
      </c>
      <c r="J1868" s="1" t="n">
        <f aca="false">COUNTIF(I:I,I1868)</f>
        <v>1</v>
      </c>
      <c r="K1868" s="1" t="n">
        <v>0</v>
      </c>
      <c r="M1868" s="1" t="s">
        <v>23</v>
      </c>
      <c r="N1868" s="1" t="n">
        <v>96</v>
      </c>
      <c r="O1868" s="1" t="s">
        <v>10172</v>
      </c>
      <c r="P1868" s="1" t="n">
        <v>6158</v>
      </c>
      <c r="Q1868" s="1" t="s">
        <v>10173</v>
      </c>
      <c r="R1868" s="1" t="s">
        <v>10174</v>
      </c>
      <c r="S1868" s="1" t="s">
        <v>10175</v>
      </c>
      <c r="T1868" s="1" t="s">
        <v>4968</v>
      </c>
      <c r="U1868" s="1" t="s">
        <v>10176</v>
      </c>
    </row>
    <row r="1869" customFormat="false" ht="13.8" hidden="false" customHeight="false" outlineLevel="0" collapsed="false">
      <c r="A1869" s="1" t="n">
        <v>1868</v>
      </c>
      <c r="B1869" s="2" t="s">
        <v>10177</v>
      </c>
      <c r="C1869" s="1" t="n">
        <v>1</v>
      </c>
      <c r="D1869" s="1" t="n">
        <v>5</v>
      </c>
      <c r="E1869" s="1" t="n">
        <v>23</v>
      </c>
      <c r="F1869" s="1" t="n">
        <v>25</v>
      </c>
      <c r="G1869" s="1" t="n">
        <v>28</v>
      </c>
      <c r="H1869" s="1" t="n">
        <v>31</v>
      </c>
      <c r="I1869" s="1" t="str">
        <f aca="false">RIGHT(("0"&amp;C1869),2)&amp;RIGHT(("0"&amp;D1869),2)&amp;RIGHT(("0"&amp;E1869),2)&amp;RIGHT(("0"&amp;F1869),2)&amp;RIGHT(("0"&amp;G1869),2)&amp;RIGHT(("0"&amp;H1869),2)</f>
        <v>010523252831</v>
      </c>
      <c r="J1869" s="1" t="n">
        <f aca="false">COUNTIF(I:I,I1869)</f>
        <v>1</v>
      </c>
      <c r="K1869" s="1" t="n">
        <v>0</v>
      </c>
      <c r="M1869" s="1" t="s">
        <v>23</v>
      </c>
      <c r="N1869" s="1" t="n">
        <v>181</v>
      </c>
      <c r="O1869" s="1" t="s">
        <v>10178</v>
      </c>
      <c r="P1869" s="1" t="n">
        <v>7846</v>
      </c>
      <c r="Q1869" s="1" t="s">
        <v>10179</v>
      </c>
      <c r="R1869" s="1" t="s">
        <v>10180</v>
      </c>
      <c r="S1869" s="1" t="s">
        <v>10181</v>
      </c>
      <c r="T1869" s="1" t="s">
        <v>7301</v>
      </c>
      <c r="U1869" s="1" t="s">
        <v>10182</v>
      </c>
    </row>
    <row r="1870" customFormat="false" ht="13.8" hidden="false" customHeight="false" outlineLevel="0" collapsed="false">
      <c r="A1870" s="1" t="n">
        <v>1869</v>
      </c>
      <c r="B1870" s="2" t="s">
        <v>10183</v>
      </c>
      <c r="C1870" s="1" t="n">
        <v>11</v>
      </c>
      <c r="D1870" s="1" t="n">
        <v>23</v>
      </c>
      <c r="E1870" s="1" t="n">
        <v>24</v>
      </c>
      <c r="F1870" s="1" t="n">
        <v>26</v>
      </c>
      <c r="G1870" s="1" t="n">
        <v>40</v>
      </c>
      <c r="H1870" s="1" t="n">
        <v>52</v>
      </c>
      <c r="I1870" s="1" t="str">
        <f aca="false">RIGHT(("0"&amp;C1870),2)&amp;RIGHT(("0"&amp;D1870),2)&amp;RIGHT(("0"&amp;E1870),2)&amp;RIGHT(("0"&amp;F1870),2)&amp;RIGHT(("0"&amp;G1870),2)&amp;RIGHT(("0"&amp;H1870),2)</f>
        <v>112324264052</v>
      </c>
      <c r="J1870" s="1" t="n">
        <f aca="false">COUNTIF(I:I,I1870)</f>
        <v>1</v>
      </c>
      <c r="K1870" s="1" t="n">
        <v>0</v>
      </c>
      <c r="M1870" s="1" t="s">
        <v>23</v>
      </c>
      <c r="N1870" s="1" t="n">
        <v>66</v>
      </c>
      <c r="O1870" s="1" t="s">
        <v>10184</v>
      </c>
      <c r="P1870" s="1" t="n">
        <v>4827</v>
      </c>
      <c r="Q1870" s="1" t="s">
        <v>10185</v>
      </c>
      <c r="R1870" s="1" t="s">
        <v>10186</v>
      </c>
      <c r="S1870" s="1" t="s">
        <v>10187</v>
      </c>
      <c r="T1870" s="1" t="s">
        <v>10188</v>
      </c>
      <c r="U1870" s="1" t="s">
        <v>10189</v>
      </c>
    </row>
    <row r="1871" customFormat="false" ht="13.8" hidden="false" customHeight="false" outlineLevel="0" collapsed="false">
      <c r="A1871" s="1" t="n">
        <v>1870</v>
      </c>
      <c r="B1871" s="2" t="s">
        <v>10190</v>
      </c>
      <c r="C1871" s="1" t="n">
        <v>18</v>
      </c>
      <c r="D1871" s="1" t="n">
        <v>20</v>
      </c>
      <c r="E1871" s="1" t="n">
        <v>30</v>
      </c>
      <c r="F1871" s="1" t="n">
        <v>32</v>
      </c>
      <c r="G1871" s="1" t="n">
        <v>33</v>
      </c>
      <c r="H1871" s="1" t="n">
        <v>40</v>
      </c>
      <c r="I1871" s="1" t="str">
        <f aca="false">RIGHT(("0"&amp;C1871),2)&amp;RIGHT(("0"&amp;D1871),2)&amp;RIGHT(("0"&amp;E1871),2)&amp;RIGHT(("0"&amp;F1871),2)&amp;RIGHT(("0"&amp;G1871),2)&amp;RIGHT(("0"&amp;H1871),2)</f>
        <v>182030323340</v>
      </c>
      <c r="J1871" s="1" t="n">
        <f aca="false">COUNTIF(I:I,I1871)</f>
        <v>1</v>
      </c>
      <c r="K1871" s="1" t="n">
        <v>0</v>
      </c>
      <c r="M1871" s="1" t="s">
        <v>23</v>
      </c>
      <c r="N1871" s="1" t="n">
        <v>98</v>
      </c>
      <c r="O1871" s="1" t="s">
        <v>10191</v>
      </c>
      <c r="P1871" s="1" t="n">
        <v>7040</v>
      </c>
      <c r="Q1871" s="1" t="s">
        <v>10192</v>
      </c>
      <c r="R1871" s="1" t="s">
        <v>10193</v>
      </c>
      <c r="S1871" s="1" t="s">
        <v>10194</v>
      </c>
      <c r="T1871" s="1" t="s">
        <v>6097</v>
      </c>
      <c r="U1871" s="1" t="s">
        <v>10195</v>
      </c>
    </row>
    <row r="1872" customFormat="false" ht="13.8" hidden="false" customHeight="false" outlineLevel="0" collapsed="false">
      <c r="A1872" s="1" t="n">
        <v>1871</v>
      </c>
      <c r="B1872" s="2" t="s">
        <v>10196</v>
      </c>
      <c r="C1872" s="1" t="n">
        <v>3</v>
      </c>
      <c r="D1872" s="1" t="n">
        <v>11</v>
      </c>
      <c r="E1872" s="1" t="n">
        <v>17</v>
      </c>
      <c r="F1872" s="1" t="n">
        <v>33</v>
      </c>
      <c r="G1872" s="1" t="n">
        <v>52</v>
      </c>
      <c r="H1872" s="1" t="n">
        <v>58</v>
      </c>
      <c r="I1872" s="1" t="str">
        <f aca="false">RIGHT(("0"&amp;C1872),2)&amp;RIGHT(("0"&amp;D1872),2)&amp;RIGHT(("0"&amp;E1872),2)&amp;RIGHT(("0"&amp;F1872),2)&amp;RIGHT(("0"&amp;G1872),2)&amp;RIGHT(("0"&amp;H1872),2)</f>
        <v>031117335258</v>
      </c>
      <c r="J1872" s="1" t="n">
        <f aca="false">COUNTIF(I:I,I1872)</f>
        <v>1</v>
      </c>
      <c r="K1872" s="1" t="n">
        <v>1</v>
      </c>
      <c r="L1872" s="1" t="s">
        <v>10197</v>
      </c>
      <c r="M1872" s="1" t="s">
        <v>10198</v>
      </c>
      <c r="N1872" s="1" t="n">
        <v>275</v>
      </c>
      <c r="O1872" s="1" t="s">
        <v>10199</v>
      </c>
      <c r="P1872" s="1" t="n">
        <v>15560</v>
      </c>
      <c r="Q1872" s="1" t="s">
        <v>10200</v>
      </c>
      <c r="R1872" s="1" t="s">
        <v>23</v>
      </c>
      <c r="S1872" s="1" t="s">
        <v>10201</v>
      </c>
      <c r="T1872" s="1" t="s">
        <v>4256</v>
      </c>
      <c r="U1872" s="1" t="s">
        <v>10202</v>
      </c>
    </row>
    <row r="1873" customFormat="false" ht="13.8" hidden="false" customHeight="false" outlineLevel="0" collapsed="false">
      <c r="A1873" s="1" t="n">
        <v>1872</v>
      </c>
      <c r="B1873" s="2" t="s">
        <v>10203</v>
      </c>
      <c r="C1873" s="1" t="n">
        <v>11</v>
      </c>
      <c r="D1873" s="1" t="n">
        <v>13</v>
      </c>
      <c r="E1873" s="1" t="n">
        <v>25</v>
      </c>
      <c r="F1873" s="1" t="n">
        <v>39</v>
      </c>
      <c r="G1873" s="1" t="n">
        <v>46</v>
      </c>
      <c r="H1873" s="1" t="n">
        <v>56</v>
      </c>
      <c r="I1873" s="1" t="str">
        <f aca="false">RIGHT(("0"&amp;C1873),2)&amp;RIGHT(("0"&amp;D1873),2)&amp;RIGHT(("0"&amp;E1873),2)&amp;RIGHT(("0"&amp;F1873),2)&amp;RIGHT(("0"&amp;G1873),2)&amp;RIGHT(("0"&amp;H1873),2)</f>
        <v>111325394656</v>
      </c>
      <c r="J1873" s="1" t="n">
        <f aca="false">COUNTIF(I:I,I1873)</f>
        <v>1</v>
      </c>
      <c r="K1873" s="1" t="n">
        <v>0</v>
      </c>
      <c r="M1873" s="1" t="s">
        <v>23</v>
      </c>
      <c r="N1873" s="1" t="n">
        <v>25</v>
      </c>
      <c r="O1873" s="1" t="s">
        <v>10204</v>
      </c>
      <c r="P1873" s="1" t="n">
        <v>2790</v>
      </c>
      <c r="Q1873" s="1" t="s">
        <v>10205</v>
      </c>
      <c r="R1873" s="1" t="s">
        <v>10206</v>
      </c>
      <c r="S1873" s="1" t="s">
        <v>10207</v>
      </c>
      <c r="T1873" s="1" t="s">
        <v>4227</v>
      </c>
      <c r="U1873" s="1" t="s">
        <v>10208</v>
      </c>
    </row>
    <row r="1874" customFormat="false" ht="13.8" hidden="false" customHeight="false" outlineLevel="0" collapsed="false">
      <c r="A1874" s="1" t="n">
        <v>1873</v>
      </c>
      <c r="B1874" s="2" t="s">
        <v>10209</v>
      </c>
      <c r="C1874" s="1" t="n">
        <v>5</v>
      </c>
      <c r="D1874" s="1" t="n">
        <v>25</v>
      </c>
      <c r="E1874" s="1" t="n">
        <v>28</v>
      </c>
      <c r="F1874" s="1" t="n">
        <v>41</v>
      </c>
      <c r="G1874" s="1" t="n">
        <v>53</v>
      </c>
      <c r="H1874" s="1" t="n">
        <v>54</v>
      </c>
      <c r="I1874" s="1" t="str">
        <f aca="false">RIGHT(("0"&amp;C1874),2)&amp;RIGHT(("0"&amp;D1874),2)&amp;RIGHT(("0"&amp;E1874),2)&amp;RIGHT(("0"&amp;F1874),2)&amp;RIGHT(("0"&amp;G1874),2)&amp;RIGHT(("0"&amp;H1874),2)</f>
        <v>052528415354</v>
      </c>
      <c r="J1874" s="1" t="n">
        <f aca="false">COUNTIF(I:I,I1874)</f>
        <v>1</v>
      </c>
      <c r="K1874" s="1" t="n">
        <v>0</v>
      </c>
      <c r="M1874" s="1" t="s">
        <v>23</v>
      </c>
      <c r="N1874" s="1" t="n">
        <v>27</v>
      </c>
      <c r="O1874" s="1" t="s">
        <v>10210</v>
      </c>
      <c r="P1874" s="1" t="n">
        <v>3152</v>
      </c>
      <c r="Q1874" s="1" t="s">
        <v>10211</v>
      </c>
      <c r="R1874" s="1" t="s">
        <v>10212</v>
      </c>
      <c r="S1874" s="1" t="s">
        <v>10213</v>
      </c>
      <c r="T1874" s="1" t="s">
        <v>4190</v>
      </c>
      <c r="U1874" s="1" t="s">
        <v>10214</v>
      </c>
    </row>
    <row r="1875" customFormat="false" ht="13.8" hidden="false" customHeight="false" outlineLevel="0" collapsed="false">
      <c r="A1875" s="1" t="n">
        <v>1874</v>
      </c>
      <c r="B1875" s="2" t="s">
        <v>10215</v>
      </c>
      <c r="C1875" s="1" t="n">
        <v>10</v>
      </c>
      <c r="D1875" s="1" t="n">
        <v>28</v>
      </c>
      <c r="E1875" s="1" t="n">
        <v>37</v>
      </c>
      <c r="F1875" s="1" t="n">
        <v>43</v>
      </c>
      <c r="G1875" s="1" t="n">
        <v>44</v>
      </c>
      <c r="H1875" s="1" t="n">
        <v>47</v>
      </c>
      <c r="I1875" s="1" t="str">
        <f aca="false">RIGHT(("0"&amp;C1875),2)&amp;RIGHT(("0"&amp;D1875),2)&amp;RIGHT(("0"&amp;E1875),2)&amp;RIGHT(("0"&amp;F1875),2)&amp;RIGHT(("0"&amp;G1875),2)&amp;RIGHT(("0"&amp;H1875),2)</f>
        <v>102837434447</v>
      </c>
      <c r="J1875" s="1" t="n">
        <f aca="false">COUNTIF(I:I,I1875)</f>
        <v>1</v>
      </c>
      <c r="K1875" s="1" t="n">
        <v>0</v>
      </c>
      <c r="M1875" s="1" t="s">
        <v>23</v>
      </c>
      <c r="N1875" s="1" t="n">
        <v>16</v>
      </c>
      <c r="O1875" s="1" t="s">
        <v>10216</v>
      </c>
      <c r="P1875" s="1" t="n">
        <v>1933</v>
      </c>
      <c r="Q1875" s="1" t="s">
        <v>10217</v>
      </c>
      <c r="R1875" s="1" t="s">
        <v>10218</v>
      </c>
      <c r="S1875" s="1" t="s">
        <v>10219</v>
      </c>
      <c r="T1875" s="1" t="s">
        <v>5321</v>
      </c>
      <c r="U1875" s="1" t="s">
        <v>10220</v>
      </c>
    </row>
    <row r="1876" customFormat="false" ht="13.8" hidden="false" customHeight="false" outlineLevel="0" collapsed="false">
      <c r="A1876" s="1" t="n">
        <v>1875</v>
      </c>
      <c r="B1876" s="2" t="s">
        <v>10221</v>
      </c>
      <c r="C1876" s="1" t="n">
        <v>1</v>
      </c>
      <c r="D1876" s="1" t="n">
        <v>45</v>
      </c>
      <c r="E1876" s="1" t="n">
        <v>47</v>
      </c>
      <c r="F1876" s="1" t="n">
        <v>52</v>
      </c>
      <c r="G1876" s="1" t="n">
        <v>53</v>
      </c>
      <c r="H1876" s="1" t="n">
        <v>55</v>
      </c>
      <c r="I1876" s="1" t="str">
        <f aca="false">RIGHT(("0"&amp;C1876),2)&amp;RIGHT(("0"&amp;D1876),2)&amp;RIGHT(("0"&amp;E1876),2)&amp;RIGHT(("0"&amp;F1876),2)&amp;RIGHT(("0"&amp;G1876),2)&amp;RIGHT(("0"&amp;H1876),2)</f>
        <v>014547525355</v>
      </c>
      <c r="J1876" s="1" t="n">
        <f aca="false">COUNTIF(I:I,I1876)</f>
        <v>1</v>
      </c>
      <c r="K1876" s="1" t="n">
        <v>1</v>
      </c>
      <c r="L1876" s="1" t="s">
        <v>10222</v>
      </c>
      <c r="M1876" s="1" t="s">
        <v>10223</v>
      </c>
      <c r="N1876" s="1" t="n">
        <v>45</v>
      </c>
      <c r="O1876" s="1" t="s">
        <v>10224</v>
      </c>
      <c r="P1876" s="1" t="n">
        <v>2828</v>
      </c>
      <c r="Q1876" s="1" t="s">
        <v>10225</v>
      </c>
      <c r="R1876" s="1" t="s">
        <v>23</v>
      </c>
      <c r="S1876" s="1" t="s">
        <v>10226</v>
      </c>
      <c r="T1876" s="1" t="s">
        <v>4256</v>
      </c>
      <c r="U1876" s="1" t="s">
        <v>10227</v>
      </c>
    </row>
    <row r="1877" customFormat="false" ht="13.8" hidden="false" customHeight="false" outlineLevel="0" collapsed="false">
      <c r="A1877" s="1" t="n">
        <v>1876</v>
      </c>
      <c r="B1877" s="2" t="s">
        <v>10228</v>
      </c>
      <c r="C1877" s="1" t="n">
        <v>7</v>
      </c>
      <c r="D1877" s="1" t="n">
        <v>18</v>
      </c>
      <c r="E1877" s="1" t="n">
        <v>39</v>
      </c>
      <c r="F1877" s="1" t="n">
        <v>41</v>
      </c>
      <c r="G1877" s="1" t="n">
        <v>44</v>
      </c>
      <c r="H1877" s="1" t="n">
        <v>51</v>
      </c>
      <c r="I1877" s="1" t="str">
        <f aca="false">RIGHT(("0"&amp;C1877),2)&amp;RIGHT(("0"&amp;D1877),2)&amp;RIGHT(("0"&amp;E1877),2)&amp;RIGHT(("0"&amp;F1877),2)&amp;RIGHT(("0"&amp;G1877),2)&amp;RIGHT(("0"&amp;H1877),2)</f>
        <v>071839414451</v>
      </c>
      <c r="J1877" s="1" t="n">
        <f aca="false">COUNTIF(I:I,I1877)</f>
        <v>1</v>
      </c>
      <c r="K1877" s="1" t="n">
        <v>0</v>
      </c>
      <c r="M1877" s="1" t="s">
        <v>23</v>
      </c>
      <c r="N1877" s="1" t="n">
        <v>23</v>
      </c>
      <c r="O1877" s="1" t="s">
        <v>10229</v>
      </c>
      <c r="P1877" s="1" t="n">
        <v>2308</v>
      </c>
      <c r="Q1877" s="1" t="s">
        <v>10230</v>
      </c>
      <c r="R1877" s="1" t="s">
        <v>10231</v>
      </c>
      <c r="S1877" s="1" t="s">
        <v>10232</v>
      </c>
      <c r="T1877" s="1" t="s">
        <v>8268</v>
      </c>
      <c r="U1877" s="1" t="s">
        <v>10233</v>
      </c>
    </row>
    <row r="1878" customFormat="false" ht="13.8" hidden="false" customHeight="false" outlineLevel="0" collapsed="false">
      <c r="A1878" s="1" t="n">
        <v>1877</v>
      </c>
      <c r="B1878" s="2" t="s">
        <v>10234</v>
      </c>
      <c r="C1878" s="1" t="n">
        <v>13</v>
      </c>
      <c r="D1878" s="1" t="n">
        <v>16</v>
      </c>
      <c r="E1878" s="1" t="n">
        <v>23</v>
      </c>
      <c r="F1878" s="1" t="n">
        <v>24</v>
      </c>
      <c r="G1878" s="1" t="n">
        <v>32</v>
      </c>
      <c r="H1878" s="1" t="n">
        <v>35</v>
      </c>
      <c r="I1878" s="1" t="str">
        <f aca="false">RIGHT(("0"&amp;C1878),2)&amp;RIGHT(("0"&amp;D1878),2)&amp;RIGHT(("0"&amp;E1878),2)&amp;RIGHT(("0"&amp;F1878),2)&amp;RIGHT(("0"&amp;G1878),2)&amp;RIGHT(("0"&amp;H1878),2)</f>
        <v>131623243235</v>
      </c>
      <c r="J1878" s="1" t="n">
        <f aca="false">COUNTIF(I:I,I1878)</f>
        <v>1</v>
      </c>
      <c r="K1878" s="1" t="n">
        <v>0</v>
      </c>
      <c r="M1878" s="1" t="s">
        <v>23</v>
      </c>
      <c r="N1878" s="1" t="n">
        <v>90</v>
      </c>
      <c r="O1878" s="1" t="s">
        <v>10235</v>
      </c>
      <c r="P1878" s="1" t="n">
        <v>4306</v>
      </c>
      <c r="Q1878" s="1" t="s">
        <v>10236</v>
      </c>
      <c r="R1878" s="1" t="s">
        <v>10237</v>
      </c>
      <c r="S1878" s="1" t="s">
        <v>10238</v>
      </c>
      <c r="T1878" s="1" t="s">
        <v>10239</v>
      </c>
      <c r="U1878" s="1" t="s">
        <v>10240</v>
      </c>
    </row>
    <row r="1879" customFormat="false" ht="13.8" hidden="false" customHeight="false" outlineLevel="0" collapsed="false">
      <c r="A1879" s="1" t="n">
        <v>1878</v>
      </c>
      <c r="B1879" s="2" t="s">
        <v>10241</v>
      </c>
      <c r="C1879" s="1" t="n">
        <v>12</v>
      </c>
      <c r="D1879" s="1" t="n">
        <v>16</v>
      </c>
      <c r="E1879" s="1" t="n">
        <v>26</v>
      </c>
      <c r="F1879" s="1" t="n">
        <v>40</v>
      </c>
      <c r="G1879" s="1" t="n">
        <v>56</v>
      </c>
      <c r="H1879" s="1" t="n">
        <v>57</v>
      </c>
      <c r="I1879" s="1" t="str">
        <f aca="false">RIGHT(("0"&amp;C1879),2)&amp;RIGHT(("0"&amp;D1879),2)&amp;RIGHT(("0"&amp;E1879),2)&amp;RIGHT(("0"&amp;F1879),2)&amp;RIGHT(("0"&amp;G1879),2)&amp;RIGHT(("0"&amp;H1879),2)</f>
        <v>121626405657</v>
      </c>
      <c r="J1879" s="1" t="n">
        <f aca="false">COUNTIF(I:I,I1879)</f>
        <v>1</v>
      </c>
      <c r="K1879" s="1" t="n">
        <v>0</v>
      </c>
      <c r="M1879" s="1" t="s">
        <v>23</v>
      </c>
      <c r="N1879" s="1" t="n">
        <v>36</v>
      </c>
      <c r="O1879" s="1" t="s">
        <v>10242</v>
      </c>
      <c r="P1879" s="1" t="n">
        <v>2981</v>
      </c>
      <c r="Q1879" s="1" t="s">
        <v>10243</v>
      </c>
      <c r="R1879" s="1" t="s">
        <v>10244</v>
      </c>
      <c r="S1879" s="1" t="s">
        <v>10245</v>
      </c>
      <c r="T1879" s="1" t="s">
        <v>10246</v>
      </c>
      <c r="U1879" s="1" t="s">
        <v>10247</v>
      </c>
    </row>
    <row r="1880" customFormat="false" ht="13.8" hidden="false" customHeight="false" outlineLevel="0" collapsed="false">
      <c r="A1880" s="1" t="n">
        <v>1879</v>
      </c>
      <c r="B1880" s="2" t="s">
        <v>10248</v>
      </c>
      <c r="C1880" s="1" t="n">
        <v>5</v>
      </c>
      <c r="D1880" s="1" t="n">
        <v>10</v>
      </c>
      <c r="E1880" s="1" t="n">
        <v>20</v>
      </c>
      <c r="F1880" s="1" t="n">
        <v>57</v>
      </c>
      <c r="G1880" s="1" t="n">
        <v>58</v>
      </c>
      <c r="H1880" s="1" t="n">
        <v>59</v>
      </c>
      <c r="I1880" s="1" t="str">
        <f aca="false">RIGHT(("0"&amp;C1880),2)&amp;RIGHT(("0"&amp;D1880),2)&amp;RIGHT(("0"&amp;E1880),2)&amp;RIGHT(("0"&amp;F1880),2)&amp;RIGHT(("0"&amp;G1880),2)&amp;RIGHT(("0"&amp;H1880),2)</f>
        <v>051020575859</v>
      </c>
      <c r="J1880" s="1" t="n">
        <f aca="false">COUNTIF(I:I,I1880)</f>
        <v>1</v>
      </c>
      <c r="K1880" s="1" t="n">
        <v>1</v>
      </c>
      <c r="L1880" s="1" t="s">
        <v>5559</v>
      </c>
      <c r="M1880" s="1" t="s">
        <v>10249</v>
      </c>
      <c r="N1880" s="1" t="n">
        <v>103</v>
      </c>
      <c r="O1880" s="1" t="s">
        <v>10250</v>
      </c>
      <c r="P1880" s="1" t="n">
        <v>4610</v>
      </c>
      <c r="Q1880" s="1" t="s">
        <v>10251</v>
      </c>
      <c r="R1880" s="1" t="s">
        <v>23</v>
      </c>
      <c r="S1880" s="1" t="s">
        <v>10252</v>
      </c>
      <c r="T1880" s="1" t="s">
        <v>3602</v>
      </c>
      <c r="U1880" s="1" t="s">
        <v>10253</v>
      </c>
    </row>
    <row r="1881" customFormat="false" ht="13.8" hidden="false" customHeight="false" outlineLevel="0" collapsed="false">
      <c r="A1881" s="1" t="n">
        <v>1880</v>
      </c>
      <c r="B1881" s="2" t="s">
        <v>10254</v>
      </c>
      <c r="C1881" s="1" t="n">
        <v>5</v>
      </c>
      <c r="D1881" s="1" t="n">
        <v>16</v>
      </c>
      <c r="E1881" s="1" t="n">
        <v>19</v>
      </c>
      <c r="F1881" s="1" t="n">
        <v>37</v>
      </c>
      <c r="G1881" s="1" t="n">
        <v>51</v>
      </c>
      <c r="H1881" s="1" t="n">
        <v>56</v>
      </c>
      <c r="I1881" s="1" t="str">
        <f aca="false">RIGHT(("0"&amp;C1881),2)&amp;RIGHT(("0"&amp;D1881),2)&amp;RIGHT(("0"&amp;E1881),2)&amp;RIGHT(("0"&amp;F1881),2)&amp;RIGHT(("0"&amp;G1881),2)&amp;RIGHT(("0"&amp;H1881),2)</f>
        <v>051619375156</v>
      </c>
      <c r="J1881" s="1" t="n">
        <f aca="false">COUNTIF(I:I,I1881)</f>
        <v>1</v>
      </c>
      <c r="K1881" s="1" t="n">
        <v>0</v>
      </c>
      <c r="M1881" s="1" t="s">
        <v>23</v>
      </c>
      <c r="N1881" s="1" t="n">
        <v>65</v>
      </c>
      <c r="O1881" s="1" t="s">
        <v>10255</v>
      </c>
      <c r="P1881" s="1" t="n">
        <v>5045</v>
      </c>
      <c r="Q1881" s="1" t="s">
        <v>10256</v>
      </c>
      <c r="R1881" s="1" t="s">
        <v>10257</v>
      </c>
      <c r="S1881" s="1" t="s">
        <v>10258</v>
      </c>
      <c r="T1881" s="1" t="s">
        <v>4273</v>
      </c>
      <c r="U1881" s="1" t="s">
        <v>10259</v>
      </c>
    </row>
    <row r="1882" customFormat="false" ht="13.8" hidden="false" customHeight="false" outlineLevel="0" collapsed="false">
      <c r="A1882" s="1" t="n">
        <v>1881</v>
      </c>
      <c r="B1882" s="2" t="s">
        <v>10260</v>
      </c>
      <c r="C1882" s="1" t="n">
        <v>3</v>
      </c>
      <c r="D1882" s="1" t="n">
        <v>10</v>
      </c>
      <c r="E1882" s="1" t="n">
        <v>30</v>
      </c>
      <c r="F1882" s="1" t="n">
        <v>44</v>
      </c>
      <c r="G1882" s="1" t="n">
        <v>53</v>
      </c>
      <c r="H1882" s="1" t="n">
        <v>56</v>
      </c>
      <c r="I1882" s="1" t="str">
        <f aca="false">RIGHT(("0"&amp;C1882),2)&amp;RIGHT(("0"&amp;D1882),2)&amp;RIGHT(("0"&amp;E1882),2)&amp;RIGHT(("0"&amp;F1882),2)&amp;RIGHT(("0"&amp;G1882),2)&amp;RIGHT(("0"&amp;H1882),2)</f>
        <v>031030445356</v>
      </c>
      <c r="J1882" s="1" t="n">
        <f aca="false">COUNTIF(I:I,I1882)</f>
        <v>1</v>
      </c>
      <c r="K1882" s="1" t="n">
        <v>1</v>
      </c>
      <c r="L1882" s="1" t="s">
        <v>6843</v>
      </c>
      <c r="M1882" s="1" t="s">
        <v>10261</v>
      </c>
      <c r="N1882" s="1" t="n">
        <v>44</v>
      </c>
      <c r="O1882" s="1" t="s">
        <v>10262</v>
      </c>
      <c r="P1882" s="1" t="n">
        <v>4024</v>
      </c>
      <c r="Q1882" s="1" t="s">
        <v>10263</v>
      </c>
      <c r="R1882" s="1" t="s">
        <v>23</v>
      </c>
      <c r="S1882" s="1" t="s">
        <v>10264</v>
      </c>
      <c r="T1882" s="1" t="s">
        <v>473</v>
      </c>
      <c r="U1882" s="1" t="s">
        <v>10265</v>
      </c>
    </row>
    <row r="1883" customFormat="false" ht="13.8" hidden="false" customHeight="false" outlineLevel="0" collapsed="false">
      <c r="A1883" s="1" t="n">
        <v>1882</v>
      </c>
      <c r="B1883" s="2" t="s">
        <v>10266</v>
      </c>
      <c r="C1883" s="1" t="n">
        <v>9</v>
      </c>
      <c r="D1883" s="1" t="n">
        <v>10</v>
      </c>
      <c r="E1883" s="1" t="n">
        <v>19</v>
      </c>
      <c r="F1883" s="1" t="n">
        <v>35</v>
      </c>
      <c r="G1883" s="1" t="n">
        <v>37</v>
      </c>
      <c r="H1883" s="1" t="n">
        <v>41</v>
      </c>
      <c r="I1883" s="1" t="str">
        <f aca="false">RIGHT(("0"&amp;C1883),2)&amp;RIGHT(("0"&amp;D1883),2)&amp;RIGHT(("0"&amp;E1883),2)&amp;RIGHT(("0"&amp;F1883),2)&amp;RIGHT(("0"&amp;G1883),2)&amp;RIGHT(("0"&amp;H1883),2)</f>
        <v>091019353741</v>
      </c>
      <c r="J1883" s="1" t="n">
        <f aca="false">COUNTIF(I:I,I1883)</f>
        <v>1</v>
      </c>
      <c r="K1883" s="1" t="n">
        <v>0</v>
      </c>
      <c r="M1883" s="1" t="s">
        <v>23</v>
      </c>
      <c r="N1883" s="1" t="n">
        <v>25</v>
      </c>
      <c r="O1883" s="1" t="s">
        <v>10267</v>
      </c>
      <c r="P1883" s="1" t="n">
        <v>3054</v>
      </c>
      <c r="Q1883" s="1" t="s">
        <v>10268</v>
      </c>
      <c r="R1883" s="1" t="s">
        <v>10269</v>
      </c>
      <c r="S1883" s="1" t="s">
        <v>10270</v>
      </c>
      <c r="T1883" s="1" t="s">
        <v>4342</v>
      </c>
      <c r="U1883" s="1" t="s">
        <v>10271</v>
      </c>
    </row>
    <row r="1884" customFormat="false" ht="13.8" hidden="false" customHeight="false" outlineLevel="0" collapsed="false">
      <c r="A1884" s="1" t="n">
        <v>1883</v>
      </c>
      <c r="B1884" s="2" t="s">
        <v>10272</v>
      </c>
      <c r="C1884" s="1" t="n">
        <v>16</v>
      </c>
      <c r="D1884" s="1" t="n">
        <v>27</v>
      </c>
      <c r="E1884" s="1" t="n">
        <v>28</v>
      </c>
      <c r="F1884" s="1" t="n">
        <v>47</v>
      </c>
      <c r="G1884" s="1" t="n">
        <v>59</v>
      </c>
      <c r="H1884" s="1" t="n">
        <v>60</v>
      </c>
      <c r="I1884" s="1" t="str">
        <f aca="false">RIGHT(("0"&amp;C1884),2)&amp;RIGHT(("0"&amp;D1884),2)&amp;RIGHT(("0"&amp;E1884),2)&amp;RIGHT(("0"&amp;F1884),2)&amp;RIGHT(("0"&amp;G1884),2)&amp;RIGHT(("0"&amp;H1884),2)</f>
        <v>162728475960</v>
      </c>
      <c r="J1884" s="1" t="n">
        <f aca="false">COUNTIF(I:I,I1884)</f>
        <v>1</v>
      </c>
      <c r="K1884" s="1" t="n">
        <v>0</v>
      </c>
      <c r="M1884" s="1" t="s">
        <v>23</v>
      </c>
      <c r="N1884" s="1" t="n">
        <v>30</v>
      </c>
      <c r="O1884" s="1" t="s">
        <v>10273</v>
      </c>
      <c r="P1884" s="1" t="n">
        <v>2896</v>
      </c>
      <c r="Q1884" s="1" t="s">
        <v>10274</v>
      </c>
      <c r="R1884" s="1" t="s">
        <v>10275</v>
      </c>
      <c r="S1884" s="1" t="s">
        <v>10276</v>
      </c>
      <c r="T1884" s="1" t="s">
        <v>10277</v>
      </c>
      <c r="U1884" s="1" t="s">
        <v>10278</v>
      </c>
    </row>
    <row r="1885" customFormat="false" ht="13.8" hidden="false" customHeight="false" outlineLevel="0" collapsed="false">
      <c r="A1885" s="1" t="n">
        <v>1884</v>
      </c>
      <c r="B1885" s="2" t="s">
        <v>10279</v>
      </c>
      <c r="C1885" s="1" t="n">
        <v>1</v>
      </c>
      <c r="D1885" s="1" t="n">
        <v>4</v>
      </c>
      <c r="E1885" s="1" t="n">
        <v>23</v>
      </c>
      <c r="F1885" s="1" t="n">
        <v>32</v>
      </c>
      <c r="G1885" s="1" t="n">
        <v>38</v>
      </c>
      <c r="H1885" s="1" t="n">
        <v>59</v>
      </c>
      <c r="I1885" s="1" t="str">
        <f aca="false">RIGHT(("0"&amp;C1885),2)&amp;RIGHT(("0"&amp;D1885),2)&amp;RIGHT(("0"&amp;E1885),2)&amp;RIGHT(("0"&amp;F1885),2)&amp;RIGHT(("0"&amp;G1885),2)&amp;RIGHT(("0"&amp;H1885),2)</f>
        <v>010423323859</v>
      </c>
      <c r="J1885" s="1" t="n">
        <f aca="false">COUNTIF(I:I,I1885)</f>
        <v>1</v>
      </c>
      <c r="K1885" s="1" t="n">
        <v>0</v>
      </c>
      <c r="M1885" s="1" t="s">
        <v>23</v>
      </c>
      <c r="N1885" s="1" t="n">
        <v>47</v>
      </c>
      <c r="O1885" s="1" t="s">
        <v>10280</v>
      </c>
      <c r="P1885" s="1" t="n">
        <v>3839</v>
      </c>
      <c r="Q1885" s="1" t="s">
        <v>10281</v>
      </c>
      <c r="R1885" s="1" t="s">
        <v>10282</v>
      </c>
      <c r="S1885" s="1" t="s">
        <v>10283</v>
      </c>
      <c r="T1885" s="1" t="s">
        <v>4718</v>
      </c>
      <c r="U1885" s="1" t="s">
        <v>10284</v>
      </c>
    </row>
    <row r="1886" customFormat="false" ht="13.8" hidden="false" customHeight="false" outlineLevel="0" collapsed="false">
      <c r="A1886" s="1" t="n">
        <v>1885</v>
      </c>
      <c r="B1886" s="2" t="s">
        <v>10285</v>
      </c>
      <c r="C1886" s="1" t="n">
        <v>7</v>
      </c>
      <c r="D1886" s="1" t="n">
        <v>14</v>
      </c>
      <c r="E1886" s="1" t="n">
        <v>18</v>
      </c>
      <c r="F1886" s="1" t="n">
        <v>23</v>
      </c>
      <c r="G1886" s="1" t="n">
        <v>32</v>
      </c>
      <c r="H1886" s="1" t="n">
        <v>59</v>
      </c>
      <c r="I1886" s="1" t="str">
        <f aca="false">RIGHT(("0"&amp;C1886),2)&amp;RIGHT(("0"&amp;D1886),2)&amp;RIGHT(("0"&amp;E1886),2)&amp;RIGHT(("0"&amp;F1886),2)&amp;RIGHT(("0"&amp;G1886),2)&amp;RIGHT(("0"&amp;H1886),2)</f>
        <v>071418233259</v>
      </c>
      <c r="J1886" s="1" t="n">
        <f aca="false">COUNTIF(I:I,I1886)</f>
        <v>1</v>
      </c>
      <c r="K1886" s="1" t="n">
        <v>0</v>
      </c>
      <c r="M1886" s="1" t="s">
        <v>23</v>
      </c>
      <c r="N1886" s="1" t="n">
        <v>88</v>
      </c>
      <c r="O1886" s="1" t="s">
        <v>10286</v>
      </c>
      <c r="P1886" s="1" t="n">
        <v>6170</v>
      </c>
      <c r="Q1886" s="1" t="s">
        <v>10287</v>
      </c>
      <c r="R1886" s="1" t="s">
        <v>10288</v>
      </c>
      <c r="S1886" s="1" t="s">
        <v>10289</v>
      </c>
      <c r="T1886" s="1" t="s">
        <v>4304</v>
      </c>
      <c r="U1886" s="1" t="s">
        <v>10290</v>
      </c>
    </row>
    <row r="1887" customFormat="false" ht="13.8" hidden="false" customHeight="false" outlineLevel="0" collapsed="false">
      <c r="A1887" s="1" t="n">
        <v>1886</v>
      </c>
      <c r="B1887" s="2" t="s">
        <v>10291</v>
      </c>
      <c r="C1887" s="1" t="n">
        <v>3</v>
      </c>
      <c r="D1887" s="1" t="n">
        <v>7</v>
      </c>
      <c r="E1887" s="1" t="n">
        <v>15</v>
      </c>
      <c r="F1887" s="1" t="n">
        <v>40</v>
      </c>
      <c r="G1887" s="1" t="n">
        <v>45</v>
      </c>
      <c r="H1887" s="1" t="n">
        <v>54</v>
      </c>
      <c r="I1887" s="1" t="str">
        <f aca="false">RIGHT(("0"&amp;C1887),2)&amp;RIGHT(("0"&amp;D1887),2)&amp;RIGHT(("0"&amp;E1887),2)&amp;RIGHT(("0"&amp;F1887),2)&amp;RIGHT(("0"&amp;G1887),2)&amp;RIGHT(("0"&amp;H1887),2)</f>
        <v>030715404554</v>
      </c>
      <c r="J1887" s="1" t="n">
        <f aca="false">COUNTIF(I:I,I1887)</f>
        <v>1</v>
      </c>
      <c r="K1887" s="1" t="n">
        <v>0</v>
      </c>
      <c r="M1887" s="1" t="s">
        <v>23</v>
      </c>
      <c r="N1887" s="1" t="n">
        <v>72</v>
      </c>
      <c r="O1887" s="1" t="s">
        <v>10292</v>
      </c>
      <c r="P1887" s="1" t="n">
        <v>6962</v>
      </c>
      <c r="Q1887" s="1" t="s">
        <v>10293</v>
      </c>
      <c r="R1887" s="1" t="s">
        <v>10294</v>
      </c>
      <c r="S1887" s="1" t="s">
        <v>10295</v>
      </c>
      <c r="T1887" s="1" t="s">
        <v>5154</v>
      </c>
      <c r="U1887" s="1" t="s">
        <v>10296</v>
      </c>
    </row>
    <row r="1888" customFormat="false" ht="13.8" hidden="false" customHeight="false" outlineLevel="0" collapsed="false">
      <c r="A1888" s="1" t="n">
        <v>1887</v>
      </c>
      <c r="B1888" s="2" t="s">
        <v>10297</v>
      </c>
      <c r="C1888" s="1" t="n">
        <v>11</v>
      </c>
      <c r="D1888" s="1" t="n">
        <v>23</v>
      </c>
      <c r="E1888" s="1" t="n">
        <v>34</v>
      </c>
      <c r="F1888" s="1" t="n">
        <v>41</v>
      </c>
      <c r="G1888" s="1" t="n">
        <v>46</v>
      </c>
      <c r="H1888" s="1" t="n">
        <v>56</v>
      </c>
      <c r="I1888" s="1" t="str">
        <f aca="false">RIGHT(("0"&amp;C1888),2)&amp;RIGHT(("0"&amp;D1888),2)&amp;RIGHT(("0"&amp;E1888),2)&amp;RIGHT(("0"&amp;F1888),2)&amp;RIGHT(("0"&amp;G1888),2)&amp;RIGHT(("0"&amp;H1888),2)</f>
        <v>112334414656</v>
      </c>
      <c r="J1888" s="1" t="n">
        <f aca="false">COUNTIF(I:I,I1888)</f>
        <v>1</v>
      </c>
      <c r="K1888" s="1" t="n">
        <v>0</v>
      </c>
      <c r="M1888" s="1" t="s">
        <v>23</v>
      </c>
      <c r="N1888" s="1" t="n">
        <v>54</v>
      </c>
      <c r="O1888" s="1" t="s">
        <v>10298</v>
      </c>
      <c r="P1888" s="1" t="n">
        <v>3496</v>
      </c>
      <c r="Q1888" s="1" t="s">
        <v>10299</v>
      </c>
      <c r="R1888" s="1" t="s">
        <v>10300</v>
      </c>
      <c r="S1888" s="1" t="s">
        <v>10301</v>
      </c>
      <c r="T1888" s="1" t="s">
        <v>4309</v>
      </c>
      <c r="U1888" s="1" t="s">
        <v>10302</v>
      </c>
    </row>
    <row r="1889" customFormat="false" ht="13.8" hidden="false" customHeight="false" outlineLevel="0" collapsed="false">
      <c r="A1889" s="1" t="n">
        <v>1888</v>
      </c>
      <c r="B1889" s="2" t="s">
        <v>10303</v>
      </c>
      <c r="C1889" s="1" t="n">
        <v>1</v>
      </c>
      <c r="D1889" s="1" t="n">
        <v>10</v>
      </c>
      <c r="E1889" s="1" t="n">
        <v>17</v>
      </c>
      <c r="F1889" s="1" t="n">
        <v>18</v>
      </c>
      <c r="G1889" s="1" t="n">
        <v>45</v>
      </c>
      <c r="H1889" s="1" t="n">
        <v>48</v>
      </c>
      <c r="I1889" s="1" t="str">
        <f aca="false">RIGHT(("0"&amp;C1889),2)&amp;RIGHT(("0"&amp;D1889),2)&amp;RIGHT(("0"&amp;E1889),2)&amp;RIGHT(("0"&amp;F1889),2)&amp;RIGHT(("0"&amp;G1889),2)&amp;RIGHT(("0"&amp;H1889),2)</f>
        <v>011017184548</v>
      </c>
      <c r="J1889" s="1" t="n">
        <f aca="false">COUNTIF(I:I,I1889)</f>
        <v>1</v>
      </c>
      <c r="K1889" s="1" t="n">
        <v>2</v>
      </c>
      <c r="L1889" s="1" t="s">
        <v>10304</v>
      </c>
      <c r="M1889" s="1" t="s">
        <v>10305</v>
      </c>
      <c r="N1889" s="1" t="n">
        <v>113</v>
      </c>
      <c r="O1889" s="1" t="s">
        <v>10306</v>
      </c>
      <c r="P1889" s="1" t="n">
        <v>7195</v>
      </c>
      <c r="Q1889" s="1" t="s">
        <v>10307</v>
      </c>
      <c r="R1889" s="1" t="s">
        <v>23</v>
      </c>
      <c r="S1889" s="1" t="s">
        <v>10308</v>
      </c>
      <c r="T1889" s="1" t="s">
        <v>473</v>
      </c>
      <c r="U1889" s="1" t="s">
        <v>10309</v>
      </c>
    </row>
    <row r="1890" customFormat="false" ht="13.8" hidden="false" customHeight="false" outlineLevel="0" collapsed="false">
      <c r="A1890" s="1" t="n">
        <v>1889</v>
      </c>
      <c r="B1890" s="2" t="s">
        <v>10310</v>
      </c>
      <c r="C1890" s="1" t="n">
        <v>16</v>
      </c>
      <c r="D1890" s="1" t="n">
        <v>23</v>
      </c>
      <c r="E1890" s="1" t="n">
        <v>25</v>
      </c>
      <c r="F1890" s="1" t="n">
        <v>28</v>
      </c>
      <c r="G1890" s="1" t="n">
        <v>30</v>
      </c>
      <c r="H1890" s="1" t="n">
        <v>44</v>
      </c>
      <c r="I1890" s="1" t="str">
        <f aca="false">RIGHT(("0"&amp;C1890),2)&amp;RIGHT(("0"&amp;D1890),2)&amp;RIGHT(("0"&amp;E1890),2)&amp;RIGHT(("0"&amp;F1890),2)&amp;RIGHT(("0"&amp;G1890),2)&amp;RIGHT(("0"&amp;H1890),2)</f>
        <v>162325283044</v>
      </c>
      <c r="J1890" s="1" t="n">
        <f aca="false">COUNTIF(I:I,I1890)</f>
        <v>1</v>
      </c>
      <c r="K1890" s="1" t="n">
        <v>0</v>
      </c>
      <c r="M1890" s="1" t="s">
        <v>23</v>
      </c>
      <c r="N1890" s="1" t="n">
        <v>49</v>
      </c>
      <c r="O1890" s="1" t="s">
        <v>10311</v>
      </c>
      <c r="P1890" s="1" t="n">
        <v>3138</v>
      </c>
      <c r="Q1890" s="1" t="s">
        <v>10312</v>
      </c>
      <c r="R1890" s="1" t="s">
        <v>10313</v>
      </c>
      <c r="S1890" s="1" t="s">
        <v>10314</v>
      </c>
      <c r="T1890" s="1" t="s">
        <v>10315</v>
      </c>
      <c r="U1890" s="1" t="s">
        <v>10313</v>
      </c>
    </row>
    <row r="1891" customFormat="false" ht="13.8" hidden="false" customHeight="false" outlineLevel="0" collapsed="false">
      <c r="A1891" s="1" t="n">
        <v>1890</v>
      </c>
      <c r="B1891" s="2" t="s">
        <v>10316</v>
      </c>
      <c r="C1891" s="1" t="n">
        <v>5</v>
      </c>
      <c r="D1891" s="1" t="n">
        <v>11</v>
      </c>
      <c r="E1891" s="1" t="n">
        <v>22</v>
      </c>
      <c r="F1891" s="1" t="n">
        <v>24</v>
      </c>
      <c r="G1891" s="1" t="n">
        <v>51</v>
      </c>
      <c r="H1891" s="1" t="n">
        <v>53</v>
      </c>
      <c r="I1891" s="1" t="str">
        <f aca="false">RIGHT(("0"&amp;C1891),2)&amp;RIGHT(("0"&amp;D1891),2)&amp;RIGHT(("0"&amp;E1891),2)&amp;RIGHT(("0"&amp;F1891),2)&amp;RIGHT(("0"&amp;G1891),2)&amp;RIGHT(("0"&amp;H1891),2)</f>
        <v>051122245153</v>
      </c>
      <c r="J1891" s="1" t="n">
        <f aca="false">COUNTIF(I:I,I1891)</f>
        <v>1</v>
      </c>
      <c r="K1891" s="1" t="n">
        <v>6</v>
      </c>
      <c r="L1891" s="1" t="s">
        <v>10317</v>
      </c>
      <c r="M1891" s="1" t="s">
        <v>10318</v>
      </c>
      <c r="N1891" s="1" t="n">
        <v>1665</v>
      </c>
      <c r="O1891" s="1" t="s">
        <v>10319</v>
      </c>
      <c r="P1891" s="1" t="n">
        <v>124889</v>
      </c>
      <c r="Q1891" s="1" t="s">
        <v>10320</v>
      </c>
      <c r="R1891" s="1" t="s">
        <v>23</v>
      </c>
      <c r="S1891" s="1" t="s">
        <v>10321</v>
      </c>
      <c r="T1891" s="1" t="s">
        <v>4256</v>
      </c>
      <c r="U1891" s="1" t="s">
        <v>23</v>
      </c>
    </row>
    <row r="1892" customFormat="false" ht="13.8" hidden="false" customHeight="false" outlineLevel="0" collapsed="false">
      <c r="A1892" s="1" t="n">
        <v>1891</v>
      </c>
      <c r="B1892" s="2" t="s">
        <v>10322</v>
      </c>
      <c r="C1892" s="1" t="n">
        <v>1</v>
      </c>
      <c r="D1892" s="1" t="n">
        <v>3</v>
      </c>
      <c r="E1892" s="1" t="n">
        <v>19</v>
      </c>
      <c r="F1892" s="1" t="n">
        <v>23</v>
      </c>
      <c r="G1892" s="1" t="n">
        <v>47</v>
      </c>
      <c r="H1892" s="1" t="n">
        <v>58</v>
      </c>
      <c r="I1892" s="1" t="str">
        <f aca="false">RIGHT(("0"&amp;C1892),2)&amp;RIGHT(("0"&amp;D1892),2)&amp;RIGHT(("0"&amp;E1892),2)&amp;RIGHT(("0"&amp;F1892),2)&amp;RIGHT(("0"&amp;G1892),2)&amp;RIGHT(("0"&amp;H1892),2)</f>
        <v>010319234758</v>
      </c>
      <c r="J1892" s="1" t="n">
        <f aca="false">COUNTIF(I:I,I1892)</f>
        <v>1</v>
      </c>
      <c r="K1892" s="1" t="n">
        <v>0</v>
      </c>
      <c r="M1892" s="1" t="s">
        <v>23</v>
      </c>
      <c r="N1892" s="1" t="n">
        <v>46</v>
      </c>
      <c r="O1892" s="1" t="s">
        <v>10323</v>
      </c>
      <c r="P1892" s="1" t="n">
        <v>3488</v>
      </c>
      <c r="Q1892" s="1" t="s">
        <v>10324</v>
      </c>
      <c r="R1892" s="1" t="s">
        <v>10325</v>
      </c>
      <c r="S1892" s="1" t="s">
        <v>10326</v>
      </c>
      <c r="T1892" s="1" t="s">
        <v>5013</v>
      </c>
      <c r="U1892" s="1" t="s">
        <v>10327</v>
      </c>
    </row>
    <row r="1893" customFormat="false" ht="13.8" hidden="false" customHeight="false" outlineLevel="0" collapsed="false">
      <c r="A1893" s="1" t="n">
        <v>1892</v>
      </c>
      <c r="B1893" s="2" t="s">
        <v>10328</v>
      </c>
      <c r="C1893" s="1" t="n">
        <v>6</v>
      </c>
      <c r="D1893" s="1" t="n">
        <v>17</v>
      </c>
      <c r="E1893" s="1" t="n">
        <v>22</v>
      </c>
      <c r="F1893" s="1" t="n">
        <v>30</v>
      </c>
      <c r="G1893" s="1" t="n">
        <v>37</v>
      </c>
      <c r="H1893" s="1" t="n">
        <v>50</v>
      </c>
      <c r="I1893" s="1" t="str">
        <f aca="false">RIGHT(("0"&amp;C1893),2)&amp;RIGHT(("0"&amp;D1893),2)&amp;RIGHT(("0"&amp;E1893),2)&amp;RIGHT(("0"&amp;F1893),2)&amp;RIGHT(("0"&amp;G1893),2)&amp;RIGHT(("0"&amp;H1893),2)</f>
        <v>061722303750</v>
      </c>
      <c r="J1893" s="1" t="n">
        <f aca="false">COUNTIF(I:I,I1893)</f>
        <v>1</v>
      </c>
      <c r="K1893" s="1" t="n">
        <v>0</v>
      </c>
      <c r="M1893" s="1" t="s">
        <v>23</v>
      </c>
      <c r="N1893" s="1" t="n">
        <v>31</v>
      </c>
      <c r="O1893" s="1" t="s">
        <v>10329</v>
      </c>
      <c r="P1893" s="1" t="n">
        <v>2623</v>
      </c>
      <c r="Q1893" s="1" t="s">
        <v>10330</v>
      </c>
      <c r="R1893" s="1" t="s">
        <v>10331</v>
      </c>
      <c r="S1893" s="1" t="s">
        <v>10332</v>
      </c>
      <c r="T1893" s="1" t="s">
        <v>4347</v>
      </c>
      <c r="U1893" s="1" t="s">
        <v>10333</v>
      </c>
    </row>
    <row r="1894" customFormat="false" ht="13.8" hidden="false" customHeight="false" outlineLevel="0" collapsed="false">
      <c r="A1894" s="1" t="n">
        <v>1893</v>
      </c>
      <c r="B1894" s="2" t="s">
        <v>10334</v>
      </c>
      <c r="C1894" s="1" t="n">
        <v>16</v>
      </c>
      <c r="D1894" s="1" t="n">
        <v>17</v>
      </c>
      <c r="E1894" s="1" t="n">
        <v>19</v>
      </c>
      <c r="F1894" s="1" t="n">
        <v>28</v>
      </c>
      <c r="G1894" s="1" t="n">
        <v>45</v>
      </c>
      <c r="H1894" s="1" t="n">
        <v>58</v>
      </c>
      <c r="I1894" s="1" t="str">
        <f aca="false">RIGHT(("0"&amp;C1894),2)&amp;RIGHT(("0"&amp;D1894),2)&amp;RIGHT(("0"&amp;E1894),2)&amp;RIGHT(("0"&amp;F1894),2)&amp;RIGHT(("0"&amp;G1894),2)&amp;RIGHT(("0"&amp;H1894),2)</f>
        <v>161719284558</v>
      </c>
      <c r="J1894" s="1" t="n">
        <f aca="false">COUNTIF(I:I,I1894)</f>
        <v>1</v>
      </c>
      <c r="K1894" s="1" t="n">
        <v>0</v>
      </c>
      <c r="M1894" s="1" t="s">
        <v>23</v>
      </c>
      <c r="N1894" s="1" t="n">
        <v>44</v>
      </c>
      <c r="O1894" s="1" t="s">
        <v>10335</v>
      </c>
      <c r="P1894" s="1" t="n">
        <v>3162</v>
      </c>
      <c r="Q1894" s="1" t="s">
        <v>10336</v>
      </c>
      <c r="R1894" s="1" t="s">
        <v>10337</v>
      </c>
      <c r="S1894" s="1" t="s">
        <v>10338</v>
      </c>
      <c r="T1894" s="1" t="s">
        <v>4461</v>
      </c>
      <c r="U1894" s="1" t="s">
        <v>10339</v>
      </c>
    </row>
    <row r="1895" customFormat="false" ht="13.8" hidden="false" customHeight="false" outlineLevel="0" collapsed="false">
      <c r="A1895" s="1" t="n">
        <v>1894</v>
      </c>
      <c r="B1895" s="2" t="s">
        <v>10340</v>
      </c>
      <c r="C1895" s="1" t="n">
        <v>21</v>
      </c>
      <c r="D1895" s="1" t="n">
        <v>31</v>
      </c>
      <c r="E1895" s="1" t="n">
        <v>35</v>
      </c>
      <c r="F1895" s="1" t="n">
        <v>53</v>
      </c>
      <c r="G1895" s="1" t="n">
        <v>54</v>
      </c>
      <c r="H1895" s="1" t="n">
        <v>57</v>
      </c>
      <c r="I1895" s="1" t="str">
        <f aca="false">RIGHT(("0"&amp;C1895),2)&amp;RIGHT(("0"&amp;D1895),2)&amp;RIGHT(("0"&amp;E1895),2)&amp;RIGHT(("0"&amp;F1895),2)&amp;RIGHT(("0"&amp;G1895),2)&amp;RIGHT(("0"&amp;H1895),2)</f>
        <v>213135535457</v>
      </c>
      <c r="J1895" s="1" t="n">
        <f aca="false">COUNTIF(I:I,I1895)</f>
        <v>1</v>
      </c>
      <c r="K1895" s="1" t="n">
        <v>0</v>
      </c>
      <c r="M1895" s="1" t="s">
        <v>23</v>
      </c>
      <c r="N1895" s="1" t="n">
        <v>37</v>
      </c>
      <c r="O1895" s="1" t="s">
        <v>10341</v>
      </c>
      <c r="P1895" s="1" t="n">
        <v>2761</v>
      </c>
      <c r="Q1895" s="1" t="s">
        <v>10342</v>
      </c>
      <c r="R1895" s="1" t="s">
        <v>10343</v>
      </c>
      <c r="S1895" s="1" t="s">
        <v>10344</v>
      </c>
      <c r="T1895" s="1" t="s">
        <v>4718</v>
      </c>
      <c r="U1895" s="1" t="s">
        <v>10345</v>
      </c>
    </row>
    <row r="1896" customFormat="false" ht="13.8" hidden="false" customHeight="false" outlineLevel="0" collapsed="false">
      <c r="A1896" s="1" t="n">
        <v>1895</v>
      </c>
      <c r="B1896" s="2" t="s">
        <v>10346</v>
      </c>
      <c r="C1896" s="1" t="n">
        <v>2</v>
      </c>
      <c r="D1896" s="1" t="n">
        <v>3</v>
      </c>
      <c r="E1896" s="1" t="n">
        <v>5</v>
      </c>
      <c r="F1896" s="1" t="n">
        <v>10</v>
      </c>
      <c r="G1896" s="1" t="n">
        <v>15</v>
      </c>
      <c r="H1896" s="1" t="n">
        <v>34</v>
      </c>
      <c r="I1896" s="1" t="str">
        <f aca="false">RIGHT(("0"&amp;C1896),2)&amp;RIGHT(("0"&amp;D1896),2)&amp;RIGHT(("0"&amp;E1896),2)&amp;RIGHT(("0"&amp;F1896),2)&amp;RIGHT(("0"&amp;G1896),2)&amp;RIGHT(("0"&amp;H1896),2)</f>
        <v>020305101534</v>
      </c>
      <c r="J1896" s="1" t="n">
        <f aca="false">COUNTIF(I:I,I1896)</f>
        <v>1</v>
      </c>
      <c r="K1896" s="1" t="n">
        <v>0</v>
      </c>
      <c r="M1896" s="1" t="s">
        <v>23</v>
      </c>
      <c r="N1896" s="1" t="n">
        <v>175</v>
      </c>
      <c r="O1896" s="1" t="s">
        <v>10347</v>
      </c>
      <c r="P1896" s="1" t="n">
        <v>10199</v>
      </c>
      <c r="Q1896" s="1" t="s">
        <v>10348</v>
      </c>
      <c r="R1896" s="1" t="s">
        <v>10349</v>
      </c>
      <c r="S1896" s="1" t="s">
        <v>10350</v>
      </c>
      <c r="T1896" s="1" t="s">
        <v>5242</v>
      </c>
      <c r="U1896" s="1" t="s">
        <v>10351</v>
      </c>
    </row>
    <row r="1897" customFormat="false" ht="13.8" hidden="false" customHeight="false" outlineLevel="0" collapsed="false">
      <c r="A1897" s="1" t="n">
        <v>1896</v>
      </c>
      <c r="B1897" s="2" t="s">
        <v>10352</v>
      </c>
      <c r="C1897" s="1" t="n">
        <v>3</v>
      </c>
      <c r="D1897" s="1" t="n">
        <v>6</v>
      </c>
      <c r="E1897" s="1" t="n">
        <v>14</v>
      </c>
      <c r="F1897" s="1" t="n">
        <v>15</v>
      </c>
      <c r="G1897" s="1" t="n">
        <v>21</v>
      </c>
      <c r="H1897" s="1" t="n">
        <v>25</v>
      </c>
      <c r="I1897" s="1" t="str">
        <f aca="false">RIGHT(("0"&amp;C1897),2)&amp;RIGHT(("0"&amp;D1897),2)&amp;RIGHT(("0"&amp;E1897),2)&amp;RIGHT(("0"&amp;F1897),2)&amp;RIGHT(("0"&amp;G1897),2)&amp;RIGHT(("0"&amp;H1897),2)</f>
        <v>030614152125</v>
      </c>
      <c r="J1897" s="1" t="n">
        <f aca="false">COUNTIF(I:I,I1897)</f>
        <v>1</v>
      </c>
      <c r="K1897" s="1" t="n">
        <v>1</v>
      </c>
      <c r="L1897" s="1" t="s">
        <v>10353</v>
      </c>
      <c r="M1897" s="1" t="s">
        <v>10354</v>
      </c>
      <c r="N1897" s="1" t="n">
        <v>133</v>
      </c>
      <c r="O1897" s="1" t="s">
        <v>10355</v>
      </c>
      <c r="P1897" s="1" t="n">
        <v>7692</v>
      </c>
      <c r="Q1897" s="1" t="s">
        <v>10356</v>
      </c>
      <c r="R1897" s="1" t="s">
        <v>23</v>
      </c>
      <c r="S1897" s="1" t="s">
        <v>10357</v>
      </c>
      <c r="T1897" s="1" t="s">
        <v>4256</v>
      </c>
      <c r="U1897" s="1" t="s">
        <v>10358</v>
      </c>
    </row>
    <row r="1898" customFormat="false" ht="13.8" hidden="false" customHeight="false" outlineLevel="0" collapsed="false">
      <c r="A1898" s="1" t="n">
        <v>1897</v>
      </c>
      <c r="B1898" s="2" t="s">
        <v>10359</v>
      </c>
      <c r="C1898" s="1" t="n">
        <v>9</v>
      </c>
      <c r="D1898" s="1" t="n">
        <v>22</v>
      </c>
      <c r="E1898" s="1" t="n">
        <v>25</v>
      </c>
      <c r="F1898" s="1" t="n">
        <v>47</v>
      </c>
      <c r="G1898" s="1" t="n">
        <v>52</v>
      </c>
      <c r="H1898" s="1" t="n">
        <v>58</v>
      </c>
      <c r="I1898" s="1" t="str">
        <f aca="false">RIGHT(("0"&amp;C1898),2)&amp;RIGHT(("0"&amp;D1898),2)&amp;RIGHT(("0"&amp;E1898),2)&amp;RIGHT(("0"&amp;F1898),2)&amp;RIGHT(("0"&amp;G1898),2)&amp;RIGHT(("0"&amp;H1898),2)</f>
        <v>092225475258</v>
      </c>
      <c r="J1898" s="1" t="n">
        <f aca="false">COUNTIF(I:I,I1898)</f>
        <v>1</v>
      </c>
      <c r="K1898" s="1" t="n">
        <v>0</v>
      </c>
      <c r="M1898" s="1" t="s">
        <v>23</v>
      </c>
      <c r="N1898" s="1" t="n">
        <v>46</v>
      </c>
      <c r="O1898" s="1" t="s">
        <v>10360</v>
      </c>
      <c r="P1898" s="1" t="n">
        <v>2873</v>
      </c>
      <c r="Q1898" s="1" t="s">
        <v>10361</v>
      </c>
      <c r="R1898" s="1" t="s">
        <v>10362</v>
      </c>
      <c r="S1898" s="1" t="s">
        <v>10363</v>
      </c>
      <c r="T1898" s="1" t="s">
        <v>4227</v>
      </c>
      <c r="U1898" s="1" t="s">
        <v>10364</v>
      </c>
    </row>
    <row r="1899" customFormat="false" ht="13.8" hidden="false" customHeight="false" outlineLevel="0" collapsed="false">
      <c r="A1899" s="1" t="n">
        <v>1898</v>
      </c>
      <c r="B1899" s="2" t="s">
        <v>10365</v>
      </c>
      <c r="C1899" s="1" t="n">
        <v>12</v>
      </c>
      <c r="D1899" s="1" t="n">
        <v>34</v>
      </c>
      <c r="E1899" s="1" t="n">
        <v>45</v>
      </c>
      <c r="F1899" s="1" t="n">
        <v>53</v>
      </c>
      <c r="G1899" s="1" t="n">
        <v>55</v>
      </c>
      <c r="H1899" s="1" t="n">
        <v>58</v>
      </c>
      <c r="I1899" s="1" t="str">
        <f aca="false">RIGHT(("0"&amp;C1899),2)&amp;RIGHT(("0"&amp;D1899),2)&amp;RIGHT(("0"&amp;E1899),2)&amp;RIGHT(("0"&amp;F1899),2)&amp;RIGHT(("0"&amp;G1899),2)&amp;RIGHT(("0"&amp;H1899),2)</f>
        <v>123445535558</v>
      </c>
      <c r="J1899" s="1" t="n">
        <f aca="false">COUNTIF(I:I,I1899)</f>
        <v>1</v>
      </c>
      <c r="K1899" s="1" t="n">
        <v>0</v>
      </c>
      <c r="M1899" s="1" t="s">
        <v>23</v>
      </c>
      <c r="N1899" s="1" t="n">
        <v>32</v>
      </c>
      <c r="O1899" s="1" t="s">
        <v>10366</v>
      </c>
      <c r="P1899" s="1" t="n">
        <v>2722</v>
      </c>
      <c r="Q1899" s="1" t="s">
        <v>10367</v>
      </c>
      <c r="R1899" s="1" t="s">
        <v>10368</v>
      </c>
      <c r="S1899" s="1" t="s">
        <v>10369</v>
      </c>
      <c r="T1899" s="1" t="s">
        <v>4190</v>
      </c>
      <c r="U1899" s="1" t="s">
        <v>10370</v>
      </c>
    </row>
    <row r="1900" customFormat="false" ht="13.8" hidden="false" customHeight="false" outlineLevel="0" collapsed="false">
      <c r="A1900" s="1" t="n">
        <v>1899</v>
      </c>
      <c r="B1900" s="2" t="s">
        <v>10371</v>
      </c>
      <c r="C1900" s="1" t="n">
        <v>20</v>
      </c>
      <c r="D1900" s="1" t="n">
        <v>23</v>
      </c>
      <c r="E1900" s="1" t="n">
        <v>35</v>
      </c>
      <c r="F1900" s="1" t="n">
        <v>36</v>
      </c>
      <c r="G1900" s="1" t="n">
        <v>44</v>
      </c>
      <c r="H1900" s="1" t="n">
        <v>48</v>
      </c>
      <c r="I1900" s="1" t="str">
        <f aca="false">RIGHT(("0"&amp;C1900),2)&amp;RIGHT(("0"&amp;D1900),2)&amp;RIGHT(("0"&amp;E1900),2)&amp;RIGHT(("0"&amp;F1900),2)&amp;RIGHT(("0"&amp;G1900),2)&amp;RIGHT(("0"&amp;H1900),2)</f>
        <v>202335364448</v>
      </c>
      <c r="J1900" s="1" t="n">
        <f aca="false">COUNTIF(I:I,I1900)</f>
        <v>1</v>
      </c>
      <c r="K1900" s="1" t="n">
        <v>0</v>
      </c>
      <c r="M1900" s="1" t="s">
        <v>23</v>
      </c>
      <c r="N1900" s="1" t="n">
        <v>39</v>
      </c>
      <c r="O1900" s="1" t="s">
        <v>10372</v>
      </c>
      <c r="P1900" s="1" t="n">
        <v>3023</v>
      </c>
      <c r="Q1900" s="1" t="s">
        <v>10373</v>
      </c>
      <c r="R1900" s="1" t="s">
        <v>10374</v>
      </c>
      <c r="S1900" s="1" t="s">
        <v>10375</v>
      </c>
      <c r="T1900" s="1" t="s">
        <v>4328</v>
      </c>
      <c r="U1900" s="1" t="s">
        <v>10376</v>
      </c>
    </row>
    <row r="1901" customFormat="false" ht="13.8" hidden="false" customHeight="false" outlineLevel="0" collapsed="false">
      <c r="A1901" s="1" t="n">
        <v>1900</v>
      </c>
      <c r="B1901" s="2" t="s">
        <v>10377</v>
      </c>
      <c r="C1901" s="1" t="n">
        <v>8</v>
      </c>
      <c r="D1901" s="1" t="n">
        <v>11</v>
      </c>
      <c r="E1901" s="1" t="n">
        <v>27</v>
      </c>
      <c r="F1901" s="1" t="n">
        <v>28</v>
      </c>
      <c r="G1901" s="1" t="n">
        <v>43</v>
      </c>
      <c r="H1901" s="1" t="n">
        <v>46</v>
      </c>
      <c r="I1901" s="1" t="str">
        <f aca="false">RIGHT(("0"&amp;C1901),2)&amp;RIGHT(("0"&amp;D1901),2)&amp;RIGHT(("0"&amp;E1901),2)&amp;RIGHT(("0"&amp;F1901),2)&amp;RIGHT(("0"&amp;G1901),2)&amp;RIGHT(("0"&amp;H1901),2)</f>
        <v>081127284346</v>
      </c>
      <c r="J1901" s="1" t="n">
        <f aca="false">COUNTIF(I:I,I1901)</f>
        <v>1</v>
      </c>
      <c r="K1901" s="1" t="n">
        <v>0</v>
      </c>
      <c r="M1901" s="1" t="s">
        <v>23</v>
      </c>
      <c r="N1901" s="1" t="n">
        <v>87</v>
      </c>
      <c r="O1901" s="1" t="s">
        <v>10378</v>
      </c>
      <c r="P1901" s="1" t="n">
        <v>5573</v>
      </c>
      <c r="Q1901" s="1" t="s">
        <v>10379</v>
      </c>
      <c r="R1901" s="1" t="s">
        <v>10380</v>
      </c>
      <c r="S1901" s="1" t="s">
        <v>10381</v>
      </c>
      <c r="T1901" s="1" t="s">
        <v>3892</v>
      </c>
      <c r="U1901" s="1" t="s">
        <v>10382</v>
      </c>
    </row>
    <row r="1902" customFormat="false" ht="13.8" hidden="false" customHeight="false" outlineLevel="0" collapsed="false">
      <c r="A1902" s="1" t="n">
        <v>1901</v>
      </c>
      <c r="B1902" s="2" t="s">
        <v>10383</v>
      </c>
      <c r="C1902" s="1" t="n">
        <v>11</v>
      </c>
      <c r="D1902" s="1" t="n">
        <v>12</v>
      </c>
      <c r="E1902" s="1" t="n">
        <v>26</v>
      </c>
      <c r="F1902" s="1" t="n">
        <v>30</v>
      </c>
      <c r="G1902" s="1" t="n">
        <v>37</v>
      </c>
      <c r="H1902" s="1" t="n">
        <v>53</v>
      </c>
      <c r="I1902" s="1" t="str">
        <f aca="false">RIGHT(("0"&amp;C1902),2)&amp;RIGHT(("0"&amp;D1902),2)&amp;RIGHT(("0"&amp;E1902),2)&amp;RIGHT(("0"&amp;F1902),2)&amp;RIGHT(("0"&amp;G1902),2)&amp;RIGHT(("0"&amp;H1902),2)</f>
        <v>111226303753</v>
      </c>
      <c r="J1902" s="1" t="n">
        <f aca="false">COUNTIF(I:I,I1902)</f>
        <v>1</v>
      </c>
      <c r="K1902" s="1" t="n">
        <v>0</v>
      </c>
      <c r="M1902" s="1" t="s">
        <v>23</v>
      </c>
      <c r="N1902" s="1" t="n">
        <v>60</v>
      </c>
      <c r="O1902" s="1" t="s">
        <v>10384</v>
      </c>
      <c r="P1902" s="1" t="n">
        <v>4645</v>
      </c>
      <c r="Q1902" s="1" t="s">
        <v>10385</v>
      </c>
      <c r="R1902" s="1" t="s">
        <v>10386</v>
      </c>
      <c r="S1902" s="1" t="s">
        <v>10387</v>
      </c>
      <c r="T1902" s="1" t="s">
        <v>4968</v>
      </c>
      <c r="U1902" s="1" t="s">
        <v>10388</v>
      </c>
    </row>
    <row r="1903" customFormat="false" ht="13.8" hidden="false" customHeight="false" outlineLevel="0" collapsed="false">
      <c r="A1903" s="1" t="n">
        <v>1902</v>
      </c>
      <c r="B1903" s="2" t="s">
        <v>10389</v>
      </c>
      <c r="C1903" s="1" t="n">
        <v>2</v>
      </c>
      <c r="D1903" s="1" t="n">
        <v>7</v>
      </c>
      <c r="E1903" s="1" t="n">
        <v>9</v>
      </c>
      <c r="F1903" s="1" t="n">
        <v>18</v>
      </c>
      <c r="G1903" s="1" t="n">
        <v>21</v>
      </c>
      <c r="H1903" s="1" t="n">
        <v>25</v>
      </c>
      <c r="I1903" s="1" t="str">
        <f aca="false">RIGHT(("0"&amp;C1903),2)&amp;RIGHT(("0"&amp;D1903),2)&amp;RIGHT(("0"&amp;E1903),2)&amp;RIGHT(("0"&amp;F1903),2)&amp;RIGHT(("0"&amp;G1903),2)&amp;RIGHT(("0"&amp;H1903),2)</f>
        <v>020709182125</v>
      </c>
      <c r="J1903" s="1" t="n">
        <f aca="false">COUNTIF(I:I,I1903)</f>
        <v>1</v>
      </c>
      <c r="K1903" s="1" t="n">
        <v>3</v>
      </c>
      <c r="L1903" s="1" t="s">
        <v>10390</v>
      </c>
      <c r="M1903" s="1" t="s">
        <v>10391</v>
      </c>
      <c r="N1903" s="1" t="n">
        <v>367</v>
      </c>
      <c r="O1903" s="1" t="s">
        <v>10392</v>
      </c>
      <c r="P1903" s="1" t="n">
        <v>13764</v>
      </c>
      <c r="Q1903" s="1" t="s">
        <v>10393</v>
      </c>
      <c r="R1903" s="1" t="s">
        <v>23</v>
      </c>
      <c r="S1903" s="1" t="s">
        <v>10394</v>
      </c>
      <c r="T1903" s="1" t="s">
        <v>473</v>
      </c>
      <c r="U1903" s="1" t="s">
        <v>10395</v>
      </c>
    </row>
    <row r="1904" customFormat="false" ht="13.8" hidden="false" customHeight="false" outlineLevel="0" collapsed="false">
      <c r="A1904" s="1" t="n">
        <v>1903</v>
      </c>
      <c r="B1904" s="2" t="s">
        <v>10396</v>
      </c>
      <c r="C1904" s="1" t="n">
        <v>9</v>
      </c>
      <c r="D1904" s="1" t="n">
        <v>10</v>
      </c>
      <c r="E1904" s="1" t="n">
        <v>15</v>
      </c>
      <c r="F1904" s="1" t="n">
        <v>28</v>
      </c>
      <c r="G1904" s="1" t="n">
        <v>43</v>
      </c>
      <c r="H1904" s="1" t="n">
        <v>45</v>
      </c>
      <c r="I1904" s="1" t="str">
        <f aca="false">RIGHT(("0"&amp;C1904),2)&amp;RIGHT(("0"&amp;D1904),2)&amp;RIGHT(("0"&amp;E1904),2)&amp;RIGHT(("0"&amp;F1904),2)&amp;RIGHT(("0"&amp;G1904),2)&amp;RIGHT(("0"&amp;H1904),2)</f>
        <v>091015284345</v>
      </c>
      <c r="J1904" s="1" t="n">
        <f aca="false">COUNTIF(I:I,I1904)</f>
        <v>1</v>
      </c>
      <c r="K1904" s="1" t="n">
        <v>0</v>
      </c>
      <c r="M1904" s="1" t="s">
        <v>23</v>
      </c>
      <c r="N1904" s="1" t="n">
        <v>41</v>
      </c>
      <c r="O1904" s="1" t="s">
        <v>10397</v>
      </c>
      <c r="P1904" s="1" t="n">
        <v>3205</v>
      </c>
      <c r="Q1904" s="1" t="s">
        <v>10398</v>
      </c>
      <c r="R1904" s="1" t="s">
        <v>10399</v>
      </c>
      <c r="S1904" s="1" t="s">
        <v>10400</v>
      </c>
      <c r="T1904" s="1" t="s">
        <v>4227</v>
      </c>
      <c r="U1904" s="1" t="s">
        <v>10401</v>
      </c>
    </row>
    <row r="1905" customFormat="false" ht="13.8" hidden="false" customHeight="false" outlineLevel="0" collapsed="false">
      <c r="A1905" s="1" t="n">
        <v>1904</v>
      </c>
      <c r="B1905" s="2" t="s">
        <v>10402</v>
      </c>
      <c r="C1905" s="1" t="n">
        <v>12</v>
      </c>
      <c r="D1905" s="1" t="n">
        <v>15</v>
      </c>
      <c r="E1905" s="1" t="n">
        <v>18</v>
      </c>
      <c r="F1905" s="1" t="n">
        <v>21</v>
      </c>
      <c r="G1905" s="1" t="n">
        <v>51</v>
      </c>
      <c r="H1905" s="1" t="n">
        <v>56</v>
      </c>
      <c r="I1905" s="1" t="str">
        <f aca="false">RIGHT(("0"&amp;C1905),2)&amp;RIGHT(("0"&amp;D1905),2)&amp;RIGHT(("0"&amp;E1905),2)&amp;RIGHT(("0"&amp;F1905),2)&amp;RIGHT(("0"&amp;G1905),2)&amp;RIGHT(("0"&amp;H1905),2)</f>
        <v>121518215156</v>
      </c>
      <c r="J1905" s="1" t="n">
        <f aca="false">COUNTIF(I:I,I1905)</f>
        <v>1</v>
      </c>
      <c r="K1905" s="1" t="n">
        <v>0</v>
      </c>
      <c r="M1905" s="1" t="s">
        <v>23</v>
      </c>
      <c r="N1905" s="1" t="n">
        <v>82</v>
      </c>
      <c r="O1905" s="1" t="s">
        <v>10403</v>
      </c>
      <c r="P1905" s="1" t="n">
        <v>4003</v>
      </c>
      <c r="Q1905" s="1" t="s">
        <v>10404</v>
      </c>
      <c r="R1905" s="1" t="s">
        <v>10405</v>
      </c>
      <c r="S1905" s="1" t="s">
        <v>10406</v>
      </c>
      <c r="T1905" s="1" t="s">
        <v>4246</v>
      </c>
      <c r="U1905" s="1" t="s">
        <v>10407</v>
      </c>
    </row>
    <row r="1906" customFormat="false" ht="13.8" hidden="false" customHeight="false" outlineLevel="0" collapsed="false">
      <c r="A1906" s="1" t="n">
        <v>1905</v>
      </c>
      <c r="B1906" s="2" t="s">
        <v>10408</v>
      </c>
      <c r="C1906" s="1" t="n">
        <v>29</v>
      </c>
      <c r="D1906" s="1" t="n">
        <v>35</v>
      </c>
      <c r="E1906" s="1" t="n">
        <v>43</v>
      </c>
      <c r="F1906" s="1" t="n">
        <v>54</v>
      </c>
      <c r="G1906" s="1" t="n">
        <v>56</v>
      </c>
      <c r="H1906" s="1" t="n">
        <v>57</v>
      </c>
      <c r="I1906" s="1" t="str">
        <f aca="false">RIGHT(("0"&amp;C1906),2)&amp;RIGHT(("0"&amp;D1906),2)&amp;RIGHT(("0"&amp;E1906),2)&amp;RIGHT(("0"&amp;F1906),2)&amp;RIGHT(("0"&amp;G1906),2)&amp;RIGHT(("0"&amp;H1906),2)</f>
        <v>293543545657</v>
      </c>
      <c r="J1906" s="1" t="n">
        <f aca="false">COUNTIF(I:I,I1906)</f>
        <v>1</v>
      </c>
      <c r="K1906" s="1" t="n">
        <v>0</v>
      </c>
      <c r="M1906" s="1" t="s">
        <v>23</v>
      </c>
      <c r="N1906" s="1" t="n">
        <v>22</v>
      </c>
      <c r="O1906" s="1" t="s">
        <v>10409</v>
      </c>
      <c r="P1906" s="1" t="n">
        <v>2351</v>
      </c>
      <c r="Q1906" s="1" t="s">
        <v>10410</v>
      </c>
      <c r="R1906" s="1" t="s">
        <v>10411</v>
      </c>
      <c r="S1906" s="1" t="s">
        <v>10412</v>
      </c>
      <c r="T1906" s="1" t="s">
        <v>4718</v>
      </c>
      <c r="U1906" s="1" t="s">
        <v>10413</v>
      </c>
    </row>
    <row r="1907" customFormat="false" ht="13.8" hidden="false" customHeight="false" outlineLevel="0" collapsed="false">
      <c r="A1907" s="1" t="n">
        <v>1906</v>
      </c>
      <c r="B1907" s="2" t="s">
        <v>10414</v>
      </c>
      <c r="C1907" s="1" t="n">
        <v>6</v>
      </c>
      <c r="D1907" s="1" t="n">
        <v>27</v>
      </c>
      <c r="E1907" s="1" t="n">
        <v>33</v>
      </c>
      <c r="F1907" s="1" t="n">
        <v>39</v>
      </c>
      <c r="G1907" s="1" t="n">
        <v>40</v>
      </c>
      <c r="H1907" s="1" t="n">
        <v>60</v>
      </c>
      <c r="I1907" s="1" t="str">
        <f aca="false">RIGHT(("0"&amp;C1907),2)&amp;RIGHT(("0"&amp;D1907),2)&amp;RIGHT(("0"&amp;E1907),2)&amp;RIGHT(("0"&amp;F1907),2)&amp;RIGHT(("0"&amp;G1907),2)&amp;RIGHT(("0"&amp;H1907),2)</f>
        <v>062733394060</v>
      </c>
      <c r="J1907" s="1" t="n">
        <f aca="false">COUNTIF(I:I,I1907)</f>
        <v>1</v>
      </c>
      <c r="K1907" s="1" t="n">
        <v>0</v>
      </c>
      <c r="M1907" s="1" t="s">
        <v>23</v>
      </c>
      <c r="N1907" s="1" t="n">
        <v>54</v>
      </c>
      <c r="O1907" s="1" t="s">
        <v>10415</v>
      </c>
      <c r="P1907" s="1" t="n">
        <v>3833</v>
      </c>
      <c r="Q1907" s="1" t="s">
        <v>10416</v>
      </c>
      <c r="R1907" s="1" t="s">
        <v>10417</v>
      </c>
      <c r="S1907" s="1" t="s">
        <v>10418</v>
      </c>
      <c r="T1907" s="1" t="s">
        <v>3892</v>
      </c>
      <c r="U1907" s="1" t="s">
        <v>10419</v>
      </c>
    </row>
    <row r="1908" customFormat="false" ht="13.8" hidden="false" customHeight="false" outlineLevel="0" collapsed="false">
      <c r="A1908" s="1" t="n">
        <v>1907</v>
      </c>
      <c r="B1908" s="2" t="s">
        <v>10420</v>
      </c>
      <c r="C1908" s="1" t="n">
        <v>3</v>
      </c>
      <c r="D1908" s="1" t="n">
        <v>25</v>
      </c>
      <c r="E1908" s="1" t="n">
        <v>35</v>
      </c>
      <c r="F1908" s="1" t="n">
        <v>38</v>
      </c>
      <c r="G1908" s="1" t="n">
        <v>44</v>
      </c>
      <c r="H1908" s="1" t="n">
        <v>48</v>
      </c>
      <c r="I1908" s="1" t="str">
        <f aca="false">RIGHT(("0"&amp;C1908),2)&amp;RIGHT(("0"&amp;D1908),2)&amp;RIGHT(("0"&amp;E1908),2)&amp;RIGHT(("0"&amp;F1908),2)&amp;RIGHT(("0"&amp;G1908),2)&amp;RIGHT(("0"&amp;H1908),2)</f>
        <v>032535384448</v>
      </c>
      <c r="J1908" s="1" t="n">
        <f aca="false">COUNTIF(I:I,I1908)</f>
        <v>1</v>
      </c>
      <c r="K1908" s="1" t="n">
        <v>0</v>
      </c>
      <c r="M1908" s="1" t="s">
        <v>23</v>
      </c>
      <c r="N1908" s="1" t="n">
        <v>55</v>
      </c>
      <c r="O1908" s="1" t="s">
        <v>10421</v>
      </c>
      <c r="P1908" s="1" t="n">
        <v>4353</v>
      </c>
      <c r="Q1908" s="1" t="s">
        <v>10422</v>
      </c>
      <c r="R1908" s="1" t="s">
        <v>10423</v>
      </c>
      <c r="S1908" s="1" t="s">
        <v>10424</v>
      </c>
      <c r="T1908" s="1" t="s">
        <v>4968</v>
      </c>
      <c r="U1908" s="1" t="s">
        <v>10425</v>
      </c>
    </row>
    <row r="1909" customFormat="false" ht="13.8" hidden="false" customHeight="false" outlineLevel="0" collapsed="false">
      <c r="A1909" s="1" t="n">
        <v>1908</v>
      </c>
      <c r="B1909" s="2" t="s">
        <v>10426</v>
      </c>
      <c r="C1909" s="1" t="n">
        <v>4</v>
      </c>
      <c r="D1909" s="1" t="n">
        <v>10</v>
      </c>
      <c r="E1909" s="1" t="n">
        <v>13</v>
      </c>
      <c r="F1909" s="1" t="n">
        <v>23</v>
      </c>
      <c r="G1909" s="1" t="n">
        <v>27</v>
      </c>
      <c r="H1909" s="1" t="n">
        <v>57</v>
      </c>
      <c r="I1909" s="1" t="str">
        <f aca="false">RIGHT(("0"&amp;C1909),2)&amp;RIGHT(("0"&amp;D1909),2)&amp;RIGHT(("0"&amp;E1909),2)&amp;RIGHT(("0"&amp;F1909),2)&amp;RIGHT(("0"&amp;G1909),2)&amp;RIGHT(("0"&amp;H1909),2)</f>
        <v>041013232757</v>
      </c>
      <c r="J1909" s="1" t="n">
        <f aca="false">COUNTIF(I:I,I1909)</f>
        <v>1</v>
      </c>
      <c r="K1909" s="1" t="n">
        <v>0</v>
      </c>
      <c r="M1909" s="1" t="s">
        <v>23</v>
      </c>
      <c r="N1909" s="1" t="n">
        <v>95</v>
      </c>
      <c r="O1909" s="1" t="s">
        <v>10427</v>
      </c>
      <c r="P1909" s="1" t="n">
        <v>5839</v>
      </c>
      <c r="Q1909" s="1" t="s">
        <v>10428</v>
      </c>
      <c r="R1909" s="1" t="s">
        <v>10429</v>
      </c>
      <c r="S1909" s="1" t="s">
        <v>10430</v>
      </c>
      <c r="T1909" s="1" t="s">
        <v>5294</v>
      </c>
      <c r="U1909" s="1" t="s">
        <v>10431</v>
      </c>
    </row>
    <row r="1910" customFormat="false" ht="13.8" hidden="false" customHeight="false" outlineLevel="0" collapsed="false">
      <c r="A1910" s="1" t="n">
        <v>1909</v>
      </c>
      <c r="B1910" s="2" t="s">
        <v>10432</v>
      </c>
      <c r="C1910" s="1" t="n">
        <v>11</v>
      </c>
      <c r="D1910" s="1" t="n">
        <v>40</v>
      </c>
      <c r="E1910" s="1" t="n">
        <v>43</v>
      </c>
      <c r="F1910" s="1" t="n">
        <v>45</v>
      </c>
      <c r="G1910" s="1" t="n">
        <v>47</v>
      </c>
      <c r="H1910" s="1" t="n">
        <v>57</v>
      </c>
      <c r="I1910" s="1" t="str">
        <f aca="false">RIGHT(("0"&amp;C1910),2)&amp;RIGHT(("0"&amp;D1910),2)&amp;RIGHT(("0"&amp;E1910),2)&amp;RIGHT(("0"&amp;F1910),2)&amp;RIGHT(("0"&amp;G1910),2)&amp;RIGHT(("0"&amp;H1910),2)</f>
        <v>114043454757</v>
      </c>
      <c r="J1910" s="1" t="n">
        <f aca="false">COUNTIF(I:I,I1910)</f>
        <v>1</v>
      </c>
      <c r="K1910" s="1" t="n">
        <v>0</v>
      </c>
      <c r="M1910" s="1" t="s">
        <v>23</v>
      </c>
      <c r="N1910" s="1" t="n">
        <v>27</v>
      </c>
      <c r="O1910" s="1" t="s">
        <v>10433</v>
      </c>
      <c r="P1910" s="1" t="n">
        <v>4423</v>
      </c>
      <c r="Q1910" s="1" t="s">
        <v>10434</v>
      </c>
      <c r="R1910" s="1" t="s">
        <v>10435</v>
      </c>
      <c r="S1910" s="1" t="s">
        <v>10436</v>
      </c>
      <c r="T1910" s="1" t="s">
        <v>10065</v>
      </c>
      <c r="U1910" s="1" t="s">
        <v>10437</v>
      </c>
    </row>
    <row r="1911" customFormat="false" ht="13.8" hidden="false" customHeight="false" outlineLevel="0" collapsed="false">
      <c r="A1911" s="1" t="n">
        <v>1910</v>
      </c>
      <c r="B1911" s="2" t="s">
        <v>10438</v>
      </c>
      <c r="C1911" s="1" t="n">
        <v>6</v>
      </c>
      <c r="D1911" s="1" t="n">
        <v>9</v>
      </c>
      <c r="E1911" s="1" t="n">
        <v>15</v>
      </c>
      <c r="F1911" s="1" t="n">
        <v>22</v>
      </c>
      <c r="G1911" s="1" t="n">
        <v>39</v>
      </c>
      <c r="H1911" s="1" t="n">
        <v>48</v>
      </c>
      <c r="I1911" s="1" t="str">
        <f aca="false">RIGHT(("0"&amp;C1911),2)&amp;RIGHT(("0"&amp;D1911),2)&amp;RIGHT(("0"&amp;E1911),2)&amp;RIGHT(("0"&amp;F1911),2)&amp;RIGHT(("0"&amp;G1911),2)&amp;RIGHT(("0"&amp;H1911),2)</f>
        <v>060915223948</v>
      </c>
      <c r="J1911" s="1" t="n">
        <f aca="false">COUNTIF(I:I,I1911)</f>
        <v>1</v>
      </c>
      <c r="K1911" s="1" t="n">
        <v>1</v>
      </c>
      <c r="L1911" s="1" t="s">
        <v>10439</v>
      </c>
      <c r="M1911" s="1" t="s">
        <v>10440</v>
      </c>
      <c r="N1911" s="1" t="n">
        <v>219</v>
      </c>
      <c r="O1911" s="1" t="s">
        <v>10441</v>
      </c>
      <c r="P1911" s="1" t="n">
        <v>10816</v>
      </c>
      <c r="Q1911" s="1" t="s">
        <v>10442</v>
      </c>
      <c r="R1911" s="1" t="s">
        <v>23</v>
      </c>
      <c r="S1911" s="1" t="s">
        <v>10443</v>
      </c>
      <c r="T1911" s="1" t="s">
        <v>473</v>
      </c>
      <c r="U1911" s="1" t="s">
        <v>10444</v>
      </c>
    </row>
    <row r="1912" customFormat="false" ht="13.8" hidden="false" customHeight="false" outlineLevel="0" collapsed="false">
      <c r="A1912" s="1" t="n">
        <v>1911</v>
      </c>
      <c r="B1912" s="2" t="s">
        <v>10445</v>
      </c>
      <c r="C1912" s="1" t="n">
        <v>16</v>
      </c>
      <c r="D1912" s="1" t="n">
        <v>18</v>
      </c>
      <c r="E1912" s="1" t="n">
        <v>23</v>
      </c>
      <c r="F1912" s="1" t="n">
        <v>30</v>
      </c>
      <c r="G1912" s="1" t="n">
        <v>32</v>
      </c>
      <c r="H1912" s="1" t="n">
        <v>33</v>
      </c>
      <c r="I1912" s="1" t="str">
        <f aca="false">RIGHT(("0"&amp;C1912),2)&amp;RIGHT(("0"&amp;D1912),2)&amp;RIGHT(("0"&amp;E1912),2)&amp;RIGHT(("0"&amp;F1912),2)&amp;RIGHT(("0"&amp;G1912),2)&amp;RIGHT(("0"&amp;H1912),2)</f>
        <v>161823303233</v>
      </c>
      <c r="J1912" s="1" t="n">
        <f aca="false">COUNTIF(I:I,I1912)</f>
        <v>1</v>
      </c>
      <c r="K1912" s="1" t="n">
        <v>0</v>
      </c>
      <c r="M1912" s="1" t="s">
        <v>23</v>
      </c>
      <c r="N1912" s="1" t="n">
        <v>42</v>
      </c>
      <c r="O1912" s="1" t="s">
        <v>10446</v>
      </c>
      <c r="P1912" s="1" t="n">
        <v>2817</v>
      </c>
      <c r="Q1912" s="1" t="s">
        <v>10447</v>
      </c>
      <c r="R1912" s="1" t="s">
        <v>10448</v>
      </c>
      <c r="S1912" s="1" t="s">
        <v>10449</v>
      </c>
      <c r="T1912" s="1" t="s">
        <v>4342</v>
      </c>
      <c r="U1912" s="1" t="s">
        <v>10450</v>
      </c>
    </row>
    <row r="1913" customFormat="false" ht="13.8" hidden="false" customHeight="false" outlineLevel="0" collapsed="false">
      <c r="A1913" s="1" t="n">
        <v>1912</v>
      </c>
      <c r="B1913" s="2" t="s">
        <v>10451</v>
      </c>
      <c r="C1913" s="1" t="n">
        <v>10</v>
      </c>
      <c r="D1913" s="1" t="n">
        <v>13</v>
      </c>
      <c r="E1913" s="1" t="n">
        <v>33</v>
      </c>
      <c r="F1913" s="1" t="n">
        <v>35</v>
      </c>
      <c r="G1913" s="1" t="n">
        <v>36</v>
      </c>
      <c r="H1913" s="1" t="n">
        <v>42</v>
      </c>
      <c r="I1913" s="1" t="str">
        <f aca="false">RIGHT(("0"&amp;C1913),2)&amp;RIGHT(("0"&amp;D1913),2)&amp;RIGHT(("0"&amp;E1913),2)&amp;RIGHT(("0"&amp;F1913),2)&amp;RIGHT(("0"&amp;G1913),2)&amp;RIGHT(("0"&amp;H1913),2)</f>
        <v>101333353642</v>
      </c>
      <c r="J1913" s="1" t="n">
        <f aca="false">COUNTIF(I:I,I1913)</f>
        <v>1</v>
      </c>
      <c r="K1913" s="1" t="n">
        <v>1</v>
      </c>
      <c r="L1913" s="1" t="s">
        <v>10452</v>
      </c>
      <c r="M1913" s="1" t="s">
        <v>10453</v>
      </c>
      <c r="N1913" s="1" t="n">
        <v>43</v>
      </c>
      <c r="O1913" s="1" t="s">
        <v>10454</v>
      </c>
      <c r="P1913" s="1" t="n">
        <v>4556</v>
      </c>
      <c r="Q1913" s="1" t="s">
        <v>10455</v>
      </c>
      <c r="R1913" s="1" t="s">
        <v>23</v>
      </c>
      <c r="S1913" s="1" t="s">
        <v>10456</v>
      </c>
      <c r="T1913" s="1" t="s">
        <v>473</v>
      </c>
      <c r="U1913" s="1" t="s">
        <v>10457</v>
      </c>
    </row>
    <row r="1914" customFormat="false" ht="13.8" hidden="false" customHeight="false" outlineLevel="0" collapsed="false">
      <c r="A1914" s="1" t="n">
        <v>1913</v>
      </c>
      <c r="B1914" s="2" t="s">
        <v>10458</v>
      </c>
      <c r="C1914" s="1" t="n">
        <v>4</v>
      </c>
      <c r="D1914" s="1" t="n">
        <v>14</v>
      </c>
      <c r="E1914" s="1" t="n">
        <v>17</v>
      </c>
      <c r="F1914" s="1" t="n">
        <v>43</v>
      </c>
      <c r="G1914" s="1" t="n">
        <v>52</v>
      </c>
      <c r="H1914" s="1" t="n">
        <v>56</v>
      </c>
      <c r="I1914" s="1" t="str">
        <f aca="false">RIGHT(("0"&amp;C1914),2)&amp;RIGHT(("0"&amp;D1914),2)&amp;RIGHT(("0"&amp;E1914),2)&amp;RIGHT(("0"&amp;F1914),2)&amp;RIGHT(("0"&amp;G1914),2)&amp;RIGHT(("0"&amp;H1914),2)</f>
        <v>041417435256</v>
      </c>
      <c r="J1914" s="1" t="n">
        <f aca="false">COUNTIF(I:I,I1914)</f>
        <v>1</v>
      </c>
      <c r="K1914" s="1" t="n">
        <v>0</v>
      </c>
      <c r="M1914" s="1" t="s">
        <v>23</v>
      </c>
      <c r="N1914" s="1" t="n">
        <v>43</v>
      </c>
      <c r="O1914" s="1" t="s">
        <v>10459</v>
      </c>
      <c r="P1914" s="1" t="n">
        <v>2960</v>
      </c>
      <c r="Q1914" s="1" t="s">
        <v>10460</v>
      </c>
      <c r="R1914" s="1" t="s">
        <v>10461</v>
      </c>
      <c r="S1914" s="1" t="s">
        <v>10462</v>
      </c>
      <c r="T1914" s="1" t="s">
        <v>4342</v>
      </c>
      <c r="U1914" s="1" t="s">
        <v>10463</v>
      </c>
    </row>
    <row r="1915" customFormat="false" ht="13.8" hidden="false" customHeight="false" outlineLevel="0" collapsed="false">
      <c r="A1915" s="1" t="n">
        <v>1914</v>
      </c>
      <c r="B1915" s="2" t="s">
        <v>10464</v>
      </c>
      <c r="C1915" s="1" t="n">
        <v>16</v>
      </c>
      <c r="D1915" s="1" t="n">
        <v>29</v>
      </c>
      <c r="E1915" s="1" t="n">
        <v>33</v>
      </c>
      <c r="F1915" s="1" t="n">
        <v>39</v>
      </c>
      <c r="G1915" s="1" t="n">
        <v>42</v>
      </c>
      <c r="H1915" s="1" t="n">
        <v>44</v>
      </c>
      <c r="I1915" s="1" t="str">
        <f aca="false">RIGHT(("0"&amp;C1915),2)&amp;RIGHT(("0"&amp;D1915),2)&amp;RIGHT(("0"&amp;E1915),2)&amp;RIGHT(("0"&amp;F1915),2)&amp;RIGHT(("0"&amp;G1915),2)&amp;RIGHT(("0"&amp;H1915),2)</f>
        <v>162933394244</v>
      </c>
      <c r="J1915" s="1" t="n">
        <f aca="false">COUNTIF(I:I,I1915)</f>
        <v>1</v>
      </c>
      <c r="K1915" s="1" t="n">
        <v>1</v>
      </c>
      <c r="L1915" s="1" t="s">
        <v>10465</v>
      </c>
      <c r="M1915" s="1" t="s">
        <v>10466</v>
      </c>
      <c r="N1915" s="1" t="n">
        <v>27</v>
      </c>
      <c r="O1915" s="1" t="s">
        <v>10467</v>
      </c>
      <c r="P1915" s="1" t="n">
        <v>2403</v>
      </c>
      <c r="Q1915" s="1" t="s">
        <v>10468</v>
      </c>
      <c r="R1915" s="1" t="s">
        <v>23</v>
      </c>
      <c r="S1915" s="1" t="s">
        <v>10469</v>
      </c>
      <c r="T1915" s="1" t="s">
        <v>3928</v>
      </c>
      <c r="U1915" s="1" t="s">
        <v>10470</v>
      </c>
    </row>
    <row r="1916" customFormat="false" ht="13.8" hidden="false" customHeight="false" outlineLevel="0" collapsed="false">
      <c r="A1916" s="1" t="n">
        <v>1915</v>
      </c>
      <c r="B1916" s="2" t="s">
        <v>10471</v>
      </c>
      <c r="C1916" s="1" t="n">
        <v>2</v>
      </c>
      <c r="D1916" s="1" t="n">
        <v>20</v>
      </c>
      <c r="E1916" s="1" t="n">
        <v>21</v>
      </c>
      <c r="F1916" s="1" t="n">
        <v>33</v>
      </c>
      <c r="G1916" s="1" t="n">
        <v>48</v>
      </c>
      <c r="H1916" s="1" t="n">
        <v>57</v>
      </c>
      <c r="I1916" s="1" t="str">
        <f aca="false">RIGHT(("0"&amp;C1916),2)&amp;RIGHT(("0"&amp;D1916),2)&amp;RIGHT(("0"&amp;E1916),2)&amp;RIGHT(("0"&amp;F1916),2)&amp;RIGHT(("0"&amp;G1916),2)&amp;RIGHT(("0"&amp;H1916),2)</f>
        <v>022021334857</v>
      </c>
      <c r="J1916" s="1" t="n">
        <f aca="false">COUNTIF(I:I,I1916)</f>
        <v>1</v>
      </c>
      <c r="K1916" s="1" t="n">
        <v>0</v>
      </c>
      <c r="M1916" s="1" t="s">
        <v>23</v>
      </c>
      <c r="N1916" s="1" t="n">
        <v>39</v>
      </c>
      <c r="O1916" s="1" t="s">
        <v>10472</v>
      </c>
      <c r="P1916" s="1" t="n">
        <v>3429</v>
      </c>
      <c r="Q1916" s="1" t="s">
        <v>10473</v>
      </c>
      <c r="R1916" s="1" t="s">
        <v>10474</v>
      </c>
      <c r="S1916" s="1" t="s">
        <v>10475</v>
      </c>
      <c r="T1916" s="1" t="s">
        <v>4273</v>
      </c>
      <c r="U1916" s="1" t="s">
        <v>10476</v>
      </c>
    </row>
    <row r="1917" customFormat="false" ht="13.8" hidden="false" customHeight="false" outlineLevel="0" collapsed="false">
      <c r="A1917" s="1" t="n">
        <v>1916</v>
      </c>
      <c r="B1917" s="2" t="s">
        <v>10477</v>
      </c>
      <c r="C1917" s="1" t="n">
        <v>3</v>
      </c>
      <c r="D1917" s="1" t="n">
        <v>9</v>
      </c>
      <c r="E1917" s="1" t="n">
        <v>18</v>
      </c>
      <c r="F1917" s="1" t="n">
        <v>23</v>
      </c>
      <c r="G1917" s="1" t="n">
        <v>50</v>
      </c>
      <c r="H1917" s="1" t="n">
        <v>52</v>
      </c>
      <c r="I1917" s="1" t="str">
        <f aca="false">RIGHT(("0"&amp;C1917),2)&amp;RIGHT(("0"&amp;D1917),2)&amp;RIGHT(("0"&amp;E1917),2)&amp;RIGHT(("0"&amp;F1917),2)&amp;RIGHT(("0"&amp;G1917),2)&amp;RIGHT(("0"&amp;H1917),2)</f>
        <v>030918235052</v>
      </c>
      <c r="J1917" s="1" t="n">
        <f aca="false">COUNTIF(I:I,I1917)</f>
        <v>1</v>
      </c>
      <c r="K1917" s="1" t="n">
        <v>0</v>
      </c>
      <c r="M1917" s="1" t="s">
        <v>23</v>
      </c>
      <c r="N1917" s="1" t="n">
        <v>100</v>
      </c>
      <c r="O1917" s="1" t="s">
        <v>10478</v>
      </c>
      <c r="P1917" s="1" t="n">
        <v>5478</v>
      </c>
      <c r="Q1917" s="1" t="s">
        <v>10479</v>
      </c>
      <c r="R1917" s="1" t="s">
        <v>10480</v>
      </c>
      <c r="S1917" s="1" t="s">
        <v>10481</v>
      </c>
      <c r="T1917" s="1" t="s">
        <v>4718</v>
      </c>
      <c r="U1917" s="1" t="s">
        <v>10482</v>
      </c>
    </row>
    <row r="1918" customFormat="false" ht="13.8" hidden="false" customHeight="false" outlineLevel="0" collapsed="false">
      <c r="A1918" s="1" t="n">
        <v>1917</v>
      </c>
      <c r="B1918" s="2" t="s">
        <v>10483</v>
      </c>
      <c r="C1918" s="1" t="n">
        <v>4</v>
      </c>
      <c r="D1918" s="1" t="n">
        <v>21</v>
      </c>
      <c r="E1918" s="1" t="n">
        <v>25</v>
      </c>
      <c r="F1918" s="1" t="n">
        <v>33</v>
      </c>
      <c r="G1918" s="1" t="n">
        <v>36</v>
      </c>
      <c r="H1918" s="1" t="n">
        <v>46</v>
      </c>
      <c r="I1918" s="1" t="str">
        <f aca="false">RIGHT(("0"&amp;C1918),2)&amp;RIGHT(("0"&amp;D1918),2)&amp;RIGHT(("0"&amp;E1918),2)&amp;RIGHT(("0"&amp;F1918),2)&amp;RIGHT(("0"&amp;G1918),2)&amp;RIGHT(("0"&amp;H1918),2)</f>
        <v>042125333646</v>
      </c>
      <c r="J1918" s="1" t="n">
        <f aca="false">COUNTIF(I:I,I1918)</f>
        <v>1</v>
      </c>
      <c r="K1918" s="1" t="n">
        <v>0</v>
      </c>
      <c r="M1918" s="1" t="s">
        <v>23</v>
      </c>
      <c r="N1918" s="1" t="n">
        <v>70</v>
      </c>
      <c r="O1918" s="1" t="s">
        <v>10484</v>
      </c>
      <c r="P1918" s="1" t="n">
        <v>5412</v>
      </c>
      <c r="Q1918" s="1" t="s">
        <v>10485</v>
      </c>
      <c r="R1918" s="1" t="s">
        <v>10486</v>
      </c>
      <c r="S1918" s="1" t="s">
        <v>10487</v>
      </c>
      <c r="T1918" s="1" t="s">
        <v>3892</v>
      </c>
      <c r="U1918" s="1" t="s">
        <v>10488</v>
      </c>
    </row>
    <row r="1919" customFormat="false" ht="13.8" hidden="false" customHeight="false" outlineLevel="0" collapsed="false">
      <c r="A1919" s="1" t="n">
        <v>1918</v>
      </c>
      <c r="B1919" s="2" t="s">
        <v>10489</v>
      </c>
      <c r="C1919" s="1" t="n">
        <v>16</v>
      </c>
      <c r="D1919" s="1" t="n">
        <v>17</v>
      </c>
      <c r="E1919" s="1" t="n">
        <v>20</v>
      </c>
      <c r="F1919" s="1" t="n">
        <v>22</v>
      </c>
      <c r="G1919" s="1" t="n">
        <v>38</v>
      </c>
      <c r="H1919" s="1" t="n">
        <v>50</v>
      </c>
      <c r="I1919" s="1" t="str">
        <f aca="false">RIGHT(("0"&amp;C1919),2)&amp;RIGHT(("0"&amp;D1919),2)&amp;RIGHT(("0"&amp;E1919),2)&amp;RIGHT(("0"&amp;F1919),2)&amp;RIGHT(("0"&amp;G1919),2)&amp;RIGHT(("0"&amp;H1919),2)</f>
        <v>161720223850</v>
      </c>
      <c r="J1919" s="1" t="n">
        <f aca="false">COUNTIF(I:I,I1919)</f>
        <v>1</v>
      </c>
      <c r="K1919" s="1" t="n">
        <v>0</v>
      </c>
      <c r="M1919" s="1" t="s">
        <v>23</v>
      </c>
      <c r="N1919" s="1" t="n">
        <v>67</v>
      </c>
      <c r="O1919" s="1" t="s">
        <v>10490</v>
      </c>
      <c r="P1919" s="1" t="n">
        <v>5269</v>
      </c>
      <c r="Q1919" s="1" t="s">
        <v>10491</v>
      </c>
      <c r="R1919" s="1" t="s">
        <v>10492</v>
      </c>
      <c r="S1919" s="1" t="s">
        <v>10493</v>
      </c>
      <c r="T1919" s="1" t="s">
        <v>5154</v>
      </c>
      <c r="U1919" s="1" t="s">
        <v>10494</v>
      </c>
    </row>
    <row r="1920" customFormat="false" ht="13.8" hidden="false" customHeight="false" outlineLevel="0" collapsed="false">
      <c r="A1920" s="1" t="n">
        <v>1919</v>
      </c>
      <c r="B1920" s="2" t="s">
        <v>10495</v>
      </c>
      <c r="C1920" s="1" t="n">
        <v>11</v>
      </c>
      <c r="D1920" s="1" t="n">
        <v>28</v>
      </c>
      <c r="E1920" s="1" t="n">
        <v>37</v>
      </c>
      <c r="F1920" s="1" t="n">
        <v>45</v>
      </c>
      <c r="G1920" s="1" t="n">
        <v>54</v>
      </c>
      <c r="H1920" s="1" t="n">
        <v>60</v>
      </c>
      <c r="I1920" s="1" t="str">
        <f aca="false">RIGHT(("0"&amp;C1920),2)&amp;RIGHT(("0"&amp;D1920),2)&amp;RIGHT(("0"&amp;E1920),2)&amp;RIGHT(("0"&amp;F1920),2)&amp;RIGHT(("0"&amp;G1920),2)&amp;RIGHT(("0"&amp;H1920),2)</f>
        <v>112837455460</v>
      </c>
      <c r="J1920" s="1" t="n">
        <f aca="false">COUNTIF(I:I,I1920)</f>
        <v>1</v>
      </c>
      <c r="K1920" s="1" t="n">
        <v>0</v>
      </c>
      <c r="M1920" s="1" t="s">
        <v>23</v>
      </c>
      <c r="N1920" s="1" t="n">
        <v>67</v>
      </c>
      <c r="O1920" s="1" t="s">
        <v>10496</v>
      </c>
      <c r="P1920" s="1" t="n">
        <v>5858</v>
      </c>
      <c r="Q1920" s="1" t="s">
        <v>10497</v>
      </c>
      <c r="R1920" s="1" t="s">
        <v>10498</v>
      </c>
      <c r="S1920" s="1" t="s">
        <v>10499</v>
      </c>
      <c r="T1920" s="1" t="s">
        <v>6444</v>
      </c>
      <c r="U1920" s="1" t="s">
        <v>10500</v>
      </c>
    </row>
    <row r="1921" customFormat="false" ht="13.8" hidden="false" customHeight="false" outlineLevel="0" collapsed="false">
      <c r="A1921" s="1" t="n">
        <v>1920</v>
      </c>
      <c r="B1921" s="2" t="s">
        <v>10501</v>
      </c>
      <c r="C1921" s="1" t="n">
        <v>25</v>
      </c>
      <c r="D1921" s="1" t="n">
        <v>31</v>
      </c>
      <c r="E1921" s="1" t="n">
        <v>33</v>
      </c>
      <c r="F1921" s="1" t="n">
        <v>39</v>
      </c>
      <c r="G1921" s="1" t="n">
        <v>43</v>
      </c>
      <c r="H1921" s="1" t="n">
        <v>45</v>
      </c>
      <c r="I1921" s="1" t="str">
        <f aca="false">RIGHT(("0"&amp;C1921),2)&amp;RIGHT(("0"&amp;D1921),2)&amp;RIGHT(("0"&amp;E1921),2)&amp;RIGHT(("0"&amp;F1921),2)&amp;RIGHT(("0"&amp;G1921),2)&amp;RIGHT(("0"&amp;H1921),2)</f>
        <v>253133394345</v>
      </c>
      <c r="J1921" s="1" t="n">
        <f aca="false">COUNTIF(I:I,I1921)</f>
        <v>1</v>
      </c>
      <c r="K1921" s="1" t="n">
        <v>0</v>
      </c>
      <c r="M1921" s="1" t="s">
        <v>23</v>
      </c>
      <c r="N1921" s="1" t="n">
        <v>90</v>
      </c>
      <c r="O1921" s="1" t="s">
        <v>10502</v>
      </c>
      <c r="P1921" s="1" t="n">
        <v>6586</v>
      </c>
      <c r="Q1921" s="1" t="s">
        <v>10503</v>
      </c>
      <c r="R1921" s="1" t="s">
        <v>10504</v>
      </c>
      <c r="S1921" s="1" t="s">
        <v>10505</v>
      </c>
      <c r="T1921" s="1" t="s">
        <v>9211</v>
      </c>
      <c r="U1921" s="1" t="s">
        <v>10506</v>
      </c>
    </row>
    <row r="1922" customFormat="false" ht="13.8" hidden="false" customHeight="false" outlineLevel="0" collapsed="false">
      <c r="A1922" s="1" t="n">
        <v>1921</v>
      </c>
      <c r="B1922" s="2" t="s">
        <v>10507</v>
      </c>
      <c r="C1922" s="1" t="n">
        <v>10</v>
      </c>
      <c r="D1922" s="1" t="n">
        <v>15</v>
      </c>
      <c r="E1922" s="1" t="n">
        <v>16</v>
      </c>
      <c r="F1922" s="1" t="n">
        <v>19</v>
      </c>
      <c r="G1922" s="1" t="n">
        <v>28</v>
      </c>
      <c r="H1922" s="1" t="n">
        <v>35</v>
      </c>
      <c r="I1922" s="1" t="str">
        <f aca="false">RIGHT(("0"&amp;C1922),2)&amp;RIGHT(("0"&amp;D1922),2)&amp;RIGHT(("0"&amp;E1922),2)&amp;RIGHT(("0"&amp;F1922),2)&amp;RIGHT(("0"&amp;G1922),2)&amp;RIGHT(("0"&amp;H1922),2)</f>
        <v>101516192835</v>
      </c>
      <c r="J1922" s="1" t="n">
        <f aca="false">COUNTIF(I:I,I1922)</f>
        <v>1</v>
      </c>
      <c r="K1922" s="1" t="n">
        <v>0</v>
      </c>
      <c r="M1922" s="1" t="s">
        <v>23</v>
      </c>
      <c r="N1922" s="1" t="n">
        <v>127</v>
      </c>
      <c r="O1922" s="1" t="s">
        <v>10508</v>
      </c>
      <c r="P1922" s="1" t="n">
        <v>9277</v>
      </c>
      <c r="Q1922" s="1" t="s">
        <v>10509</v>
      </c>
      <c r="R1922" s="1" t="s">
        <v>10510</v>
      </c>
      <c r="S1922" s="1" t="s">
        <v>10511</v>
      </c>
      <c r="T1922" s="1" t="s">
        <v>6097</v>
      </c>
      <c r="U1922" s="1" t="s">
        <v>10512</v>
      </c>
    </row>
    <row r="1923" customFormat="false" ht="13.8" hidden="false" customHeight="false" outlineLevel="0" collapsed="false">
      <c r="A1923" s="1" t="n">
        <v>1922</v>
      </c>
      <c r="B1923" s="2" t="s">
        <v>10513</v>
      </c>
      <c r="C1923" s="1" t="n">
        <v>20</v>
      </c>
      <c r="D1923" s="1" t="n">
        <v>22</v>
      </c>
      <c r="E1923" s="1" t="n">
        <v>36</v>
      </c>
      <c r="F1923" s="1" t="n">
        <v>38</v>
      </c>
      <c r="G1923" s="1" t="n">
        <v>41</v>
      </c>
      <c r="H1923" s="1" t="n">
        <v>43</v>
      </c>
      <c r="I1923" s="1" t="str">
        <f aca="false">RIGHT(("0"&amp;C1923),2)&amp;RIGHT(("0"&amp;D1923),2)&amp;RIGHT(("0"&amp;E1923),2)&amp;RIGHT(("0"&amp;F1923),2)&amp;RIGHT(("0"&amp;G1923),2)&amp;RIGHT(("0"&amp;H1923),2)</f>
        <v>202236384143</v>
      </c>
      <c r="J1923" s="1" t="n">
        <f aca="false">COUNTIF(I:I,I1923)</f>
        <v>1</v>
      </c>
      <c r="K1923" s="1" t="n">
        <v>0</v>
      </c>
      <c r="M1923" s="1" t="s">
        <v>23</v>
      </c>
      <c r="N1923" s="1" t="n">
        <v>124</v>
      </c>
      <c r="O1923" s="1" t="s">
        <v>10514</v>
      </c>
      <c r="P1923" s="1" t="n">
        <v>8817</v>
      </c>
      <c r="Q1923" s="1" t="s">
        <v>10515</v>
      </c>
      <c r="R1923" s="1" t="s">
        <v>10516</v>
      </c>
      <c r="S1923" s="1" t="s">
        <v>10517</v>
      </c>
      <c r="T1923" s="1" t="s">
        <v>10518</v>
      </c>
      <c r="U1923" s="1" t="s">
        <v>10519</v>
      </c>
    </row>
    <row r="1924" customFormat="false" ht="13.8" hidden="false" customHeight="false" outlineLevel="0" collapsed="false">
      <c r="A1924" s="1" t="n">
        <v>1923</v>
      </c>
      <c r="B1924" s="2" t="s">
        <v>10520</v>
      </c>
      <c r="C1924" s="1" t="n">
        <v>9</v>
      </c>
      <c r="D1924" s="1" t="n">
        <v>34</v>
      </c>
      <c r="E1924" s="1" t="n">
        <v>42</v>
      </c>
      <c r="F1924" s="1" t="n">
        <v>45</v>
      </c>
      <c r="G1924" s="1" t="n">
        <v>46</v>
      </c>
      <c r="H1924" s="1" t="n">
        <v>59</v>
      </c>
      <c r="I1924" s="1" t="str">
        <f aca="false">RIGHT(("0"&amp;C1924),2)&amp;RIGHT(("0"&amp;D1924),2)&amp;RIGHT(("0"&amp;E1924),2)&amp;RIGHT(("0"&amp;F1924),2)&amp;RIGHT(("0"&amp;G1924),2)&amp;RIGHT(("0"&amp;H1924),2)</f>
        <v>093442454659</v>
      </c>
      <c r="J1924" s="1" t="n">
        <f aca="false">COUNTIF(I:I,I1924)</f>
        <v>1</v>
      </c>
      <c r="K1924" s="1" t="n">
        <v>0</v>
      </c>
      <c r="M1924" s="1" t="s">
        <v>23</v>
      </c>
      <c r="N1924" s="1" t="n">
        <v>110</v>
      </c>
      <c r="O1924" s="1" t="s">
        <v>10521</v>
      </c>
      <c r="P1924" s="1" t="n">
        <v>9351</v>
      </c>
      <c r="Q1924" s="1" t="s">
        <v>10522</v>
      </c>
      <c r="R1924" s="1" t="s">
        <v>10523</v>
      </c>
      <c r="S1924" s="1" t="s">
        <v>10524</v>
      </c>
      <c r="T1924" s="1" t="s">
        <v>10525</v>
      </c>
      <c r="U1924" s="1" t="s">
        <v>10526</v>
      </c>
    </row>
    <row r="1925" customFormat="false" ht="13.8" hidden="false" customHeight="false" outlineLevel="0" collapsed="false">
      <c r="A1925" s="1" t="n">
        <v>1924</v>
      </c>
      <c r="B1925" s="2" t="s">
        <v>10527</v>
      </c>
      <c r="C1925" s="1" t="n">
        <v>12</v>
      </c>
      <c r="D1925" s="1" t="n">
        <v>16</v>
      </c>
      <c r="E1925" s="1" t="n">
        <v>30</v>
      </c>
      <c r="F1925" s="1" t="n">
        <v>52</v>
      </c>
      <c r="G1925" s="1" t="n">
        <v>53</v>
      </c>
      <c r="H1925" s="1" t="n">
        <v>58</v>
      </c>
      <c r="I1925" s="1" t="str">
        <f aca="false">RIGHT(("0"&amp;C1925),2)&amp;RIGHT(("0"&amp;D1925),2)&amp;RIGHT(("0"&amp;E1925),2)&amp;RIGHT(("0"&amp;F1925),2)&amp;RIGHT(("0"&amp;G1925),2)&amp;RIGHT(("0"&amp;H1925),2)</f>
        <v>121630525358</v>
      </c>
      <c r="J1925" s="1" t="n">
        <f aca="false">COUNTIF(I:I,I1925)</f>
        <v>1</v>
      </c>
      <c r="K1925" s="1" t="n">
        <v>1</v>
      </c>
      <c r="L1925" s="1" t="s">
        <v>10528</v>
      </c>
      <c r="M1925" s="1" t="s">
        <v>10529</v>
      </c>
      <c r="N1925" s="1" t="n">
        <v>188</v>
      </c>
      <c r="O1925" s="1" t="s">
        <v>10530</v>
      </c>
      <c r="P1925" s="1" t="n">
        <v>11382</v>
      </c>
      <c r="Q1925" s="1" t="s">
        <v>10531</v>
      </c>
      <c r="R1925" s="1" t="s">
        <v>23</v>
      </c>
      <c r="S1925" s="1" t="s">
        <v>10532</v>
      </c>
      <c r="T1925" s="1" t="s">
        <v>4968</v>
      </c>
      <c r="U1925" s="1" t="s">
        <v>10533</v>
      </c>
    </row>
    <row r="1926" customFormat="false" ht="13.8" hidden="false" customHeight="false" outlineLevel="0" collapsed="false">
      <c r="A1926" s="1" t="n">
        <v>1925</v>
      </c>
      <c r="B1926" s="2" t="s">
        <v>10534</v>
      </c>
      <c r="C1926" s="1" t="n">
        <v>1</v>
      </c>
      <c r="D1926" s="1" t="n">
        <v>17</v>
      </c>
      <c r="E1926" s="1" t="n">
        <v>38</v>
      </c>
      <c r="F1926" s="1" t="n">
        <v>43</v>
      </c>
      <c r="G1926" s="1" t="n">
        <v>45</v>
      </c>
      <c r="H1926" s="1" t="n">
        <v>47</v>
      </c>
      <c r="I1926" s="1" t="str">
        <f aca="false">RIGHT(("0"&amp;C1926),2)&amp;RIGHT(("0"&amp;D1926),2)&amp;RIGHT(("0"&amp;E1926),2)&amp;RIGHT(("0"&amp;F1926),2)&amp;RIGHT(("0"&amp;G1926),2)&amp;RIGHT(("0"&amp;H1926),2)</f>
        <v>011738434547</v>
      </c>
      <c r="J1926" s="1" t="n">
        <f aca="false">COUNTIF(I:I,I1926)</f>
        <v>1</v>
      </c>
      <c r="K1926" s="1" t="n">
        <v>0</v>
      </c>
      <c r="M1926" s="1" t="s">
        <v>23</v>
      </c>
      <c r="N1926" s="1" t="n">
        <v>50</v>
      </c>
      <c r="O1926" s="1" t="s">
        <v>10535</v>
      </c>
      <c r="P1926" s="1" t="n">
        <v>5258</v>
      </c>
      <c r="Q1926" s="1" t="s">
        <v>10536</v>
      </c>
      <c r="R1926" s="1" t="s">
        <v>10537</v>
      </c>
      <c r="S1926" s="1" t="s">
        <v>10538</v>
      </c>
      <c r="T1926" s="1" t="s">
        <v>4309</v>
      </c>
      <c r="U1926" s="1" t="s">
        <v>10539</v>
      </c>
    </row>
    <row r="1927" customFormat="false" ht="13.8" hidden="false" customHeight="false" outlineLevel="0" collapsed="false">
      <c r="A1927" s="1" t="n">
        <v>1926</v>
      </c>
      <c r="B1927" s="2" t="s">
        <v>10540</v>
      </c>
      <c r="C1927" s="1" t="n">
        <v>2</v>
      </c>
      <c r="D1927" s="1" t="n">
        <v>3</v>
      </c>
      <c r="E1927" s="1" t="n">
        <v>14</v>
      </c>
      <c r="F1927" s="1" t="n">
        <v>20</v>
      </c>
      <c r="G1927" s="1" t="n">
        <v>30</v>
      </c>
      <c r="H1927" s="1" t="n">
        <v>46</v>
      </c>
      <c r="I1927" s="1" t="str">
        <f aca="false">RIGHT(("0"&amp;C1927),2)&amp;RIGHT(("0"&amp;D1927),2)&amp;RIGHT(("0"&amp;E1927),2)&amp;RIGHT(("0"&amp;F1927),2)&amp;RIGHT(("0"&amp;G1927),2)&amp;RIGHT(("0"&amp;H1927),2)</f>
        <v>020314203046</v>
      </c>
      <c r="J1927" s="1" t="n">
        <f aca="false">COUNTIF(I:I,I1927)</f>
        <v>1</v>
      </c>
      <c r="K1927" s="1" t="n">
        <v>1</v>
      </c>
      <c r="L1927" s="1" t="s">
        <v>5484</v>
      </c>
      <c r="M1927" s="1" t="s">
        <v>10541</v>
      </c>
      <c r="N1927" s="1" t="n">
        <v>95</v>
      </c>
      <c r="O1927" s="1" t="s">
        <v>10542</v>
      </c>
      <c r="P1927" s="1" t="n">
        <v>6741</v>
      </c>
      <c r="Q1927" s="1" t="s">
        <v>10543</v>
      </c>
      <c r="R1927" s="1" t="s">
        <v>23</v>
      </c>
      <c r="S1927" s="1" t="s">
        <v>10544</v>
      </c>
      <c r="T1927" s="1" t="s">
        <v>473</v>
      </c>
      <c r="U1927" s="1" t="s">
        <v>10545</v>
      </c>
    </row>
    <row r="1928" customFormat="false" ht="13.8" hidden="false" customHeight="false" outlineLevel="0" collapsed="false">
      <c r="A1928" s="1" t="n">
        <v>1927</v>
      </c>
      <c r="B1928" s="2" t="s">
        <v>10546</v>
      </c>
      <c r="C1928" s="1" t="n">
        <v>5</v>
      </c>
      <c r="D1928" s="1" t="n">
        <v>11</v>
      </c>
      <c r="E1928" s="1" t="n">
        <v>13</v>
      </c>
      <c r="F1928" s="1" t="n">
        <v>19</v>
      </c>
      <c r="G1928" s="1" t="n">
        <v>30</v>
      </c>
      <c r="H1928" s="1" t="n">
        <v>31</v>
      </c>
      <c r="I1928" s="1" t="str">
        <f aca="false">RIGHT(("0"&amp;C1928),2)&amp;RIGHT(("0"&amp;D1928),2)&amp;RIGHT(("0"&amp;E1928),2)&amp;RIGHT(("0"&amp;F1928),2)&amp;RIGHT(("0"&amp;G1928),2)&amp;RIGHT(("0"&amp;H1928),2)</f>
        <v>051113193031</v>
      </c>
      <c r="J1928" s="1" t="n">
        <f aca="false">COUNTIF(I:I,I1928)</f>
        <v>1</v>
      </c>
      <c r="K1928" s="1" t="n">
        <v>1</v>
      </c>
      <c r="L1928" s="1" t="s">
        <v>8637</v>
      </c>
      <c r="M1928" s="1" t="s">
        <v>10547</v>
      </c>
      <c r="N1928" s="1" t="n">
        <v>140</v>
      </c>
      <c r="O1928" s="1" t="s">
        <v>10548</v>
      </c>
      <c r="P1928" s="1" t="n">
        <v>7385</v>
      </c>
      <c r="Q1928" s="1" t="s">
        <v>10549</v>
      </c>
      <c r="R1928" s="1" t="s">
        <v>23</v>
      </c>
      <c r="S1928" s="1" t="s">
        <v>10550</v>
      </c>
      <c r="T1928" s="1" t="s">
        <v>4256</v>
      </c>
      <c r="U1928" s="1" t="s">
        <v>10551</v>
      </c>
    </row>
    <row r="1929" customFormat="false" ht="13.8" hidden="false" customHeight="false" outlineLevel="0" collapsed="false">
      <c r="A1929" s="1" t="n">
        <v>1928</v>
      </c>
      <c r="B1929" s="2" t="s">
        <v>10552</v>
      </c>
      <c r="C1929" s="1" t="n">
        <v>10</v>
      </c>
      <c r="D1929" s="1" t="n">
        <v>26</v>
      </c>
      <c r="E1929" s="1" t="n">
        <v>28</v>
      </c>
      <c r="F1929" s="1" t="n">
        <v>51</v>
      </c>
      <c r="G1929" s="1" t="n">
        <v>53</v>
      </c>
      <c r="H1929" s="1" t="n">
        <v>59</v>
      </c>
      <c r="I1929" s="1" t="str">
        <f aca="false">RIGHT(("0"&amp;C1929),2)&amp;RIGHT(("0"&amp;D1929),2)&amp;RIGHT(("0"&amp;E1929),2)&amp;RIGHT(("0"&amp;F1929),2)&amp;RIGHT(("0"&amp;G1929),2)&amp;RIGHT(("0"&amp;H1929),2)</f>
        <v>102628515359</v>
      </c>
      <c r="J1929" s="1" t="n">
        <f aca="false">COUNTIF(I:I,I1929)</f>
        <v>1</v>
      </c>
      <c r="K1929" s="1" t="n">
        <v>0</v>
      </c>
      <c r="M1929" s="1" t="s">
        <v>23</v>
      </c>
      <c r="N1929" s="1" t="n">
        <v>28</v>
      </c>
      <c r="O1929" s="1" t="s">
        <v>10553</v>
      </c>
      <c r="P1929" s="1" t="n">
        <v>1630</v>
      </c>
      <c r="Q1929" s="1" t="s">
        <v>10554</v>
      </c>
      <c r="R1929" s="1" t="s">
        <v>10555</v>
      </c>
      <c r="S1929" s="1" t="s">
        <v>10556</v>
      </c>
      <c r="T1929" s="1" t="s">
        <v>4337</v>
      </c>
      <c r="U1929" s="1" t="s">
        <v>10557</v>
      </c>
    </row>
    <row r="1930" customFormat="false" ht="13.8" hidden="false" customHeight="false" outlineLevel="0" collapsed="false">
      <c r="A1930" s="1" t="n">
        <v>1929</v>
      </c>
      <c r="B1930" s="2" t="s">
        <v>10558</v>
      </c>
      <c r="C1930" s="1" t="n">
        <v>3</v>
      </c>
      <c r="D1930" s="1" t="n">
        <v>10</v>
      </c>
      <c r="E1930" s="1" t="n">
        <v>23</v>
      </c>
      <c r="F1930" s="1" t="n">
        <v>36</v>
      </c>
      <c r="G1930" s="1" t="n">
        <v>43</v>
      </c>
      <c r="H1930" s="1" t="n">
        <v>52</v>
      </c>
      <c r="I1930" s="1" t="str">
        <f aca="false">RIGHT(("0"&amp;C1930),2)&amp;RIGHT(("0"&amp;D1930),2)&amp;RIGHT(("0"&amp;E1930),2)&amp;RIGHT(("0"&amp;F1930),2)&amp;RIGHT(("0"&amp;G1930),2)&amp;RIGHT(("0"&amp;H1930),2)</f>
        <v>031023364352</v>
      </c>
      <c r="J1930" s="1" t="n">
        <f aca="false">COUNTIF(I:I,I1930)</f>
        <v>1</v>
      </c>
      <c r="K1930" s="1" t="n">
        <v>0</v>
      </c>
      <c r="M1930" s="1" t="s">
        <v>23</v>
      </c>
      <c r="N1930" s="1" t="n">
        <v>45</v>
      </c>
      <c r="O1930" s="1" t="s">
        <v>10559</v>
      </c>
      <c r="P1930" s="1" t="n">
        <v>3225</v>
      </c>
      <c r="Q1930" s="1" t="s">
        <v>10560</v>
      </c>
      <c r="R1930" s="1" t="s">
        <v>10561</v>
      </c>
      <c r="S1930" s="1" t="s">
        <v>10562</v>
      </c>
      <c r="T1930" s="1" t="s">
        <v>4241</v>
      </c>
      <c r="U1930" s="1" t="s">
        <v>10563</v>
      </c>
    </row>
    <row r="1931" customFormat="false" ht="13.8" hidden="false" customHeight="false" outlineLevel="0" collapsed="false">
      <c r="A1931" s="1" t="n">
        <v>1930</v>
      </c>
      <c r="B1931" s="2" t="s">
        <v>10564</v>
      </c>
      <c r="C1931" s="1" t="n">
        <v>4</v>
      </c>
      <c r="D1931" s="1" t="n">
        <v>17</v>
      </c>
      <c r="E1931" s="1" t="n">
        <v>18</v>
      </c>
      <c r="F1931" s="1" t="n">
        <v>37</v>
      </c>
      <c r="G1931" s="1" t="n">
        <v>52</v>
      </c>
      <c r="H1931" s="1" t="n">
        <v>56</v>
      </c>
      <c r="I1931" s="1" t="str">
        <f aca="false">RIGHT(("0"&amp;C1931),2)&amp;RIGHT(("0"&amp;D1931),2)&amp;RIGHT(("0"&amp;E1931),2)&amp;RIGHT(("0"&amp;F1931),2)&amp;RIGHT(("0"&amp;G1931),2)&amp;RIGHT(("0"&amp;H1931),2)</f>
        <v>041718375256</v>
      </c>
      <c r="J1931" s="1" t="n">
        <f aca="false">COUNTIF(I:I,I1931)</f>
        <v>1</v>
      </c>
      <c r="K1931" s="1" t="n">
        <v>0</v>
      </c>
      <c r="M1931" s="1" t="s">
        <v>23</v>
      </c>
      <c r="N1931" s="1" t="n">
        <v>50</v>
      </c>
      <c r="O1931" s="1" t="s">
        <v>10565</v>
      </c>
      <c r="P1931" s="1" t="n">
        <v>4712</v>
      </c>
      <c r="Q1931" s="1" t="s">
        <v>10566</v>
      </c>
      <c r="R1931" s="1" t="s">
        <v>10567</v>
      </c>
      <c r="S1931" s="1" t="s">
        <v>10568</v>
      </c>
      <c r="T1931" s="1" t="s">
        <v>4328</v>
      </c>
      <c r="U1931" s="1" t="s">
        <v>10569</v>
      </c>
    </row>
    <row r="1932" customFormat="false" ht="13.8" hidden="false" customHeight="false" outlineLevel="0" collapsed="false">
      <c r="A1932" s="1" t="n">
        <v>1931</v>
      </c>
      <c r="B1932" s="2" t="s">
        <v>10570</v>
      </c>
      <c r="C1932" s="1" t="n">
        <v>2</v>
      </c>
      <c r="D1932" s="1" t="n">
        <v>8</v>
      </c>
      <c r="E1932" s="1" t="n">
        <v>9</v>
      </c>
      <c r="F1932" s="1" t="n">
        <v>15</v>
      </c>
      <c r="G1932" s="1" t="n">
        <v>22</v>
      </c>
      <c r="H1932" s="1" t="n">
        <v>34</v>
      </c>
      <c r="I1932" s="1" t="str">
        <f aca="false">RIGHT(("0"&amp;C1932),2)&amp;RIGHT(("0"&amp;D1932),2)&amp;RIGHT(("0"&amp;E1932),2)&amp;RIGHT(("0"&amp;F1932),2)&amp;RIGHT(("0"&amp;G1932),2)&amp;RIGHT(("0"&amp;H1932),2)</f>
        <v>020809152234</v>
      </c>
      <c r="J1932" s="1" t="n">
        <f aca="false">COUNTIF(I:I,I1932)</f>
        <v>1</v>
      </c>
      <c r="K1932" s="1" t="n">
        <v>0</v>
      </c>
      <c r="M1932" s="1" t="s">
        <v>23</v>
      </c>
      <c r="N1932" s="1" t="n">
        <v>131</v>
      </c>
      <c r="O1932" s="1" t="s">
        <v>10571</v>
      </c>
      <c r="P1932" s="1" t="n">
        <v>8918</v>
      </c>
      <c r="Q1932" s="1" t="s">
        <v>10572</v>
      </c>
      <c r="R1932" s="1" t="s">
        <v>10573</v>
      </c>
      <c r="S1932" s="1" t="s">
        <v>10574</v>
      </c>
      <c r="T1932" s="1" t="s">
        <v>3892</v>
      </c>
      <c r="U1932" s="1" t="s">
        <v>10575</v>
      </c>
    </row>
    <row r="1933" customFormat="false" ht="13.8" hidden="false" customHeight="false" outlineLevel="0" collapsed="false">
      <c r="A1933" s="1" t="n">
        <v>1932</v>
      </c>
      <c r="B1933" s="2" t="s">
        <v>10576</v>
      </c>
      <c r="C1933" s="1" t="n">
        <v>10</v>
      </c>
      <c r="D1933" s="1" t="n">
        <v>16</v>
      </c>
      <c r="E1933" s="1" t="n">
        <v>21</v>
      </c>
      <c r="F1933" s="1" t="n">
        <v>29</v>
      </c>
      <c r="G1933" s="1" t="n">
        <v>44</v>
      </c>
      <c r="H1933" s="1" t="n">
        <v>55</v>
      </c>
      <c r="I1933" s="1" t="str">
        <f aca="false">RIGHT(("0"&amp;C1933),2)&amp;RIGHT(("0"&amp;D1933),2)&amp;RIGHT(("0"&amp;E1933),2)&amp;RIGHT(("0"&amp;F1933),2)&amp;RIGHT(("0"&amp;G1933),2)&amp;RIGHT(("0"&amp;H1933),2)</f>
        <v>101621294455</v>
      </c>
      <c r="J1933" s="1" t="n">
        <f aca="false">COUNTIF(I:I,I1933)</f>
        <v>1</v>
      </c>
      <c r="K1933" s="1" t="n">
        <v>0</v>
      </c>
      <c r="M1933" s="1" t="s">
        <v>23</v>
      </c>
      <c r="N1933" s="1" t="n">
        <v>72</v>
      </c>
      <c r="O1933" s="1" t="s">
        <v>10577</v>
      </c>
      <c r="P1933" s="1" t="n">
        <v>5449</v>
      </c>
      <c r="Q1933" s="1" t="s">
        <v>10578</v>
      </c>
      <c r="R1933" s="1" t="s">
        <v>10579</v>
      </c>
      <c r="S1933" s="1" t="s">
        <v>10580</v>
      </c>
      <c r="T1933" s="1" t="s">
        <v>5686</v>
      </c>
      <c r="U1933" s="1" t="s">
        <v>10581</v>
      </c>
    </row>
    <row r="1934" customFormat="false" ht="13.8" hidden="false" customHeight="false" outlineLevel="0" collapsed="false">
      <c r="A1934" s="1" t="n">
        <v>1933</v>
      </c>
      <c r="B1934" s="2" t="s">
        <v>10582</v>
      </c>
      <c r="C1934" s="1" t="n">
        <v>2</v>
      </c>
      <c r="D1934" s="1" t="n">
        <v>14</v>
      </c>
      <c r="E1934" s="1" t="n">
        <v>15</v>
      </c>
      <c r="F1934" s="1" t="n">
        <v>19</v>
      </c>
      <c r="G1934" s="1" t="n">
        <v>35</v>
      </c>
      <c r="H1934" s="1" t="n">
        <v>59</v>
      </c>
      <c r="I1934" s="1" t="str">
        <f aca="false">RIGHT(("0"&amp;C1934),2)&amp;RIGHT(("0"&amp;D1934),2)&amp;RIGHT(("0"&amp;E1934),2)&amp;RIGHT(("0"&amp;F1934),2)&amp;RIGHT(("0"&amp;G1934),2)&amp;RIGHT(("0"&amp;H1934),2)</f>
        <v>021415193559</v>
      </c>
      <c r="J1934" s="1" t="n">
        <f aca="false">COUNTIF(I:I,I1934)</f>
        <v>1</v>
      </c>
      <c r="K1934" s="1" t="n">
        <v>0</v>
      </c>
      <c r="M1934" s="1" t="s">
        <v>23</v>
      </c>
      <c r="N1934" s="1" t="n">
        <v>86</v>
      </c>
      <c r="O1934" s="1" t="s">
        <v>10583</v>
      </c>
      <c r="P1934" s="1" t="n">
        <v>6417</v>
      </c>
      <c r="Q1934" s="1" t="s">
        <v>10584</v>
      </c>
      <c r="R1934" s="1" t="s">
        <v>10585</v>
      </c>
      <c r="S1934" s="1" t="s">
        <v>10586</v>
      </c>
      <c r="T1934" s="1" t="s">
        <v>4309</v>
      </c>
      <c r="U1934" s="1" t="s">
        <v>10587</v>
      </c>
    </row>
    <row r="1935" customFormat="false" ht="13.8" hidden="false" customHeight="false" outlineLevel="0" collapsed="false">
      <c r="A1935" s="1" t="n">
        <v>1934</v>
      </c>
      <c r="B1935" s="2" t="s">
        <v>10588</v>
      </c>
      <c r="C1935" s="1" t="n">
        <v>8</v>
      </c>
      <c r="D1935" s="1" t="n">
        <v>23</v>
      </c>
      <c r="E1935" s="1" t="n">
        <v>35</v>
      </c>
      <c r="F1935" s="1" t="n">
        <v>39</v>
      </c>
      <c r="G1935" s="1" t="n">
        <v>56</v>
      </c>
      <c r="H1935" s="1" t="n">
        <v>59</v>
      </c>
      <c r="I1935" s="1" t="str">
        <f aca="false">RIGHT(("0"&amp;C1935),2)&amp;RIGHT(("0"&amp;D1935),2)&amp;RIGHT(("0"&amp;E1935),2)&amp;RIGHT(("0"&amp;F1935),2)&amp;RIGHT(("0"&amp;G1935),2)&amp;RIGHT(("0"&amp;H1935),2)</f>
        <v>082335395659</v>
      </c>
      <c r="J1935" s="1" t="n">
        <f aca="false">COUNTIF(I:I,I1935)</f>
        <v>1</v>
      </c>
      <c r="K1935" s="1" t="n">
        <v>0</v>
      </c>
      <c r="M1935" s="1" t="s">
        <v>23</v>
      </c>
      <c r="N1935" s="1" t="n">
        <v>105</v>
      </c>
      <c r="O1935" s="1" t="s">
        <v>10589</v>
      </c>
      <c r="P1935" s="1" t="n">
        <v>6699</v>
      </c>
      <c r="Q1935" s="1" t="s">
        <v>10590</v>
      </c>
      <c r="R1935" s="1" t="s">
        <v>10591</v>
      </c>
      <c r="S1935" s="1" t="s">
        <v>10592</v>
      </c>
      <c r="T1935" s="1" t="s">
        <v>9211</v>
      </c>
      <c r="U1935" s="1" t="s">
        <v>10593</v>
      </c>
    </row>
    <row r="1936" customFormat="false" ht="13.8" hidden="false" customHeight="false" outlineLevel="0" collapsed="false">
      <c r="A1936" s="1" t="n">
        <v>1935</v>
      </c>
      <c r="B1936" s="2" t="s">
        <v>10594</v>
      </c>
      <c r="C1936" s="1" t="n">
        <v>1</v>
      </c>
      <c r="D1936" s="1" t="n">
        <v>3</v>
      </c>
      <c r="E1936" s="1" t="n">
        <v>10</v>
      </c>
      <c r="F1936" s="1" t="n">
        <v>17</v>
      </c>
      <c r="G1936" s="1" t="n">
        <v>23</v>
      </c>
      <c r="H1936" s="1" t="n">
        <v>24</v>
      </c>
      <c r="I1936" s="1" t="str">
        <f aca="false">RIGHT(("0"&amp;C1936),2)&amp;RIGHT(("0"&amp;D1936),2)&amp;RIGHT(("0"&amp;E1936),2)&amp;RIGHT(("0"&amp;F1936),2)&amp;RIGHT(("0"&amp;G1936),2)&amp;RIGHT(("0"&amp;H1936),2)</f>
        <v>010310172324</v>
      </c>
      <c r="J1936" s="1" t="n">
        <f aca="false">COUNTIF(I:I,I1936)</f>
        <v>1</v>
      </c>
      <c r="K1936" s="1" t="n">
        <v>3</v>
      </c>
      <c r="L1936" s="1" t="s">
        <v>10595</v>
      </c>
      <c r="M1936" s="1" t="s">
        <v>10596</v>
      </c>
      <c r="N1936" s="1" t="n">
        <v>497</v>
      </c>
      <c r="O1936" s="1" t="s">
        <v>10597</v>
      </c>
      <c r="P1936" s="1" t="n">
        <v>18964</v>
      </c>
      <c r="Q1936" s="1" t="s">
        <v>10598</v>
      </c>
      <c r="R1936" s="1" t="s">
        <v>23</v>
      </c>
      <c r="S1936" s="1" t="s">
        <v>10599</v>
      </c>
      <c r="T1936" s="1" t="s">
        <v>473</v>
      </c>
      <c r="U1936" s="1" t="s">
        <v>10600</v>
      </c>
    </row>
    <row r="1937" customFormat="false" ht="13.8" hidden="false" customHeight="false" outlineLevel="0" collapsed="false">
      <c r="A1937" s="1" t="n">
        <v>1936</v>
      </c>
      <c r="B1937" s="2" t="s">
        <v>10601</v>
      </c>
      <c r="C1937" s="1" t="n">
        <v>3</v>
      </c>
      <c r="D1937" s="1" t="n">
        <v>12</v>
      </c>
      <c r="E1937" s="1" t="n">
        <v>24</v>
      </c>
      <c r="F1937" s="1" t="n">
        <v>40</v>
      </c>
      <c r="G1937" s="1" t="n">
        <v>51</v>
      </c>
      <c r="H1937" s="1" t="n">
        <v>52</v>
      </c>
      <c r="I1937" s="1" t="str">
        <f aca="false">RIGHT(("0"&amp;C1937),2)&amp;RIGHT(("0"&amp;D1937),2)&amp;RIGHT(("0"&amp;E1937),2)&amp;RIGHT(("0"&amp;F1937),2)&amp;RIGHT(("0"&amp;G1937),2)&amp;RIGHT(("0"&amp;H1937),2)</f>
        <v>031224405152</v>
      </c>
      <c r="J1937" s="1" t="n">
        <f aca="false">COUNTIF(I:I,I1937)</f>
        <v>1</v>
      </c>
      <c r="K1937" s="1" t="n">
        <v>0</v>
      </c>
      <c r="M1937" s="1" t="s">
        <v>23</v>
      </c>
      <c r="N1937" s="1" t="n">
        <v>43</v>
      </c>
      <c r="O1937" s="1" t="s">
        <v>10602</v>
      </c>
      <c r="P1937" s="1" t="n">
        <v>2686</v>
      </c>
      <c r="Q1937" s="1" t="s">
        <v>10603</v>
      </c>
      <c r="R1937" s="1" t="s">
        <v>10604</v>
      </c>
      <c r="S1937" s="1" t="s">
        <v>10605</v>
      </c>
      <c r="T1937" s="1" t="s">
        <v>5931</v>
      </c>
      <c r="U1937" s="1" t="s">
        <v>10606</v>
      </c>
    </row>
    <row r="1938" customFormat="false" ht="13.8" hidden="false" customHeight="false" outlineLevel="0" collapsed="false">
      <c r="A1938" s="1" t="n">
        <v>1937</v>
      </c>
      <c r="B1938" s="2" t="s">
        <v>10607</v>
      </c>
      <c r="C1938" s="1" t="n">
        <v>6</v>
      </c>
      <c r="D1938" s="1" t="n">
        <v>10</v>
      </c>
      <c r="E1938" s="1" t="n">
        <v>24</v>
      </c>
      <c r="F1938" s="1" t="n">
        <v>29</v>
      </c>
      <c r="G1938" s="1" t="n">
        <v>43</v>
      </c>
      <c r="H1938" s="1" t="n">
        <v>55</v>
      </c>
      <c r="I1938" s="1" t="str">
        <f aca="false">RIGHT(("0"&amp;C1938),2)&amp;RIGHT(("0"&amp;D1938),2)&amp;RIGHT(("0"&amp;E1938),2)&amp;RIGHT(("0"&amp;F1938),2)&amp;RIGHT(("0"&amp;G1938),2)&amp;RIGHT(("0"&amp;H1938),2)</f>
        <v>061024294355</v>
      </c>
      <c r="J1938" s="1" t="n">
        <f aca="false">COUNTIF(I:I,I1938)</f>
        <v>1</v>
      </c>
      <c r="K1938" s="1" t="n">
        <v>1</v>
      </c>
      <c r="L1938" s="1" t="s">
        <v>6152</v>
      </c>
      <c r="M1938" s="1" t="s">
        <v>10608</v>
      </c>
      <c r="N1938" s="1" t="n">
        <v>71</v>
      </c>
      <c r="O1938" s="1" t="s">
        <v>10609</v>
      </c>
      <c r="P1938" s="1" t="n">
        <v>4055</v>
      </c>
      <c r="Q1938" s="1" t="s">
        <v>10610</v>
      </c>
      <c r="R1938" s="1" t="s">
        <v>23</v>
      </c>
      <c r="S1938" s="1" t="s">
        <v>10611</v>
      </c>
      <c r="T1938" s="1" t="s">
        <v>473</v>
      </c>
      <c r="U1938" s="1" t="s">
        <v>10612</v>
      </c>
    </row>
    <row r="1939" customFormat="false" ht="13.8" hidden="false" customHeight="false" outlineLevel="0" collapsed="false">
      <c r="A1939" s="1" t="n">
        <v>1938</v>
      </c>
      <c r="B1939" s="2" t="s">
        <v>10613</v>
      </c>
      <c r="C1939" s="1" t="n">
        <v>10</v>
      </c>
      <c r="D1939" s="1" t="n">
        <v>16</v>
      </c>
      <c r="E1939" s="1" t="n">
        <v>32</v>
      </c>
      <c r="F1939" s="1" t="n">
        <v>40</v>
      </c>
      <c r="G1939" s="1" t="n">
        <v>42</v>
      </c>
      <c r="H1939" s="1" t="n">
        <v>54</v>
      </c>
      <c r="I1939" s="1" t="str">
        <f aca="false">RIGHT(("0"&amp;C1939),2)&amp;RIGHT(("0"&amp;D1939),2)&amp;RIGHT(("0"&amp;E1939),2)&amp;RIGHT(("0"&amp;F1939),2)&amp;RIGHT(("0"&amp;G1939),2)&amp;RIGHT(("0"&amp;H1939),2)</f>
        <v>101632404254</v>
      </c>
      <c r="J1939" s="1" t="n">
        <f aca="false">COUNTIF(I:I,I1939)</f>
        <v>1</v>
      </c>
      <c r="K1939" s="1" t="n">
        <v>0</v>
      </c>
      <c r="M1939" s="1" t="s">
        <v>23</v>
      </c>
      <c r="N1939" s="1" t="n">
        <v>24</v>
      </c>
      <c r="O1939" s="1" t="s">
        <v>10614</v>
      </c>
      <c r="P1939" s="1" t="n">
        <v>2220</v>
      </c>
      <c r="Q1939" s="1" t="s">
        <v>10615</v>
      </c>
      <c r="R1939" s="1" t="s">
        <v>10616</v>
      </c>
      <c r="S1939" s="1" t="s">
        <v>10617</v>
      </c>
      <c r="T1939" s="1" t="s">
        <v>5931</v>
      </c>
      <c r="U1939" s="1" t="s">
        <v>10618</v>
      </c>
    </row>
    <row r="1940" customFormat="false" ht="13.8" hidden="false" customHeight="false" outlineLevel="0" collapsed="false">
      <c r="A1940" s="1" t="n">
        <v>1939</v>
      </c>
      <c r="B1940" s="2" t="s">
        <v>10619</v>
      </c>
      <c r="C1940" s="1" t="n">
        <v>7</v>
      </c>
      <c r="D1940" s="1" t="n">
        <v>24</v>
      </c>
      <c r="E1940" s="1" t="n">
        <v>29</v>
      </c>
      <c r="F1940" s="1" t="n">
        <v>39</v>
      </c>
      <c r="G1940" s="1" t="n">
        <v>45</v>
      </c>
      <c r="H1940" s="1" t="n">
        <v>52</v>
      </c>
      <c r="I1940" s="1" t="str">
        <f aca="false">RIGHT(("0"&amp;C1940),2)&amp;RIGHT(("0"&amp;D1940),2)&amp;RIGHT(("0"&amp;E1940),2)&amp;RIGHT(("0"&amp;F1940),2)&amp;RIGHT(("0"&amp;G1940),2)&amp;RIGHT(("0"&amp;H1940),2)</f>
        <v>072429394552</v>
      </c>
      <c r="J1940" s="1" t="n">
        <f aca="false">COUNTIF(I:I,I1940)</f>
        <v>1</v>
      </c>
      <c r="K1940" s="1" t="n">
        <v>0</v>
      </c>
      <c r="M1940" s="1" t="s">
        <v>23</v>
      </c>
      <c r="N1940" s="1" t="n">
        <v>59</v>
      </c>
      <c r="O1940" s="1" t="s">
        <v>10620</v>
      </c>
      <c r="P1940" s="1" t="n">
        <v>3620</v>
      </c>
      <c r="Q1940" s="1" t="s">
        <v>10621</v>
      </c>
      <c r="R1940" s="1" t="s">
        <v>10622</v>
      </c>
      <c r="S1940" s="1" t="s">
        <v>10623</v>
      </c>
      <c r="T1940" s="1" t="s">
        <v>4299</v>
      </c>
      <c r="U1940" s="1" t="s">
        <v>10624</v>
      </c>
    </row>
    <row r="1941" customFormat="false" ht="13.8" hidden="false" customHeight="false" outlineLevel="0" collapsed="false">
      <c r="A1941" s="1" t="n">
        <v>1940</v>
      </c>
      <c r="B1941" s="2" t="s">
        <v>10625</v>
      </c>
      <c r="C1941" s="1" t="n">
        <v>9</v>
      </c>
      <c r="D1941" s="1" t="n">
        <v>13</v>
      </c>
      <c r="E1941" s="1" t="n">
        <v>16</v>
      </c>
      <c r="F1941" s="1" t="n">
        <v>17</v>
      </c>
      <c r="G1941" s="1" t="n">
        <v>36</v>
      </c>
      <c r="H1941" s="1" t="n">
        <v>47</v>
      </c>
      <c r="I1941" s="1" t="str">
        <f aca="false">RIGHT(("0"&amp;C1941),2)&amp;RIGHT(("0"&amp;D1941),2)&amp;RIGHT(("0"&amp;E1941),2)&amp;RIGHT(("0"&amp;F1941),2)&amp;RIGHT(("0"&amp;G1941),2)&amp;RIGHT(("0"&amp;H1941),2)</f>
        <v>091316173647</v>
      </c>
      <c r="J1941" s="1" t="n">
        <f aca="false">COUNTIF(I:I,I1941)</f>
        <v>1</v>
      </c>
      <c r="K1941" s="1" t="n">
        <v>0</v>
      </c>
      <c r="M1941" s="1" t="s">
        <v>23</v>
      </c>
      <c r="N1941" s="1" t="n">
        <v>95</v>
      </c>
      <c r="O1941" s="1" t="s">
        <v>10626</v>
      </c>
      <c r="P1941" s="1" t="n">
        <v>6468</v>
      </c>
      <c r="Q1941" s="1" t="s">
        <v>10627</v>
      </c>
      <c r="R1941" s="1" t="s">
        <v>10628</v>
      </c>
      <c r="S1941" s="1" t="s">
        <v>10629</v>
      </c>
      <c r="T1941" s="1" t="s">
        <v>10630</v>
      </c>
      <c r="U1941" s="1" t="s">
        <v>10631</v>
      </c>
    </row>
    <row r="1942" customFormat="false" ht="13.8" hidden="false" customHeight="false" outlineLevel="0" collapsed="false">
      <c r="A1942" s="1" t="n">
        <v>1941</v>
      </c>
      <c r="B1942" s="2" t="s">
        <v>10632</v>
      </c>
      <c r="C1942" s="1" t="n">
        <v>1</v>
      </c>
      <c r="D1942" s="1" t="n">
        <v>9</v>
      </c>
      <c r="E1942" s="1" t="n">
        <v>24</v>
      </c>
      <c r="F1942" s="1" t="n">
        <v>38</v>
      </c>
      <c r="G1942" s="1" t="n">
        <v>48</v>
      </c>
      <c r="H1942" s="1" t="n">
        <v>49</v>
      </c>
      <c r="I1942" s="1" t="str">
        <f aca="false">RIGHT(("0"&amp;C1942),2)&amp;RIGHT(("0"&amp;D1942),2)&amp;RIGHT(("0"&amp;E1942),2)&amp;RIGHT(("0"&amp;F1942),2)&amp;RIGHT(("0"&amp;G1942),2)&amp;RIGHT(("0"&amp;H1942),2)</f>
        <v>010924384849</v>
      </c>
      <c r="J1942" s="1" t="n">
        <f aca="false">COUNTIF(I:I,I1942)</f>
        <v>1</v>
      </c>
      <c r="K1942" s="1" t="n">
        <v>1</v>
      </c>
      <c r="L1942" s="1" t="s">
        <v>10633</v>
      </c>
      <c r="M1942" s="1" t="s">
        <v>10634</v>
      </c>
      <c r="N1942" s="1" t="n">
        <v>63</v>
      </c>
      <c r="O1942" s="1" t="s">
        <v>10635</v>
      </c>
      <c r="P1942" s="1" t="n">
        <v>4313</v>
      </c>
      <c r="Q1942" s="1" t="s">
        <v>10636</v>
      </c>
      <c r="R1942" s="1" t="s">
        <v>23</v>
      </c>
      <c r="S1942" s="1" t="s">
        <v>10637</v>
      </c>
      <c r="T1942" s="1" t="s">
        <v>473</v>
      </c>
      <c r="U1942" s="1" t="s">
        <v>10638</v>
      </c>
    </row>
    <row r="1943" customFormat="false" ht="13.8" hidden="false" customHeight="false" outlineLevel="0" collapsed="false">
      <c r="A1943" s="1" t="n">
        <v>1942</v>
      </c>
      <c r="B1943" s="2" t="s">
        <v>10639</v>
      </c>
      <c r="C1943" s="1" t="n">
        <v>6</v>
      </c>
      <c r="D1943" s="1" t="n">
        <v>18</v>
      </c>
      <c r="E1943" s="1" t="n">
        <v>20</v>
      </c>
      <c r="F1943" s="1" t="n">
        <v>24</v>
      </c>
      <c r="G1943" s="1" t="n">
        <v>43</v>
      </c>
      <c r="H1943" s="1" t="n">
        <v>48</v>
      </c>
      <c r="I1943" s="1" t="str">
        <f aca="false">RIGHT(("0"&amp;C1943),2)&amp;RIGHT(("0"&amp;D1943),2)&amp;RIGHT(("0"&amp;E1943),2)&amp;RIGHT(("0"&amp;F1943),2)&amp;RIGHT(("0"&amp;G1943),2)&amp;RIGHT(("0"&amp;H1943),2)</f>
        <v>061820244348</v>
      </c>
      <c r="J1943" s="1" t="n">
        <f aca="false">COUNTIF(I:I,I1943)</f>
        <v>1</v>
      </c>
      <c r="K1943" s="1" t="n">
        <v>0</v>
      </c>
      <c r="M1943" s="1" t="s">
        <v>23</v>
      </c>
      <c r="N1943" s="1" t="n">
        <v>56</v>
      </c>
      <c r="O1943" s="1" t="s">
        <v>10640</v>
      </c>
      <c r="P1943" s="1" t="n">
        <v>4126</v>
      </c>
      <c r="Q1943" s="1" t="s">
        <v>10641</v>
      </c>
      <c r="R1943" s="1" t="s">
        <v>10642</v>
      </c>
      <c r="S1943" s="1" t="s">
        <v>10643</v>
      </c>
      <c r="T1943" s="1" t="s">
        <v>4342</v>
      </c>
      <c r="U1943" s="1" t="s">
        <v>10644</v>
      </c>
    </row>
    <row r="1944" customFormat="false" ht="13.8" hidden="false" customHeight="false" outlineLevel="0" collapsed="false">
      <c r="A1944" s="1" t="n">
        <v>1943</v>
      </c>
      <c r="B1944" s="2" t="s">
        <v>10645</v>
      </c>
      <c r="C1944" s="1" t="n">
        <v>9</v>
      </c>
      <c r="D1944" s="1" t="n">
        <v>11</v>
      </c>
      <c r="E1944" s="1" t="n">
        <v>12</v>
      </c>
      <c r="F1944" s="1" t="n">
        <v>30</v>
      </c>
      <c r="G1944" s="1" t="n">
        <v>39</v>
      </c>
      <c r="H1944" s="1" t="n">
        <v>43</v>
      </c>
      <c r="I1944" s="1" t="str">
        <f aca="false">RIGHT(("0"&amp;C1944),2)&amp;RIGHT(("0"&amp;D1944),2)&amp;RIGHT(("0"&amp;E1944),2)&amp;RIGHT(("0"&amp;F1944),2)&amp;RIGHT(("0"&amp;G1944),2)&amp;RIGHT(("0"&amp;H1944),2)</f>
        <v>091112303943</v>
      </c>
      <c r="J1944" s="1" t="n">
        <f aca="false">COUNTIF(I:I,I1944)</f>
        <v>1</v>
      </c>
      <c r="K1944" s="1" t="n">
        <v>0</v>
      </c>
      <c r="M1944" s="1" t="s">
        <v>23</v>
      </c>
      <c r="N1944" s="1" t="n">
        <v>23</v>
      </c>
      <c r="O1944" s="1" t="s">
        <v>10646</v>
      </c>
      <c r="P1944" s="1" t="n">
        <v>2870</v>
      </c>
      <c r="Q1944" s="1" t="s">
        <v>10647</v>
      </c>
      <c r="R1944" s="1" t="s">
        <v>10648</v>
      </c>
      <c r="S1944" s="1" t="s">
        <v>10649</v>
      </c>
      <c r="T1944" s="1" t="s">
        <v>4347</v>
      </c>
      <c r="U1944" s="1" t="s">
        <v>10650</v>
      </c>
    </row>
    <row r="1945" customFormat="false" ht="13.8" hidden="false" customHeight="false" outlineLevel="0" collapsed="false">
      <c r="A1945" s="1" t="n">
        <v>1944</v>
      </c>
      <c r="B1945" s="2" t="s">
        <v>10651</v>
      </c>
      <c r="C1945" s="1" t="n">
        <v>8</v>
      </c>
      <c r="D1945" s="1" t="n">
        <v>9</v>
      </c>
      <c r="E1945" s="1" t="n">
        <v>39</v>
      </c>
      <c r="F1945" s="1" t="n">
        <v>47</v>
      </c>
      <c r="G1945" s="1" t="n">
        <v>57</v>
      </c>
      <c r="H1945" s="1" t="n">
        <v>59</v>
      </c>
      <c r="I1945" s="1" t="str">
        <f aca="false">RIGHT(("0"&amp;C1945),2)&amp;RIGHT(("0"&amp;D1945),2)&amp;RIGHT(("0"&amp;E1945),2)&amp;RIGHT(("0"&amp;F1945),2)&amp;RIGHT(("0"&amp;G1945),2)&amp;RIGHT(("0"&amp;H1945),2)</f>
        <v>080939475759</v>
      </c>
      <c r="J1945" s="1" t="n">
        <f aca="false">COUNTIF(I:I,I1945)</f>
        <v>1</v>
      </c>
      <c r="K1945" s="1" t="n">
        <v>0</v>
      </c>
      <c r="M1945" s="1" t="s">
        <v>23</v>
      </c>
      <c r="N1945" s="1" t="n">
        <v>41</v>
      </c>
      <c r="O1945" s="1" t="s">
        <v>10652</v>
      </c>
      <c r="P1945" s="1" t="n">
        <v>2879</v>
      </c>
      <c r="Q1945" s="1" t="s">
        <v>10653</v>
      </c>
      <c r="R1945" s="1" t="s">
        <v>10654</v>
      </c>
      <c r="S1945" s="1" t="s">
        <v>10655</v>
      </c>
      <c r="T1945" s="1" t="s">
        <v>4696</v>
      </c>
      <c r="U1945" s="1" t="s">
        <v>10656</v>
      </c>
    </row>
    <row r="1946" customFormat="false" ht="13.8" hidden="false" customHeight="false" outlineLevel="0" collapsed="false">
      <c r="A1946" s="1" t="n">
        <v>1945</v>
      </c>
      <c r="B1946" s="2" t="s">
        <v>10657</v>
      </c>
      <c r="C1946" s="1" t="n">
        <v>4</v>
      </c>
      <c r="D1946" s="1" t="n">
        <v>8</v>
      </c>
      <c r="E1946" s="1" t="n">
        <v>10</v>
      </c>
      <c r="F1946" s="1" t="n">
        <v>21</v>
      </c>
      <c r="G1946" s="1" t="n">
        <v>45</v>
      </c>
      <c r="H1946" s="1" t="n">
        <v>54</v>
      </c>
      <c r="I1946" s="1" t="str">
        <f aca="false">RIGHT(("0"&amp;C1946),2)&amp;RIGHT(("0"&amp;D1946),2)&amp;RIGHT(("0"&amp;E1946),2)&amp;RIGHT(("0"&amp;F1946),2)&amp;RIGHT(("0"&amp;G1946),2)&amp;RIGHT(("0"&amp;H1946),2)</f>
        <v>040810214554</v>
      </c>
      <c r="J1946" s="1" t="n">
        <f aca="false">COUNTIF(I:I,I1946)</f>
        <v>1</v>
      </c>
      <c r="K1946" s="1" t="n">
        <v>0</v>
      </c>
      <c r="M1946" s="1" t="s">
        <v>23</v>
      </c>
      <c r="N1946" s="1" t="n">
        <v>50</v>
      </c>
      <c r="O1946" s="1" t="s">
        <v>10658</v>
      </c>
      <c r="P1946" s="1" t="n">
        <v>4258</v>
      </c>
      <c r="Q1946" s="1" t="s">
        <v>10659</v>
      </c>
      <c r="R1946" s="1" t="s">
        <v>10660</v>
      </c>
      <c r="S1946" s="1" t="s">
        <v>10661</v>
      </c>
      <c r="T1946" s="1" t="s">
        <v>4213</v>
      </c>
      <c r="U1946" s="1" t="s">
        <v>10662</v>
      </c>
    </row>
    <row r="1947" customFormat="false" ht="13.8" hidden="false" customHeight="false" outlineLevel="0" collapsed="false">
      <c r="A1947" s="1" t="n">
        <v>1946</v>
      </c>
      <c r="B1947" s="2" t="s">
        <v>10663</v>
      </c>
      <c r="C1947" s="1" t="n">
        <v>4</v>
      </c>
      <c r="D1947" s="1" t="n">
        <v>6</v>
      </c>
      <c r="E1947" s="1" t="n">
        <v>39</v>
      </c>
      <c r="F1947" s="1" t="n">
        <v>44</v>
      </c>
      <c r="G1947" s="1" t="n">
        <v>52</v>
      </c>
      <c r="H1947" s="1" t="n">
        <v>60</v>
      </c>
      <c r="I1947" s="1" t="str">
        <f aca="false">RIGHT(("0"&amp;C1947),2)&amp;RIGHT(("0"&amp;D1947),2)&amp;RIGHT(("0"&amp;E1947),2)&amp;RIGHT(("0"&amp;F1947),2)&amp;RIGHT(("0"&amp;G1947),2)&amp;RIGHT(("0"&amp;H1947),2)</f>
        <v>040639445260</v>
      </c>
      <c r="J1947" s="1" t="n">
        <f aca="false">COUNTIF(I:I,I1947)</f>
        <v>1</v>
      </c>
      <c r="K1947" s="1" t="n">
        <v>0</v>
      </c>
      <c r="M1947" s="1" t="s">
        <v>23</v>
      </c>
      <c r="N1947" s="1" t="n">
        <v>40</v>
      </c>
      <c r="O1947" s="1" t="s">
        <v>10664</v>
      </c>
      <c r="P1947" s="1" t="n">
        <v>3729</v>
      </c>
      <c r="Q1947" s="1" t="s">
        <v>10665</v>
      </c>
      <c r="R1947" s="1" t="s">
        <v>10666</v>
      </c>
      <c r="S1947" s="1" t="s">
        <v>10667</v>
      </c>
      <c r="T1947" s="1" t="s">
        <v>4935</v>
      </c>
      <c r="U1947" s="1" t="s">
        <v>10668</v>
      </c>
    </row>
    <row r="1948" customFormat="false" ht="13.8" hidden="false" customHeight="false" outlineLevel="0" collapsed="false">
      <c r="A1948" s="1" t="n">
        <v>1947</v>
      </c>
      <c r="B1948" s="2" t="s">
        <v>10669</v>
      </c>
      <c r="C1948" s="1" t="n">
        <v>8</v>
      </c>
      <c r="D1948" s="1" t="n">
        <v>33</v>
      </c>
      <c r="E1948" s="1" t="n">
        <v>40</v>
      </c>
      <c r="F1948" s="1" t="n">
        <v>52</v>
      </c>
      <c r="G1948" s="1" t="n">
        <v>55</v>
      </c>
      <c r="H1948" s="1" t="n">
        <v>59</v>
      </c>
      <c r="I1948" s="1" t="str">
        <f aca="false">RIGHT(("0"&amp;C1948),2)&amp;RIGHT(("0"&amp;D1948),2)&amp;RIGHT(("0"&amp;E1948),2)&amp;RIGHT(("0"&amp;F1948),2)&amp;RIGHT(("0"&amp;G1948),2)&amp;RIGHT(("0"&amp;H1948),2)</f>
        <v>083340525559</v>
      </c>
      <c r="J1948" s="1" t="n">
        <f aca="false">COUNTIF(I:I,I1948)</f>
        <v>1</v>
      </c>
      <c r="K1948" s="1" t="n">
        <v>0</v>
      </c>
      <c r="M1948" s="1" t="s">
        <v>23</v>
      </c>
      <c r="N1948" s="1" t="n">
        <v>63</v>
      </c>
      <c r="O1948" s="1" t="s">
        <v>10670</v>
      </c>
      <c r="P1948" s="1" t="n">
        <v>4250</v>
      </c>
      <c r="Q1948" s="1" t="s">
        <v>10671</v>
      </c>
      <c r="R1948" s="1" t="s">
        <v>10672</v>
      </c>
      <c r="S1948" s="1" t="s">
        <v>10673</v>
      </c>
      <c r="T1948" s="1" t="s">
        <v>5154</v>
      </c>
      <c r="U1948" s="1" t="s">
        <v>10674</v>
      </c>
    </row>
    <row r="1949" customFormat="false" ht="13.8" hidden="false" customHeight="false" outlineLevel="0" collapsed="false">
      <c r="A1949" s="1" t="n">
        <v>1948</v>
      </c>
      <c r="B1949" s="2" t="s">
        <v>10675</v>
      </c>
      <c r="C1949" s="1" t="n">
        <v>12</v>
      </c>
      <c r="D1949" s="1" t="n">
        <v>20</v>
      </c>
      <c r="E1949" s="1" t="n">
        <v>24</v>
      </c>
      <c r="F1949" s="1" t="n">
        <v>28</v>
      </c>
      <c r="G1949" s="1" t="n">
        <v>33</v>
      </c>
      <c r="H1949" s="1" t="n">
        <v>57</v>
      </c>
      <c r="I1949" s="1" t="str">
        <f aca="false">RIGHT(("0"&amp;C1949),2)&amp;RIGHT(("0"&amp;D1949),2)&amp;RIGHT(("0"&amp;E1949),2)&amp;RIGHT(("0"&amp;F1949),2)&amp;RIGHT(("0"&amp;G1949),2)&amp;RIGHT(("0"&amp;H1949),2)</f>
        <v>122024283357</v>
      </c>
      <c r="J1949" s="1" t="n">
        <f aca="false">COUNTIF(I:I,I1949)</f>
        <v>1</v>
      </c>
      <c r="K1949" s="1" t="n">
        <v>0</v>
      </c>
      <c r="M1949" s="1" t="s">
        <v>23</v>
      </c>
      <c r="N1949" s="1" t="n">
        <v>100</v>
      </c>
      <c r="O1949" s="1" t="s">
        <v>10676</v>
      </c>
      <c r="P1949" s="1" t="n">
        <v>7199</v>
      </c>
      <c r="Q1949" s="1" t="s">
        <v>10677</v>
      </c>
      <c r="R1949" s="1" t="s">
        <v>10678</v>
      </c>
      <c r="S1949" s="1" t="s">
        <v>10679</v>
      </c>
      <c r="T1949" s="1" t="s">
        <v>4314</v>
      </c>
      <c r="U1949" s="1" t="s">
        <v>10680</v>
      </c>
    </row>
    <row r="1950" customFormat="false" ht="13.8" hidden="false" customHeight="false" outlineLevel="0" collapsed="false">
      <c r="A1950" s="1" t="n">
        <v>1949</v>
      </c>
      <c r="B1950" s="2" t="s">
        <v>10681</v>
      </c>
      <c r="C1950" s="1" t="n">
        <v>1</v>
      </c>
      <c r="D1950" s="1" t="n">
        <v>6</v>
      </c>
      <c r="E1950" s="1" t="n">
        <v>14</v>
      </c>
      <c r="F1950" s="1" t="n">
        <v>22</v>
      </c>
      <c r="G1950" s="1" t="n">
        <v>30</v>
      </c>
      <c r="H1950" s="1" t="n">
        <v>56</v>
      </c>
      <c r="I1950" s="1" t="str">
        <f aca="false">RIGHT(("0"&amp;C1950),2)&amp;RIGHT(("0"&amp;D1950),2)&amp;RIGHT(("0"&amp;E1950),2)&amp;RIGHT(("0"&amp;F1950),2)&amp;RIGHT(("0"&amp;G1950),2)&amp;RIGHT(("0"&amp;H1950),2)</f>
        <v>010614223056</v>
      </c>
      <c r="J1950" s="1" t="n">
        <f aca="false">COUNTIF(I:I,I1950)</f>
        <v>1</v>
      </c>
      <c r="K1950" s="1" t="n">
        <v>0</v>
      </c>
      <c r="M1950" s="1" t="s">
        <v>23</v>
      </c>
      <c r="N1950" s="1" t="n">
        <v>130</v>
      </c>
      <c r="O1950" s="1" t="s">
        <v>10682</v>
      </c>
      <c r="P1950" s="1" t="n">
        <v>8455</v>
      </c>
      <c r="Q1950" s="1" t="s">
        <v>10683</v>
      </c>
      <c r="R1950" s="1" t="s">
        <v>10684</v>
      </c>
      <c r="S1950" s="1" t="s">
        <v>10685</v>
      </c>
      <c r="T1950" s="1" t="s">
        <v>10686</v>
      </c>
      <c r="U1950" s="1" t="s">
        <v>10687</v>
      </c>
    </row>
    <row r="1951" customFormat="false" ht="13.8" hidden="false" customHeight="false" outlineLevel="0" collapsed="false">
      <c r="A1951" s="1" t="n">
        <v>1950</v>
      </c>
      <c r="B1951" s="2" t="s">
        <v>10688</v>
      </c>
      <c r="C1951" s="1" t="n">
        <v>10</v>
      </c>
      <c r="D1951" s="1" t="n">
        <v>21</v>
      </c>
      <c r="E1951" s="1" t="n">
        <v>32</v>
      </c>
      <c r="F1951" s="1" t="n">
        <v>34</v>
      </c>
      <c r="G1951" s="1" t="n">
        <v>48</v>
      </c>
      <c r="H1951" s="1" t="n">
        <v>57</v>
      </c>
      <c r="I1951" s="1" t="str">
        <f aca="false">RIGHT(("0"&amp;C1951),2)&amp;RIGHT(("0"&amp;D1951),2)&amp;RIGHT(("0"&amp;E1951),2)&amp;RIGHT(("0"&amp;F1951),2)&amp;RIGHT(("0"&amp;G1951),2)&amp;RIGHT(("0"&amp;H1951),2)</f>
        <v>102132344857</v>
      </c>
      <c r="J1951" s="1" t="n">
        <f aca="false">COUNTIF(I:I,I1951)</f>
        <v>1</v>
      </c>
      <c r="K1951" s="1" t="n">
        <v>0</v>
      </c>
      <c r="M1951" s="1" t="s">
        <v>23</v>
      </c>
      <c r="N1951" s="1" t="n">
        <v>88</v>
      </c>
      <c r="O1951" s="1" t="s">
        <v>10689</v>
      </c>
      <c r="P1951" s="1" t="n">
        <v>7215</v>
      </c>
      <c r="Q1951" s="1" t="s">
        <v>10690</v>
      </c>
      <c r="R1951" s="1" t="s">
        <v>10691</v>
      </c>
      <c r="S1951" s="1" t="s">
        <v>10692</v>
      </c>
      <c r="T1951" s="1" t="s">
        <v>10693</v>
      </c>
      <c r="U1951" s="1" t="s">
        <v>10694</v>
      </c>
    </row>
    <row r="1952" customFormat="false" ht="13.8" hidden="false" customHeight="false" outlineLevel="0" collapsed="false">
      <c r="A1952" s="1" t="n">
        <v>1951</v>
      </c>
      <c r="B1952" s="2" t="s">
        <v>10695</v>
      </c>
      <c r="C1952" s="1" t="n">
        <v>14</v>
      </c>
      <c r="D1952" s="1" t="n">
        <v>16</v>
      </c>
      <c r="E1952" s="1" t="n">
        <v>19</v>
      </c>
      <c r="F1952" s="1" t="n">
        <v>21</v>
      </c>
      <c r="G1952" s="1" t="n">
        <v>33</v>
      </c>
      <c r="H1952" s="1" t="n">
        <v>55</v>
      </c>
      <c r="I1952" s="1" t="str">
        <f aca="false">RIGHT(("0"&amp;C1952),2)&amp;RIGHT(("0"&amp;D1952),2)&amp;RIGHT(("0"&amp;E1952),2)&amp;RIGHT(("0"&amp;F1952),2)&amp;RIGHT(("0"&amp;G1952),2)&amp;RIGHT(("0"&amp;H1952),2)</f>
        <v>141619213355</v>
      </c>
      <c r="J1952" s="1" t="n">
        <f aca="false">COUNTIF(I:I,I1952)</f>
        <v>1</v>
      </c>
      <c r="K1952" s="1" t="n">
        <v>0</v>
      </c>
      <c r="M1952" s="1" t="s">
        <v>23</v>
      </c>
      <c r="N1952" s="1" t="n">
        <v>209</v>
      </c>
      <c r="O1952" s="1" t="s">
        <v>10696</v>
      </c>
      <c r="P1952" s="1" t="n">
        <v>13551</v>
      </c>
      <c r="Q1952" s="1" t="s">
        <v>10697</v>
      </c>
      <c r="R1952" s="1" t="s">
        <v>10698</v>
      </c>
      <c r="S1952" s="1" t="s">
        <v>10699</v>
      </c>
      <c r="T1952" s="1" t="s">
        <v>9814</v>
      </c>
      <c r="U1952" s="1" t="s">
        <v>10700</v>
      </c>
    </row>
    <row r="1953" customFormat="false" ht="13.8" hidden="false" customHeight="false" outlineLevel="0" collapsed="false">
      <c r="A1953" s="1" t="n">
        <v>1952</v>
      </c>
      <c r="B1953" s="2" t="s">
        <v>10701</v>
      </c>
      <c r="C1953" s="1" t="n">
        <v>9</v>
      </c>
      <c r="D1953" s="1" t="n">
        <v>21</v>
      </c>
      <c r="E1953" s="1" t="n">
        <v>36</v>
      </c>
      <c r="F1953" s="1" t="n">
        <v>38</v>
      </c>
      <c r="G1953" s="1" t="n">
        <v>52</v>
      </c>
      <c r="H1953" s="1" t="n">
        <v>53</v>
      </c>
      <c r="I1953" s="1" t="str">
        <f aca="false">RIGHT(("0"&amp;C1953),2)&amp;RIGHT(("0"&amp;D1953),2)&amp;RIGHT(("0"&amp;E1953),2)&amp;RIGHT(("0"&amp;F1953),2)&amp;RIGHT(("0"&amp;G1953),2)&amp;RIGHT(("0"&amp;H1953),2)</f>
        <v>092136385253</v>
      </c>
      <c r="J1953" s="1" t="n">
        <f aca="false">COUNTIF(I:I,I1953)</f>
        <v>1</v>
      </c>
      <c r="K1953" s="1" t="n">
        <v>0</v>
      </c>
      <c r="M1953" s="1" t="s">
        <v>23</v>
      </c>
      <c r="N1953" s="1" t="n">
        <v>180</v>
      </c>
      <c r="O1953" s="1" t="s">
        <v>10702</v>
      </c>
      <c r="P1953" s="1" t="n">
        <v>13017</v>
      </c>
      <c r="Q1953" s="1" t="s">
        <v>10703</v>
      </c>
      <c r="R1953" s="1" t="s">
        <v>10704</v>
      </c>
      <c r="S1953" s="1" t="s">
        <v>10705</v>
      </c>
      <c r="T1953" s="1" t="s">
        <v>8343</v>
      </c>
      <c r="U1953" s="1" t="s">
        <v>10706</v>
      </c>
    </row>
    <row r="1954" customFormat="false" ht="13.8" hidden="false" customHeight="false" outlineLevel="0" collapsed="false">
      <c r="A1954" s="1" t="n">
        <v>1953</v>
      </c>
      <c r="B1954" s="2" t="s">
        <v>10707</v>
      </c>
      <c r="C1954" s="1" t="n">
        <v>9</v>
      </c>
      <c r="D1954" s="1" t="n">
        <v>26</v>
      </c>
      <c r="E1954" s="1" t="n">
        <v>29</v>
      </c>
      <c r="F1954" s="1" t="n">
        <v>42</v>
      </c>
      <c r="G1954" s="1" t="n">
        <v>43</v>
      </c>
      <c r="H1954" s="1" t="n">
        <v>45</v>
      </c>
      <c r="I1954" s="1" t="str">
        <f aca="false">RIGHT(("0"&amp;C1954),2)&amp;RIGHT(("0"&amp;D1954),2)&amp;RIGHT(("0"&amp;E1954),2)&amp;RIGHT(("0"&amp;F1954),2)&amp;RIGHT(("0"&amp;G1954),2)&amp;RIGHT(("0"&amp;H1954),2)</f>
        <v>092629424345</v>
      </c>
      <c r="J1954" s="1" t="n">
        <f aca="false">COUNTIF(I:I,I1954)</f>
        <v>1</v>
      </c>
      <c r="K1954" s="1" t="n">
        <v>1</v>
      </c>
      <c r="L1954" s="1" t="s">
        <v>5310</v>
      </c>
      <c r="M1954" s="1" t="s">
        <v>10708</v>
      </c>
      <c r="N1954" s="1" t="n">
        <v>237</v>
      </c>
      <c r="O1954" s="1" t="s">
        <v>10709</v>
      </c>
      <c r="P1954" s="1" t="n">
        <v>16988</v>
      </c>
      <c r="Q1954" s="1" t="s">
        <v>10710</v>
      </c>
      <c r="R1954" s="1" t="s">
        <v>23</v>
      </c>
      <c r="S1954" s="1" t="s">
        <v>10711</v>
      </c>
      <c r="T1954" s="1" t="s">
        <v>473</v>
      </c>
      <c r="U1954" s="1" t="s">
        <v>10712</v>
      </c>
    </row>
    <row r="1955" customFormat="false" ht="13.8" hidden="false" customHeight="false" outlineLevel="0" collapsed="false">
      <c r="A1955" s="1" t="n">
        <v>1954</v>
      </c>
      <c r="B1955" s="2" t="s">
        <v>10713</v>
      </c>
      <c r="C1955" s="1" t="n">
        <v>9</v>
      </c>
      <c r="D1955" s="1" t="n">
        <v>25</v>
      </c>
      <c r="E1955" s="1" t="n">
        <v>33</v>
      </c>
      <c r="F1955" s="1" t="n">
        <v>35</v>
      </c>
      <c r="G1955" s="1" t="n">
        <v>40</v>
      </c>
      <c r="H1955" s="1" t="n">
        <v>49</v>
      </c>
      <c r="I1955" s="1" t="str">
        <f aca="false">RIGHT(("0"&amp;C1955),2)&amp;RIGHT(("0"&amp;D1955),2)&amp;RIGHT(("0"&amp;E1955),2)&amp;RIGHT(("0"&amp;F1955),2)&amp;RIGHT(("0"&amp;G1955),2)&amp;RIGHT(("0"&amp;H1955),2)</f>
        <v>092533354049</v>
      </c>
      <c r="J1955" s="1" t="n">
        <f aca="false">COUNTIF(I:I,I1955)</f>
        <v>1</v>
      </c>
      <c r="K1955" s="1" t="n">
        <v>0</v>
      </c>
      <c r="M1955" s="1" t="s">
        <v>23</v>
      </c>
      <c r="N1955" s="1" t="n">
        <v>32</v>
      </c>
      <c r="O1955" s="1" t="s">
        <v>10714</v>
      </c>
      <c r="P1955" s="1" t="n">
        <v>2483</v>
      </c>
      <c r="Q1955" s="1" t="s">
        <v>10715</v>
      </c>
      <c r="R1955" s="1" t="s">
        <v>10716</v>
      </c>
      <c r="S1955" s="1" t="s">
        <v>10717</v>
      </c>
      <c r="T1955" s="1" t="s">
        <v>4309</v>
      </c>
      <c r="U1955" s="1" t="s">
        <v>10718</v>
      </c>
    </row>
    <row r="1956" customFormat="false" ht="13.8" hidden="false" customHeight="false" outlineLevel="0" collapsed="false">
      <c r="A1956" s="1" t="n">
        <v>1955</v>
      </c>
      <c r="B1956" s="2" t="s">
        <v>10719</v>
      </c>
      <c r="C1956" s="1" t="n">
        <v>15</v>
      </c>
      <c r="D1956" s="1" t="n">
        <v>27</v>
      </c>
      <c r="E1956" s="1" t="n">
        <v>33</v>
      </c>
      <c r="F1956" s="1" t="n">
        <v>36</v>
      </c>
      <c r="G1956" s="1" t="n">
        <v>41</v>
      </c>
      <c r="H1956" s="1" t="n">
        <v>45</v>
      </c>
      <c r="I1956" s="1" t="str">
        <f aca="false">RIGHT(("0"&amp;C1956),2)&amp;RIGHT(("0"&amp;D1956),2)&amp;RIGHT(("0"&amp;E1956),2)&amp;RIGHT(("0"&amp;F1956),2)&amp;RIGHT(("0"&amp;G1956),2)&amp;RIGHT(("0"&amp;H1956),2)</f>
        <v>152733364145</v>
      </c>
      <c r="J1956" s="1" t="n">
        <f aca="false">COUNTIF(I:I,I1956)</f>
        <v>1</v>
      </c>
      <c r="K1956" s="1" t="n">
        <v>0</v>
      </c>
      <c r="M1956" s="1" t="s">
        <v>23</v>
      </c>
      <c r="N1956" s="1" t="n">
        <v>147</v>
      </c>
      <c r="O1956" s="1" t="s">
        <v>10720</v>
      </c>
      <c r="P1956" s="1" t="n">
        <v>7391</v>
      </c>
      <c r="Q1956" s="1" t="s">
        <v>10721</v>
      </c>
      <c r="R1956" s="1" t="s">
        <v>10722</v>
      </c>
      <c r="S1956" s="1" t="s">
        <v>10723</v>
      </c>
      <c r="T1956" s="1" t="s">
        <v>6077</v>
      </c>
      <c r="U1956" s="1" t="s">
        <v>10724</v>
      </c>
    </row>
    <row r="1957" customFormat="false" ht="13.8" hidden="false" customHeight="false" outlineLevel="0" collapsed="false">
      <c r="A1957" s="1" t="n">
        <v>1956</v>
      </c>
      <c r="B1957" s="2" t="s">
        <v>10725</v>
      </c>
      <c r="C1957" s="1" t="n">
        <v>5</v>
      </c>
      <c r="D1957" s="1" t="n">
        <v>8</v>
      </c>
      <c r="E1957" s="1" t="n">
        <v>20</v>
      </c>
      <c r="F1957" s="1" t="n">
        <v>28</v>
      </c>
      <c r="G1957" s="1" t="n">
        <v>40</v>
      </c>
      <c r="H1957" s="1" t="n">
        <v>45</v>
      </c>
      <c r="I1957" s="1" t="str">
        <f aca="false">RIGHT(("0"&amp;C1957),2)&amp;RIGHT(("0"&amp;D1957),2)&amp;RIGHT(("0"&amp;E1957),2)&amp;RIGHT(("0"&amp;F1957),2)&amp;RIGHT(("0"&amp;G1957),2)&amp;RIGHT(("0"&amp;H1957),2)</f>
        <v>050820284045</v>
      </c>
      <c r="J1957" s="1" t="n">
        <f aca="false">COUNTIF(I:I,I1957)</f>
        <v>1</v>
      </c>
      <c r="K1957" s="1" t="n">
        <v>0</v>
      </c>
      <c r="M1957" s="1" t="s">
        <v>23</v>
      </c>
      <c r="N1957" s="1" t="n">
        <v>74</v>
      </c>
      <c r="O1957" s="1" t="s">
        <v>10726</v>
      </c>
      <c r="P1957" s="1" t="n">
        <v>5000</v>
      </c>
      <c r="Q1957" s="1" t="s">
        <v>10075</v>
      </c>
      <c r="R1957" s="1" t="s">
        <v>10727</v>
      </c>
      <c r="S1957" s="1" t="s">
        <v>10728</v>
      </c>
      <c r="T1957" s="1" t="s">
        <v>6559</v>
      </c>
      <c r="U1957" s="1" t="s">
        <v>10729</v>
      </c>
    </row>
    <row r="1958" customFormat="false" ht="13.8" hidden="false" customHeight="false" outlineLevel="0" collapsed="false">
      <c r="A1958" s="1" t="n">
        <v>1957</v>
      </c>
      <c r="B1958" s="2" t="s">
        <v>10730</v>
      </c>
      <c r="C1958" s="1" t="n">
        <v>2</v>
      </c>
      <c r="D1958" s="1" t="n">
        <v>14</v>
      </c>
      <c r="E1958" s="1" t="n">
        <v>22</v>
      </c>
      <c r="F1958" s="1" t="n">
        <v>23</v>
      </c>
      <c r="G1958" s="1" t="n">
        <v>29</v>
      </c>
      <c r="H1958" s="1" t="n">
        <v>47</v>
      </c>
      <c r="I1958" s="1" t="str">
        <f aca="false">RIGHT(("0"&amp;C1958),2)&amp;RIGHT(("0"&amp;D1958),2)&amp;RIGHT(("0"&amp;E1958),2)&amp;RIGHT(("0"&amp;F1958),2)&amp;RIGHT(("0"&amp;G1958),2)&amp;RIGHT(("0"&amp;H1958),2)</f>
        <v>021422232947</v>
      </c>
      <c r="J1958" s="1" t="n">
        <f aca="false">COUNTIF(I:I,I1958)</f>
        <v>1</v>
      </c>
      <c r="K1958" s="1" t="n">
        <v>1</v>
      </c>
      <c r="L1958" s="1" t="s">
        <v>6893</v>
      </c>
      <c r="M1958" s="1" t="s">
        <v>10731</v>
      </c>
      <c r="N1958" s="1" t="n">
        <v>98</v>
      </c>
      <c r="O1958" s="1" t="s">
        <v>10732</v>
      </c>
      <c r="P1958" s="1" t="n">
        <v>8329</v>
      </c>
      <c r="Q1958" s="1" t="s">
        <v>10733</v>
      </c>
      <c r="R1958" s="1" t="s">
        <v>23</v>
      </c>
      <c r="S1958" s="1" t="s">
        <v>10734</v>
      </c>
      <c r="T1958" s="1" t="s">
        <v>4256</v>
      </c>
      <c r="U1958" s="1" t="s">
        <v>10735</v>
      </c>
    </row>
    <row r="1959" customFormat="false" ht="13.8" hidden="false" customHeight="false" outlineLevel="0" collapsed="false">
      <c r="A1959" s="1" t="n">
        <v>1958</v>
      </c>
      <c r="B1959" s="2" t="s">
        <v>10736</v>
      </c>
      <c r="C1959" s="1" t="n">
        <v>15</v>
      </c>
      <c r="D1959" s="1" t="n">
        <v>20</v>
      </c>
      <c r="E1959" s="1" t="n">
        <v>22</v>
      </c>
      <c r="F1959" s="1" t="n">
        <v>24</v>
      </c>
      <c r="G1959" s="1" t="n">
        <v>34</v>
      </c>
      <c r="H1959" s="1" t="n">
        <v>55</v>
      </c>
      <c r="I1959" s="1" t="str">
        <f aca="false">RIGHT(("0"&amp;C1959),2)&amp;RIGHT(("0"&amp;D1959),2)&amp;RIGHT(("0"&amp;E1959),2)&amp;RIGHT(("0"&amp;F1959),2)&amp;RIGHT(("0"&amp;G1959),2)&amp;RIGHT(("0"&amp;H1959),2)</f>
        <v>152022243455</v>
      </c>
      <c r="J1959" s="1" t="n">
        <f aca="false">COUNTIF(I:I,I1959)</f>
        <v>1</v>
      </c>
      <c r="K1959" s="1" t="n">
        <v>0</v>
      </c>
      <c r="M1959" s="1" t="s">
        <v>23</v>
      </c>
      <c r="N1959" s="1" t="n">
        <v>32</v>
      </c>
      <c r="O1959" s="1" t="s">
        <v>10737</v>
      </c>
      <c r="P1959" s="1" t="n">
        <v>2670</v>
      </c>
      <c r="Q1959" s="1" t="s">
        <v>10738</v>
      </c>
      <c r="R1959" s="1" t="s">
        <v>10739</v>
      </c>
      <c r="S1959" s="1" t="s">
        <v>10740</v>
      </c>
      <c r="T1959" s="1" t="s">
        <v>4232</v>
      </c>
      <c r="U1959" s="1" t="s">
        <v>10741</v>
      </c>
    </row>
    <row r="1960" customFormat="false" ht="13.8" hidden="false" customHeight="false" outlineLevel="0" collapsed="false">
      <c r="A1960" s="1" t="n">
        <v>1959</v>
      </c>
      <c r="B1960" s="2" t="s">
        <v>10742</v>
      </c>
      <c r="C1960" s="1" t="n">
        <v>8</v>
      </c>
      <c r="D1960" s="1" t="n">
        <v>21</v>
      </c>
      <c r="E1960" s="1" t="n">
        <v>27</v>
      </c>
      <c r="F1960" s="1" t="n">
        <v>35</v>
      </c>
      <c r="G1960" s="1" t="n">
        <v>43</v>
      </c>
      <c r="H1960" s="1" t="n">
        <v>56</v>
      </c>
      <c r="I1960" s="1" t="str">
        <f aca="false">RIGHT(("0"&amp;C1960),2)&amp;RIGHT(("0"&amp;D1960),2)&amp;RIGHT(("0"&amp;E1960),2)&amp;RIGHT(("0"&amp;F1960),2)&amp;RIGHT(("0"&amp;G1960),2)&amp;RIGHT(("0"&amp;H1960),2)</f>
        <v>082127354356</v>
      </c>
      <c r="J1960" s="1" t="n">
        <f aca="false">COUNTIF(I:I,I1960)</f>
        <v>1</v>
      </c>
      <c r="K1960" s="1" t="n">
        <v>0</v>
      </c>
      <c r="M1960" s="1" t="s">
        <v>23</v>
      </c>
      <c r="N1960" s="1" t="n">
        <v>94</v>
      </c>
      <c r="O1960" s="1" t="s">
        <v>10743</v>
      </c>
      <c r="P1960" s="1" t="n">
        <v>4639</v>
      </c>
      <c r="Q1960" s="1" t="s">
        <v>7073</v>
      </c>
      <c r="R1960" s="1" t="s">
        <v>10744</v>
      </c>
      <c r="S1960" s="1" t="s">
        <v>10745</v>
      </c>
      <c r="T1960" s="1" t="s">
        <v>4213</v>
      </c>
      <c r="U1960" s="1" t="s">
        <v>10746</v>
      </c>
    </row>
    <row r="1961" customFormat="false" ht="13.8" hidden="false" customHeight="false" outlineLevel="0" collapsed="false">
      <c r="A1961" s="1" t="n">
        <v>1960</v>
      </c>
      <c r="B1961" s="2" t="s">
        <v>10747</v>
      </c>
      <c r="C1961" s="1" t="n">
        <v>1</v>
      </c>
      <c r="D1961" s="1" t="n">
        <v>18</v>
      </c>
      <c r="E1961" s="1" t="n">
        <v>25</v>
      </c>
      <c r="F1961" s="1" t="n">
        <v>37</v>
      </c>
      <c r="G1961" s="1" t="n">
        <v>39</v>
      </c>
      <c r="H1961" s="1" t="n">
        <v>43</v>
      </c>
      <c r="I1961" s="1" t="str">
        <f aca="false">RIGHT(("0"&amp;C1961),2)&amp;RIGHT(("0"&amp;D1961),2)&amp;RIGHT(("0"&amp;E1961),2)&amp;RIGHT(("0"&amp;F1961),2)&amp;RIGHT(("0"&amp;G1961),2)&amp;RIGHT(("0"&amp;H1961),2)</f>
        <v>011825373943</v>
      </c>
      <c r="J1961" s="1" t="n">
        <f aca="false">COUNTIF(I:I,I1961)</f>
        <v>1</v>
      </c>
      <c r="K1961" s="1" t="n">
        <v>0</v>
      </c>
      <c r="M1961" s="1" t="s">
        <v>23</v>
      </c>
      <c r="N1961" s="1" t="n">
        <v>116</v>
      </c>
      <c r="O1961" s="1" t="s">
        <v>10748</v>
      </c>
      <c r="P1961" s="1" t="n">
        <v>6655</v>
      </c>
      <c r="Q1961" s="1" t="s">
        <v>10749</v>
      </c>
      <c r="R1961" s="1" t="s">
        <v>10750</v>
      </c>
      <c r="S1961" s="1" t="s">
        <v>10751</v>
      </c>
      <c r="T1961" s="1" t="s">
        <v>4935</v>
      </c>
      <c r="U1961" s="1" t="s">
        <v>10752</v>
      </c>
    </row>
    <row r="1962" customFormat="false" ht="13.8" hidden="false" customHeight="false" outlineLevel="0" collapsed="false">
      <c r="A1962" s="1" t="n">
        <v>1961</v>
      </c>
      <c r="B1962" s="2" t="s">
        <v>10753</v>
      </c>
      <c r="C1962" s="1" t="n">
        <v>17</v>
      </c>
      <c r="D1962" s="1" t="n">
        <v>25</v>
      </c>
      <c r="E1962" s="1" t="n">
        <v>26</v>
      </c>
      <c r="F1962" s="1" t="n">
        <v>30</v>
      </c>
      <c r="G1962" s="1" t="n">
        <v>32</v>
      </c>
      <c r="H1962" s="1" t="n">
        <v>50</v>
      </c>
      <c r="I1962" s="1" t="str">
        <f aca="false">RIGHT(("0"&amp;C1962),2)&amp;RIGHT(("0"&amp;D1962),2)&amp;RIGHT(("0"&amp;E1962),2)&amp;RIGHT(("0"&amp;F1962),2)&amp;RIGHT(("0"&amp;G1962),2)&amp;RIGHT(("0"&amp;H1962),2)</f>
        <v>172526303250</v>
      </c>
      <c r="J1962" s="1" t="n">
        <f aca="false">COUNTIF(I:I,I1962)</f>
        <v>1</v>
      </c>
      <c r="K1962" s="1" t="n">
        <v>0</v>
      </c>
      <c r="M1962" s="1" t="s">
        <v>23</v>
      </c>
      <c r="N1962" s="1" t="n">
        <v>55</v>
      </c>
      <c r="O1962" s="1" t="s">
        <v>10754</v>
      </c>
      <c r="P1962" s="1" t="n">
        <v>4505</v>
      </c>
      <c r="Q1962" s="1" t="s">
        <v>10755</v>
      </c>
      <c r="R1962" s="1" t="s">
        <v>10756</v>
      </c>
      <c r="S1962" s="1" t="s">
        <v>10757</v>
      </c>
      <c r="T1962" s="1" t="s">
        <v>6025</v>
      </c>
      <c r="U1962" s="1" t="s">
        <v>10758</v>
      </c>
    </row>
    <row r="1963" customFormat="false" ht="13.8" hidden="false" customHeight="false" outlineLevel="0" collapsed="false">
      <c r="A1963" s="1" t="n">
        <v>1962</v>
      </c>
      <c r="B1963" s="2" t="s">
        <v>10759</v>
      </c>
      <c r="C1963" s="1" t="n">
        <v>5</v>
      </c>
      <c r="D1963" s="1" t="n">
        <v>6</v>
      </c>
      <c r="E1963" s="1" t="n">
        <v>15</v>
      </c>
      <c r="F1963" s="1" t="n">
        <v>25</v>
      </c>
      <c r="G1963" s="1" t="n">
        <v>39</v>
      </c>
      <c r="H1963" s="1" t="n">
        <v>53</v>
      </c>
      <c r="I1963" s="1" t="str">
        <f aca="false">RIGHT(("0"&amp;C1963),2)&amp;RIGHT(("0"&amp;D1963),2)&amp;RIGHT(("0"&amp;E1963),2)&amp;RIGHT(("0"&amp;F1963),2)&amp;RIGHT(("0"&amp;G1963),2)&amp;RIGHT(("0"&amp;H1963),2)</f>
        <v>050615253953</v>
      </c>
      <c r="J1963" s="1" t="n">
        <f aca="false">COUNTIF(I:I,I1963)</f>
        <v>1</v>
      </c>
      <c r="K1963" s="1" t="n">
        <v>0</v>
      </c>
      <c r="M1963" s="1" t="s">
        <v>23</v>
      </c>
      <c r="N1963" s="1" t="n">
        <v>86</v>
      </c>
      <c r="O1963" s="1" t="s">
        <v>10760</v>
      </c>
      <c r="P1963" s="1" t="n">
        <v>6431</v>
      </c>
      <c r="Q1963" s="1" t="s">
        <v>10761</v>
      </c>
      <c r="R1963" s="1" t="s">
        <v>10762</v>
      </c>
      <c r="S1963" s="1" t="s">
        <v>10763</v>
      </c>
      <c r="T1963" s="1" t="s">
        <v>8236</v>
      </c>
      <c r="U1963" s="1" t="s">
        <v>10764</v>
      </c>
    </row>
    <row r="1964" customFormat="false" ht="13.8" hidden="false" customHeight="false" outlineLevel="0" collapsed="false">
      <c r="A1964" s="1" t="n">
        <v>1963</v>
      </c>
      <c r="B1964" s="2" t="s">
        <v>10765</v>
      </c>
      <c r="C1964" s="1" t="n">
        <v>4</v>
      </c>
      <c r="D1964" s="1" t="n">
        <v>5</v>
      </c>
      <c r="E1964" s="1" t="n">
        <v>7</v>
      </c>
      <c r="F1964" s="1" t="n">
        <v>34</v>
      </c>
      <c r="G1964" s="1" t="n">
        <v>42</v>
      </c>
      <c r="H1964" s="1" t="n">
        <v>60</v>
      </c>
      <c r="I1964" s="1" t="str">
        <f aca="false">RIGHT(("0"&amp;C1964),2)&amp;RIGHT(("0"&amp;D1964),2)&amp;RIGHT(("0"&amp;E1964),2)&amp;RIGHT(("0"&amp;F1964),2)&amp;RIGHT(("0"&amp;G1964),2)&amp;RIGHT(("0"&amp;H1964),2)</f>
        <v>040507344260</v>
      </c>
      <c r="J1964" s="1" t="n">
        <f aca="false">COUNTIF(I:I,I1964)</f>
        <v>1</v>
      </c>
      <c r="K1964" s="1" t="n">
        <v>0</v>
      </c>
      <c r="M1964" s="1" t="s">
        <v>23</v>
      </c>
      <c r="N1964" s="1" t="n">
        <v>80</v>
      </c>
      <c r="O1964" s="1" t="s">
        <v>10766</v>
      </c>
      <c r="P1964" s="1" t="n">
        <v>6686</v>
      </c>
      <c r="Q1964" s="1" t="s">
        <v>10767</v>
      </c>
      <c r="R1964" s="1" t="s">
        <v>10768</v>
      </c>
      <c r="S1964" s="1" t="s">
        <v>10769</v>
      </c>
      <c r="T1964" s="1" t="s">
        <v>6559</v>
      </c>
      <c r="U1964" s="1" t="s">
        <v>10770</v>
      </c>
    </row>
    <row r="1965" customFormat="false" ht="13.8" hidden="false" customHeight="false" outlineLevel="0" collapsed="false">
      <c r="A1965" s="1" t="n">
        <v>1964</v>
      </c>
      <c r="B1965" s="2" t="s">
        <v>10771</v>
      </c>
      <c r="C1965" s="1" t="n">
        <v>2</v>
      </c>
      <c r="D1965" s="1" t="n">
        <v>27</v>
      </c>
      <c r="E1965" s="1" t="n">
        <v>32</v>
      </c>
      <c r="F1965" s="1" t="n">
        <v>36</v>
      </c>
      <c r="G1965" s="1" t="n">
        <v>48</v>
      </c>
      <c r="H1965" s="1" t="n">
        <v>50</v>
      </c>
      <c r="I1965" s="1" t="str">
        <f aca="false">RIGHT(("0"&amp;C1965),2)&amp;RIGHT(("0"&amp;D1965),2)&amp;RIGHT(("0"&amp;E1965),2)&amp;RIGHT(("0"&amp;F1965),2)&amp;RIGHT(("0"&amp;G1965),2)&amp;RIGHT(("0"&amp;H1965),2)</f>
        <v>022732364850</v>
      </c>
      <c r="J1965" s="1" t="n">
        <f aca="false">COUNTIF(I:I,I1965)</f>
        <v>1</v>
      </c>
      <c r="K1965" s="1" t="n">
        <v>0</v>
      </c>
      <c r="M1965" s="1" t="s">
        <v>23</v>
      </c>
      <c r="N1965" s="1" t="n">
        <v>119</v>
      </c>
      <c r="O1965" s="1" t="s">
        <v>10772</v>
      </c>
      <c r="P1965" s="1" t="n">
        <v>7880</v>
      </c>
      <c r="Q1965" s="1" t="s">
        <v>10773</v>
      </c>
      <c r="R1965" s="1" t="s">
        <v>10774</v>
      </c>
      <c r="S1965" s="1" t="s">
        <v>10775</v>
      </c>
      <c r="T1965" s="1" t="s">
        <v>10776</v>
      </c>
      <c r="U1965" s="1" t="s">
        <v>10777</v>
      </c>
    </row>
    <row r="1966" customFormat="false" ht="13.8" hidden="false" customHeight="false" outlineLevel="0" collapsed="false">
      <c r="A1966" s="1" t="n">
        <v>1965</v>
      </c>
      <c r="B1966" s="2" t="s">
        <v>10778</v>
      </c>
      <c r="C1966" s="1" t="n">
        <v>26</v>
      </c>
      <c r="D1966" s="1" t="n">
        <v>28</v>
      </c>
      <c r="E1966" s="1" t="n">
        <v>35</v>
      </c>
      <c r="F1966" s="1" t="n">
        <v>38</v>
      </c>
      <c r="G1966" s="1" t="n">
        <v>48</v>
      </c>
      <c r="H1966" s="1" t="n">
        <v>55</v>
      </c>
      <c r="I1966" s="1" t="str">
        <f aca="false">RIGHT(("0"&amp;C1966),2)&amp;RIGHT(("0"&amp;D1966),2)&amp;RIGHT(("0"&amp;E1966),2)&amp;RIGHT(("0"&amp;F1966),2)&amp;RIGHT(("0"&amp;G1966),2)&amp;RIGHT(("0"&amp;H1966),2)</f>
        <v>262835384855</v>
      </c>
      <c r="J1966" s="1" t="n">
        <f aca="false">COUNTIF(I:I,I1966)</f>
        <v>1</v>
      </c>
      <c r="K1966" s="1" t="n">
        <v>1</v>
      </c>
      <c r="L1966" s="1" t="s">
        <v>10779</v>
      </c>
      <c r="M1966" s="1" t="s">
        <v>10780</v>
      </c>
      <c r="N1966" s="1" t="n">
        <v>98</v>
      </c>
      <c r="O1966" s="1" t="s">
        <v>10781</v>
      </c>
      <c r="P1966" s="1" t="n">
        <v>6377</v>
      </c>
      <c r="Q1966" s="1" t="s">
        <v>10782</v>
      </c>
      <c r="R1966" s="1" t="s">
        <v>23</v>
      </c>
      <c r="S1966" s="1" t="s">
        <v>10783</v>
      </c>
      <c r="T1966" s="1" t="s">
        <v>4256</v>
      </c>
      <c r="U1966" s="1" t="s">
        <v>10784</v>
      </c>
    </row>
    <row r="1967" customFormat="false" ht="13.8" hidden="false" customHeight="false" outlineLevel="0" collapsed="false">
      <c r="A1967" s="1" t="n">
        <v>1966</v>
      </c>
      <c r="B1967" s="2" t="s">
        <v>10785</v>
      </c>
      <c r="C1967" s="1" t="n">
        <v>10</v>
      </c>
      <c r="D1967" s="1" t="n">
        <v>13</v>
      </c>
      <c r="E1967" s="1" t="n">
        <v>19</v>
      </c>
      <c r="F1967" s="1" t="n">
        <v>32</v>
      </c>
      <c r="G1967" s="1" t="n">
        <v>40</v>
      </c>
      <c r="H1967" s="1" t="n">
        <v>60</v>
      </c>
      <c r="I1967" s="1" t="str">
        <f aca="false">RIGHT(("0"&amp;C1967),2)&amp;RIGHT(("0"&amp;D1967),2)&amp;RIGHT(("0"&amp;E1967),2)&amp;RIGHT(("0"&amp;F1967),2)&amp;RIGHT(("0"&amp;G1967),2)&amp;RIGHT(("0"&amp;H1967),2)</f>
        <v>101319324060</v>
      </c>
      <c r="J1967" s="1" t="n">
        <f aca="false">COUNTIF(I:I,I1967)</f>
        <v>1</v>
      </c>
      <c r="K1967" s="1" t="n">
        <v>0</v>
      </c>
      <c r="M1967" s="1" t="s">
        <v>23</v>
      </c>
      <c r="N1967" s="1" t="n">
        <v>29</v>
      </c>
      <c r="O1967" s="1" t="s">
        <v>10786</v>
      </c>
      <c r="P1967" s="1" t="n">
        <v>2758</v>
      </c>
      <c r="Q1967" s="1" t="s">
        <v>10787</v>
      </c>
      <c r="R1967" s="1" t="s">
        <v>10788</v>
      </c>
      <c r="S1967" s="1" t="s">
        <v>10789</v>
      </c>
      <c r="T1967" s="1" t="s">
        <v>7089</v>
      </c>
      <c r="U1967" s="1" t="s">
        <v>10790</v>
      </c>
    </row>
    <row r="1968" customFormat="false" ht="13.8" hidden="false" customHeight="false" outlineLevel="0" collapsed="false">
      <c r="A1968" s="1" t="n">
        <v>1967</v>
      </c>
      <c r="B1968" s="2" t="s">
        <v>10791</v>
      </c>
      <c r="C1968" s="1" t="n">
        <v>13</v>
      </c>
      <c r="D1968" s="1" t="n">
        <v>30</v>
      </c>
      <c r="E1968" s="1" t="n">
        <v>32</v>
      </c>
      <c r="F1968" s="1" t="n">
        <v>39</v>
      </c>
      <c r="G1968" s="1" t="n">
        <v>46</v>
      </c>
      <c r="H1968" s="1" t="n">
        <v>54</v>
      </c>
      <c r="I1968" s="1" t="str">
        <f aca="false">RIGHT(("0"&amp;C1968),2)&amp;RIGHT(("0"&amp;D1968),2)&amp;RIGHT(("0"&amp;E1968),2)&amp;RIGHT(("0"&amp;F1968),2)&amp;RIGHT(("0"&amp;G1968),2)&amp;RIGHT(("0"&amp;H1968),2)</f>
        <v>133032394654</v>
      </c>
      <c r="J1968" s="1" t="n">
        <f aca="false">COUNTIF(I:I,I1968)</f>
        <v>1</v>
      </c>
      <c r="K1968" s="1" t="n">
        <v>0</v>
      </c>
      <c r="M1968" s="1" t="s">
        <v>23</v>
      </c>
      <c r="N1968" s="1" t="n">
        <v>43</v>
      </c>
      <c r="O1968" s="1" t="s">
        <v>10792</v>
      </c>
      <c r="P1968" s="1" t="n">
        <v>3175</v>
      </c>
      <c r="Q1968" s="1" t="s">
        <v>10793</v>
      </c>
      <c r="R1968" s="1" t="s">
        <v>10794</v>
      </c>
      <c r="S1968" s="1" t="s">
        <v>10795</v>
      </c>
      <c r="T1968" s="1" t="s">
        <v>4195</v>
      </c>
      <c r="U1968" s="1" t="s">
        <v>10796</v>
      </c>
    </row>
    <row r="1969" customFormat="false" ht="13.8" hidden="false" customHeight="false" outlineLevel="0" collapsed="false">
      <c r="A1969" s="1" t="n">
        <v>1968</v>
      </c>
      <c r="B1969" s="2" t="s">
        <v>10797</v>
      </c>
      <c r="C1969" s="1" t="n">
        <v>35</v>
      </c>
      <c r="D1969" s="1" t="n">
        <v>36</v>
      </c>
      <c r="E1969" s="1" t="n">
        <v>39</v>
      </c>
      <c r="F1969" s="1" t="n">
        <v>44</v>
      </c>
      <c r="G1969" s="1" t="n">
        <v>48</v>
      </c>
      <c r="H1969" s="1" t="n">
        <v>52</v>
      </c>
      <c r="I1969" s="1" t="str">
        <f aca="false">RIGHT(("0"&amp;C1969),2)&amp;RIGHT(("0"&amp;D1969),2)&amp;RIGHT(("0"&amp;E1969),2)&amp;RIGHT(("0"&amp;F1969),2)&amp;RIGHT(("0"&amp;G1969),2)&amp;RIGHT(("0"&amp;H1969),2)</f>
        <v>353639444852</v>
      </c>
      <c r="J1969" s="1" t="n">
        <f aca="false">COUNTIF(I:I,I1969)</f>
        <v>1</v>
      </c>
      <c r="K1969" s="1" t="n">
        <v>0</v>
      </c>
      <c r="M1969" s="1" t="s">
        <v>23</v>
      </c>
      <c r="N1969" s="1" t="n">
        <v>48</v>
      </c>
      <c r="O1969" s="1" t="s">
        <v>10798</v>
      </c>
      <c r="P1969" s="1" t="n">
        <v>3782</v>
      </c>
      <c r="Q1969" s="1" t="s">
        <v>10799</v>
      </c>
      <c r="R1969" s="1" t="s">
        <v>10800</v>
      </c>
      <c r="S1969" s="1" t="s">
        <v>10801</v>
      </c>
      <c r="T1969" s="1" t="s">
        <v>10246</v>
      </c>
      <c r="U1969" s="1" t="s">
        <v>10802</v>
      </c>
    </row>
    <row r="1970" customFormat="false" ht="13.8" hidden="false" customHeight="false" outlineLevel="0" collapsed="false">
      <c r="A1970" s="1" t="n">
        <v>1969</v>
      </c>
      <c r="B1970" s="2" t="s">
        <v>10803</v>
      </c>
      <c r="C1970" s="1" t="n">
        <v>8</v>
      </c>
      <c r="D1970" s="1" t="n">
        <v>20</v>
      </c>
      <c r="E1970" s="1" t="n">
        <v>30</v>
      </c>
      <c r="F1970" s="1" t="n">
        <v>32</v>
      </c>
      <c r="G1970" s="1" t="n">
        <v>48</v>
      </c>
      <c r="H1970" s="1" t="n">
        <v>59</v>
      </c>
      <c r="I1970" s="1" t="str">
        <f aca="false">RIGHT(("0"&amp;C1970),2)&amp;RIGHT(("0"&amp;D1970),2)&amp;RIGHT(("0"&amp;E1970),2)&amp;RIGHT(("0"&amp;F1970),2)&amp;RIGHT(("0"&amp;G1970),2)&amp;RIGHT(("0"&amp;H1970),2)</f>
        <v>082030324859</v>
      </c>
      <c r="J1970" s="1" t="n">
        <f aca="false">COUNTIF(I:I,I1970)</f>
        <v>1</v>
      </c>
      <c r="K1970" s="1" t="n">
        <v>0</v>
      </c>
      <c r="M1970" s="1" t="s">
        <v>23</v>
      </c>
      <c r="N1970" s="1" t="n">
        <v>20</v>
      </c>
      <c r="O1970" s="1" t="s">
        <v>10804</v>
      </c>
      <c r="P1970" s="1" t="n">
        <v>1999</v>
      </c>
      <c r="Q1970" s="1" t="s">
        <v>10805</v>
      </c>
      <c r="R1970" s="1" t="s">
        <v>10806</v>
      </c>
      <c r="S1970" s="1" t="s">
        <v>10807</v>
      </c>
      <c r="T1970" s="1" t="s">
        <v>3892</v>
      </c>
      <c r="U1970" s="1" t="s">
        <v>10808</v>
      </c>
    </row>
    <row r="1971" customFormat="false" ht="13.8" hidden="false" customHeight="false" outlineLevel="0" collapsed="false">
      <c r="A1971" s="1" t="n">
        <v>1970</v>
      </c>
      <c r="B1971" s="2" t="s">
        <v>10809</v>
      </c>
      <c r="C1971" s="1" t="n">
        <v>5</v>
      </c>
      <c r="D1971" s="1" t="n">
        <v>10</v>
      </c>
      <c r="E1971" s="1" t="n">
        <v>18</v>
      </c>
      <c r="F1971" s="1" t="n">
        <v>24</v>
      </c>
      <c r="G1971" s="1" t="n">
        <v>39</v>
      </c>
      <c r="H1971" s="1" t="n">
        <v>52</v>
      </c>
      <c r="I1971" s="1" t="str">
        <f aca="false">RIGHT(("0"&amp;C1971),2)&amp;RIGHT(("0"&amp;D1971),2)&amp;RIGHT(("0"&amp;E1971),2)&amp;RIGHT(("0"&amp;F1971),2)&amp;RIGHT(("0"&amp;G1971),2)&amp;RIGHT(("0"&amp;H1971),2)</f>
        <v>051018243952</v>
      </c>
      <c r="J1971" s="1" t="n">
        <f aca="false">COUNTIF(I:I,I1971)</f>
        <v>1</v>
      </c>
      <c r="K1971" s="1" t="n">
        <v>0</v>
      </c>
      <c r="M1971" s="1" t="s">
        <v>23</v>
      </c>
      <c r="N1971" s="1" t="n">
        <v>87</v>
      </c>
      <c r="O1971" s="1" t="s">
        <v>10810</v>
      </c>
      <c r="P1971" s="1" t="n">
        <v>6153</v>
      </c>
      <c r="Q1971" s="1" t="s">
        <v>10811</v>
      </c>
      <c r="R1971" s="1" t="s">
        <v>10812</v>
      </c>
      <c r="S1971" s="1" t="s">
        <v>10813</v>
      </c>
      <c r="T1971" s="1" t="s">
        <v>4968</v>
      </c>
      <c r="U1971" s="1" t="s">
        <v>10814</v>
      </c>
    </row>
    <row r="1972" customFormat="false" ht="13.8" hidden="false" customHeight="false" outlineLevel="0" collapsed="false">
      <c r="A1972" s="1" t="n">
        <v>1971</v>
      </c>
      <c r="B1972" s="2" t="s">
        <v>10815</v>
      </c>
      <c r="C1972" s="1" t="n">
        <v>4</v>
      </c>
      <c r="D1972" s="1" t="n">
        <v>10</v>
      </c>
      <c r="E1972" s="1" t="n">
        <v>41</v>
      </c>
      <c r="F1972" s="1" t="n">
        <v>44</v>
      </c>
      <c r="G1972" s="1" t="n">
        <v>52</v>
      </c>
      <c r="H1972" s="1" t="n">
        <v>54</v>
      </c>
      <c r="I1972" s="1" t="str">
        <f aca="false">RIGHT(("0"&amp;C1972),2)&amp;RIGHT(("0"&amp;D1972),2)&amp;RIGHT(("0"&amp;E1972),2)&amp;RIGHT(("0"&amp;F1972),2)&amp;RIGHT(("0"&amp;G1972),2)&amp;RIGHT(("0"&amp;H1972),2)</f>
        <v>041041445254</v>
      </c>
      <c r="J1972" s="1" t="n">
        <f aca="false">COUNTIF(I:I,I1972)</f>
        <v>1</v>
      </c>
      <c r="K1972" s="1" t="n">
        <v>0</v>
      </c>
      <c r="M1972" s="1" t="s">
        <v>23</v>
      </c>
      <c r="N1972" s="1" t="n">
        <v>39</v>
      </c>
      <c r="O1972" s="1" t="s">
        <v>10816</v>
      </c>
      <c r="P1972" s="1" t="n">
        <v>4001</v>
      </c>
      <c r="Q1972" s="1" t="s">
        <v>10817</v>
      </c>
      <c r="R1972" s="1" t="s">
        <v>10818</v>
      </c>
      <c r="S1972" s="1" t="s">
        <v>10819</v>
      </c>
      <c r="T1972" s="1" t="s">
        <v>4309</v>
      </c>
      <c r="U1972" s="1" t="s">
        <v>10820</v>
      </c>
    </row>
    <row r="1973" customFormat="false" ht="13.8" hidden="false" customHeight="false" outlineLevel="0" collapsed="false">
      <c r="A1973" s="1" t="n">
        <v>1972</v>
      </c>
      <c r="B1973" s="2" t="s">
        <v>10821</v>
      </c>
      <c r="C1973" s="1" t="n">
        <v>9</v>
      </c>
      <c r="D1973" s="1" t="n">
        <v>16</v>
      </c>
      <c r="E1973" s="1" t="n">
        <v>20</v>
      </c>
      <c r="F1973" s="1" t="n">
        <v>54</v>
      </c>
      <c r="G1973" s="1" t="n">
        <v>57</v>
      </c>
      <c r="H1973" s="1" t="n">
        <v>59</v>
      </c>
      <c r="I1973" s="1" t="str">
        <f aca="false">RIGHT(("0"&amp;C1973),2)&amp;RIGHT(("0"&amp;D1973),2)&amp;RIGHT(("0"&amp;E1973),2)&amp;RIGHT(("0"&amp;F1973),2)&amp;RIGHT(("0"&amp;G1973),2)&amp;RIGHT(("0"&amp;H1973),2)</f>
        <v>091620545759</v>
      </c>
      <c r="J1973" s="1" t="n">
        <f aca="false">COUNTIF(I:I,I1973)</f>
        <v>1</v>
      </c>
      <c r="K1973" s="1" t="n">
        <v>0</v>
      </c>
      <c r="M1973" s="1" t="s">
        <v>23</v>
      </c>
      <c r="N1973" s="1" t="n">
        <v>85</v>
      </c>
      <c r="O1973" s="1" t="s">
        <v>10822</v>
      </c>
      <c r="P1973" s="1" t="n">
        <v>5317</v>
      </c>
      <c r="Q1973" s="1" t="s">
        <v>10823</v>
      </c>
      <c r="R1973" s="1" t="s">
        <v>10824</v>
      </c>
      <c r="S1973" s="1" t="s">
        <v>10825</v>
      </c>
      <c r="T1973" s="1" t="s">
        <v>5782</v>
      </c>
      <c r="U1973" s="1" t="s">
        <v>10826</v>
      </c>
    </row>
    <row r="1974" customFormat="false" ht="13.8" hidden="false" customHeight="false" outlineLevel="0" collapsed="false">
      <c r="A1974" s="1" t="n">
        <v>1973</v>
      </c>
      <c r="B1974" s="2" t="s">
        <v>10827</v>
      </c>
      <c r="C1974" s="1" t="n">
        <v>1</v>
      </c>
      <c r="D1974" s="1" t="n">
        <v>12</v>
      </c>
      <c r="E1974" s="1" t="n">
        <v>16</v>
      </c>
      <c r="F1974" s="1" t="n">
        <v>17</v>
      </c>
      <c r="G1974" s="1" t="n">
        <v>52</v>
      </c>
      <c r="H1974" s="1" t="n">
        <v>60</v>
      </c>
      <c r="I1974" s="1" t="str">
        <f aca="false">RIGHT(("0"&amp;C1974),2)&amp;RIGHT(("0"&amp;D1974),2)&amp;RIGHT(("0"&amp;E1974),2)&amp;RIGHT(("0"&amp;F1974),2)&amp;RIGHT(("0"&amp;G1974),2)&amp;RIGHT(("0"&amp;H1974),2)</f>
        <v>011216175260</v>
      </c>
      <c r="J1974" s="1" t="n">
        <f aca="false">COUNTIF(I:I,I1974)</f>
        <v>1</v>
      </c>
      <c r="K1974" s="1" t="n">
        <v>0</v>
      </c>
      <c r="M1974" s="1" t="s">
        <v>23</v>
      </c>
      <c r="N1974" s="1" t="n">
        <v>110</v>
      </c>
      <c r="O1974" s="1" t="s">
        <v>10828</v>
      </c>
      <c r="P1974" s="1" t="n">
        <v>7294</v>
      </c>
      <c r="Q1974" s="1" t="s">
        <v>10829</v>
      </c>
      <c r="R1974" s="1" t="s">
        <v>10830</v>
      </c>
      <c r="S1974" s="1" t="s">
        <v>10831</v>
      </c>
      <c r="T1974" s="1" t="s">
        <v>5255</v>
      </c>
      <c r="U1974" s="1" t="s">
        <v>10832</v>
      </c>
    </row>
    <row r="1975" customFormat="false" ht="13.8" hidden="false" customHeight="false" outlineLevel="0" collapsed="false">
      <c r="A1975" s="1" t="n">
        <v>1974</v>
      </c>
      <c r="B1975" s="2" t="s">
        <v>10833</v>
      </c>
      <c r="C1975" s="1" t="n">
        <v>4</v>
      </c>
      <c r="D1975" s="1" t="n">
        <v>19</v>
      </c>
      <c r="E1975" s="1" t="n">
        <v>27</v>
      </c>
      <c r="F1975" s="1" t="n">
        <v>38</v>
      </c>
      <c r="G1975" s="1" t="n">
        <v>54</v>
      </c>
      <c r="H1975" s="1" t="n">
        <v>57</v>
      </c>
      <c r="I1975" s="1" t="str">
        <f aca="false">RIGHT(("0"&amp;C1975),2)&amp;RIGHT(("0"&amp;D1975),2)&amp;RIGHT(("0"&amp;E1975),2)&amp;RIGHT(("0"&amp;F1975),2)&amp;RIGHT(("0"&amp;G1975),2)&amp;RIGHT(("0"&amp;H1975),2)</f>
        <v>041927385457</v>
      </c>
      <c r="J1975" s="1" t="n">
        <f aca="false">COUNTIF(I:I,I1975)</f>
        <v>1</v>
      </c>
      <c r="K1975" s="1" t="n">
        <v>1</v>
      </c>
      <c r="L1975" s="1" t="s">
        <v>10834</v>
      </c>
      <c r="M1975" s="1" t="s">
        <v>10835</v>
      </c>
      <c r="N1975" s="1" t="n">
        <v>141</v>
      </c>
      <c r="O1975" s="1" t="s">
        <v>10836</v>
      </c>
      <c r="P1975" s="1" t="n">
        <v>8994</v>
      </c>
      <c r="Q1975" s="1" t="s">
        <v>10837</v>
      </c>
      <c r="R1975" s="1" t="s">
        <v>23</v>
      </c>
      <c r="S1975" s="1" t="s">
        <v>10838</v>
      </c>
      <c r="T1975" s="1" t="s">
        <v>4246</v>
      </c>
      <c r="U1975" s="1" t="s">
        <v>10839</v>
      </c>
    </row>
    <row r="1976" customFormat="false" ht="13.8" hidden="false" customHeight="false" outlineLevel="0" collapsed="false">
      <c r="A1976" s="1" t="n">
        <v>1975</v>
      </c>
      <c r="B1976" s="2" t="s">
        <v>10840</v>
      </c>
      <c r="C1976" s="1" t="n">
        <v>8</v>
      </c>
      <c r="D1976" s="1" t="n">
        <v>11</v>
      </c>
      <c r="E1976" s="1" t="n">
        <v>24</v>
      </c>
      <c r="F1976" s="1" t="n">
        <v>26</v>
      </c>
      <c r="G1976" s="1" t="n">
        <v>47</v>
      </c>
      <c r="H1976" s="1" t="n">
        <v>57</v>
      </c>
      <c r="I1976" s="1" t="str">
        <f aca="false">RIGHT(("0"&amp;C1976),2)&amp;RIGHT(("0"&amp;D1976),2)&amp;RIGHT(("0"&amp;E1976),2)&amp;RIGHT(("0"&amp;F1976),2)&amp;RIGHT(("0"&amp;G1976),2)&amp;RIGHT(("0"&amp;H1976),2)</f>
        <v>081124264757</v>
      </c>
      <c r="J1976" s="1" t="n">
        <f aca="false">COUNTIF(I:I,I1976)</f>
        <v>1</v>
      </c>
      <c r="K1976" s="1" t="n">
        <v>1</v>
      </c>
      <c r="L1976" s="1" t="s">
        <v>10841</v>
      </c>
      <c r="M1976" s="1" t="s">
        <v>10842</v>
      </c>
      <c r="N1976" s="1" t="n">
        <v>76</v>
      </c>
      <c r="O1976" s="1" t="s">
        <v>10843</v>
      </c>
      <c r="P1976" s="1" t="n">
        <v>5845</v>
      </c>
      <c r="Q1976" s="1" t="s">
        <v>10844</v>
      </c>
      <c r="R1976" s="1" t="s">
        <v>23</v>
      </c>
      <c r="S1976" s="1" t="s">
        <v>10845</v>
      </c>
      <c r="T1976" s="1" t="s">
        <v>473</v>
      </c>
      <c r="U1976" s="1" t="s">
        <v>10846</v>
      </c>
    </row>
    <row r="1977" customFormat="false" ht="13.8" hidden="false" customHeight="false" outlineLevel="0" collapsed="false">
      <c r="A1977" s="1" t="n">
        <v>1976</v>
      </c>
      <c r="B1977" s="2" t="s">
        <v>10847</v>
      </c>
      <c r="C1977" s="1" t="n">
        <v>12</v>
      </c>
      <c r="D1977" s="1" t="n">
        <v>14</v>
      </c>
      <c r="E1977" s="1" t="n">
        <v>19</v>
      </c>
      <c r="F1977" s="1" t="n">
        <v>25</v>
      </c>
      <c r="G1977" s="1" t="n">
        <v>52</v>
      </c>
      <c r="H1977" s="1" t="n">
        <v>59</v>
      </c>
      <c r="I1977" s="1" t="str">
        <f aca="false">RIGHT(("0"&amp;C1977),2)&amp;RIGHT(("0"&amp;D1977),2)&amp;RIGHT(("0"&amp;E1977),2)&amp;RIGHT(("0"&amp;F1977),2)&amp;RIGHT(("0"&amp;G1977),2)&amp;RIGHT(("0"&amp;H1977),2)</f>
        <v>121419255259</v>
      </c>
      <c r="J1977" s="1" t="n">
        <f aca="false">COUNTIF(I:I,I1977)</f>
        <v>1</v>
      </c>
      <c r="K1977" s="1" t="n">
        <v>0</v>
      </c>
      <c r="M1977" s="1" t="s">
        <v>23</v>
      </c>
      <c r="N1977" s="1" t="n">
        <v>62</v>
      </c>
      <c r="O1977" s="1" t="s">
        <v>10848</v>
      </c>
      <c r="P1977" s="1" t="n">
        <v>3551</v>
      </c>
      <c r="Q1977" s="1" t="s">
        <v>10849</v>
      </c>
      <c r="R1977" s="1" t="s">
        <v>10850</v>
      </c>
      <c r="S1977" s="1" t="s">
        <v>10851</v>
      </c>
      <c r="T1977" s="1" t="s">
        <v>4342</v>
      </c>
      <c r="U1977" s="1" t="s">
        <v>10852</v>
      </c>
    </row>
    <row r="1978" customFormat="false" ht="13.8" hidden="false" customHeight="false" outlineLevel="0" collapsed="false">
      <c r="A1978" s="1" t="n">
        <v>1977</v>
      </c>
      <c r="B1978" s="2" t="s">
        <v>10853</v>
      </c>
      <c r="C1978" s="1" t="n">
        <v>3</v>
      </c>
      <c r="D1978" s="1" t="n">
        <v>16</v>
      </c>
      <c r="E1978" s="1" t="n">
        <v>28</v>
      </c>
      <c r="F1978" s="1" t="n">
        <v>32</v>
      </c>
      <c r="G1978" s="1" t="n">
        <v>34</v>
      </c>
      <c r="H1978" s="1" t="n">
        <v>37</v>
      </c>
      <c r="I1978" s="1" t="str">
        <f aca="false">RIGHT(("0"&amp;C1978),2)&amp;RIGHT(("0"&amp;D1978),2)&amp;RIGHT(("0"&amp;E1978),2)&amp;RIGHT(("0"&amp;F1978),2)&amp;RIGHT(("0"&amp;G1978),2)&amp;RIGHT(("0"&amp;H1978),2)</f>
        <v>031628323437</v>
      </c>
      <c r="J1978" s="1" t="n">
        <f aca="false">COUNTIF(I:I,I1978)</f>
        <v>1</v>
      </c>
      <c r="K1978" s="1" t="n">
        <v>1</v>
      </c>
      <c r="L1978" s="1" t="s">
        <v>7311</v>
      </c>
      <c r="M1978" s="1" t="s">
        <v>10854</v>
      </c>
      <c r="N1978" s="1" t="n">
        <v>91</v>
      </c>
      <c r="O1978" s="1" t="s">
        <v>10855</v>
      </c>
      <c r="P1978" s="1" t="n">
        <v>4723</v>
      </c>
      <c r="Q1978" s="1" t="s">
        <v>10856</v>
      </c>
      <c r="R1978" s="1" t="s">
        <v>23</v>
      </c>
      <c r="S1978" s="1" t="s">
        <v>10857</v>
      </c>
      <c r="T1978" s="1" t="s">
        <v>4256</v>
      </c>
      <c r="U1978" s="1" t="s">
        <v>10858</v>
      </c>
    </row>
    <row r="1979" customFormat="false" ht="13.8" hidden="false" customHeight="false" outlineLevel="0" collapsed="false">
      <c r="A1979" s="1" t="n">
        <v>1978</v>
      </c>
      <c r="B1979" s="2" t="s">
        <v>10859</v>
      </c>
      <c r="C1979" s="1" t="n">
        <v>2</v>
      </c>
      <c r="D1979" s="1" t="n">
        <v>6</v>
      </c>
      <c r="E1979" s="1" t="n">
        <v>22</v>
      </c>
      <c r="F1979" s="1" t="n">
        <v>44</v>
      </c>
      <c r="G1979" s="1" t="n">
        <v>55</v>
      </c>
      <c r="H1979" s="1" t="n">
        <v>57</v>
      </c>
      <c r="I1979" s="1" t="str">
        <f aca="false">RIGHT(("0"&amp;C1979),2)&amp;RIGHT(("0"&amp;D1979),2)&amp;RIGHT(("0"&amp;E1979),2)&amp;RIGHT(("0"&amp;F1979),2)&amp;RIGHT(("0"&amp;G1979),2)&amp;RIGHT(("0"&amp;H1979),2)</f>
        <v>020622445557</v>
      </c>
      <c r="J1979" s="1" t="n">
        <f aca="false">COUNTIF(I:I,I1979)</f>
        <v>1</v>
      </c>
      <c r="K1979" s="1" t="n">
        <v>0</v>
      </c>
      <c r="M1979" s="1" t="s">
        <v>23</v>
      </c>
      <c r="N1979" s="1" t="n">
        <v>29</v>
      </c>
      <c r="O1979" s="1" t="s">
        <v>10860</v>
      </c>
      <c r="P1979" s="1" t="n">
        <v>2089</v>
      </c>
      <c r="Q1979" s="1" t="s">
        <v>10861</v>
      </c>
      <c r="R1979" s="1" t="s">
        <v>10862</v>
      </c>
      <c r="S1979" s="1" t="s">
        <v>10863</v>
      </c>
      <c r="T1979" s="1" t="s">
        <v>4409</v>
      </c>
      <c r="U1979" s="1" t="s">
        <v>10864</v>
      </c>
    </row>
    <row r="1980" customFormat="false" ht="13.8" hidden="false" customHeight="false" outlineLevel="0" collapsed="false">
      <c r="A1980" s="1" t="n">
        <v>1979</v>
      </c>
      <c r="B1980" s="2" t="s">
        <v>10865</v>
      </c>
      <c r="C1980" s="1" t="n">
        <v>22</v>
      </c>
      <c r="D1980" s="1" t="n">
        <v>23</v>
      </c>
      <c r="E1980" s="1" t="n">
        <v>29</v>
      </c>
      <c r="F1980" s="1" t="n">
        <v>32</v>
      </c>
      <c r="G1980" s="1" t="n">
        <v>38</v>
      </c>
      <c r="H1980" s="1" t="n">
        <v>45</v>
      </c>
      <c r="I1980" s="1" t="str">
        <f aca="false">RIGHT(("0"&amp;C1980),2)&amp;RIGHT(("0"&amp;D1980),2)&amp;RIGHT(("0"&amp;E1980),2)&amp;RIGHT(("0"&amp;F1980),2)&amp;RIGHT(("0"&amp;G1980),2)&amp;RIGHT(("0"&amp;H1980),2)</f>
        <v>222329323845</v>
      </c>
      <c r="J1980" s="1" t="n">
        <f aca="false">COUNTIF(I:I,I1980)</f>
        <v>1</v>
      </c>
      <c r="K1980" s="1" t="n">
        <v>1</v>
      </c>
      <c r="L1980" s="1" t="s">
        <v>10866</v>
      </c>
      <c r="M1980" s="1" t="s">
        <v>10867</v>
      </c>
      <c r="N1980" s="1" t="n">
        <v>32</v>
      </c>
      <c r="O1980" s="1" t="s">
        <v>10868</v>
      </c>
      <c r="P1980" s="1" t="n">
        <v>2677</v>
      </c>
      <c r="Q1980" s="1" t="s">
        <v>10869</v>
      </c>
      <c r="R1980" s="1" t="s">
        <v>23</v>
      </c>
      <c r="S1980" s="1" t="s">
        <v>10870</v>
      </c>
      <c r="T1980" s="1" t="s">
        <v>9250</v>
      </c>
      <c r="U1980" s="1" t="s">
        <v>10871</v>
      </c>
    </row>
    <row r="1981" customFormat="false" ht="13.8" hidden="false" customHeight="false" outlineLevel="0" collapsed="false">
      <c r="A1981" s="1" t="n">
        <v>1980</v>
      </c>
      <c r="B1981" s="2" t="s">
        <v>10872</v>
      </c>
      <c r="C1981" s="1" t="n">
        <v>12</v>
      </c>
      <c r="D1981" s="1" t="n">
        <v>16</v>
      </c>
      <c r="E1981" s="1" t="n">
        <v>17</v>
      </c>
      <c r="F1981" s="1" t="n">
        <v>18</v>
      </c>
      <c r="G1981" s="1" t="n">
        <v>34</v>
      </c>
      <c r="H1981" s="1" t="n">
        <v>37</v>
      </c>
      <c r="I1981" s="1" t="str">
        <f aca="false">RIGHT(("0"&amp;C1981),2)&amp;RIGHT(("0"&amp;D1981),2)&amp;RIGHT(("0"&amp;E1981),2)&amp;RIGHT(("0"&amp;F1981),2)&amp;RIGHT(("0"&amp;G1981),2)&amp;RIGHT(("0"&amp;H1981),2)</f>
        <v>121617183437</v>
      </c>
      <c r="J1981" s="1" t="n">
        <f aca="false">COUNTIF(I:I,I1981)</f>
        <v>1</v>
      </c>
      <c r="K1981" s="1" t="n">
        <v>0</v>
      </c>
      <c r="M1981" s="1" t="s">
        <v>23</v>
      </c>
      <c r="N1981" s="1" t="n">
        <v>77</v>
      </c>
      <c r="O1981" s="1" t="s">
        <v>10873</v>
      </c>
      <c r="P1981" s="1" t="n">
        <v>4689</v>
      </c>
      <c r="Q1981" s="1" t="s">
        <v>10874</v>
      </c>
      <c r="R1981" s="1" t="s">
        <v>10875</v>
      </c>
      <c r="S1981" s="1" t="s">
        <v>10876</v>
      </c>
      <c r="T1981" s="1" t="s">
        <v>3928</v>
      </c>
      <c r="U1981" s="1" t="s">
        <v>10877</v>
      </c>
    </row>
    <row r="1982" customFormat="false" ht="13.8" hidden="false" customHeight="false" outlineLevel="0" collapsed="false">
      <c r="A1982" s="1" t="n">
        <v>1981</v>
      </c>
      <c r="B1982" s="2" t="s">
        <v>10878</v>
      </c>
      <c r="C1982" s="1" t="n">
        <v>6</v>
      </c>
      <c r="D1982" s="1" t="n">
        <v>15</v>
      </c>
      <c r="E1982" s="1" t="n">
        <v>19</v>
      </c>
      <c r="F1982" s="1" t="n">
        <v>37</v>
      </c>
      <c r="G1982" s="1" t="n">
        <v>39</v>
      </c>
      <c r="H1982" s="1" t="n">
        <v>53</v>
      </c>
      <c r="I1982" s="1" t="str">
        <f aca="false">RIGHT(("0"&amp;C1982),2)&amp;RIGHT(("0"&amp;D1982),2)&amp;RIGHT(("0"&amp;E1982),2)&amp;RIGHT(("0"&amp;F1982),2)&amp;RIGHT(("0"&amp;G1982),2)&amp;RIGHT(("0"&amp;H1982),2)</f>
        <v>061519373953</v>
      </c>
      <c r="J1982" s="1" t="n">
        <f aca="false">COUNTIF(I:I,I1982)</f>
        <v>1</v>
      </c>
      <c r="K1982" s="1" t="n">
        <v>0</v>
      </c>
      <c r="M1982" s="1" t="s">
        <v>23</v>
      </c>
      <c r="N1982" s="1" t="n">
        <v>85</v>
      </c>
      <c r="O1982" s="1" t="s">
        <v>10879</v>
      </c>
      <c r="P1982" s="1" t="n">
        <v>5215</v>
      </c>
      <c r="Q1982" s="1" t="s">
        <v>10880</v>
      </c>
      <c r="R1982" s="1" t="s">
        <v>10881</v>
      </c>
      <c r="S1982" s="1" t="s">
        <v>10882</v>
      </c>
      <c r="T1982" s="1" t="s">
        <v>4273</v>
      </c>
      <c r="U1982" s="1" t="s">
        <v>10883</v>
      </c>
    </row>
    <row r="1983" customFormat="false" ht="13.8" hidden="false" customHeight="false" outlineLevel="0" collapsed="false">
      <c r="A1983" s="1" t="n">
        <v>1982</v>
      </c>
      <c r="B1983" s="2" t="s">
        <v>10884</v>
      </c>
      <c r="C1983" s="1" t="n">
        <v>4</v>
      </c>
      <c r="D1983" s="1" t="n">
        <v>14</v>
      </c>
      <c r="E1983" s="1" t="n">
        <v>20</v>
      </c>
      <c r="F1983" s="1" t="n">
        <v>24</v>
      </c>
      <c r="G1983" s="1" t="n">
        <v>46</v>
      </c>
      <c r="H1983" s="1" t="n">
        <v>50</v>
      </c>
      <c r="I1983" s="1" t="str">
        <f aca="false">RIGHT(("0"&amp;C1983),2)&amp;RIGHT(("0"&amp;D1983),2)&amp;RIGHT(("0"&amp;E1983),2)&amp;RIGHT(("0"&amp;F1983),2)&amp;RIGHT(("0"&amp;G1983),2)&amp;RIGHT(("0"&amp;H1983),2)</f>
        <v>041420244650</v>
      </c>
      <c r="J1983" s="1" t="n">
        <f aca="false">COUNTIF(I:I,I1983)</f>
        <v>1</v>
      </c>
      <c r="K1983" s="1" t="n">
        <v>1</v>
      </c>
      <c r="L1983" s="1" t="s">
        <v>6893</v>
      </c>
      <c r="M1983" s="1" t="s">
        <v>10885</v>
      </c>
      <c r="N1983" s="1" t="n">
        <v>45</v>
      </c>
      <c r="O1983" s="1" t="s">
        <v>10886</v>
      </c>
      <c r="P1983" s="1" t="n">
        <v>4144</v>
      </c>
      <c r="Q1983" s="1" t="s">
        <v>10887</v>
      </c>
      <c r="R1983" s="1" t="s">
        <v>23</v>
      </c>
      <c r="S1983" s="1" t="s">
        <v>10888</v>
      </c>
      <c r="T1983" s="1" t="s">
        <v>4256</v>
      </c>
      <c r="U1983" s="1" t="s">
        <v>10889</v>
      </c>
    </row>
    <row r="1984" customFormat="false" ht="13.8" hidden="false" customHeight="false" outlineLevel="0" collapsed="false">
      <c r="A1984" s="1" t="n">
        <v>1983</v>
      </c>
      <c r="B1984" s="2" t="s">
        <v>10890</v>
      </c>
      <c r="C1984" s="1" t="n">
        <v>5</v>
      </c>
      <c r="D1984" s="1" t="n">
        <v>6</v>
      </c>
      <c r="E1984" s="1" t="n">
        <v>10</v>
      </c>
      <c r="F1984" s="1" t="n">
        <v>14</v>
      </c>
      <c r="G1984" s="1" t="n">
        <v>22</v>
      </c>
      <c r="H1984" s="1" t="n">
        <v>36</v>
      </c>
      <c r="I1984" s="1" t="str">
        <f aca="false">RIGHT(("0"&amp;C1984),2)&amp;RIGHT(("0"&amp;D1984),2)&amp;RIGHT(("0"&amp;E1984),2)&amp;RIGHT(("0"&amp;F1984),2)&amp;RIGHT(("0"&amp;G1984),2)&amp;RIGHT(("0"&amp;H1984),2)</f>
        <v>050610142236</v>
      </c>
      <c r="J1984" s="1" t="n">
        <f aca="false">COUNTIF(I:I,I1984)</f>
        <v>1</v>
      </c>
      <c r="K1984" s="1" t="n">
        <v>1</v>
      </c>
      <c r="L1984" s="1" t="s">
        <v>7707</v>
      </c>
      <c r="M1984" s="1" t="s">
        <v>10891</v>
      </c>
      <c r="N1984" s="1" t="n">
        <v>73</v>
      </c>
      <c r="O1984" s="1" t="s">
        <v>10892</v>
      </c>
      <c r="P1984" s="1" t="n">
        <v>4884</v>
      </c>
      <c r="Q1984" s="1" t="s">
        <v>10893</v>
      </c>
      <c r="R1984" s="1" t="s">
        <v>23</v>
      </c>
      <c r="S1984" s="1" t="s">
        <v>10894</v>
      </c>
      <c r="T1984" s="1" t="s">
        <v>4732</v>
      </c>
      <c r="U1984" s="1" t="s">
        <v>10895</v>
      </c>
    </row>
    <row r="1985" customFormat="false" ht="13.8" hidden="false" customHeight="false" outlineLevel="0" collapsed="false">
      <c r="A1985" s="1" t="n">
        <v>1984</v>
      </c>
      <c r="B1985" s="2" t="s">
        <v>10896</v>
      </c>
      <c r="C1985" s="1" t="n">
        <v>21</v>
      </c>
      <c r="D1985" s="1" t="n">
        <v>29</v>
      </c>
      <c r="E1985" s="1" t="n">
        <v>32</v>
      </c>
      <c r="F1985" s="1" t="n">
        <v>35</v>
      </c>
      <c r="G1985" s="1" t="n">
        <v>43</v>
      </c>
      <c r="H1985" s="1" t="n">
        <v>50</v>
      </c>
      <c r="I1985" s="1" t="str">
        <f aca="false">RIGHT(("0"&amp;C1985),2)&amp;RIGHT(("0"&amp;D1985),2)&amp;RIGHT(("0"&amp;E1985),2)&amp;RIGHT(("0"&amp;F1985),2)&amp;RIGHT(("0"&amp;G1985),2)&amp;RIGHT(("0"&amp;H1985),2)</f>
        <v>212932354350</v>
      </c>
      <c r="J1985" s="1" t="n">
        <f aca="false">COUNTIF(I:I,I1985)</f>
        <v>1</v>
      </c>
      <c r="K1985" s="1" t="n">
        <v>0</v>
      </c>
      <c r="M1985" s="1" t="s">
        <v>23</v>
      </c>
      <c r="N1985" s="1" t="n">
        <v>13</v>
      </c>
      <c r="O1985" s="1" t="s">
        <v>10897</v>
      </c>
      <c r="P1985" s="1" t="n">
        <v>1743</v>
      </c>
      <c r="Q1985" s="1" t="s">
        <v>10898</v>
      </c>
      <c r="R1985" s="1" t="s">
        <v>10899</v>
      </c>
      <c r="S1985" s="1" t="s">
        <v>10900</v>
      </c>
      <c r="T1985" s="1" t="s">
        <v>3928</v>
      </c>
      <c r="U1985" s="1" t="s">
        <v>10901</v>
      </c>
    </row>
    <row r="1986" customFormat="false" ht="13.8" hidden="false" customHeight="false" outlineLevel="0" collapsed="false">
      <c r="A1986" s="1" t="n">
        <v>1985</v>
      </c>
      <c r="B1986" s="2" t="s">
        <v>10902</v>
      </c>
      <c r="C1986" s="1" t="n">
        <v>9</v>
      </c>
      <c r="D1986" s="1" t="n">
        <v>28</v>
      </c>
      <c r="E1986" s="1" t="n">
        <v>29</v>
      </c>
      <c r="F1986" s="1" t="n">
        <v>34</v>
      </c>
      <c r="G1986" s="1" t="n">
        <v>36</v>
      </c>
      <c r="H1986" s="1" t="n">
        <v>55</v>
      </c>
      <c r="I1986" s="1" t="str">
        <f aca="false">RIGHT(("0"&amp;C1986),2)&amp;RIGHT(("0"&amp;D1986),2)&amp;RIGHT(("0"&amp;E1986),2)&amp;RIGHT(("0"&amp;F1986),2)&amp;RIGHT(("0"&amp;G1986),2)&amp;RIGHT(("0"&amp;H1986),2)</f>
        <v>092829343655</v>
      </c>
      <c r="J1986" s="1" t="n">
        <f aca="false">COUNTIF(I:I,I1986)</f>
        <v>1</v>
      </c>
      <c r="K1986" s="1" t="n">
        <v>0</v>
      </c>
      <c r="M1986" s="1" t="s">
        <v>23</v>
      </c>
      <c r="N1986" s="1" t="n">
        <v>36</v>
      </c>
      <c r="O1986" s="1" t="s">
        <v>10903</v>
      </c>
      <c r="P1986" s="1" t="n">
        <v>2503</v>
      </c>
      <c r="Q1986" s="1" t="s">
        <v>10904</v>
      </c>
      <c r="R1986" s="1" t="s">
        <v>10905</v>
      </c>
      <c r="S1986" s="1" t="s">
        <v>10906</v>
      </c>
      <c r="T1986" s="1" t="s">
        <v>4691</v>
      </c>
      <c r="U1986" s="1" t="s">
        <v>10907</v>
      </c>
    </row>
    <row r="1987" customFormat="false" ht="13.8" hidden="false" customHeight="false" outlineLevel="0" collapsed="false">
      <c r="A1987" s="1" t="n">
        <v>1986</v>
      </c>
      <c r="B1987" s="2" t="s">
        <v>10908</v>
      </c>
      <c r="C1987" s="1" t="n">
        <v>23</v>
      </c>
      <c r="D1987" s="1" t="n">
        <v>36</v>
      </c>
      <c r="E1987" s="1" t="n">
        <v>43</v>
      </c>
      <c r="F1987" s="1" t="n">
        <v>44</v>
      </c>
      <c r="G1987" s="1" t="n">
        <v>55</v>
      </c>
      <c r="H1987" s="1" t="n">
        <v>56</v>
      </c>
      <c r="I1987" s="1" t="str">
        <f aca="false">RIGHT(("0"&amp;C1987),2)&amp;RIGHT(("0"&amp;D1987),2)&amp;RIGHT(("0"&amp;E1987),2)&amp;RIGHT(("0"&amp;F1987),2)&amp;RIGHT(("0"&amp;G1987),2)&amp;RIGHT(("0"&amp;H1987),2)</f>
        <v>233643445556</v>
      </c>
      <c r="J1987" s="1" t="n">
        <f aca="false">COUNTIF(I:I,I1987)</f>
        <v>1</v>
      </c>
      <c r="K1987" s="1" t="n">
        <v>0</v>
      </c>
      <c r="M1987" s="1" t="s">
        <v>23</v>
      </c>
      <c r="N1987" s="1" t="n">
        <v>41</v>
      </c>
      <c r="O1987" s="1" t="s">
        <v>10909</v>
      </c>
      <c r="P1987" s="1" t="n">
        <v>3164</v>
      </c>
      <c r="Q1987" s="1" t="s">
        <v>10910</v>
      </c>
      <c r="R1987" s="1" t="s">
        <v>10911</v>
      </c>
      <c r="S1987" s="1" t="s">
        <v>10912</v>
      </c>
      <c r="T1987" s="1" t="s">
        <v>4328</v>
      </c>
      <c r="U1987" s="1" t="s">
        <v>10913</v>
      </c>
    </row>
    <row r="1988" customFormat="false" ht="13.8" hidden="false" customHeight="false" outlineLevel="0" collapsed="false">
      <c r="A1988" s="1" t="n">
        <v>1987</v>
      </c>
      <c r="B1988" s="2" t="s">
        <v>10914</v>
      </c>
      <c r="C1988" s="1" t="n">
        <v>10</v>
      </c>
      <c r="D1988" s="1" t="n">
        <v>14</v>
      </c>
      <c r="E1988" s="1" t="n">
        <v>31</v>
      </c>
      <c r="F1988" s="1" t="n">
        <v>34</v>
      </c>
      <c r="G1988" s="1" t="n">
        <v>45</v>
      </c>
      <c r="H1988" s="1" t="n">
        <v>58</v>
      </c>
      <c r="I1988" s="1" t="str">
        <f aca="false">RIGHT(("0"&amp;C1988),2)&amp;RIGHT(("0"&amp;D1988),2)&amp;RIGHT(("0"&amp;E1988),2)&amp;RIGHT(("0"&amp;F1988),2)&amp;RIGHT(("0"&amp;G1988),2)&amp;RIGHT(("0"&amp;H1988),2)</f>
        <v>101431344558</v>
      </c>
      <c r="J1988" s="1" t="n">
        <f aca="false">COUNTIF(I:I,I1988)</f>
        <v>1</v>
      </c>
      <c r="K1988" s="1" t="n">
        <v>0</v>
      </c>
      <c r="M1988" s="1" t="s">
        <v>23</v>
      </c>
      <c r="N1988" s="1" t="n">
        <v>59</v>
      </c>
      <c r="O1988" s="1" t="s">
        <v>10915</v>
      </c>
      <c r="P1988" s="1" t="n">
        <v>3920</v>
      </c>
      <c r="Q1988" s="1" t="s">
        <v>10916</v>
      </c>
      <c r="R1988" s="1" t="s">
        <v>10917</v>
      </c>
      <c r="S1988" s="1" t="s">
        <v>10918</v>
      </c>
      <c r="T1988" s="1" t="s">
        <v>5321</v>
      </c>
      <c r="U1988" s="1" t="s">
        <v>10919</v>
      </c>
    </row>
    <row r="1989" customFormat="false" ht="13.8" hidden="false" customHeight="false" outlineLevel="0" collapsed="false">
      <c r="A1989" s="1" t="n">
        <v>1988</v>
      </c>
      <c r="B1989" s="2" t="s">
        <v>10920</v>
      </c>
      <c r="C1989" s="1" t="n">
        <v>5</v>
      </c>
      <c r="D1989" s="1" t="n">
        <v>10</v>
      </c>
      <c r="E1989" s="1" t="n">
        <v>39</v>
      </c>
      <c r="F1989" s="1" t="n">
        <v>42</v>
      </c>
      <c r="G1989" s="1" t="n">
        <v>46</v>
      </c>
      <c r="H1989" s="1" t="n">
        <v>54</v>
      </c>
      <c r="I1989" s="1" t="str">
        <f aca="false">RIGHT(("0"&amp;C1989),2)&amp;RIGHT(("0"&amp;D1989),2)&amp;RIGHT(("0"&amp;E1989),2)&amp;RIGHT(("0"&amp;F1989),2)&amp;RIGHT(("0"&amp;G1989),2)&amp;RIGHT(("0"&amp;H1989),2)</f>
        <v>051039424654</v>
      </c>
      <c r="J1989" s="1" t="n">
        <f aca="false">COUNTIF(I:I,I1989)</f>
        <v>1</v>
      </c>
      <c r="K1989" s="1" t="n">
        <v>0</v>
      </c>
      <c r="M1989" s="1" t="s">
        <v>23</v>
      </c>
      <c r="N1989" s="1" t="n">
        <v>87</v>
      </c>
      <c r="O1989" s="1" t="s">
        <v>10921</v>
      </c>
      <c r="P1989" s="1" t="n">
        <v>5711</v>
      </c>
      <c r="Q1989" s="1" t="s">
        <v>10922</v>
      </c>
      <c r="R1989" s="1" t="s">
        <v>10923</v>
      </c>
      <c r="S1989" s="1" t="s">
        <v>10924</v>
      </c>
      <c r="T1989" s="1" t="s">
        <v>4304</v>
      </c>
      <c r="U1989" s="1" t="s">
        <v>10925</v>
      </c>
    </row>
    <row r="1990" customFormat="false" ht="13.8" hidden="false" customHeight="false" outlineLevel="0" collapsed="false">
      <c r="A1990" s="1" t="n">
        <v>1989</v>
      </c>
      <c r="B1990" s="2" t="s">
        <v>10926</v>
      </c>
      <c r="C1990" s="1" t="n">
        <v>15</v>
      </c>
      <c r="D1990" s="1" t="n">
        <v>22</v>
      </c>
      <c r="E1990" s="1" t="n">
        <v>30</v>
      </c>
      <c r="F1990" s="1" t="n">
        <v>32</v>
      </c>
      <c r="G1990" s="1" t="n">
        <v>40</v>
      </c>
      <c r="H1990" s="1" t="n">
        <v>58</v>
      </c>
      <c r="I1990" s="1" t="str">
        <f aca="false">RIGHT(("0"&amp;C1990),2)&amp;RIGHT(("0"&amp;D1990),2)&amp;RIGHT(("0"&amp;E1990),2)&amp;RIGHT(("0"&amp;F1990),2)&amp;RIGHT(("0"&amp;G1990),2)&amp;RIGHT(("0"&amp;H1990),2)</f>
        <v>152230324058</v>
      </c>
      <c r="J1990" s="1" t="n">
        <f aca="false">COUNTIF(I:I,I1990)</f>
        <v>1</v>
      </c>
      <c r="K1990" s="1" t="n">
        <v>0</v>
      </c>
      <c r="M1990" s="1" t="s">
        <v>23</v>
      </c>
      <c r="N1990" s="1" t="n">
        <v>47</v>
      </c>
      <c r="O1990" s="1" t="s">
        <v>10927</v>
      </c>
      <c r="P1990" s="1" t="n">
        <v>3280</v>
      </c>
      <c r="Q1990" s="1" t="s">
        <v>10928</v>
      </c>
      <c r="R1990" s="1" t="s">
        <v>10929</v>
      </c>
      <c r="S1990" s="1" t="s">
        <v>10930</v>
      </c>
      <c r="T1990" s="1" t="s">
        <v>6559</v>
      </c>
      <c r="U1990" s="1" t="s">
        <v>10931</v>
      </c>
    </row>
    <row r="1991" customFormat="false" ht="13.8" hidden="false" customHeight="false" outlineLevel="0" collapsed="false">
      <c r="A1991" s="1" t="n">
        <v>1990</v>
      </c>
      <c r="B1991" s="2" t="s">
        <v>10932</v>
      </c>
      <c r="C1991" s="1" t="n">
        <v>11</v>
      </c>
      <c r="D1991" s="1" t="n">
        <v>24</v>
      </c>
      <c r="E1991" s="1" t="n">
        <v>26</v>
      </c>
      <c r="F1991" s="1" t="n">
        <v>34</v>
      </c>
      <c r="G1991" s="1" t="n">
        <v>37</v>
      </c>
      <c r="H1991" s="1" t="n">
        <v>59</v>
      </c>
      <c r="I1991" s="1" t="str">
        <f aca="false">RIGHT(("0"&amp;C1991),2)&amp;RIGHT(("0"&amp;D1991),2)&amp;RIGHT(("0"&amp;E1991),2)&amp;RIGHT(("0"&amp;F1991),2)&amp;RIGHT(("0"&amp;G1991),2)&amp;RIGHT(("0"&amp;H1991),2)</f>
        <v>112426343759</v>
      </c>
      <c r="J1991" s="1" t="n">
        <f aca="false">COUNTIF(I:I,I1991)</f>
        <v>1</v>
      </c>
      <c r="K1991" s="1" t="n">
        <v>0</v>
      </c>
      <c r="M1991" s="1" t="s">
        <v>23</v>
      </c>
      <c r="N1991" s="1" t="n">
        <v>78</v>
      </c>
      <c r="O1991" s="1" t="s">
        <v>10933</v>
      </c>
      <c r="P1991" s="1" t="n">
        <v>5852</v>
      </c>
      <c r="Q1991" s="1" t="s">
        <v>10934</v>
      </c>
      <c r="R1991" s="1" t="s">
        <v>10935</v>
      </c>
      <c r="S1991" s="1" t="s">
        <v>10936</v>
      </c>
      <c r="T1991" s="1" t="s">
        <v>8797</v>
      </c>
      <c r="U1991" s="1" t="s">
        <v>10937</v>
      </c>
    </row>
    <row r="1992" customFormat="false" ht="13.8" hidden="false" customHeight="false" outlineLevel="0" collapsed="false">
      <c r="A1992" s="1" t="n">
        <v>1991</v>
      </c>
      <c r="B1992" s="2" t="s">
        <v>10938</v>
      </c>
      <c r="C1992" s="1" t="n">
        <v>19</v>
      </c>
      <c r="D1992" s="1" t="n">
        <v>20</v>
      </c>
      <c r="E1992" s="1" t="n">
        <v>28</v>
      </c>
      <c r="F1992" s="1" t="n">
        <v>34</v>
      </c>
      <c r="G1992" s="1" t="n">
        <v>36</v>
      </c>
      <c r="H1992" s="1" t="n">
        <v>44</v>
      </c>
      <c r="I1992" s="1" t="str">
        <f aca="false">RIGHT(("0"&amp;C1992),2)&amp;RIGHT(("0"&amp;D1992),2)&amp;RIGHT(("0"&amp;E1992),2)&amp;RIGHT(("0"&amp;F1992),2)&amp;RIGHT(("0"&amp;G1992),2)&amp;RIGHT(("0"&amp;H1992),2)</f>
        <v>192028343644</v>
      </c>
      <c r="J1992" s="1" t="n">
        <f aca="false">COUNTIF(I:I,I1992)</f>
        <v>1</v>
      </c>
      <c r="K1992" s="1" t="n">
        <v>0</v>
      </c>
      <c r="M1992" s="1" t="s">
        <v>23</v>
      </c>
      <c r="N1992" s="1" t="n">
        <v>80</v>
      </c>
      <c r="O1992" s="1" t="s">
        <v>10939</v>
      </c>
      <c r="P1992" s="1" t="n">
        <v>6152</v>
      </c>
      <c r="Q1992" s="1" t="s">
        <v>10940</v>
      </c>
      <c r="R1992" s="1" t="s">
        <v>10941</v>
      </c>
      <c r="S1992" s="1" t="s">
        <v>10942</v>
      </c>
      <c r="T1992" s="1" t="s">
        <v>9211</v>
      </c>
      <c r="U1992" s="1" t="s">
        <v>10943</v>
      </c>
    </row>
    <row r="1993" customFormat="false" ht="13.8" hidden="false" customHeight="false" outlineLevel="0" collapsed="false">
      <c r="A1993" s="1" t="n">
        <v>1992</v>
      </c>
      <c r="B1993" s="2" t="s">
        <v>10944</v>
      </c>
      <c r="C1993" s="1" t="n">
        <v>5</v>
      </c>
      <c r="D1993" s="1" t="n">
        <v>11</v>
      </c>
      <c r="E1993" s="1" t="n">
        <v>13</v>
      </c>
      <c r="F1993" s="1" t="n">
        <v>21</v>
      </c>
      <c r="G1993" s="1" t="n">
        <v>53</v>
      </c>
      <c r="H1993" s="1" t="n">
        <v>54</v>
      </c>
      <c r="I1993" s="1" t="str">
        <f aca="false">RIGHT(("0"&amp;C1993),2)&amp;RIGHT(("0"&amp;D1993),2)&amp;RIGHT(("0"&amp;E1993),2)&amp;RIGHT(("0"&amp;F1993),2)&amp;RIGHT(("0"&amp;G1993),2)&amp;RIGHT(("0"&amp;H1993),2)</f>
        <v>051113215354</v>
      </c>
      <c r="J1993" s="1" t="n">
        <f aca="false">COUNTIF(I:I,I1993)</f>
        <v>1</v>
      </c>
      <c r="K1993" s="1" t="n">
        <v>2</v>
      </c>
      <c r="L1993" s="1" t="s">
        <v>10945</v>
      </c>
      <c r="M1993" s="1" t="s">
        <v>10946</v>
      </c>
      <c r="N1993" s="1" t="n">
        <v>142</v>
      </c>
      <c r="O1993" s="1" t="s">
        <v>10947</v>
      </c>
      <c r="P1993" s="1" t="n">
        <v>11405</v>
      </c>
      <c r="Q1993" s="1" t="s">
        <v>10948</v>
      </c>
      <c r="R1993" s="1" t="s">
        <v>23</v>
      </c>
      <c r="S1993" s="1" t="s">
        <v>10949</v>
      </c>
      <c r="T1993" s="1" t="s">
        <v>4256</v>
      </c>
      <c r="U1993" s="1" t="s">
        <v>10950</v>
      </c>
    </row>
    <row r="1994" customFormat="false" ht="13.8" hidden="false" customHeight="false" outlineLevel="0" collapsed="false">
      <c r="A1994" s="1" t="n">
        <v>1993</v>
      </c>
      <c r="B1994" s="2" t="s">
        <v>10951</v>
      </c>
      <c r="C1994" s="1" t="n">
        <v>6</v>
      </c>
      <c r="D1994" s="1" t="n">
        <v>17</v>
      </c>
      <c r="E1994" s="1" t="n">
        <v>33</v>
      </c>
      <c r="F1994" s="1" t="n">
        <v>48</v>
      </c>
      <c r="G1994" s="1" t="n">
        <v>50</v>
      </c>
      <c r="H1994" s="1" t="n">
        <v>57</v>
      </c>
      <c r="I1994" s="1" t="str">
        <f aca="false">RIGHT(("0"&amp;C1994),2)&amp;RIGHT(("0"&amp;D1994),2)&amp;RIGHT(("0"&amp;E1994),2)&amp;RIGHT(("0"&amp;F1994),2)&amp;RIGHT(("0"&amp;G1994),2)&amp;RIGHT(("0"&amp;H1994),2)</f>
        <v>061733485057</v>
      </c>
      <c r="J1994" s="1" t="n">
        <f aca="false">COUNTIF(I:I,I1994)</f>
        <v>1</v>
      </c>
      <c r="K1994" s="1" t="n">
        <v>0</v>
      </c>
      <c r="M1994" s="1" t="s">
        <v>23</v>
      </c>
      <c r="N1994" s="1" t="n">
        <v>39</v>
      </c>
      <c r="O1994" s="1" t="s">
        <v>10952</v>
      </c>
      <c r="P1994" s="1" t="n">
        <v>3063</v>
      </c>
      <c r="Q1994" s="1" t="s">
        <v>10953</v>
      </c>
      <c r="R1994" s="1" t="s">
        <v>10954</v>
      </c>
      <c r="S1994" s="1" t="s">
        <v>10955</v>
      </c>
      <c r="T1994" s="1" t="s">
        <v>7498</v>
      </c>
      <c r="U1994" s="1" t="s">
        <v>10956</v>
      </c>
    </row>
    <row r="1995" customFormat="false" ht="13.8" hidden="false" customHeight="false" outlineLevel="0" collapsed="false">
      <c r="A1995" s="1" t="n">
        <v>1994</v>
      </c>
      <c r="B1995" s="2" t="s">
        <v>10957</v>
      </c>
      <c r="C1995" s="1" t="n">
        <v>2</v>
      </c>
      <c r="D1995" s="1" t="n">
        <v>5</v>
      </c>
      <c r="E1995" s="1" t="n">
        <v>12</v>
      </c>
      <c r="F1995" s="1" t="n">
        <v>32</v>
      </c>
      <c r="G1995" s="1" t="n">
        <v>40</v>
      </c>
      <c r="H1995" s="1" t="n">
        <v>44</v>
      </c>
      <c r="I1995" s="1" t="str">
        <f aca="false">RIGHT(("0"&amp;C1995),2)&amp;RIGHT(("0"&amp;D1995),2)&amp;RIGHT(("0"&amp;E1995),2)&amp;RIGHT(("0"&amp;F1995),2)&amp;RIGHT(("0"&amp;G1995),2)&amp;RIGHT(("0"&amp;H1995),2)</f>
        <v>020512324044</v>
      </c>
      <c r="J1995" s="1" t="n">
        <f aca="false">COUNTIF(I:I,I1995)</f>
        <v>1</v>
      </c>
      <c r="K1995" s="1" t="n">
        <v>0</v>
      </c>
      <c r="M1995" s="1" t="s">
        <v>23</v>
      </c>
      <c r="N1995" s="1" t="n">
        <v>51</v>
      </c>
      <c r="O1995" s="1" t="s">
        <v>10958</v>
      </c>
      <c r="P1995" s="1" t="n">
        <v>3686</v>
      </c>
      <c r="Q1995" s="1" t="s">
        <v>10959</v>
      </c>
      <c r="R1995" s="1" t="s">
        <v>10960</v>
      </c>
      <c r="S1995" s="1" t="s">
        <v>10961</v>
      </c>
      <c r="T1995" s="1" t="s">
        <v>5242</v>
      </c>
      <c r="U1995" s="1" t="s">
        <v>10962</v>
      </c>
    </row>
    <row r="1996" customFormat="false" ht="13.8" hidden="false" customHeight="false" outlineLevel="0" collapsed="false">
      <c r="A1996" s="1" t="n">
        <v>1995</v>
      </c>
      <c r="B1996" s="2" t="s">
        <v>10963</v>
      </c>
      <c r="C1996" s="1" t="n">
        <v>14</v>
      </c>
      <c r="D1996" s="1" t="n">
        <v>26</v>
      </c>
      <c r="E1996" s="1" t="n">
        <v>29</v>
      </c>
      <c r="F1996" s="1" t="n">
        <v>35</v>
      </c>
      <c r="G1996" s="1" t="n">
        <v>37</v>
      </c>
      <c r="H1996" s="1" t="n">
        <v>39</v>
      </c>
      <c r="I1996" s="1" t="str">
        <f aca="false">RIGHT(("0"&amp;C1996),2)&amp;RIGHT(("0"&amp;D1996),2)&amp;RIGHT(("0"&amp;E1996),2)&amp;RIGHT(("0"&amp;F1996),2)&amp;RIGHT(("0"&amp;G1996),2)&amp;RIGHT(("0"&amp;H1996),2)</f>
        <v>142629353739</v>
      </c>
      <c r="J1996" s="1" t="n">
        <f aca="false">COUNTIF(I:I,I1996)</f>
        <v>1</v>
      </c>
      <c r="K1996" s="1" t="n">
        <v>0</v>
      </c>
      <c r="M1996" s="1" t="s">
        <v>23</v>
      </c>
      <c r="N1996" s="1" t="n">
        <v>66</v>
      </c>
      <c r="O1996" s="1" t="s">
        <v>10964</v>
      </c>
      <c r="P1996" s="1" t="n">
        <v>4840</v>
      </c>
      <c r="Q1996" s="1" t="s">
        <v>10965</v>
      </c>
      <c r="R1996" s="1" t="s">
        <v>10966</v>
      </c>
      <c r="S1996" s="1" t="s">
        <v>10967</v>
      </c>
      <c r="T1996" s="1" t="s">
        <v>4304</v>
      </c>
      <c r="U1996" s="1" t="s">
        <v>10968</v>
      </c>
    </row>
    <row r="1997" customFormat="false" ht="13.8" hidden="false" customHeight="false" outlineLevel="0" collapsed="false">
      <c r="A1997" s="1" t="n">
        <v>1996</v>
      </c>
      <c r="B1997" s="2" t="s">
        <v>10969</v>
      </c>
      <c r="C1997" s="1" t="n">
        <v>7</v>
      </c>
      <c r="D1997" s="1" t="n">
        <v>20</v>
      </c>
      <c r="E1997" s="1" t="n">
        <v>21</v>
      </c>
      <c r="F1997" s="1" t="n">
        <v>24</v>
      </c>
      <c r="G1997" s="1" t="n">
        <v>40</v>
      </c>
      <c r="H1997" s="1" t="n">
        <v>56</v>
      </c>
      <c r="I1997" s="1" t="str">
        <f aca="false">RIGHT(("0"&amp;C1997),2)&amp;RIGHT(("0"&amp;D1997),2)&amp;RIGHT(("0"&amp;E1997),2)&amp;RIGHT(("0"&amp;F1997),2)&amp;RIGHT(("0"&amp;G1997),2)&amp;RIGHT(("0"&amp;H1997),2)</f>
        <v>072021244056</v>
      </c>
      <c r="J1997" s="1" t="n">
        <f aca="false">COUNTIF(I:I,I1997)</f>
        <v>1</v>
      </c>
      <c r="K1997" s="1" t="n">
        <v>0</v>
      </c>
      <c r="M1997" s="1" t="s">
        <v>23</v>
      </c>
      <c r="N1997" s="1" t="n">
        <v>144</v>
      </c>
      <c r="O1997" s="1" t="s">
        <v>10970</v>
      </c>
      <c r="P1997" s="1" t="n">
        <v>4933</v>
      </c>
      <c r="Q1997" s="1" t="s">
        <v>10971</v>
      </c>
      <c r="R1997" s="1" t="s">
        <v>10972</v>
      </c>
      <c r="S1997" s="1" t="s">
        <v>10973</v>
      </c>
      <c r="T1997" s="1" t="s">
        <v>5775</v>
      </c>
      <c r="U1997" s="1" t="s">
        <v>10974</v>
      </c>
    </row>
    <row r="1998" customFormat="false" ht="13.8" hidden="false" customHeight="false" outlineLevel="0" collapsed="false">
      <c r="A1998" s="1" t="n">
        <v>1997</v>
      </c>
      <c r="B1998" s="2" t="s">
        <v>10975</v>
      </c>
      <c r="C1998" s="1" t="n">
        <v>1</v>
      </c>
      <c r="D1998" s="1" t="n">
        <v>7</v>
      </c>
      <c r="E1998" s="1" t="n">
        <v>14</v>
      </c>
      <c r="F1998" s="1" t="n">
        <v>31</v>
      </c>
      <c r="G1998" s="1" t="n">
        <v>35</v>
      </c>
      <c r="H1998" s="1" t="n">
        <v>46</v>
      </c>
      <c r="I1998" s="1" t="str">
        <f aca="false">RIGHT(("0"&amp;C1998),2)&amp;RIGHT(("0"&amp;D1998),2)&amp;RIGHT(("0"&amp;E1998),2)&amp;RIGHT(("0"&amp;F1998),2)&amp;RIGHT(("0"&amp;G1998),2)&amp;RIGHT(("0"&amp;H1998),2)</f>
        <v>010714313546</v>
      </c>
      <c r="J1998" s="1" t="n">
        <f aca="false">COUNTIF(I:I,I1998)</f>
        <v>1</v>
      </c>
      <c r="K1998" s="1" t="n">
        <v>0</v>
      </c>
      <c r="M1998" s="1" t="s">
        <v>23</v>
      </c>
      <c r="N1998" s="1" t="n">
        <v>86</v>
      </c>
      <c r="O1998" s="1" t="s">
        <v>10976</v>
      </c>
      <c r="P1998" s="1" t="n">
        <v>6280</v>
      </c>
      <c r="Q1998" s="1" t="s">
        <v>10977</v>
      </c>
      <c r="R1998" s="1" t="s">
        <v>10978</v>
      </c>
      <c r="S1998" s="1" t="s">
        <v>10979</v>
      </c>
      <c r="T1998" s="1" t="s">
        <v>10980</v>
      </c>
      <c r="U1998" s="1" t="s">
        <v>10981</v>
      </c>
    </row>
    <row r="1999" customFormat="false" ht="13.8" hidden="false" customHeight="false" outlineLevel="0" collapsed="false">
      <c r="A1999" s="1" t="n">
        <v>1998</v>
      </c>
      <c r="B1999" s="2" t="s">
        <v>10982</v>
      </c>
      <c r="C1999" s="1" t="n">
        <v>8</v>
      </c>
      <c r="D1999" s="1" t="n">
        <v>21</v>
      </c>
      <c r="E1999" s="1" t="n">
        <v>24</v>
      </c>
      <c r="F1999" s="1" t="n">
        <v>25</v>
      </c>
      <c r="G1999" s="1" t="n">
        <v>52</v>
      </c>
      <c r="H1999" s="1" t="n">
        <v>57</v>
      </c>
      <c r="I1999" s="1" t="str">
        <f aca="false">RIGHT(("0"&amp;C1999),2)&amp;RIGHT(("0"&amp;D1999),2)&amp;RIGHT(("0"&amp;E1999),2)&amp;RIGHT(("0"&amp;F1999),2)&amp;RIGHT(("0"&amp;G1999),2)&amp;RIGHT(("0"&amp;H1999),2)</f>
        <v>082124255257</v>
      </c>
      <c r="J1999" s="1" t="n">
        <f aca="false">COUNTIF(I:I,I1999)</f>
        <v>1</v>
      </c>
      <c r="K1999" s="1" t="n">
        <v>0</v>
      </c>
      <c r="M1999" s="1" t="s">
        <v>23</v>
      </c>
      <c r="N1999" s="1" t="n">
        <v>61</v>
      </c>
      <c r="O1999" s="1" t="s">
        <v>10983</v>
      </c>
      <c r="P1999" s="1" t="n">
        <v>4810</v>
      </c>
      <c r="Q1999" s="1" t="s">
        <v>10984</v>
      </c>
      <c r="R1999" s="1" t="s">
        <v>10985</v>
      </c>
      <c r="S1999" s="1" t="s">
        <v>10986</v>
      </c>
      <c r="T1999" s="1" t="s">
        <v>7574</v>
      </c>
      <c r="U1999" s="1" t="s">
        <v>10987</v>
      </c>
    </row>
    <row r="2000" customFormat="false" ht="13.8" hidden="false" customHeight="false" outlineLevel="0" collapsed="false">
      <c r="A2000" s="1" t="n">
        <v>1999</v>
      </c>
      <c r="B2000" s="2" t="s">
        <v>10988</v>
      </c>
      <c r="C2000" s="1" t="n">
        <v>15</v>
      </c>
      <c r="D2000" s="1" t="n">
        <v>37</v>
      </c>
      <c r="E2000" s="1" t="n">
        <v>38</v>
      </c>
      <c r="F2000" s="1" t="n">
        <v>42</v>
      </c>
      <c r="G2000" s="1" t="n">
        <v>49</v>
      </c>
      <c r="H2000" s="1" t="n">
        <v>50</v>
      </c>
      <c r="I2000" s="1" t="str">
        <f aca="false">RIGHT(("0"&amp;C2000),2)&amp;RIGHT(("0"&amp;D2000),2)&amp;RIGHT(("0"&amp;E2000),2)&amp;RIGHT(("0"&amp;F2000),2)&amp;RIGHT(("0"&amp;G2000),2)&amp;RIGHT(("0"&amp;H2000),2)</f>
        <v>153738424950</v>
      </c>
      <c r="J2000" s="1" t="n">
        <f aca="false">COUNTIF(I:I,I2000)</f>
        <v>1</v>
      </c>
      <c r="K2000" s="1" t="n">
        <v>0</v>
      </c>
      <c r="M2000" s="1" t="s">
        <v>23</v>
      </c>
      <c r="N2000" s="1" t="n">
        <v>73</v>
      </c>
      <c r="O2000" s="1" t="s">
        <v>10989</v>
      </c>
      <c r="P2000" s="1" t="n">
        <v>4434</v>
      </c>
      <c r="Q2000" s="1" t="s">
        <v>10990</v>
      </c>
      <c r="R2000" s="1" t="s">
        <v>10991</v>
      </c>
      <c r="S2000" s="1" t="s">
        <v>10992</v>
      </c>
      <c r="T2000" s="1" t="s">
        <v>9601</v>
      </c>
      <c r="U2000" s="1" t="s">
        <v>10991</v>
      </c>
    </row>
    <row r="2001" customFormat="false" ht="13.8" hidden="false" customHeight="false" outlineLevel="0" collapsed="false">
      <c r="A2001" s="1" t="n">
        <v>2000</v>
      </c>
      <c r="B2001" s="2" t="s">
        <v>10993</v>
      </c>
      <c r="C2001" s="1" t="n">
        <v>3</v>
      </c>
      <c r="D2001" s="1" t="n">
        <v>6</v>
      </c>
      <c r="E2001" s="1" t="n">
        <v>10</v>
      </c>
      <c r="F2001" s="1" t="n">
        <v>17</v>
      </c>
      <c r="G2001" s="1" t="n">
        <v>34</v>
      </c>
      <c r="H2001" s="1" t="n">
        <v>37</v>
      </c>
      <c r="I2001" s="1" t="str">
        <f aca="false">RIGHT(("0"&amp;C2001),2)&amp;RIGHT(("0"&amp;D2001),2)&amp;RIGHT(("0"&amp;E2001),2)&amp;RIGHT(("0"&amp;F2001),2)&amp;RIGHT(("0"&amp;G2001),2)&amp;RIGHT(("0"&amp;H2001),2)</f>
        <v>030610173437</v>
      </c>
      <c r="J2001" s="1" t="n">
        <f aca="false">COUNTIF(I:I,I2001)</f>
        <v>1</v>
      </c>
      <c r="K2001" s="1" t="n">
        <v>17</v>
      </c>
      <c r="L2001" s="1" t="s">
        <v>10994</v>
      </c>
      <c r="M2001" s="1" t="s">
        <v>10995</v>
      </c>
      <c r="N2001" s="1" t="n">
        <v>4862</v>
      </c>
      <c r="O2001" s="1" t="s">
        <v>10996</v>
      </c>
      <c r="P2001" s="1" t="n">
        <v>173428</v>
      </c>
      <c r="Q2001" s="1" t="s">
        <v>10997</v>
      </c>
      <c r="R2001" s="1" t="s">
        <v>23</v>
      </c>
      <c r="S2001" s="1" t="s">
        <v>10998</v>
      </c>
      <c r="T2001" s="1" t="s">
        <v>4732</v>
      </c>
      <c r="U2001" s="1" t="s">
        <v>23</v>
      </c>
    </row>
    <row r="2002" customFormat="false" ht="13.8" hidden="false" customHeight="false" outlineLevel="0" collapsed="false">
      <c r="A2002" s="1" t="n">
        <v>2001</v>
      </c>
      <c r="B2002" s="2" t="s">
        <v>10999</v>
      </c>
      <c r="C2002" s="1" t="n">
        <v>20</v>
      </c>
      <c r="D2002" s="1" t="n">
        <v>22</v>
      </c>
      <c r="E2002" s="1" t="n">
        <v>36</v>
      </c>
      <c r="F2002" s="1" t="n">
        <v>42</v>
      </c>
      <c r="G2002" s="1" t="n">
        <v>52</v>
      </c>
      <c r="H2002" s="1" t="n">
        <v>60</v>
      </c>
      <c r="I2002" s="1" t="str">
        <f aca="false">RIGHT(("0"&amp;C2002),2)&amp;RIGHT(("0"&amp;D2002),2)&amp;RIGHT(("0"&amp;E2002),2)&amp;RIGHT(("0"&amp;F2002),2)&amp;RIGHT(("0"&amp;G2002),2)&amp;RIGHT(("0"&amp;H2002),2)</f>
        <v>202236425260</v>
      </c>
      <c r="J2002" s="1" t="n">
        <f aca="false">COUNTIF(I:I,I2002)</f>
        <v>1</v>
      </c>
      <c r="K2002" s="1" t="n">
        <v>0</v>
      </c>
      <c r="M2002" s="1" t="s">
        <v>23</v>
      </c>
      <c r="N2002" s="1" t="n">
        <v>12</v>
      </c>
      <c r="O2002" s="1" t="s">
        <v>11000</v>
      </c>
      <c r="P2002" s="1" t="n">
        <v>1214</v>
      </c>
      <c r="Q2002" s="1" t="s">
        <v>11001</v>
      </c>
      <c r="R2002" s="1" t="s">
        <v>11002</v>
      </c>
      <c r="S2002" s="1" t="s">
        <v>11003</v>
      </c>
      <c r="T2002" s="1" t="s">
        <v>5013</v>
      </c>
      <c r="U2002" s="1" t="s">
        <v>11004</v>
      </c>
    </row>
    <row r="2003" customFormat="false" ht="13.8" hidden="false" customHeight="false" outlineLevel="0" collapsed="false">
      <c r="A2003" s="1" t="n">
        <v>2002</v>
      </c>
      <c r="B2003" s="2" t="s">
        <v>11005</v>
      </c>
      <c r="C2003" s="1" t="n">
        <v>4</v>
      </c>
      <c r="D2003" s="1" t="n">
        <v>28</v>
      </c>
      <c r="E2003" s="1" t="n">
        <v>30</v>
      </c>
      <c r="F2003" s="1" t="n">
        <v>38</v>
      </c>
      <c r="G2003" s="1" t="n">
        <v>46</v>
      </c>
      <c r="H2003" s="1" t="n">
        <v>59</v>
      </c>
      <c r="I2003" s="1" t="str">
        <f aca="false">RIGHT(("0"&amp;C2003),2)&amp;RIGHT(("0"&amp;D2003),2)&amp;RIGHT(("0"&amp;E2003),2)&amp;RIGHT(("0"&amp;F2003),2)&amp;RIGHT(("0"&amp;G2003),2)&amp;RIGHT(("0"&amp;H2003),2)</f>
        <v>042830384659</v>
      </c>
      <c r="J2003" s="1" t="n">
        <f aca="false">COUNTIF(I:I,I2003)</f>
        <v>1</v>
      </c>
      <c r="K2003" s="1" t="n">
        <v>0</v>
      </c>
      <c r="M2003" s="1" t="s">
        <v>23</v>
      </c>
      <c r="N2003" s="1" t="n">
        <v>24</v>
      </c>
      <c r="O2003" s="1" t="s">
        <v>11006</v>
      </c>
      <c r="P2003" s="1" t="n">
        <v>2214</v>
      </c>
      <c r="Q2003" s="1" t="s">
        <v>11007</v>
      </c>
      <c r="R2003" s="1" t="s">
        <v>11008</v>
      </c>
      <c r="S2003" s="1" t="s">
        <v>11009</v>
      </c>
      <c r="T2003" s="1" t="s">
        <v>4594</v>
      </c>
      <c r="U2003" s="1" t="s">
        <v>11010</v>
      </c>
    </row>
    <row r="2004" customFormat="false" ht="13.8" hidden="false" customHeight="false" outlineLevel="0" collapsed="false">
      <c r="A2004" s="1" t="n">
        <v>2003</v>
      </c>
      <c r="B2004" s="2" t="s">
        <v>11011</v>
      </c>
      <c r="C2004" s="1" t="n">
        <v>28</v>
      </c>
      <c r="D2004" s="1" t="n">
        <v>34</v>
      </c>
      <c r="E2004" s="1" t="n">
        <v>40</v>
      </c>
      <c r="F2004" s="1" t="n">
        <v>43</v>
      </c>
      <c r="G2004" s="1" t="n">
        <v>50</v>
      </c>
      <c r="H2004" s="1" t="n">
        <v>51</v>
      </c>
      <c r="I2004" s="1" t="str">
        <f aca="false">RIGHT(("0"&amp;C2004),2)&amp;RIGHT(("0"&amp;D2004),2)&amp;RIGHT(("0"&amp;E2004),2)&amp;RIGHT(("0"&amp;F2004),2)&amp;RIGHT(("0"&amp;G2004),2)&amp;RIGHT(("0"&amp;H2004),2)</f>
        <v>283440435051</v>
      </c>
      <c r="J2004" s="1" t="n">
        <f aca="false">COUNTIF(I:I,I2004)</f>
        <v>1</v>
      </c>
      <c r="K2004" s="1" t="n">
        <v>0</v>
      </c>
      <c r="M2004" s="1" t="s">
        <v>23</v>
      </c>
      <c r="N2004" s="1" t="n">
        <v>16</v>
      </c>
      <c r="O2004" s="1" t="s">
        <v>11012</v>
      </c>
      <c r="P2004" s="1" t="n">
        <v>1865</v>
      </c>
      <c r="Q2004" s="1" t="s">
        <v>11013</v>
      </c>
      <c r="R2004" s="1" t="s">
        <v>11014</v>
      </c>
      <c r="S2004" s="1" t="s">
        <v>11015</v>
      </c>
      <c r="T2004" s="1" t="s">
        <v>3727</v>
      </c>
      <c r="U2004" s="1" t="s">
        <v>11016</v>
      </c>
    </row>
    <row r="2005" customFormat="false" ht="13.8" hidden="false" customHeight="false" outlineLevel="0" collapsed="false">
      <c r="A2005" s="1" t="n">
        <v>2004</v>
      </c>
      <c r="B2005" s="2" t="s">
        <v>11017</v>
      </c>
      <c r="C2005" s="1" t="n">
        <v>1</v>
      </c>
      <c r="D2005" s="1" t="n">
        <v>5</v>
      </c>
      <c r="E2005" s="1" t="n">
        <v>14</v>
      </c>
      <c r="F2005" s="1" t="n">
        <v>23</v>
      </c>
      <c r="G2005" s="1" t="n">
        <v>35</v>
      </c>
      <c r="H2005" s="1" t="n">
        <v>45</v>
      </c>
      <c r="I2005" s="1" t="str">
        <f aca="false">RIGHT(("0"&amp;C2005),2)&amp;RIGHT(("0"&amp;D2005),2)&amp;RIGHT(("0"&amp;E2005),2)&amp;RIGHT(("0"&amp;F2005),2)&amp;RIGHT(("0"&amp;G2005),2)&amp;RIGHT(("0"&amp;H2005),2)</f>
        <v>010514233545</v>
      </c>
      <c r="J2005" s="1" t="n">
        <f aca="false">COUNTIF(I:I,I2005)</f>
        <v>1</v>
      </c>
      <c r="K2005" s="1" t="n">
        <v>3</v>
      </c>
      <c r="L2005" s="1" t="s">
        <v>11018</v>
      </c>
      <c r="M2005" s="1" t="s">
        <v>11019</v>
      </c>
      <c r="N2005" s="1" t="n">
        <v>79</v>
      </c>
      <c r="O2005" s="1" t="s">
        <v>11020</v>
      </c>
      <c r="P2005" s="1" t="n">
        <v>6444</v>
      </c>
      <c r="Q2005" s="1" t="s">
        <v>11021</v>
      </c>
      <c r="R2005" s="1" t="s">
        <v>23</v>
      </c>
      <c r="S2005" s="1" t="s">
        <v>11022</v>
      </c>
      <c r="T2005" s="1" t="s">
        <v>3727</v>
      </c>
      <c r="U2005" s="1" t="s">
        <v>11023</v>
      </c>
    </row>
    <row r="2006" customFormat="false" ht="13.8" hidden="false" customHeight="false" outlineLevel="0" collapsed="false">
      <c r="A2006" s="1" t="n">
        <v>2005</v>
      </c>
      <c r="B2006" s="2" t="s">
        <v>11024</v>
      </c>
      <c r="C2006" s="1" t="n">
        <v>11</v>
      </c>
      <c r="D2006" s="1" t="n">
        <v>19</v>
      </c>
      <c r="E2006" s="1" t="n">
        <v>22</v>
      </c>
      <c r="F2006" s="1" t="n">
        <v>33</v>
      </c>
      <c r="G2006" s="1" t="n">
        <v>34</v>
      </c>
      <c r="H2006" s="1" t="n">
        <v>53</v>
      </c>
      <c r="I2006" s="1" t="str">
        <f aca="false">RIGHT(("0"&amp;C2006),2)&amp;RIGHT(("0"&amp;D2006),2)&amp;RIGHT(("0"&amp;E2006),2)&amp;RIGHT(("0"&amp;F2006),2)&amp;RIGHT(("0"&amp;G2006),2)&amp;RIGHT(("0"&amp;H2006),2)</f>
        <v>111922333453</v>
      </c>
      <c r="J2006" s="1" t="n">
        <f aca="false">COUNTIF(I:I,I2006)</f>
        <v>1</v>
      </c>
      <c r="K2006" s="1" t="n">
        <v>0</v>
      </c>
      <c r="M2006" s="1" t="s">
        <v>23</v>
      </c>
      <c r="N2006" s="1" t="n">
        <v>44</v>
      </c>
      <c r="O2006" s="1" t="s">
        <v>11025</v>
      </c>
      <c r="P2006" s="1" t="n">
        <v>4052</v>
      </c>
      <c r="Q2006" s="1" t="s">
        <v>11026</v>
      </c>
      <c r="R2006" s="1" t="s">
        <v>11027</v>
      </c>
      <c r="S2006" s="1" t="s">
        <v>11028</v>
      </c>
      <c r="T2006" s="1" t="s">
        <v>3602</v>
      </c>
      <c r="U2006" s="1" t="s">
        <v>11029</v>
      </c>
    </row>
    <row r="2007" customFormat="false" ht="13.8" hidden="false" customHeight="false" outlineLevel="0" collapsed="false">
      <c r="A2007" s="1" t="n">
        <v>2006</v>
      </c>
      <c r="B2007" s="2" t="s">
        <v>11030</v>
      </c>
      <c r="C2007" s="1" t="n">
        <v>1</v>
      </c>
      <c r="D2007" s="1" t="n">
        <v>9</v>
      </c>
      <c r="E2007" s="1" t="n">
        <v>14</v>
      </c>
      <c r="F2007" s="1" t="n">
        <v>20</v>
      </c>
      <c r="G2007" s="1" t="n">
        <v>25</v>
      </c>
      <c r="H2007" s="1" t="n">
        <v>54</v>
      </c>
      <c r="I2007" s="1" t="str">
        <f aca="false">RIGHT(("0"&amp;C2007),2)&amp;RIGHT(("0"&amp;D2007),2)&amp;RIGHT(("0"&amp;E2007),2)&amp;RIGHT(("0"&amp;F2007),2)&amp;RIGHT(("0"&amp;G2007),2)&amp;RIGHT(("0"&amp;H2007),2)</f>
        <v>010914202554</v>
      </c>
      <c r="J2007" s="1" t="n">
        <f aca="false">COUNTIF(I:I,I2007)</f>
        <v>1</v>
      </c>
      <c r="K2007" s="1" t="n">
        <v>0</v>
      </c>
      <c r="M2007" s="1" t="s">
        <v>23</v>
      </c>
      <c r="N2007" s="1" t="n">
        <v>71</v>
      </c>
      <c r="O2007" s="1" t="s">
        <v>11031</v>
      </c>
      <c r="P2007" s="1" t="n">
        <v>5500</v>
      </c>
      <c r="Q2007" s="1" t="s">
        <v>11032</v>
      </c>
      <c r="R2007" s="1" t="s">
        <v>11033</v>
      </c>
      <c r="S2007" s="1" t="s">
        <v>11034</v>
      </c>
      <c r="T2007" s="1" t="s">
        <v>4273</v>
      </c>
      <c r="U2007" s="1" t="s">
        <v>11035</v>
      </c>
    </row>
    <row r="2008" customFormat="false" ht="13.8" hidden="false" customHeight="false" outlineLevel="0" collapsed="false">
      <c r="A2008" s="1" t="n">
        <v>2007</v>
      </c>
      <c r="B2008" s="2" t="s">
        <v>11036</v>
      </c>
      <c r="C2008" s="1" t="n">
        <v>4</v>
      </c>
      <c r="D2008" s="1" t="n">
        <v>14</v>
      </c>
      <c r="E2008" s="1" t="n">
        <v>39</v>
      </c>
      <c r="F2008" s="1" t="n">
        <v>41</v>
      </c>
      <c r="G2008" s="1" t="n">
        <v>54</v>
      </c>
      <c r="H2008" s="1" t="n">
        <v>58</v>
      </c>
      <c r="I2008" s="1" t="str">
        <f aca="false">RIGHT(("0"&amp;C2008),2)&amp;RIGHT(("0"&amp;D2008),2)&amp;RIGHT(("0"&amp;E2008),2)&amp;RIGHT(("0"&amp;F2008),2)&amp;RIGHT(("0"&amp;G2008),2)&amp;RIGHT(("0"&amp;H2008),2)</f>
        <v>041439415458</v>
      </c>
      <c r="J2008" s="1" t="n">
        <f aca="false">COUNTIF(I:I,I2008)</f>
        <v>1</v>
      </c>
      <c r="K2008" s="1" t="n">
        <v>0</v>
      </c>
      <c r="M2008" s="1" t="s">
        <v>23</v>
      </c>
      <c r="N2008" s="1" t="n">
        <v>42</v>
      </c>
      <c r="O2008" s="1" t="s">
        <v>11037</v>
      </c>
      <c r="P2008" s="1" t="n">
        <v>3340</v>
      </c>
      <c r="Q2008" s="1" t="s">
        <v>11038</v>
      </c>
      <c r="R2008" s="1" t="s">
        <v>11039</v>
      </c>
      <c r="S2008" s="1" t="s">
        <v>11040</v>
      </c>
      <c r="T2008" s="1" t="s">
        <v>4328</v>
      </c>
      <c r="U2008" s="1" t="s">
        <v>11041</v>
      </c>
    </row>
    <row r="2009" customFormat="false" ht="13.8" hidden="false" customHeight="false" outlineLevel="0" collapsed="false">
      <c r="A2009" s="1" t="n">
        <v>2008</v>
      </c>
      <c r="B2009" s="2" t="s">
        <v>11042</v>
      </c>
      <c r="C2009" s="1" t="n">
        <v>22</v>
      </c>
      <c r="D2009" s="1" t="n">
        <v>27</v>
      </c>
      <c r="E2009" s="1" t="n">
        <v>33</v>
      </c>
      <c r="F2009" s="1" t="n">
        <v>42</v>
      </c>
      <c r="G2009" s="1" t="n">
        <v>58</v>
      </c>
      <c r="H2009" s="1" t="n">
        <v>59</v>
      </c>
      <c r="I2009" s="1" t="str">
        <f aca="false">RIGHT(("0"&amp;C2009),2)&amp;RIGHT(("0"&amp;D2009),2)&amp;RIGHT(("0"&amp;E2009),2)&amp;RIGHT(("0"&amp;F2009),2)&amp;RIGHT(("0"&amp;G2009),2)&amp;RIGHT(("0"&amp;H2009),2)</f>
        <v>222733425859</v>
      </c>
      <c r="J2009" s="1" t="n">
        <f aca="false">COUNTIF(I:I,I2009)</f>
        <v>1</v>
      </c>
      <c r="K2009" s="1" t="n">
        <v>0</v>
      </c>
      <c r="M2009" s="1" t="s">
        <v>23</v>
      </c>
      <c r="N2009" s="1" t="n">
        <v>49</v>
      </c>
      <c r="O2009" s="1" t="s">
        <v>11043</v>
      </c>
      <c r="P2009" s="1" t="n">
        <v>4215</v>
      </c>
      <c r="Q2009" s="1" t="s">
        <v>11044</v>
      </c>
      <c r="R2009" s="1" t="s">
        <v>11045</v>
      </c>
      <c r="S2009" s="1" t="s">
        <v>11046</v>
      </c>
      <c r="T2009" s="1" t="s">
        <v>3892</v>
      </c>
      <c r="U2009" s="1" t="s">
        <v>11047</v>
      </c>
    </row>
    <row r="2010" customFormat="false" ht="13.8" hidden="false" customHeight="false" outlineLevel="0" collapsed="false">
      <c r="A2010" s="1" t="n">
        <v>2009</v>
      </c>
      <c r="B2010" s="2" t="s">
        <v>11048</v>
      </c>
      <c r="C2010" s="1" t="n">
        <v>1</v>
      </c>
      <c r="D2010" s="1" t="n">
        <v>37</v>
      </c>
      <c r="E2010" s="1" t="n">
        <v>44</v>
      </c>
      <c r="F2010" s="1" t="n">
        <v>46</v>
      </c>
      <c r="G2010" s="1" t="n">
        <v>48</v>
      </c>
      <c r="H2010" s="1" t="n">
        <v>50</v>
      </c>
      <c r="I2010" s="1" t="str">
        <f aca="false">RIGHT(("0"&amp;C2010),2)&amp;RIGHT(("0"&amp;D2010),2)&amp;RIGHT(("0"&amp;E2010),2)&amp;RIGHT(("0"&amp;F2010),2)&amp;RIGHT(("0"&amp;G2010),2)&amp;RIGHT(("0"&amp;H2010),2)</f>
        <v>013744464850</v>
      </c>
      <c r="J2010" s="1" t="n">
        <f aca="false">COUNTIF(I:I,I2010)</f>
        <v>1</v>
      </c>
      <c r="K2010" s="1" t="n">
        <v>0</v>
      </c>
      <c r="M2010" s="1" t="s">
        <v>23</v>
      </c>
      <c r="N2010" s="1" t="n">
        <v>46</v>
      </c>
      <c r="O2010" s="1" t="s">
        <v>11049</v>
      </c>
      <c r="P2010" s="1" t="n">
        <v>3665</v>
      </c>
      <c r="Q2010" s="1" t="s">
        <v>11050</v>
      </c>
      <c r="R2010" s="1" t="s">
        <v>11051</v>
      </c>
      <c r="S2010" s="1" t="s">
        <v>11052</v>
      </c>
      <c r="T2010" s="1" t="s">
        <v>7574</v>
      </c>
      <c r="U2010" s="1" t="s">
        <v>11053</v>
      </c>
    </row>
    <row r="2011" customFormat="false" ht="13.8" hidden="false" customHeight="false" outlineLevel="0" collapsed="false">
      <c r="A2011" s="1" t="n">
        <v>2010</v>
      </c>
      <c r="B2011" s="2" t="s">
        <v>11054</v>
      </c>
      <c r="C2011" s="1" t="n">
        <v>8</v>
      </c>
      <c r="D2011" s="1" t="n">
        <v>10</v>
      </c>
      <c r="E2011" s="1" t="n">
        <v>18</v>
      </c>
      <c r="F2011" s="1" t="n">
        <v>34</v>
      </c>
      <c r="G2011" s="1" t="n">
        <v>39</v>
      </c>
      <c r="H2011" s="1" t="n">
        <v>56</v>
      </c>
      <c r="I2011" s="1" t="str">
        <f aca="false">RIGHT(("0"&amp;C2011),2)&amp;RIGHT(("0"&amp;D2011),2)&amp;RIGHT(("0"&amp;E2011),2)&amp;RIGHT(("0"&amp;F2011),2)&amp;RIGHT(("0"&amp;G2011),2)&amp;RIGHT(("0"&amp;H2011),2)</f>
        <v>081018343956</v>
      </c>
      <c r="J2011" s="1" t="n">
        <f aca="false">COUNTIF(I:I,I2011)</f>
        <v>1</v>
      </c>
      <c r="K2011" s="1" t="n">
        <v>0</v>
      </c>
      <c r="M2011" s="1" t="s">
        <v>23</v>
      </c>
      <c r="N2011" s="1" t="n">
        <v>106</v>
      </c>
      <c r="O2011" s="1" t="s">
        <v>11055</v>
      </c>
      <c r="P2011" s="1" t="n">
        <v>7436</v>
      </c>
      <c r="Q2011" s="1" t="s">
        <v>11056</v>
      </c>
      <c r="R2011" s="1" t="s">
        <v>11057</v>
      </c>
      <c r="S2011" s="1" t="s">
        <v>11058</v>
      </c>
      <c r="T2011" s="1" t="s">
        <v>5307</v>
      </c>
      <c r="U2011" s="1" t="s">
        <v>11059</v>
      </c>
    </row>
    <row r="2012" customFormat="false" ht="13.8" hidden="false" customHeight="false" outlineLevel="0" collapsed="false">
      <c r="A2012" s="1" t="n">
        <v>2011</v>
      </c>
      <c r="B2012" s="2" t="s">
        <v>11060</v>
      </c>
      <c r="C2012" s="1" t="n">
        <v>2</v>
      </c>
      <c r="D2012" s="1" t="n">
        <v>28</v>
      </c>
      <c r="E2012" s="1" t="n">
        <v>32</v>
      </c>
      <c r="F2012" s="1" t="n">
        <v>35</v>
      </c>
      <c r="G2012" s="1" t="n">
        <v>54</v>
      </c>
      <c r="H2012" s="1" t="n">
        <v>58</v>
      </c>
      <c r="I2012" s="1" t="str">
        <f aca="false">RIGHT(("0"&amp;C2012),2)&amp;RIGHT(("0"&amp;D2012),2)&amp;RIGHT(("0"&amp;E2012),2)&amp;RIGHT(("0"&amp;F2012),2)&amp;RIGHT(("0"&amp;G2012),2)&amp;RIGHT(("0"&amp;H2012),2)</f>
        <v>022832355458</v>
      </c>
      <c r="J2012" s="1" t="n">
        <f aca="false">COUNTIF(I:I,I2012)</f>
        <v>1</v>
      </c>
      <c r="K2012" s="1" t="n">
        <v>0</v>
      </c>
      <c r="M2012" s="1" t="s">
        <v>23</v>
      </c>
      <c r="N2012" s="1" t="n">
        <v>119</v>
      </c>
      <c r="O2012" s="1" t="s">
        <v>11061</v>
      </c>
      <c r="P2012" s="1" t="n">
        <v>5949</v>
      </c>
      <c r="Q2012" s="1" t="s">
        <v>11062</v>
      </c>
      <c r="R2012" s="1" t="s">
        <v>11063</v>
      </c>
      <c r="S2012" s="1" t="s">
        <v>11064</v>
      </c>
      <c r="T2012" s="1" t="s">
        <v>6444</v>
      </c>
      <c r="U2012" s="1" t="s">
        <v>11065</v>
      </c>
    </row>
    <row r="2013" customFormat="false" ht="13.8" hidden="false" customHeight="false" outlineLevel="0" collapsed="false">
      <c r="A2013" s="1" t="n">
        <v>2012</v>
      </c>
      <c r="B2013" s="2" t="s">
        <v>11066</v>
      </c>
      <c r="C2013" s="1" t="n">
        <v>8</v>
      </c>
      <c r="D2013" s="1" t="n">
        <v>11</v>
      </c>
      <c r="E2013" s="1" t="n">
        <v>27</v>
      </c>
      <c r="F2013" s="1" t="n">
        <v>35</v>
      </c>
      <c r="G2013" s="1" t="n">
        <v>36</v>
      </c>
      <c r="H2013" s="1" t="n">
        <v>51</v>
      </c>
      <c r="I2013" s="1" t="str">
        <f aca="false">RIGHT(("0"&amp;C2013),2)&amp;RIGHT(("0"&amp;D2013),2)&amp;RIGHT(("0"&amp;E2013),2)&amp;RIGHT(("0"&amp;F2013),2)&amp;RIGHT(("0"&amp;G2013),2)&amp;RIGHT(("0"&amp;H2013),2)</f>
        <v>081127353651</v>
      </c>
      <c r="J2013" s="1" t="n">
        <f aca="false">COUNTIF(I:I,I2013)</f>
        <v>1</v>
      </c>
      <c r="K2013" s="1" t="n">
        <v>0</v>
      </c>
      <c r="M2013" s="1" t="s">
        <v>23</v>
      </c>
      <c r="N2013" s="1" t="n">
        <v>107</v>
      </c>
      <c r="O2013" s="1" t="s">
        <v>11067</v>
      </c>
      <c r="P2013" s="1" t="n">
        <v>6828</v>
      </c>
      <c r="Q2013" s="1" t="s">
        <v>11068</v>
      </c>
      <c r="R2013" s="1" t="s">
        <v>11069</v>
      </c>
      <c r="S2013" s="1" t="s">
        <v>11070</v>
      </c>
      <c r="T2013" s="1" t="s">
        <v>5706</v>
      </c>
      <c r="U2013" s="1" t="s">
        <v>11071</v>
      </c>
    </row>
    <row r="2014" customFormat="false" ht="13.8" hidden="false" customHeight="false" outlineLevel="0" collapsed="false">
      <c r="A2014" s="1" t="n">
        <v>2013</v>
      </c>
      <c r="B2014" s="2" t="s">
        <v>11072</v>
      </c>
      <c r="C2014" s="1" t="n">
        <v>6</v>
      </c>
      <c r="D2014" s="1" t="n">
        <v>23</v>
      </c>
      <c r="E2014" s="1" t="n">
        <v>30</v>
      </c>
      <c r="F2014" s="1" t="n">
        <v>36</v>
      </c>
      <c r="G2014" s="1" t="n">
        <v>53</v>
      </c>
      <c r="H2014" s="1" t="n">
        <v>56</v>
      </c>
      <c r="I2014" s="1" t="str">
        <f aca="false">RIGHT(("0"&amp;C2014),2)&amp;RIGHT(("0"&amp;D2014),2)&amp;RIGHT(("0"&amp;E2014),2)&amp;RIGHT(("0"&amp;F2014),2)&amp;RIGHT(("0"&amp;G2014),2)&amp;RIGHT(("0"&amp;H2014),2)</f>
        <v>062330365356</v>
      </c>
      <c r="J2014" s="1" t="n">
        <f aca="false">COUNTIF(I:I,I2014)</f>
        <v>1</v>
      </c>
      <c r="K2014" s="1" t="n">
        <v>0</v>
      </c>
      <c r="M2014" s="1" t="s">
        <v>23</v>
      </c>
      <c r="N2014" s="1" t="n">
        <v>159</v>
      </c>
      <c r="O2014" s="1" t="s">
        <v>11073</v>
      </c>
      <c r="P2014" s="1" t="n">
        <v>8465</v>
      </c>
      <c r="Q2014" s="1" t="s">
        <v>11074</v>
      </c>
      <c r="R2014" s="1" t="s">
        <v>11075</v>
      </c>
      <c r="S2014" s="1" t="s">
        <v>11076</v>
      </c>
      <c r="T2014" s="1" t="s">
        <v>11077</v>
      </c>
      <c r="U2014" s="1" t="s">
        <v>11078</v>
      </c>
    </row>
    <row r="2015" customFormat="false" ht="13.8" hidden="false" customHeight="false" outlineLevel="0" collapsed="false">
      <c r="A2015" s="1" t="n">
        <v>2014</v>
      </c>
      <c r="B2015" s="2" t="s">
        <v>11079</v>
      </c>
      <c r="C2015" s="1" t="n">
        <v>16</v>
      </c>
      <c r="D2015" s="1" t="n">
        <v>32</v>
      </c>
      <c r="E2015" s="1" t="n">
        <v>40</v>
      </c>
      <c r="F2015" s="1" t="n">
        <v>46</v>
      </c>
      <c r="G2015" s="1" t="n">
        <v>53</v>
      </c>
      <c r="H2015" s="1" t="n">
        <v>56</v>
      </c>
      <c r="I2015" s="1" t="str">
        <f aca="false">RIGHT(("0"&amp;C2015),2)&amp;RIGHT(("0"&amp;D2015),2)&amp;RIGHT(("0"&amp;E2015),2)&amp;RIGHT(("0"&amp;F2015),2)&amp;RIGHT(("0"&amp;G2015),2)&amp;RIGHT(("0"&amp;H2015),2)</f>
        <v>163240465356</v>
      </c>
      <c r="J2015" s="1" t="n">
        <f aca="false">COUNTIF(I:I,I2015)</f>
        <v>1</v>
      </c>
      <c r="K2015" s="1" t="n">
        <v>0</v>
      </c>
      <c r="M2015" s="1" t="s">
        <v>23</v>
      </c>
      <c r="N2015" s="1" t="n">
        <v>46</v>
      </c>
      <c r="O2015" s="1" t="s">
        <v>11080</v>
      </c>
      <c r="P2015" s="1" t="n">
        <v>4140</v>
      </c>
      <c r="Q2015" s="1" t="s">
        <v>11081</v>
      </c>
      <c r="R2015" s="1" t="s">
        <v>11082</v>
      </c>
      <c r="S2015" s="1" t="s">
        <v>11083</v>
      </c>
      <c r="T2015" s="1" t="s">
        <v>9535</v>
      </c>
      <c r="U2015" s="1" t="s">
        <v>11084</v>
      </c>
    </row>
    <row r="2016" customFormat="false" ht="13.8" hidden="false" customHeight="false" outlineLevel="0" collapsed="false">
      <c r="A2016" s="1" t="n">
        <v>2015</v>
      </c>
      <c r="B2016" s="2" t="s">
        <v>11085</v>
      </c>
      <c r="C2016" s="1" t="n">
        <v>17</v>
      </c>
      <c r="D2016" s="1" t="n">
        <v>18</v>
      </c>
      <c r="E2016" s="1" t="n">
        <v>27</v>
      </c>
      <c r="F2016" s="1" t="n">
        <v>32</v>
      </c>
      <c r="G2016" s="1" t="n">
        <v>39</v>
      </c>
      <c r="H2016" s="1" t="n">
        <v>58</v>
      </c>
      <c r="I2016" s="1" t="str">
        <f aca="false">RIGHT(("0"&amp;C2016),2)&amp;RIGHT(("0"&amp;D2016),2)&amp;RIGHT(("0"&amp;E2016),2)&amp;RIGHT(("0"&amp;F2016),2)&amp;RIGHT(("0"&amp;G2016),2)&amp;RIGHT(("0"&amp;H2016),2)</f>
        <v>171827323958</v>
      </c>
      <c r="J2016" s="1" t="n">
        <f aca="false">COUNTIF(I:I,I2016)</f>
        <v>1</v>
      </c>
      <c r="K2016" s="1" t="n">
        <v>1</v>
      </c>
      <c r="L2016" s="1" t="s">
        <v>8479</v>
      </c>
      <c r="M2016" s="1" t="s">
        <v>11086</v>
      </c>
      <c r="N2016" s="1" t="n">
        <v>130</v>
      </c>
      <c r="O2016" s="1" t="s">
        <v>11087</v>
      </c>
      <c r="P2016" s="1" t="n">
        <v>12558</v>
      </c>
      <c r="Q2016" s="1" t="s">
        <v>11088</v>
      </c>
      <c r="R2016" s="1" t="s">
        <v>23</v>
      </c>
      <c r="S2016" s="1" t="s">
        <v>11089</v>
      </c>
      <c r="T2016" s="1" t="s">
        <v>473</v>
      </c>
      <c r="U2016" s="1" t="s">
        <v>11090</v>
      </c>
    </row>
    <row r="2017" customFormat="false" ht="13.8" hidden="false" customHeight="false" outlineLevel="0" collapsed="false">
      <c r="A2017" s="1" t="n">
        <v>2016</v>
      </c>
      <c r="B2017" s="2" t="s">
        <v>11091</v>
      </c>
      <c r="C2017" s="1" t="n">
        <v>4</v>
      </c>
      <c r="D2017" s="1" t="n">
        <v>11</v>
      </c>
      <c r="E2017" s="1" t="n">
        <v>17</v>
      </c>
      <c r="F2017" s="1" t="n">
        <v>18</v>
      </c>
      <c r="G2017" s="1" t="n">
        <v>21</v>
      </c>
      <c r="H2017" s="1" t="n">
        <v>48</v>
      </c>
      <c r="I2017" s="1" t="str">
        <f aca="false">RIGHT(("0"&amp;C2017),2)&amp;RIGHT(("0"&amp;D2017),2)&amp;RIGHT(("0"&amp;E2017),2)&amp;RIGHT(("0"&amp;F2017),2)&amp;RIGHT(("0"&amp;G2017),2)&amp;RIGHT(("0"&amp;H2017),2)</f>
        <v>041117182148</v>
      </c>
      <c r="J2017" s="1" t="n">
        <f aca="false">COUNTIF(I:I,I2017)</f>
        <v>1</v>
      </c>
      <c r="K2017" s="1" t="n">
        <v>0</v>
      </c>
      <c r="M2017" s="1" t="s">
        <v>23</v>
      </c>
      <c r="N2017" s="1" t="n">
        <v>64</v>
      </c>
      <c r="O2017" s="1" t="s">
        <v>11092</v>
      </c>
      <c r="P2017" s="1" t="n">
        <v>4543</v>
      </c>
      <c r="Q2017" s="1" t="s">
        <v>11093</v>
      </c>
      <c r="R2017" s="1" t="s">
        <v>11094</v>
      </c>
      <c r="S2017" s="1" t="s">
        <v>11095</v>
      </c>
      <c r="T2017" s="1" t="s">
        <v>11096</v>
      </c>
      <c r="U2017" s="1" t="s">
        <v>11097</v>
      </c>
    </row>
    <row r="2018" customFormat="false" ht="13.8" hidden="false" customHeight="false" outlineLevel="0" collapsed="false">
      <c r="A2018" s="1" t="n">
        <v>2017</v>
      </c>
      <c r="B2018" s="2" t="s">
        <v>11098</v>
      </c>
      <c r="C2018" s="1" t="n">
        <v>2</v>
      </c>
      <c r="D2018" s="1" t="n">
        <v>10</v>
      </c>
      <c r="E2018" s="1" t="n">
        <v>11</v>
      </c>
      <c r="F2018" s="1" t="n">
        <v>24</v>
      </c>
      <c r="G2018" s="1" t="n">
        <v>38</v>
      </c>
      <c r="H2018" s="1" t="n">
        <v>56</v>
      </c>
      <c r="I2018" s="1" t="str">
        <f aca="false">RIGHT(("0"&amp;C2018),2)&amp;RIGHT(("0"&amp;D2018),2)&amp;RIGHT(("0"&amp;E2018),2)&amp;RIGHT(("0"&amp;F2018),2)&amp;RIGHT(("0"&amp;G2018),2)&amp;RIGHT(("0"&amp;H2018),2)</f>
        <v>021011243856</v>
      </c>
      <c r="J2018" s="1" t="n">
        <f aca="false">COUNTIF(I:I,I2018)</f>
        <v>1</v>
      </c>
      <c r="K2018" s="1" t="n">
        <v>0</v>
      </c>
      <c r="M2018" s="1" t="s">
        <v>23</v>
      </c>
      <c r="N2018" s="1" t="n">
        <v>123</v>
      </c>
      <c r="O2018" s="1" t="s">
        <v>11099</v>
      </c>
      <c r="P2018" s="1" t="n">
        <v>6125</v>
      </c>
      <c r="Q2018" s="1" t="s">
        <v>11100</v>
      </c>
      <c r="R2018" s="1" t="s">
        <v>11101</v>
      </c>
      <c r="S2018" s="1" t="s">
        <v>11102</v>
      </c>
      <c r="T2018" s="1" t="s">
        <v>4461</v>
      </c>
      <c r="U2018" s="1" t="s">
        <v>11103</v>
      </c>
    </row>
    <row r="2019" customFormat="false" ht="13.8" hidden="false" customHeight="false" outlineLevel="0" collapsed="false">
      <c r="A2019" s="1" t="n">
        <v>2018</v>
      </c>
      <c r="B2019" s="2" t="s">
        <v>11104</v>
      </c>
      <c r="C2019" s="1" t="n">
        <v>11</v>
      </c>
      <c r="D2019" s="1" t="n">
        <v>22</v>
      </c>
      <c r="E2019" s="1" t="n">
        <v>25</v>
      </c>
      <c r="F2019" s="1" t="n">
        <v>27</v>
      </c>
      <c r="G2019" s="1" t="n">
        <v>55</v>
      </c>
      <c r="H2019" s="1" t="n">
        <v>59</v>
      </c>
      <c r="I2019" s="1" t="str">
        <f aca="false">RIGHT(("0"&amp;C2019),2)&amp;RIGHT(("0"&amp;D2019),2)&amp;RIGHT(("0"&amp;E2019),2)&amp;RIGHT(("0"&amp;F2019),2)&amp;RIGHT(("0"&amp;G2019),2)&amp;RIGHT(("0"&amp;H2019),2)</f>
        <v>112225275559</v>
      </c>
      <c r="J2019" s="1" t="n">
        <f aca="false">COUNTIF(I:I,I2019)</f>
        <v>1</v>
      </c>
      <c r="K2019" s="1" t="n">
        <v>0</v>
      </c>
      <c r="M2019" s="1" t="s">
        <v>23</v>
      </c>
      <c r="N2019" s="1" t="n">
        <v>83</v>
      </c>
      <c r="O2019" s="1" t="s">
        <v>11105</v>
      </c>
      <c r="P2019" s="1" t="n">
        <v>4661</v>
      </c>
      <c r="Q2019" s="1" t="s">
        <v>11106</v>
      </c>
      <c r="R2019" s="1" t="s">
        <v>11107</v>
      </c>
      <c r="S2019" s="1" t="s">
        <v>11108</v>
      </c>
      <c r="T2019" s="1" t="s">
        <v>3602</v>
      </c>
      <c r="U2019" s="1" t="s">
        <v>11109</v>
      </c>
    </row>
    <row r="2020" customFormat="false" ht="13.8" hidden="false" customHeight="false" outlineLevel="0" collapsed="false">
      <c r="A2020" s="1" t="n">
        <v>2019</v>
      </c>
      <c r="B2020" s="2" t="s">
        <v>11110</v>
      </c>
      <c r="C2020" s="1" t="n">
        <v>23</v>
      </c>
      <c r="D2020" s="1" t="n">
        <v>41</v>
      </c>
      <c r="E2020" s="1" t="n">
        <v>46</v>
      </c>
      <c r="F2020" s="1" t="n">
        <v>52</v>
      </c>
      <c r="G2020" s="1" t="n">
        <v>54</v>
      </c>
      <c r="H2020" s="1" t="n">
        <v>59</v>
      </c>
      <c r="I2020" s="1" t="str">
        <f aca="false">RIGHT(("0"&amp;C2020),2)&amp;RIGHT(("0"&amp;D2020),2)&amp;RIGHT(("0"&amp;E2020),2)&amp;RIGHT(("0"&amp;F2020),2)&amp;RIGHT(("0"&amp;G2020),2)&amp;RIGHT(("0"&amp;H2020),2)</f>
        <v>234146525459</v>
      </c>
      <c r="J2020" s="1" t="n">
        <f aca="false">COUNTIF(I:I,I2020)</f>
        <v>1</v>
      </c>
      <c r="K2020" s="1" t="n">
        <v>0</v>
      </c>
      <c r="M2020" s="1" t="s">
        <v>23</v>
      </c>
      <c r="N2020" s="1" t="n">
        <v>54</v>
      </c>
      <c r="O2020" s="1" t="s">
        <v>11111</v>
      </c>
      <c r="P2020" s="1" t="n">
        <v>4043</v>
      </c>
      <c r="Q2020" s="1" t="s">
        <v>11112</v>
      </c>
      <c r="R2020" s="1" t="s">
        <v>11113</v>
      </c>
      <c r="S2020" s="1" t="s">
        <v>11114</v>
      </c>
      <c r="T2020" s="1" t="s">
        <v>4309</v>
      </c>
      <c r="U2020" s="1" t="s">
        <v>11115</v>
      </c>
    </row>
    <row r="2021" customFormat="false" ht="13.8" hidden="false" customHeight="false" outlineLevel="0" collapsed="false">
      <c r="A2021" s="1" t="n">
        <v>2020</v>
      </c>
      <c r="B2021" s="2" t="s">
        <v>11116</v>
      </c>
      <c r="C2021" s="1" t="n">
        <v>2</v>
      </c>
      <c r="D2021" s="1" t="n">
        <v>36</v>
      </c>
      <c r="E2021" s="1" t="n">
        <v>46</v>
      </c>
      <c r="F2021" s="1" t="n">
        <v>48</v>
      </c>
      <c r="G2021" s="1" t="n">
        <v>57</v>
      </c>
      <c r="H2021" s="1" t="n">
        <v>60</v>
      </c>
      <c r="I2021" s="1" t="str">
        <f aca="false">RIGHT(("0"&amp;C2021),2)&amp;RIGHT(("0"&amp;D2021),2)&amp;RIGHT(("0"&amp;E2021),2)&amp;RIGHT(("0"&amp;F2021),2)&amp;RIGHT(("0"&amp;G2021),2)&amp;RIGHT(("0"&amp;H2021),2)</f>
        <v>023646485760</v>
      </c>
      <c r="J2021" s="1" t="n">
        <f aca="false">COUNTIF(I:I,I2021)</f>
        <v>1</v>
      </c>
      <c r="K2021" s="1" t="n">
        <v>0</v>
      </c>
      <c r="M2021" s="1" t="s">
        <v>23</v>
      </c>
      <c r="N2021" s="1" t="n">
        <v>46</v>
      </c>
      <c r="O2021" s="1" t="s">
        <v>11117</v>
      </c>
      <c r="P2021" s="1" t="n">
        <v>4530</v>
      </c>
      <c r="Q2021" s="1" t="s">
        <v>11118</v>
      </c>
      <c r="R2021" s="1" t="s">
        <v>11119</v>
      </c>
      <c r="S2021" s="1" t="s">
        <v>11120</v>
      </c>
      <c r="T2021" s="1" t="s">
        <v>4314</v>
      </c>
      <c r="U2021" s="1" t="s">
        <v>11121</v>
      </c>
    </row>
    <row r="2022" customFormat="false" ht="13.8" hidden="false" customHeight="false" outlineLevel="0" collapsed="false">
      <c r="A2022" s="1" t="n">
        <v>2021</v>
      </c>
      <c r="B2022" s="2" t="s">
        <v>11122</v>
      </c>
      <c r="C2022" s="1" t="n">
        <v>7</v>
      </c>
      <c r="D2022" s="1" t="n">
        <v>14</v>
      </c>
      <c r="E2022" s="1" t="n">
        <v>32</v>
      </c>
      <c r="F2022" s="1" t="n">
        <v>37</v>
      </c>
      <c r="G2022" s="1" t="n">
        <v>40</v>
      </c>
      <c r="H2022" s="1" t="n">
        <v>60</v>
      </c>
      <c r="I2022" s="1" t="str">
        <f aca="false">RIGHT(("0"&amp;C2022),2)&amp;RIGHT(("0"&amp;D2022),2)&amp;RIGHT(("0"&amp;E2022),2)&amp;RIGHT(("0"&amp;F2022),2)&amp;RIGHT(("0"&amp;G2022),2)&amp;RIGHT(("0"&amp;H2022),2)</f>
        <v>071432374060</v>
      </c>
      <c r="J2022" s="1" t="n">
        <f aca="false">COUNTIF(I:I,I2022)</f>
        <v>1</v>
      </c>
      <c r="K2022" s="1" t="n">
        <v>0</v>
      </c>
      <c r="M2022" s="1" t="s">
        <v>23</v>
      </c>
      <c r="N2022" s="1" t="n">
        <v>101</v>
      </c>
      <c r="O2022" s="1" t="s">
        <v>11123</v>
      </c>
      <c r="P2022" s="1" t="n">
        <v>6982</v>
      </c>
      <c r="Q2022" s="1" t="s">
        <v>11124</v>
      </c>
      <c r="R2022" s="1" t="s">
        <v>11125</v>
      </c>
      <c r="S2022" s="1" t="s">
        <v>11126</v>
      </c>
      <c r="T2022" s="1" t="s">
        <v>4727</v>
      </c>
      <c r="U2022" s="1" t="s">
        <v>11127</v>
      </c>
    </row>
    <row r="2023" customFormat="false" ht="13.8" hidden="false" customHeight="false" outlineLevel="0" collapsed="false">
      <c r="A2023" s="1" t="n">
        <v>2022</v>
      </c>
      <c r="B2023" s="2" t="s">
        <v>11128</v>
      </c>
      <c r="C2023" s="1" t="n">
        <v>4</v>
      </c>
      <c r="D2023" s="1" t="n">
        <v>28</v>
      </c>
      <c r="E2023" s="1" t="n">
        <v>45</v>
      </c>
      <c r="F2023" s="1" t="n">
        <v>48</v>
      </c>
      <c r="G2023" s="1" t="n">
        <v>52</v>
      </c>
      <c r="H2023" s="1" t="n">
        <v>60</v>
      </c>
      <c r="I2023" s="1" t="str">
        <f aca="false">RIGHT(("0"&amp;C2023),2)&amp;RIGHT(("0"&amp;D2023),2)&amp;RIGHT(("0"&amp;E2023),2)&amp;RIGHT(("0"&amp;F2023),2)&amp;RIGHT(("0"&amp;G2023),2)&amp;RIGHT(("0"&amp;H2023),2)</f>
        <v>042845485260</v>
      </c>
      <c r="J2023" s="1" t="n">
        <f aca="false">COUNTIF(I:I,I2023)</f>
        <v>1</v>
      </c>
      <c r="K2023" s="1" t="n">
        <v>0</v>
      </c>
      <c r="M2023" s="1" t="s">
        <v>23</v>
      </c>
      <c r="N2023" s="1" t="n">
        <v>79</v>
      </c>
      <c r="O2023" s="1" t="s">
        <v>11129</v>
      </c>
      <c r="P2023" s="1" t="n">
        <v>6343</v>
      </c>
      <c r="Q2023" s="1" t="s">
        <v>11130</v>
      </c>
      <c r="R2023" s="1" t="s">
        <v>11131</v>
      </c>
      <c r="S2023" s="1" t="s">
        <v>11132</v>
      </c>
      <c r="T2023" s="1" t="s">
        <v>8797</v>
      </c>
      <c r="U2023" s="1" t="s">
        <v>11133</v>
      </c>
    </row>
    <row r="2024" customFormat="false" ht="13.8" hidden="false" customHeight="false" outlineLevel="0" collapsed="false">
      <c r="A2024" s="1" t="n">
        <v>2023</v>
      </c>
      <c r="B2024" s="2" t="s">
        <v>11134</v>
      </c>
      <c r="C2024" s="1" t="n">
        <v>1</v>
      </c>
      <c r="D2024" s="1" t="n">
        <v>6</v>
      </c>
      <c r="E2024" s="1" t="n">
        <v>7</v>
      </c>
      <c r="F2024" s="1" t="n">
        <v>8</v>
      </c>
      <c r="G2024" s="1" t="n">
        <v>23</v>
      </c>
      <c r="H2024" s="1" t="n">
        <v>56</v>
      </c>
      <c r="I2024" s="1" t="str">
        <f aca="false">RIGHT(("0"&amp;C2024),2)&amp;RIGHT(("0"&amp;D2024),2)&amp;RIGHT(("0"&amp;E2024),2)&amp;RIGHT(("0"&amp;F2024),2)&amp;RIGHT(("0"&amp;G2024),2)&amp;RIGHT(("0"&amp;H2024),2)</f>
        <v>010607082356</v>
      </c>
      <c r="J2024" s="1" t="n">
        <f aca="false">COUNTIF(I:I,I2024)</f>
        <v>1</v>
      </c>
      <c r="K2024" s="1" t="n">
        <v>2</v>
      </c>
      <c r="L2024" s="1" t="s">
        <v>11135</v>
      </c>
      <c r="M2024" s="1" t="s">
        <v>11136</v>
      </c>
      <c r="N2024" s="1" t="n">
        <v>217</v>
      </c>
      <c r="O2024" s="1" t="s">
        <v>11137</v>
      </c>
      <c r="P2024" s="1" t="n">
        <v>13622</v>
      </c>
      <c r="Q2024" s="1" t="s">
        <v>11138</v>
      </c>
      <c r="R2024" s="1" t="s">
        <v>23</v>
      </c>
      <c r="S2024" s="1" t="s">
        <v>11139</v>
      </c>
      <c r="T2024" s="1" t="s">
        <v>473</v>
      </c>
      <c r="U2024" s="1" t="s">
        <v>11140</v>
      </c>
    </row>
    <row r="2025" customFormat="false" ht="13.8" hidden="false" customHeight="false" outlineLevel="0" collapsed="false">
      <c r="A2025" s="1" t="n">
        <v>2024</v>
      </c>
      <c r="B2025" s="2" t="s">
        <v>11141</v>
      </c>
      <c r="C2025" s="1" t="n">
        <v>16</v>
      </c>
      <c r="D2025" s="1" t="n">
        <v>20</v>
      </c>
      <c r="E2025" s="1" t="n">
        <v>23</v>
      </c>
      <c r="F2025" s="1" t="n">
        <v>29</v>
      </c>
      <c r="G2025" s="1" t="n">
        <v>35</v>
      </c>
      <c r="H2025" s="1" t="n">
        <v>47</v>
      </c>
      <c r="I2025" s="1" t="str">
        <f aca="false">RIGHT(("0"&amp;C2025),2)&amp;RIGHT(("0"&amp;D2025),2)&amp;RIGHT(("0"&amp;E2025),2)&amp;RIGHT(("0"&amp;F2025),2)&amp;RIGHT(("0"&amp;G2025),2)&amp;RIGHT(("0"&amp;H2025),2)</f>
        <v>162023293547</v>
      </c>
      <c r="J2025" s="1" t="n">
        <f aca="false">COUNTIF(I:I,I2025)</f>
        <v>1</v>
      </c>
      <c r="K2025" s="1" t="n">
        <v>0</v>
      </c>
      <c r="M2025" s="1" t="s">
        <v>23</v>
      </c>
      <c r="N2025" s="1" t="n">
        <v>45</v>
      </c>
      <c r="O2025" s="1" t="s">
        <v>11142</v>
      </c>
      <c r="P2025" s="1" t="n">
        <v>3221</v>
      </c>
      <c r="Q2025" s="1" t="s">
        <v>11143</v>
      </c>
      <c r="R2025" s="1" t="s">
        <v>11144</v>
      </c>
      <c r="S2025" s="1" t="s">
        <v>11145</v>
      </c>
      <c r="T2025" s="1" t="s">
        <v>4718</v>
      </c>
      <c r="U2025" s="1" t="s">
        <v>11146</v>
      </c>
    </row>
    <row r="2026" customFormat="false" ht="13.8" hidden="false" customHeight="false" outlineLevel="0" collapsed="false">
      <c r="A2026" s="1" t="n">
        <v>2025</v>
      </c>
      <c r="B2026" s="2" t="s">
        <v>11147</v>
      </c>
      <c r="C2026" s="1" t="n">
        <v>4</v>
      </c>
      <c r="D2026" s="1" t="n">
        <v>24</v>
      </c>
      <c r="E2026" s="1" t="n">
        <v>46</v>
      </c>
      <c r="F2026" s="1" t="n">
        <v>52</v>
      </c>
      <c r="G2026" s="1" t="n">
        <v>55</v>
      </c>
      <c r="H2026" s="1" t="n">
        <v>56</v>
      </c>
      <c r="I2026" s="1" t="str">
        <f aca="false">RIGHT(("0"&amp;C2026),2)&amp;RIGHT(("0"&amp;D2026),2)&amp;RIGHT(("0"&amp;E2026),2)&amp;RIGHT(("0"&amp;F2026),2)&amp;RIGHT(("0"&amp;G2026),2)&amp;RIGHT(("0"&amp;H2026),2)</f>
        <v>042446525556</v>
      </c>
      <c r="J2026" s="1" t="n">
        <f aca="false">COUNTIF(I:I,I2026)</f>
        <v>1</v>
      </c>
      <c r="K2026" s="1" t="n">
        <v>0</v>
      </c>
      <c r="M2026" s="1" t="s">
        <v>23</v>
      </c>
      <c r="N2026" s="1" t="n">
        <v>53</v>
      </c>
      <c r="O2026" s="1" t="s">
        <v>11148</v>
      </c>
      <c r="P2026" s="1" t="n">
        <v>3730</v>
      </c>
      <c r="Q2026" s="1" t="s">
        <v>11149</v>
      </c>
      <c r="R2026" s="1" t="s">
        <v>11150</v>
      </c>
      <c r="S2026" s="1" t="s">
        <v>11151</v>
      </c>
      <c r="T2026" s="1" t="s">
        <v>3892</v>
      </c>
      <c r="U2026" s="1" t="s">
        <v>11152</v>
      </c>
    </row>
    <row r="2027" customFormat="false" ht="13.8" hidden="false" customHeight="false" outlineLevel="0" collapsed="false">
      <c r="A2027" s="1" t="n">
        <v>2026</v>
      </c>
      <c r="B2027" s="2" t="s">
        <v>11153</v>
      </c>
      <c r="C2027" s="1" t="n">
        <v>10</v>
      </c>
      <c r="D2027" s="1" t="n">
        <v>23</v>
      </c>
      <c r="E2027" s="1" t="n">
        <v>31</v>
      </c>
      <c r="F2027" s="1" t="n">
        <v>33</v>
      </c>
      <c r="G2027" s="1" t="n">
        <v>51</v>
      </c>
      <c r="H2027" s="1" t="n">
        <v>52</v>
      </c>
      <c r="I2027" s="1" t="str">
        <f aca="false">RIGHT(("0"&amp;C2027),2)&amp;RIGHT(("0"&amp;D2027),2)&amp;RIGHT(("0"&amp;E2027),2)&amp;RIGHT(("0"&amp;F2027),2)&amp;RIGHT(("0"&amp;G2027),2)&amp;RIGHT(("0"&amp;H2027),2)</f>
        <v>102331335152</v>
      </c>
      <c r="J2027" s="1" t="n">
        <f aca="false">COUNTIF(I:I,I2027)</f>
        <v>1</v>
      </c>
      <c r="K2027" s="1" t="n">
        <v>0</v>
      </c>
      <c r="M2027" s="1" t="s">
        <v>23</v>
      </c>
      <c r="N2027" s="1" t="n">
        <v>105</v>
      </c>
      <c r="O2027" s="1" t="s">
        <v>11154</v>
      </c>
      <c r="P2027" s="1" t="n">
        <v>6365</v>
      </c>
      <c r="Q2027" s="1" t="s">
        <v>11155</v>
      </c>
      <c r="R2027" s="1" t="s">
        <v>11156</v>
      </c>
      <c r="S2027" s="1" t="s">
        <v>11157</v>
      </c>
      <c r="T2027" s="1" t="s">
        <v>4968</v>
      </c>
      <c r="U2027" s="1" t="s">
        <v>11158</v>
      </c>
    </row>
    <row r="2028" customFormat="false" ht="13.8" hidden="false" customHeight="false" outlineLevel="0" collapsed="false">
      <c r="A2028" s="1" t="n">
        <v>2027</v>
      </c>
      <c r="B2028" s="2" t="s">
        <v>11159</v>
      </c>
      <c r="C2028" s="1" t="n">
        <v>11</v>
      </c>
      <c r="D2028" s="1" t="n">
        <v>15</v>
      </c>
      <c r="E2028" s="1" t="n">
        <v>29</v>
      </c>
      <c r="F2028" s="1" t="n">
        <v>37</v>
      </c>
      <c r="G2028" s="1" t="n">
        <v>39</v>
      </c>
      <c r="H2028" s="1" t="n">
        <v>44</v>
      </c>
      <c r="I2028" s="1" t="str">
        <f aca="false">RIGHT(("0"&amp;C2028),2)&amp;RIGHT(("0"&amp;D2028),2)&amp;RIGHT(("0"&amp;E2028),2)&amp;RIGHT(("0"&amp;F2028),2)&amp;RIGHT(("0"&amp;G2028),2)&amp;RIGHT(("0"&amp;H2028),2)</f>
        <v>111529373944</v>
      </c>
      <c r="J2028" s="1" t="n">
        <f aca="false">COUNTIF(I:I,I2028)</f>
        <v>1</v>
      </c>
      <c r="K2028" s="1" t="n">
        <v>0</v>
      </c>
      <c r="M2028" s="1" t="s">
        <v>23</v>
      </c>
      <c r="N2028" s="1" t="n">
        <v>76</v>
      </c>
      <c r="O2028" s="1" t="s">
        <v>11160</v>
      </c>
      <c r="P2028" s="1" t="n">
        <v>4916</v>
      </c>
      <c r="Q2028" s="1" t="s">
        <v>11161</v>
      </c>
      <c r="R2028" s="1" t="s">
        <v>11162</v>
      </c>
      <c r="S2028" s="1" t="s">
        <v>11163</v>
      </c>
      <c r="T2028" s="1" t="s">
        <v>4309</v>
      </c>
      <c r="U2028" s="1" t="s">
        <v>11164</v>
      </c>
    </row>
    <row r="2029" customFormat="false" ht="13.8" hidden="false" customHeight="false" outlineLevel="0" collapsed="false">
      <c r="A2029" s="1" t="n">
        <v>2028</v>
      </c>
      <c r="B2029" s="2" t="s">
        <v>11165</v>
      </c>
      <c r="C2029" s="1" t="n">
        <v>7</v>
      </c>
      <c r="D2029" s="1" t="n">
        <v>11</v>
      </c>
      <c r="E2029" s="1" t="n">
        <v>24</v>
      </c>
      <c r="F2029" s="1" t="n">
        <v>36</v>
      </c>
      <c r="G2029" s="1" t="n">
        <v>42</v>
      </c>
      <c r="H2029" s="1" t="n">
        <v>58</v>
      </c>
      <c r="I2029" s="1" t="str">
        <f aca="false">RIGHT(("0"&amp;C2029),2)&amp;RIGHT(("0"&amp;D2029),2)&amp;RIGHT(("0"&amp;E2029),2)&amp;RIGHT(("0"&amp;F2029),2)&amp;RIGHT(("0"&amp;G2029),2)&amp;RIGHT(("0"&amp;H2029),2)</f>
        <v>071124364258</v>
      </c>
      <c r="J2029" s="1" t="n">
        <f aca="false">COUNTIF(I:I,I2029)</f>
        <v>1</v>
      </c>
      <c r="K2029" s="1" t="n">
        <v>4</v>
      </c>
      <c r="L2029" s="1" t="s">
        <v>11166</v>
      </c>
      <c r="M2029" s="1" t="s">
        <v>11167</v>
      </c>
      <c r="N2029" s="1" t="n">
        <v>261</v>
      </c>
      <c r="O2029" s="1" t="s">
        <v>11168</v>
      </c>
      <c r="P2029" s="1" t="n">
        <v>9867</v>
      </c>
      <c r="Q2029" s="1" t="s">
        <v>11169</v>
      </c>
      <c r="R2029" s="1" t="s">
        <v>23</v>
      </c>
      <c r="S2029" s="1" t="s">
        <v>11170</v>
      </c>
      <c r="T2029" s="1" t="s">
        <v>473</v>
      </c>
      <c r="U2029" s="1" t="s">
        <v>11171</v>
      </c>
    </row>
    <row r="2030" customFormat="false" ht="13.8" hidden="false" customHeight="false" outlineLevel="0" collapsed="false">
      <c r="A2030" s="1" t="n">
        <v>2029</v>
      </c>
      <c r="B2030" s="2" t="s">
        <v>11172</v>
      </c>
      <c r="C2030" s="1" t="n">
        <v>6</v>
      </c>
      <c r="D2030" s="1" t="n">
        <v>15</v>
      </c>
      <c r="E2030" s="1" t="n">
        <v>18</v>
      </c>
      <c r="F2030" s="1" t="n">
        <v>33</v>
      </c>
      <c r="G2030" s="1" t="n">
        <v>37</v>
      </c>
      <c r="H2030" s="1" t="n">
        <v>40</v>
      </c>
      <c r="I2030" s="1" t="str">
        <f aca="false">RIGHT(("0"&amp;C2030),2)&amp;RIGHT(("0"&amp;D2030),2)&amp;RIGHT(("0"&amp;E2030),2)&amp;RIGHT(("0"&amp;F2030),2)&amp;RIGHT(("0"&amp;G2030),2)&amp;RIGHT(("0"&amp;H2030),2)</f>
        <v>061518333740</v>
      </c>
      <c r="J2030" s="1" t="n">
        <f aca="false">COUNTIF(I:I,I2030)</f>
        <v>1</v>
      </c>
      <c r="K2030" s="1" t="n">
        <v>0</v>
      </c>
      <c r="M2030" s="1" t="s">
        <v>23</v>
      </c>
      <c r="N2030" s="1" t="n">
        <v>78</v>
      </c>
      <c r="O2030" s="1" t="s">
        <v>11173</v>
      </c>
      <c r="P2030" s="1" t="n">
        <v>4398</v>
      </c>
      <c r="Q2030" s="1" t="s">
        <v>11174</v>
      </c>
      <c r="R2030" s="1" t="s">
        <v>11175</v>
      </c>
      <c r="S2030" s="1" t="s">
        <v>11176</v>
      </c>
      <c r="T2030" s="1" t="s">
        <v>4246</v>
      </c>
      <c r="U2030" s="1" t="s">
        <v>11177</v>
      </c>
    </row>
    <row r="2031" customFormat="false" ht="13.8" hidden="false" customHeight="false" outlineLevel="0" collapsed="false">
      <c r="A2031" s="1" t="n">
        <v>2030</v>
      </c>
      <c r="B2031" s="2" t="s">
        <v>11178</v>
      </c>
      <c r="C2031" s="1" t="n">
        <v>4</v>
      </c>
      <c r="D2031" s="1" t="n">
        <v>27</v>
      </c>
      <c r="E2031" s="1" t="n">
        <v>38</v>
      </c>
      <c r="F2031" s="1" t="n">
        <v>40</v>
      </c>
      <c r="G2031" s="1" t="n">
        <v>58</v>
      </c>
      <c r="H2031" s="1" t="n">
        <v>59</v>
      </c>
      <c r="I2031" s="1" t="str">
        <f aca="false">RIGHT(("0"&amp;C2031),2)&amp;RIGHT(("0"&amp;D2031),2)&amp;RIGHT(("0"&amp;E2031),2)&amp;RIGHT(("0"&amp;F2031),2)&amp;RIGHT(("0"&amp;G2031),2)&amp;RIGHT(("0"&amp;H2031),2)</f>
        <v>042738405859</v>
      </c>
      <c r="J2031" s="1" t="n">
        <f aca="false">COUNTIF(I:I,I2031)</f>
        <v>1</v>
      </c>
      <c r="K2031" s="1" t="n">
        <v>1</v>
      </c>
      <c r="L2031" s="1" t="s">
        <v>11179</v>
      </c>
      <c r="M2031" s="1" t="s">
        <v>11180</v>
      </c>
      <c r="N2031" s="1" t="n">
        <v>63</v>
      </c>
      <c r="O2031" s="1" t="s">
        <v>11181</v>
      </c>
      <c r="P2031" s="1" t="n">
        <v>4017</v>
      </c>
      <c r="Q2031" s="1" t="s">
        <v>11182</v>
      </c>
      <c r="R2031" s="1" t="s">
        <v>23</v>
      </c>
      <c r="S2031" s="1" t="s">
        <v>11183</v>
      </c>
      <c r="T2031" s="1" t="s">
        <v>473</v>
      </c>
      <c r="U2031" s="1" t="s">
        <v>11184</v>
      </c>
    </row>
    <row r="2032" customFormat="false" ht="13.8" hidden="false" customHeight="false" outlineLevel="0" collapsed="false">
      <c r="A2032" s="1" t="n">
        <v>2031</v>
      </c>
      <c r="B2032" s="2" t="s">
        <v>11185</v>
      </c>
      <c r="C2032" s="1" t="n">
        <v>18</v>
      </c>
      <c r="D2032" s="1" t="n">
        <v>23</v>
      </c>
      <c r="E2032" s="1" t="n">
        <v>37</v>
      </c>
      <c r="F2032" s="1" t="n">
        <v>39</v>
      </c>
      <c r="G2032" s="1" t="n">
        <v>50</v>
      </c>
      <c r="H2032" s="1" t="n">
        <v>55</v>
      </c>
      <c r="I2032" s="1" t="str">
        <f aca="false">RIGHT(("0"&amp;C2032),2)&amp;RIGHT(("0"&amp;D2032),2)&amp;RIGHT(("0"&amp;E2032),2)&amp;RIGHT(("0"&amp;F2032),2)&amp;RIGHT(("0"&amp;G2032),2)&amp;RIGHT(("0"&amp;H2032),2)</f>
        <v>182337395055</v>
      </c>
      <c r="J2032" s="1" t="n">
        <f aca="false">COUNTIF(I:I,I2032)</f>
        <v>1</v>
      </c>
      <c r="K2032" s="1" t="n">
        <v>0</v>
      </c>
      <c r="M2032" s="1" t="s">
        <v>23</v>
      </c>
      <c r="N2032" s="1" t="n">
        <v>48</v>
      </c>
      <c r="O2032" s="1" t="s">
        <v>11186</v>
      </c>
      <c r="P2032" s="1" t="n">
        <v>3252</v>
      </c>
      <c r="Q2032" s="1" t="s">
        <v>11187</v>
      </c>
      <c r="R2032" s="1" t="s">
        <v>11188</v>
      </c>
      <c r="S2032" s="1" t="s">
        <v>11189</v>
      </c>
      <c r="T2032" s="1" t="s">
        <v>4342</v>
      </c>
      <c r="U2032" s="1" t="s">
        <v>11190</v>
      </c>
    </row>
    <row r="2033" customFormat="false" ht="13.8" hidden="false" customHeight="false" outlineLevel="0" collapsed="false">
      <c r="A2033" s="1" t="n">
        <v>2032</v>
      </c>
      <c r="B2033" s="2" t="s">
        <v>11191</v>
      </c>
      <c r="C2033" s="1" t="n">
        <v>6</v>
      </c>
      <c r="D2033" s="1" t="n">
        <v>14</v>
      </c>
      <c r="E2033" s="1" t="n">
        <v>19</v>
      </c>
      <c r="F2033" s="1" t="n">
        <v>20</v>
      </c>
      <c r="G2033" s="1" t="n">
        <v>39</v>
      </c>
      <c r="H2033" s="1" t="n">
        <v>53</v>
      </c>
      <c r="I2033" s="1" t="str">
        <f aca="false">RIGHT(("0"&amp;C2033),2)&amp;RIGHT(("0"&amp;D2033),2)&amp;RIGHT(("0"&amp;E2033),2)&amp;RIGHT(("0"&amp;F2033),2)&amp;RIGHT(("0"&amp;G2033),2)&amp;RIGHT(("0"&amp;H2033),2)</f>
        <v>061419203953</v>
      </c>
      <c r="J2033" s="1" t="n">
        <f aca="false">COUNTIF(I:I,I2033)</f>
        <v>1</v>
      </c>
      <c r="K2033" s="1" t="n">
        <v>0</v>
      </c>
      <c r="M2033" s="1" t="s">
        <v>23</v>
      </c>
      <c r="N2033" s="1" t="n">
        <v>27</v>
      </c>
      <c r="O2033" s="1" t="s">
        <v>11192</v>
      </c>
      <c r="P2033" s="1" t="n">
        <v>2075</v>
      </c>
      <c r="Q2033" s="1" t="s">
        <v>11193</v>
      </c>
      <c r="R2033" s="1" t="s">
        <v>11194</v>
      </c>
      <c r="S2033" s="1" t="s">
        <v>11195</v>
      </c>
      <c r="T2033" s="1" t="s">
        <v>4594</v>
      </c>
      <c r="U2033" s="1" t="s">
        <v>11196</v>
      </c>
    </row>
    <row r="2034" customFormat="false" ht="13.8" hidden="false" customHeight="false" outlineLevel="0" collapsed="false">
      <c r="A2034" s="1" t="n">
        <v>2033</v>
      </c>
      <c r="B2034" s="2" t="s">
        <v>11197</v>
      </c>
      <c r="C2034" s="1" t="n">
        <v>10</v>
      </c>
      <c r="D2034" s="1" t="n">
        <v>18</v>
      </c>
      <c r="E2034" s="1" t="n">
        <v>33</v>
      </c>
      <c r="F2034" s="1" t="n">
        <v>38</v>
      </c>
      <c r="G2034" s="1" t="n">
        <v>40</v>
      </c>
      <c r="H2034" s="1" t="n">
        <v>43</v>
      </c>
      <c r="I2034" s="1" t="str">
        <f aca="false">RIGHT(("0"&amp;C2034),2)&amp;RIGHT(("0"&amp;D2034),2)&amp;RIGHT(("0"&amp;E2034),2)&amp;RIGHT(("0"&amp;F2034),2)&amp;RIGHT(("0"&amp;G2034),2)&amp;RIGHT(("0"&amp;H2034),2)</f>
        <v>101833384043</v>
      </c>
      <c r="J2034" s="1" t="n">
        <f aca="false">COUNTIF(I:I,I2034)</f>
        <v>1</v>
      </c>
      <c r="K2034" s="1" t="n">
        <v>1</v>
      </c>
      <c r="L2034" s="1" t="s">
        <v>5633</v>
      </c>
      <c r="M2034" s="1" t="s">
        <v>11198</v>
      </c>
      <c r="N2034" s="1" t="n">
        <v>27</v>
      </c>
      <c r="O2034" s="1" t="s">
        <v>11199</v>
      </c>
      <c r="P2034" s="1" t="n">
        <v>3644</v>
      </c>
      <c r="Q2034" s="1" t="s">
        <v>11200</v>
      </c>
      <c r="R2034" s="1" t="s">
        <v>23</v>
      </c>
      <c r="S2034" s="1" t="s">
        <v>11201</v>
      </c>
      <c r="T2034" s="1" t="s">
        <v>473</v>
      </c>
      <c r="U2034" s="1" t="s">
        <v>11202</v>
      </c>
    </row>
    <row r="2035" customFormat="false" ht="13.8" hidden="false" customHeight="false" outlineLevel="0" collapsed="false">
      <c r="A2035" s="1" t="n">
        <v>2034</v>
      </c>
      <c r="B2035" s="2" t="s">
        <v>11203</v>
      </c>
      <c r="C2035" s="1" t="n">
        <v>6</v>
      </c>
      <c r="D2035" s="1" t="n">
        <v>7</v>
      </c>
      <c r="E2035" s="1" t="n">
        <v>13</v>
      </c>
      <c r="F2035" s="1" t="n">
        <v>17</v>
      </c>
      <c r="G2035" s="1" t="n">
        <v>22</v>
      </c>
      <c r="H2035" s="1" t="n">
        <v>56</v>
      </c>
      <c r="I2035" s="1" t="str">
        <f aca="false">RIGHT(("0"&amp;C2035),2)&amp;RIGHT(("0"&amp;D2035),2)&amp;RIGHT(("0"&amp;E2035),2)&amp;RIGHT(("0"&amp;F2035),2)&amp;RIGHT(("0"&amp;G2035),2)&amp;RIGHT(("0"&amp;H2035),2)</f>
        <v>060713172256</v>
      </c>
      <c r="J2035" s="1" t="n">
        <f aca="false">COUNTIF(I:I,I2035)</f>
        <v>1</v>
      </c>
      <c r="K2035" s="1" t="n">
        <v>1</v>
      </c>
      <c r="L2035" s="1" t="s">
        <v>5484</v>
      </c>
      <c r="M2035" s="1" t="s">
        <v>11204</v>
      </c>
      <c r="N2035" s="1" t="n">
        <v>89</v>
      </c>
      <c r="O2035" s="1" t="s">
        <v>11205</v>
      </c>
      <c r="P2035" s="1" t="n">
        <v>5597</v>
      </c>
      <c r="Q2035" s="1" t="s">
        <v>11206</v>
      </c>
      <c r="R2035" s="1" t="s">
        <v>23</v>
      </c>
      <c r="S2035" s="1" t="s">
        <v>11207</v>
      </c>
      <c r="T2035" s="1" t="s">
        <v>3602</v>
      </c>
      <c r="U2035" s="1" t="s">
        <v>11208</v>
      </c>
    </row>
    <row r="2036" customFormat="false" ht="13.8" hidden="false" customHeight="false" outlineLevel="0" collapsed="false">
      <c r="A2036" s="1" t="n">
        <v>2035</v>
      </c>
      <c r="B2036" s="2" t="s">
        <v>11209</v>
      </c>
      <c r="C2036" s="1" t="n">
        <v>30</v>
      </c>
      <c r="D2036" s="1" t="n">
        <v>35</v>
      </c>
      <c r="E2036" s="1" t="n">
        <v>36</v>
      </c>
      <c r="F2036" s="1" t="n">
        <v>38</v>
      </c>
      <c r="G2036" s="1" t="n">
        <v>49</v>
      </c>
      <c r="H2036" s="1" t="n">
        <v>52</v>
      </c>
      <c r="I2036" s="1" t="str">
        <f aca="false">RIGHT(("0"&amp;C2036),2)&amp;RIGHT(("0"&amp;D2036),2)&amp;RIGHT(("0"&amp;E2036),2)&amp;RIGHT(("0"&amp;F2036),2)&amp;RIGHT(("0"&amp;G2036),2)&amp;RIGHT(("0"&amp;H2036),2)</f>
        <v>303536384952</v>
      </c>
      <c r="J2036" s="1" t="n">
        <f aca="false">COUNTIF(I:I,I2036)</f>
        <v>1</v>
      </c>
      <c r="K2036" s="1" t="n">
        <v>0</v>
      </c>
      <c r="M2036" s="1" t="s">
        <v>23</v>
      </c>
      <c r="N2036" s="1" t="n">
        <v>37</v>
      </c>
      <c r="O2036" s="1" t="s">
        <v>11210</v>
      </c>
      <c r="P2036" s="1" t="n">
        <v>2668</v>
      </c>
      <c r="Q2036" s="1" t="s">
        <v>11211</v>
      </c>
      <c r="R2036" s="1" t="s">
        <v>11212</v>
      </c>
      <c r="S2036" s="1" t="s">
        <v>11213</v>
      </c>
      <c r="T2036" s="1" t="s">
        <v>4273</v>
      </c>
      <c r="U2036" s="1" t="s">
        <v>11214</v>
      </c>
    </row>
    <row r="2037" customFormat="false" ht="13.8" hidden="false" customHeight="false" outlineLevel="0" collapsed="false">
      <c r="A2037" s="1" t="n">
        <v>2036</v>
      </c>
      <c r="B2037" s="2" t="s">
        <v>11215</v>
      </c>
      <c r="C2037" s="1" t="n">
        <v>7</v>
      </c>
      <c r="D2037" s="1" t="n">
        <v>8</v>
      </c>
      <c r="E2037" s="1" t="n">
        <v>19</v>
      </c>
      <c r="F2037" s="1" t="n">
        <v>23</v>
      </c>
      <c r="G2037" s="1" t="n">
        <v>27</v>
      </c>
      <c r="H2037" s="1" t="n">
        <v>58</v>
      </c>
      <c r="I2037" s="1" t="str">
        <f aca="false">RIGHT(("0"&amp;C2037),2)&amp;RIGHT(("0"&amp;D2037),2)&amp;RIGHT(("0"&amp;E2037),2)&amp;RIGHT(("0"&amp;F2037),2)&amp;RIGHT(("0"&amp;G2037),2)&amp;RIGHT(("0"&amp;H2037),2)</f>
        <v>070819232758</v>
      </c>
      <c r="J2037" s="1" t="n">
        <f aca="false">COUNTIF(I:I,I2037)</f>
        <v>1</v>
      </c>
      <c r="K2037" s="1" t="n">
        <v>0</v>
      </c>
      <c r="M2037" s="1" t="s">
        <v>23</v>
      </c>
      <c r="N2037" s="1" t="n">
        <v>91</v>
      </c>
      <c r="O2037" s="1" t="s">
        <v>11216</v>
      </c>
      <c r="P2037" s="1" t="n">
        <v>6675</v>
      </c>
      <c r="Q2037" s="1" t="s">
        <v>11217</v>
      </c>
      <c r="R2037" s="1" t="s">
        <v>11218</v>
      </c>
      <c r="S2037" s="1" t="s">
        <v>11219</v>
      </c>
      <c r="T2037" s="1" t="s">
        <v>4246</v>
      </c>
      <c r="U2037" s="1" t="s">
        <v>11220</v>
      </c>
    </row>
    <row r="2038" customFormat="false" ht="13.8" hidden="false" customHeight="false" outlineLevel="0" collapsed="false">
      <c r="A2038" s="1" t="n">
        <v>2037</v>
      </c>
      <c r="B2038" s="2" t="s">
        <v>11221</v>
      </c>
      <c r="C2038" s="1" t="n">
        <v>14</v>
      </c>
      <c r="D2038" s="1" t="n">
        <v>16</v>
      </c>
      <c r="E2038" s="1" t="n">
        <v>23</v>
      </c>
      <c r="F2038" s="1" t="n">
        <v>30</v>
      </c>
      <c r="G2038" s="1" t="n">
        <v>45</v>
      </c>
      <c r="H2038" s="1" t="n">
        <v>60</v>
      </c>
      <c r="I2038" s="1" t="str">
        <f aca="false">RIGHT(("0"&amp;C2038),2)&amp;RIGHT(("0"&amp;D2038),2)&amp;RIGHT(("0"&amp;E2038),2)&amp;RIGHT(("0"&amp;F2038),2)&amp;RIGHT(("0"&amp;G2038),2)&amp;RIGHT(("0"&amp;H2038),2)</f>
        <v>141623304560</v>
      </c>
      <c r="J2038" s="1" t="n">
        <f aca="false">COUNTIF(I:I,I2038)</f>
        <v>1</v>
      </c>
      <c r="K2038" s="1" t="n">
        <v>0</v>
      </c>
      <c r="M2038" s="1" t="s">
        <v>23</v>
      </c>
      <c r="N2038" s="1" t="n">
        <v>48</v>
      </c>
      <c r="O2038" s="1" t="s">
        <v>11222</v>
      </c>
      <c r="P2038" s="1" t="n">
        <v>4609</v>
      </c>
      <c r="Q2038" s="1" t="s">
        <v>11223</v>
      </c>
      <c r="R2038" s="1" t="s">
        <v>11224</v>
      </c>
      <c r="S2038" s="1" t="s">
        <v>11225</v>
      </c>
      <c r="T2038" s="1" t="s">
        <v>5242</v>
      </c>
      <c r="U2038" s="1" t="s">
        <v>11226</v>
      </c>
    </row>
    <row r="2039" customFormat="false" ht="13.8" hidden="false" customHeight="false" outlineLevel="0" collapsed="false">
      <c r="A2039" s="1" t="n">
        <v>2038</v>
      </c>
      <c r="B2039" s="2" t="s">
        <v>11227</v>
      </c>
      <c r="C2039" s="1" t="n">
        <v>6</v>
      </c>
      <c r="D2039" s="1" t="n">
        <v>25</v>
      </c>
      <c r="E2039" s="1" t="n">
        <v>26</v>
      </c>
      <c r="F2039" s="1" t="n">
        <v>35</v>
      </c>
      <c r="G2039" s="1" t="n">
        <v>38</v>
      </c>
      <c r="H2039" s="1" t="n">
        <v>40</v>
      </c>
      <c r="I2039" s="1" t="str">
        <f aca="false">RIGHT(("0"&amp;C2039),2)&amp;RIGHT(("0"&amp;D2039),2)&amp;RIGHT(("0"&amp;E2039),2)&amp;RIGHT(("0"&amp;F2039),2)&amp;RIGHT(("0"&amp;G2039),2)&amp;RIGHT(("0"&amp;H2039),2)</f>
        <v>062526353840</v>
      </c>
      <c r="J2039" s="1" t="n">
        <f aca="false">COUNTIF(I:I,I2039)</f>
        <v>1</v>
      </c>
      <c r="K2039" s="1" t="n">
        <v>0</v>
      </c>
      <c r="M2039" s="1" t="s">
        <v>23</v>
      </c>
      <c r="N2039" s="1" t="n">
        <v>28</v>
      </c>
      <c r="O2039" s="1" t="s">
        <v>11228</v>
      </c>
      <c r="P2039" s="1" t="n">
        <v>2768</v>
      </c>
      <c r="Q2039" s="1" t="s">
        <v>11229</v>
      </c>
      <c r="R2039" s="1" t="s">
        <v>11230</v>
      </c>
      <c r="S2039" s="1" t="s">
        <v>11231</v>
      </c>
      <c r="T2039" s="1" t="s">
        <v>3892</v>
      </c>
      <c r="U2039" s="1" t="s">
        <v>11232</v>
      </c>
    </row>
    <row r="2040" customFormat="false" ht="13.8" hidden="false" customHeight="false" outlineLevel="0" collapsed="false">
      <c r="A2040" s="1" t="n">
        <v>2039</v>
      </c>
      <c r="B2040" s="2" t="s">
        <v>11233</v>
      </c>
      <c r="C2040" s="1" t="n">
        <v>6</v>
      </c>
      <c r="D2040" s="1" t="n">
        <v>12</v>
      </c>
      <c r="E2040" s="1" t="n">
        <v>22</v>
      </c>
      <c r="F2040" s="1" t="n">
        <v>28</v>
      </c>
      <c r="G2040" s="1" t="n">
        <v>31</v>
      </c>
      <c r="H2040" s="1" t="n">
        <v>44</v>
      </c>
      <c r="I2040" s="1" t="str">
        <f aca="false">RIGHT(("0"&amp;C2040),2)&amp;RIGHT(("0"&amp;D2040),2)&amp;RIGHT(("0"&amp;E2040),2)&amp;RIGHT(("0"&amp;F2040),2)&amp;RIGHT(("0"&amp;G2040),2)&amp;RIGHT(("0"&amp;H2040),2)</f>
        <v>061222283144</v>
      </c>
      <c r="J2040" s="1" t="n">
        <f aca="false">COUNTIF(I:I,I2040)</f>
        <v>1</v>
      </c>
      <c r="K2040" s="1" t="n">
        <v>0</v>
      </c>
      <c r="M2040" s="1" t="s">
        <v>23</v>
      </c>
      <c r="N2040" s="1" t="n">
        <v>91</v>
      </c>
      <c r="O2040" s="1" t="s">
        <v>11234</v>
      </c>
      <c r="P2040" s="1" t="n">
        <v>6415</v>
      </c>
      <c r="Q2040" s="1" t="s">
        <v>11235</v>
      </c>
      <c r="R2040" s="1" t="s">
        <v>11236</v>
      </c>
      <c r="S2040" s="1" t="s">
        <v>11237</v>
      </c>
      <c r="T2040" s="1" t="s">
        <v>6559</v>
      </c>
      <c r="U2040" s="1" t="s">
        <v>11238</v>
      </c>
    </row>
    <row r="2041" customFormat="false" ht="13.8" hidden="false" customHeight="false" outlineLevel="0" collapsed="false">
      <c r="A2041" s="1" t="n">
        <v>2040</v>
      </c>
      <c r="B2041" s="2" t="s">
        <v>11239</v>
      </c>
      <c r="C2041" s="1" t="n">
        <v>6</v>
      </c>
      <c r="D2041" s="1" t="n">
        <v>9</v>
      </c>
      <c r="E2041" s="1" t="n">
        <v>41</v>
      </c>
      <c r="F2041" s="1" t="n">
        <v>54</v>
      </c>
      <c r="G2041" s="1" t="n">
        <v>56</v>
      </c>
      <c r="H2041" s="1" t="n">
        <v>58</v>
      </c>
      <c r="I2041" s="1" t="str">
        <f aca="false">RIGHT(("0"&amp;C2041),2)&amp;RIGHT(("0"&amp;D2041),2)&amp;RIGHT(("0"&amp;E2041),2)&amp;RIGHT(("0"&amp;F2041),2)&amp;RIGHT(("0"&amp;G2041),2)&amp;RIGHT(("0"&amp;H2041),2)</f>
        <v>060941545658</v>
      </c>
      <c r="J2041" s="1" t="n">
        <f aca="false">COUNTIF(I:I,I2041)</f>
        <v>1</v>
      </c>
      <c r="K2041" s="1" t="n">
        <v>0</v>
      </c>
      <c r="M2041" s="1" t="s">
        <v>23</v>
      </c>
      <c r="N2041" s="1" t="n">
        <v>67</v>
      </c>
      <c r="O2041" s="1" t="s">
        <v>11240</v>
      </c>
      <c r="P2041" s="1" t="n">
        <v>5680</v>
      </c>
      <c r="Q2041" s="1" t="s">
        <v>11241</v>
      </c>
      <c r="R2041" s="1" t="s">
        <v>11242</v>
      </c>
      <c r="S2041" s="1" t="s">
        <v>11243</v>
      </c>
      <c r="T2041" s="1" t="s">
        <v>8797</v>
      </c>
      <c r="U2041" s="1" t="s">
        <v>11244</v>
      </c>
    </row>
    <row r="2042" customFormat="false" ht="13.8" hidden="false" customHeight="false" outlineLevel="0" collapsed="false">
      <c r="A2042" s="1" t="n">
        <v>2041</v>
      </c>
      <c r="B2042" s="2" t="s">
        <v>11245</v>
      </c>
      <c r="C2042" s="1" t="n">
        <v>10</v>
      </c>
      <c r="D2042" s="1" t="n">
        <v>12</v>
      </c>
      <c r="E2042" s="1" t="n">
        <v>22</v>
      </c>
      <c r="F2042" s="1" t="n">
        <v>25</v>
      </c>
      <c r="G2042" s="1" t="n">
        <v>42</v>
      </c>
      <c r="H2042" s="1" t="n">
        <v>54</v>
      </c>
      <c r="I2042" s="1" t="str">
        <f aca="false">RIGHT(("0"&amp;C2042),2)&amp;RIGHT(("0"&amp;D2042),2)&amp;RIGHT(("0"&amp;E2042),2)&amp;RIGHT(("0"&amp;F2042),2)&amp;RIGHT(("0"&amp;G2042),2)&amp;RIGHT(("0"&amp;H2042),2)</f>
        <v>101222254254</v>
      </c>
      <c r="J2042" s="1" t="n">
        <f aca="false">COUNTIF(I:I,I2042)</f>
        <v>1</v>
      </c>
      <c r="K2042" s="1" t="n">
        <v>1</v>
      </c>
      <c r="L2042" s="1" t="s">
        <v>5633</v>
      </c>
      <c r="M2042" s="1" t="s">
        <v>11246</v>
      </c>
      <c r="N2042" s="1" t="n">
        <v>120</v>
      </c>
      <c r="O2042" s="1" t="s">
        <v>11247</v>
      </c>
      <c r="P2042" s="1" t="n">
        <v>9310</v>
      </c>
      <c r="Q2042" s="1" t="s">
        <v>11248</v>
      </c>
      <c r="R2042" s="1" t="s">
        <v>23</v>
      </c>
      <c r="S2042" s="1" t="s">
        <v>11249</v>
      </c>
      <c r="T2042" s="1" t="s">
        <v>473</v>
      </c>
      <c r="U2042" s="1" t="s">
        <v>11250</v>
      </c>
    </row>
    <row r="2043" customFormat="false" ht="13.8" hidden="false" customHeight="false" outlineLevel="0" collapsed="false">
      <c r="A2043" s="1" t="n">
        <v>2042</v>
      </c>
      <c r="B2043" s="2" t="s">
        <v>11251</v>
      </c>
      <c r="C2043" s="1" t="n">
        <v>14</v>
      </c>
      <c r="D2043" s="1" t="n">
        <v>22</v>
      </c>
      <c r="E2043" s="1" t="n">
        <v>29</v>
      </c>
      <c r="F2043" s="1" t="n">
        <v>32</v>
      </c>
      <c r="G2043" s="1" t="n">
        <v>33</v>
      </c>
      <c r="H2043" s="1" t="n">
        <v>35</v>
      </c>
      <c r="I2043" s="1" t="str">
        <f aca="false">RIGHT(("0"&amp;C2043),2)&amp;RIGHT(("0"&amp;D2043),2)&amp;RIGHT(("0"&amp;E2043),2)&amp;RIGHT(("0"&amp;F2043),2)&amp;RIGHT(("0"&amp;G2043),2)&amp;RIGHT(("0"&amp;H2043),2)</f>
        <v>142229323335</v>
      </c>
      <c r="J2043" s="1" t="n">
        <f aca="false">COUNTIF(I:I,I2043)</f>
        <v>1</v>
      </c>
      <c r="K2043" s="1" t="n">
        <v>0</v>
      </c>
      <c r="M2043" s="1" t="s">
        <v>23</v>
      </c>
      <c r="N2043" s="1" t="n">
        <v>47</v>
      </c>
      <c r="O2043" s="1" t="s">
        <v>11252</v>
      </c>
      <c r="P2043" s="1" t="n">
        <v>3018</v>
      </c>
      <c r="Q2043" s="1" t="s">
        <v>11253</v>
      </c>
      <c r="R2043" s="1" t="s">
        <v>11254</v>
      </c>
      <c r="S2043" s="1" t="s">
        <v>11255</v>
      </c>
      <c r="T2043" s="1" t="s">
        <v>5931</v>
      </c>
      <c r="U2043" s="1" t="s">
        <v>11256</v>
      </c>
    </row>
    <row r="2044" customFormat="false" ht="13.8" hidden="false" customHeight="false" outlineLevel="0" collapsed="false">
      <c r="A2044" s="1" t="n">
        <v>2043</v>
      </c>
      <c r="B2044" s="2" t="s">
        <v>11257</v>
      </c>
      <c r="C2044" s="1" t="n">
        <v>21</v>
      </c>
      <c r="D2044" s="1" t="n">
        <v>38</v>
      </c>
      <c r="E2044" s="1" t="n">
        <v>53</v>
      </c>
      <c r="F2044" s="1" t="n">
        <v>56</v>
      </c>
      <c r="G2044" s="1" t="n">
        <v>57</v>
      </c>
      <c r="H2044" s="1" t="n">
        <v>58</v>
      </c>
      <c r="I2044" s="1" t="str">
        <f aca="false">RIGHT(("0"&amp;C2044),2)&amp;RIGHT(("0"&amp;D2044),2)&amp;RIGHT(("0"&amp;E2044),2)&amp;RIGHT(("0"&amp;F2044),2)&amp;RIGHT(("0"&amp;G2044),2)&amp;RIGHT(("0"&amp;H2044),2)</f>
        <v>213853565758</v>
      </c>
      <c r="J2044" s="1" t="n">
        <f aca="false">COUNTIF(I:I,I2044)</f>
        <v>1</v>
      </c>
      <c r="K2044" s="1" t="n">
        <v>0</v>
      </c>
      <c r="M2044" s="1" t="s">
        <v>23</v>
      </c>
      <c r="N2044" s="1" t="n">
        <v>19</v>
      </c>
      <c r="O2044" s="1" t="s">
        <v>11258</v>
      </c>
      <c r="P2044" s="1" t="n">
        <v>2258</v>
      </c>
      <c r="Q2044" s="1" t="s">
        <v>11259</v>
      </c>
      <c r="R2044" s="1" t="s">
        <v>11260</v>
      </c>
      <c r="S2044" s="1" t="s">
        <v>11261</v>
      </c>
      <c r="T2044" s="1" t="s">
        <v>4195</v>
      </c>
      <c r="U2044" s="1" t="s">
        <v>11262</v>
      </c>
    </row>
    <row r="2045" customFormat="false" ht="13.8" hidden="false" customHeight="false" outlineLevel="0" collapsed="false">
      <c r="A2045" s="1" t="n">
        <v>2044</v>
      </c>
      <c r="B2045" s="2" t="s">
        <v>11263</v>
      </c>
      <c r="C2045" s="1" t="n">
        <v>7</v>
      </c>
      <c r="D2045" s="1" t="n">
        <v>14</v>
      </c>
      <c r="E2045" s="1" t="n">
        <v>47</v>
      </c>
      <c r="F2045" s="1" t="n">
        <v>54</v>
      </c>
      <c r="G2045" s="1" t="n">
        <v>56</v>
      </c>
      <c r="H2045" s="1" t="n">
        <v>60</v>
      </c>
      <c r="I2045" s="1" t="str">
        <f aca="false">RIGHT(("0"&amp;C2045),2)&amp;RIGHT(("0"&amp;D2045),2)&amp;RIGHT(("0"&amp;E2045),2)&amp;RIGHT(("0"&amp;F2045),2)&amp;RIGHT(("0"&amp;G2045),2)&amp;RIGHT(("0"&amp;H2045),2)</f>
        <v>071447545660</v>
      </c>
      <c r="J2045" s="1" t="n">
        <f aca="false">COUNTIF(I:I,I2045)</f>
        <v>1</v>
      </c>
      <c r="K2045" s="1" t="n">
        <v>0</v>
      </c>
      <c r="M2045" s="1" t="s">
        <v>23</v>
      </c>
      <c r="N2045" s="1" t="n">
        <v>49</v>
      </c>
      <c r="O2045" s="1" t="s">
        <v>11264</v>
      </c>
      <c r="P2045" s="1" t="n">
        <v>3612</v>
      </c>
      <c r="Q2045" s="1" t="s">
        <v>11265</v>
      </c>
      <c r="R2045" s="1" t="s">
        <v>11266</v>
      </c>
      <c r="S2045" s="1" t="s">
        <v>11267</v>
      </c>
      <c r="T2045" s="1" t="s">
        <v>3892</v>
      </c>
      <c r="U2045" s="1" t="s">
        <v>11268</v>
      </c>
    </row>
    <row r="2046" customFormat="false" ht="13.8" hidden="false" customHeight="false" outlineLevel="0" collapsed="false">
      <c r="A2046" s="1" t="n">
        <v>2045</v>
      </c>
      <c r="B2046" s="2" t="s">
        <v>11269</v>
      </c>
      <c r="C2046" s="1" t="n">
        <v>15</v>
      </c>
      <c r="D2046" s="1" t="n">
        <v>25</v>
      </c>
      <c r="E2046" s="1" t="n">
        <v>27</v>
      </c>
      <c r="F2046" s="1" t="n">
        <v>45</v>
      </c>
      <c r="G2046" s="1" t="n">
        <v>46</v>
      </c>
      <c r="H2046" s="1" t="n">
        <v>50</v>
      </c>
      <c r="I2046" s="1" t="str">
        <f aca="false">RIGHT(("0"&amp;C2046),2)&amp;RIGHT(("0"&amp;D2046),2)&amp;RIGHT(("0"&amp;E2046),2)&amp;RIGHT(("0"&amp;F2046),2)&amp;RIGHT(("0"&amp;G2046),2)&amp;RIGHT(("0"&amp;H2046),2)</f>
        <v>152527454650</v>
      </c>
      <c r="J2046" s="1" t="n">
        <f aca="false">COUNTIF(I:I,I2046)</f>
        <v>1</v>
      </c>
      <c r="K2046" s="1" t="n">
        <v>1</v>
      </c>
      <c r="L2046" s="1" t="s">
        <v>11270</v>
      </c>
      <c r="M2046" s="1" t="s">
        <v>11271</v>
      </c>
      <c r="N2046" s="1" t="n">
        <v>70</v>
      </c>
      <c r="O2046" s="1" t="s">
        <v>11272</v>
      </c>
      <c r="P2046" s="1" t="n">
        <v>3921</v>
      </c>
      <c r="Q2046" s="1" t="s">
        <v>11273</v>
      </c>
      <c r="R2046" s="1" t="s">
        <v>23</v>
      </c>
      <c r="S2046" s="1" t="s">
        <v>11274</v>
      </c>
      <c r="T2046" s="1" t="s">
        <v>473</v>
      </c>
      <c r="U2046" s="1" t="s">
        <v>11275</v>
      </c>
    </row>
    <row r="2047" customFormat="false" ht="13.8" hidden="false" customHeight="false" outlineLevel="0" collapsed="false">
      <c r="A2047" s="1" t="n">
        <v>2046</v>
      </c>
      <c r="B2047" s="2" t="s">
        <v>11276</v>
      </c>
      <c r="C2047" s="1" t="n">
        <v>3</v>
      </c>
      <c r="D2047" s="1" t="n">
        <v>6</v>
      </c>
      <c r="E2047" s="1" t="n">
        <v>11</v>
      </c>
      <c r="F2047" s="1" t="n">
        <v>27</v>
      </c>
      <c r="G2047" s="1" t="n">
        <v>28</v>
      </c>
      <c r="H2047" s="1" t="n">
        <v>46</v>
      </c>
      <c r="I2047" s="1" t="str">
        <f aca="false">RIGHT(("0"&amp;C2047),2)&amp;RIGHT(("0"&amp;D2047),2)&amp;RIGHT(("0"&amp;E2047),2)&amp;RIGHT(("0"&amp;F2047),2)&amp;RIGHT(("0"&amp;G2047),2)&amp;RIGHT(("0"&amp;H2047),2)</f>
        <v>030611272846</v>
      </c>
      <c r="J2047" s="1" t="n">
        <f aca="false">COUNTIF(I:I,I2047)</f>
        <v>1</v>
      </c>
      <c r="K2047" s="1" t="n">
        <v>0</v>
      </c>
      <c r="M2047" s="1" t="s">
        <v>23</v>
      </c>
      <c r="N2047" s="1" t="n">
        <v>80</v>
      </c>
      <c r="O2047" s="1" t="s">
        <v>11277</v>
      </c>
      <c r="P2047" s="1" t="n">
        <v>4630</v>
      </c>
      <c r="Q2047" s="1" t="s">
        <v>11278</v>
      </c>
      <c r="R2047" s="1" t="s">
        <v>11279</v>
      </c>
      <c r="S2047" s="1" t="s">
        <v>11280</v>
      </c>
      <c r="T2047" s="1" t="s">
        <v>7089</v>
      </c>
      <c r="U2047" s="1" t="s">
        <v>11281</v>
      </c>
    </row>
    <row r="2048" customFormat="false" ht="13.8" hidden="false" customHeight="false" outlineLevel="0" collapsed="false">
      <c r="A2048" s="1" t="n">
        <v>2047</v>
      </c>
      <c r="B2048" s="2" t="s">
        <v>11282</v>
      </c>
      <c r="C2048" s="1" t="n">
        <v>1</v>
      </c>
      <c r="D2048" s="1" t="n">
        <v>18</v>
      </c>
      <c r="E2048" s="1" t="n">
        <v>19</v>
      </c>
      <c r="F2048" s="1" t="n">
        <v>29</v>
      </c>
      <c r="G2048" s="1" t="n">
        <v>44</v>
      </c>
      <c r="H2048" s="1" t="n">
        <v>54</v>
      </c>
      <c r="I2048" s="1" t="str">
        <f aca="false">RIGHT(("0"&amp;C2048),2)&amp;RIGHT(("0"&amp;D2048),2)&amp;RIGHT(("0"&amp;E2048),2)&amp;RIGHT(("0"&amp;F2048),2)&amp;RIGHT(("0"&amp;G2048),2)&amp;RIGHT(("0"&amp;H2048),2)</f>
        <v>011819294454</v>
      </c>
      <c r="J2048" s="1" t="n">
        <f aca="false">COUNTIF(I:I,I2048)</f>
        <v>1</v>
      </c>
      <c r="K2048" s="1" t="n">
        <v>0</v>
      </c>
      <c r="M2048" s="1" t="s">
        <v>23</v>
      </c>
      <c r="N2048" s="1" t="n">
        <v>30</v>
      </c>
      <c r="O2048" s="1" t="s">
        <v>11283</v>
      </c>
      <c r="P2048" s="1" t="n">
        <v>2390</v>
      </c>
      <c r="Q2048" s="1" t="s">
        <v>11284</v>
      </c>
      <c r="R2048" s="1" t="s">
        <v>11285</v>
      </c>
      <c r="S2048" s="1" t="s">
        <v>11286</v>
      </c>
      <c r="T2048" s="1" t="s">
        <v>5969</v>
      </c>
      <c r="U2048" s="1" t="s">
        <v>11287</v>
      </c>
    </row>
    <row r="2049" customFormat="false" ht="13.8" hidden="false" customHeight="false" outlineLevel="0" collapsed="false">
      <c r="A2049" s="1" t="n">
        <v>2048</v>
      </c>
      <c r="B2049" s="2" t="s">
        <v>11288</v>
      </c>
      <c r="C2049" s="1" t="n">
        <v>10</v>
      </c>
      <c r="D2049" s="1" t="n">
        <v>19</v>
      </c>
      <c r="E2049" s="1" t="n">
        <v>26</v>
      </c>
      <c r="F2049" s="1" t="n">
        <v>35</v>
      </c>
      <c r="G2049" s="1" t="n">
        <v>38</v>
      </c>
      <c r="H2049" s="1" t="n">
        <v>39</v>
      </c>
      <c r="I2049" s="1" t="str">
        <f aca="false">RIGHT(("0"&amp;C2049),2)&amp;RIGHT(("0"&amp;D2049),2)&amp;RIGHT(("0"&amp;E2049),2)&amp;RIGHT(("0"&amp;F2049),2)&amp;RIGHT(("0"&amp;G2049),2)&amp;RIGHT(("0"&amp;H2049),2)</f>
        <v>101926353839</v>
      </c>
      <c r="J2049" s="1" t="n">
        <f aca="false">COUNTIF(I:I,I2049)</f>
        <v>1</v>
      </c>
      <c r="K2049" s="1" t="n">
        <v>0</v>
      </c>
      <c r="M2049" s="1" t="s">
        <v>23</v>
      </c>
      <c r="N2049" s="1" t="n">
        <v>36</v>
      </c>
      <c r="O2049" s="1" t="s">
        <v>11289</v>
      </c>
      <c r="P2049" s="1" t="n">
        <v>3611</v>
      </c>
      <c r="Q2049" s="1" t="s">
        <v>11290</v>
      </c>
      <c r="R2049" s="1" t="s">
        <v>11291</v>
      </c>
      <c r="S2049" s="1" t="s">
        <v>11292</v>
      </c>
      <c r="T2049" s="1" t="s">
        <v>4203</v>
      </c>
      <c r="U2049" s="1" t="s">
        <v>11293</v>
      </c>
    </row>
    <row r="2050" customFormat="false" ht="13.8" hidden="false" customHeight="false" outlineLevel="0" collapsed="false">
      <c r="A2050" s="1" t="n">
        <v>2049</v>
      </c>
      <c r="B2050" s="2" t="s">
        <v>11294</v>
      </c>
      <c r="C2050" s="1" t="n">
        <v>10</v>
      </c>
      <c r="D2050" s="1" t="n">
        <v>19</v>
      </c>
      <c r="E2050" s="1" t="n">
        <v>27</v>
      </c>
      <c r="F2050" s="1" t="n">
        <v>31</v>
      </c>
      <c r="G2050" s="1" t="n">
        <v>51</v>
      </c>
      <c r="H2050" s="1" t="n">
        <v>53</v>
      </c>
      <c r="I2050" s="1" t="str">
        <f aca="false">RIGHT(("0"&amp;C2050),2)&amp;RIGHT(("0"&amp;D2050),2)&amp;RIGHT(("0"&amp;E2050),2)&amp;RIGHT(("0"&amp;F2050),2)&amp;RIGHT(("0"&amp;G2050),2)&amp;RIGHT(("0"&amp;H2050),2)</f>
        <v>101927315153</v>
      </c>
      <c r="J2050" s="1" t="n">
        <f aca="false">COUNTIF(I:I,I2050)</f>
        <v>1</v>
      </c>
      <c r="K2050" s="1" t="n">
        <v>0</v>
      </c>
      <c r="M2050" s="1" t="s">
        <v>23</v>
      </c>
      <c r="N2050" s="1" t="n">
        <v>49</v>
      </c>
      <c r="O2050" s="1" t="s">
        <v>11295</v>
      </c>
      <c r="P2050" s="1" t="n">
        <v>4216</v>
      </c>
      <c r="Q2050" s="1" t="s">
        <v>11296</v>
      </c>
      <c r="R2050" s="1" t="s">
        <v>11297</v>
      </c>
      <c r="S2050" s="1" t="s">
        <v>11298</v>
      </c>
      <c r="T2050" s="1" t="s">
        <v>3892</v>
      </c>
      <c r="U2050" s="1" t="s">
        <v>11299</v>
      </c>
    </row>
    <row r="2051" customFormat="false" ht="13.8" hidden="false" customHeight="false" outlineLevel="0" collapsed="false">
      <c r="A2051" s="1" t="n">
        <v>2050</v>
      </c>
      <c r="B2051" s="2" t="s">
        <v>11300</v>
      </c>
      <c r="C2051" s="1" t="n">
        <v>8</v>
      </c>
      <c r="D2051" s="1" t="n">
        <v>31</v>
      </c>
      <c r="E2051" s="1" t="n">
        <v>32</v>
      </c>
      <c r="F2051" s="1" t="n">
        <v>33</v>
      </c>
      <c r="G2051" s="1" t="n">
        <v>38</v>
      </c>
      <c r="H2051" s="1" t="n">
        <v>50</v>
      </c>
      <c r="I2051" s="1" t="str">
        <f aca="false">RIGHT(("0"&amp;C2051),2)&amp;RIGHT(("0"&amp;D2051),2)&amp;RIGHT(("0"&amp;E2051),2)&amp;RIGHT(("0"&amp;F2051),2)&amp;RIGHT(("0"&amp;G2051),2)&amp;RIGHT(("0"&amp;H2051),2)</f>
        <v>083132333850</v>
      </c>
      <c r="J2051" s="1" t="n">
        <f aca="false">COUNTIF(I:I,I2051)</f>
        <v>1</v>
      </c>
      <c r="K2051" s="1" t="n">
        <v>0</v>
      </c>
      <c r="M2051" s="1" t="s">
        <v>23</v>
      </c>
      <c r="N2051" s="1" t="n">
        <v>34</v>
      </c>
      <c r="O2051" s="1" t="s">
        <v>11301</v>
      </c>
      <c r="P2051" s="1" t="n">
        <v>3540</v>
      </c>
      <c r="Q2051" s="1" t="s">
        <v>11302</v>
      </c>
      <c r="R2051" s="1" t="s">
        <v>11303</v>
      </c>
      <c r="S2051" s="1" t="s">
        <v>11304</v>
      </c>
      <c r="T2051" s="1" t="s">
        <v>4968</v>
      </c>
      <c r="U2051" s="1" t="s">
        <v>11305</v>
      </c>
    </row>
    <row r="2052" customFormat="false" ht="13.8" hidden="false" customHeight="false" outlineLevel="0" collapsed="false">
      <c r="A2052" s="1" t="n">
        <v>2051</v>
      </c>
      <c r="B2052" s="2" t="s">
        <v>11306</v>
      </c>
      <c r="C2052" s="1" t="n">
        <v>1</v>
      </c>
      <c r="D2052" s="1" t="n">
        <v>5</v>
      </c>
      <c r="E2052" s="1" t="n">
        <v>6</v>
      </c>
      <c r="F2052" s="1" t="n">
        <v>37</v>
      </c>
      <c r="G2052" s="1" t="n">
        <v>44</v>
      </c>
      <c r="H2052" s="1" t="n">
        <v>53</v>
      </c>
      <c r="I2052" s="1" t="str">
        <f aca="false">RIGHT(("0"&amp;C2052),2)&amp;RIGHT(("0"&amp;D2052),2)&amp;RIGHT(("0"&amp;E2052),2)&amp;RIGHT(("0"&amp;F2052),2)&amp;RIGHT(("0"&amp;G2052),2)&amp;RIGHT(("0"&amp;H2052),2)</f>
        <v>010506374453</v>
      </c>
      <c r="J2052" s="1" t="n">
        <f aca="false">COUNTIF(I:I,I2052)</f>
        <v>1</v>
      </c>
      <c r="K2052" s="1" t="n">
        <v>0</v>
      </c>
      <c r="M2052" s="1" t="s">
        <v>23</v>
      </c>
      <c r="N2052" s="1" t="n">
        <v>46</v>
      </c>
      <c r="O2052" s="1" t="s">
        <v>11307</v>
      </c>
      <c r="P2052" s="1" t="n">
        <v>5251</v>
      </c>
      <c r="Q2052" s="1" t="s">
        <v>11308</v>
      </c>
      <c r="R2052" s="1" t="s">
        <v>11309</v>
      </c>
      <c r="S2052" s="1" t="s">
        <v>11310</v>
      </c>
      <c r="T2052" s="1" t="s">
        <v>5294</v>
      </c>
      <c r="U2052" s="1" t="s">
        <v>11311</v>
      </c>
    </row>
    <row r="2053" customFormat="false" ht="13.8" hidden="false" customHeight="false" outlineLevel="0" collapsed="false">
      <c r="A2053" s="1" t="n">
        <v>2052</v>
      </c>
      <c r="B2053" s="2" t="s">
        <v>11312</v>
      </c>
      <c r="C2053" s="1" t="n">
        <v>50</v>
      </c>
      <c r="D2053" s="1" t="n">
        <v>51</v>
      </c>
      <c r="E2053" s="1" t="n">
        <v>56</v>
      </c>
      <c r="F2053" s="1" t="n">
        <v>57</v>
      </c>
      <c r="G2053" s="1" t="n">
        <v>58</v>
      </c>
      <c r="H2053" s="1" t="n">
        <v>59</v>
      </c>
      <c r="I2053" s="1" t="str">
        <f aca="false">RIGHT(("0"&amp;C2053),2)&amp;RIGHT(("0"&amp;D2053),2)&amp;RIGHT(("0"&amp;E2053),2)&amp;RIGHT(("0"&amp;F2053),2)&amp;RIGHT(("0"&amp;G2053),2)&amp;RIGHT(("0"&amp;H2053),2)</f>
        <v>505156575859</v>
      </c>
      <c r="J2053" s="1" t="n">
        <f aca="false">COUNTIF(I:I,I2053)</f>
        <v>1</v>
      </c>
      <c r="K2053" s="1" t="n">
        <v>4</v>
      </c>
      <c r="L2053" s="1" t="s">
        <v>11313</v>
      </c>
      <c r="M2053" s="1" t="s">
        <v>11314</v>
      </c>
      <c r="N2053" s="1" t="n">
        <v>152</v>
      </c>
      <c r="O2053" s="1" t="s">
        <v>11315</v>
      </c>
      <c r="P2053" s="1" t="n">
        <v>4816</v>
      </c>
      <c r="Q2053" s="1" t="s">
        <v>11316</v>
      </c>
      <c r="R2053" s="1" t="s">
        <v>23</v>
      </c>
      <c r="S2053" s="1" t="s">
        <v>11317</v>
      </c>
      <c r="T2053" s="1" t="s">
        <v>4256</v>
      </c>
      <c r="U2053" s="1" t="s">
        <v>11318</v>
      </c>
    </row>
    <row r="2054" customFormat="false" ht="13.8" hidden="false" customHeight="false" outlineLevel="0" collapsed="false">
      <c r="A2054" s="1" t="n">
        <v>2053</v>
      </c>
      <c r="B2054" s="2" t="s">
        <v>11319</v>
      </c>
      <c r="C2054" s="1" t="n">
        <v>12</v>
      </c>
      <c r="D2054" s="1" t="n">
        <v>22</v>
      </c>
      <c r="E2054" s="1" t="n">
        <v>27</v>
      </c>
      <c r="F2054" s="1" t="n">
        <v>37</v>
      </c>
      <c r="G2054" s="1" t="n">
        <v>40</v>
      </c>
      <c r="H2054" s="1" t="n">
        <v>55</v>
      </c>
      <c r="I2054" s="1" t="str">
        <f aca="false">RIGHT(("0"&amp;C2054),2)&amp;RIGHT(("0"&amp;D2054),2)&amp;RIGHT(("0"&amp;E2054),2)&amp;RIGHT(("0"&amp;F2054),2)&amp;RIGHT(("0"&amp;G2054),2)&amp;RIGHT(("0"&amp;H2054),2)</f>
        <v>122227374055</v>
      </c>
      <c r="J2054" s="1" t="n">
        <f aca="false">COUNTIF(I:I,I2054)</f>
        <v>1</v>
      </c>
      <c r="K2054" s="1" t="n">
        <v>0</v>
      </c>
      <c r="M2054" s="1" t="s">
        <v>23</v>
      </c>
      <c r="N2054" s="1" t="n">
        <v>17</v>
      </c>
      <c r="O2054" s="1" t="s">
        <v>11320</v>
      </c>
      <c r="P2054" s="1" t="n">
        <v>1582</v>
      </c>
      <c r="Q2054" s="1" t="s">
        <v>11321</v>
      </c>
      <c r="R2054" s="1" t="s">
        <v>11322</v>
      </c>
      <c r="S2054" s="1" t="s">
        <v>11323</v>
      </c>
      <c r="T2054" s="1" t="s">
        <v>5013</v>
      </c>
      <c r="U2054" s="1" t="s">
        <v>11324</v>
      </c>
    </row>
    <row r="2055" customFormat="false" ht="13.8" hidden="false" customHeight="false" outlineLevel="0" collapsed="false">
      <c r="A2055" s="1" t="n">
        <v>2054</v>
      </c>
      <c r="B2055" s="2" t="s">
        <v>11325</v>
      </c>
      <c r="C2055" s="1" t="n">
        <v>4</v>
      </c>
      <c r="D2055" s="1" t="n">
        <v>7</v>
      </c>
      <c r="E2055" s="1" t="n">
        <v>12</v>
      </c>
      <c r="F2055" s="1" t="n">
        <v>22</v>
      </c>
      <c r="G2055" s="1" t="n">
        <v>26</v>
      </c>
      <c r="H2055" s="1" t="n">
        <v>39</v>
      </c>
      <c r="I2055" s="1" t="str">
        <f aca="false">RIGHT(("0"&amp;C2055),2)&amp;RIGHT(("0"&amp;D2055),2)&amp;RIGHT(("0"&amp;E2055),2)&amp;RIGHT(("0"&amp;F2055),2)&amp;RIGHT(("0"&amp;G2055),2)&amp;RIGHT(("0"&amp;H2055),2)</f>
        <v>040712222639</v>
      </c>
      <c r="J2055" s="1" t="n">
        <f aca="false">COUNTIF(I:I,I2055)</f>
        <v>1</v>
      </c>
      <c r="K2055" s="1" t="n">
        <v>0</v>
      </c>
      <c r="M2055" s="1" t="s">
        <v>23</v>
      </c>
      <c r="N2055" s="1" t="n">
        <v>80</v>
      </c>
      <c r="O2055" s="1" t="s">
        <v>11326</v>
      </c>
      <c r="P2055" s="1" t="n">
        <v>5237</v>
      </c>
      <c r="Q2055" s="1" t="s">
        <v>11327</v>
      </c>
      <c r="R2055" s="1" t="s">
        <v>11328</v>
      </c>
      <c r="S2055" s="1" t="s">
        <v>11329</v>
      </c>
      <c r="T2055" s="1" t="s">
        <v>4299</v>
      </c>
      <c r="U2055" s="1" t="s">
        <v>11330</v>
      </c>
    </row>
    <row r="2056" customFormat="false" ht="13.8" hidden="false" customHeight="false" outlineLevel="0" collapsed="false">
      <c r="A2056" s="1" t="n">
        <v>2055</v>
      </c>
      <c r="B2056" s="2" t="s">
        <v>11331</v>
      </c>
      <c r="C2056" s="1" t="n">
        <v>6</v>
      </c>
      <c r="D2056" s="1" t="n">
        <v>25</v>
      </c>
      <c r="E2056" s="1" t="n">
        <v>35</v>
      </c>
      <c r="F2056" s="1" t="n">
        <v>43</v>
      </c>
      <c r="G2056" s="1" t="n">
        <v>46</v>
      </c>
      <c r="H2056" s="1" t="n">
        <v>53</v>
      </c>
      <c r="I2056" s="1" t="str">
        <f aca="false">RIGHT(("0"&amp;C2056),2)&amp;RIGHT(("0"&amp;D2056),2)&amp;RIGHT(("0"&amp;E2056),2)&amp;RIGHT(("0"&amp;F2056),2)&amp;RIGHT(("0"&amp;G2056),2)&amp;RIGHT(("0"&amp;H2056),2)</f>
        <v>062535434653</v>
      </c>
      <c r="J2056" s="1" t="n">
        <f aca="false">COUNTIF(I:I,I2056)</f>
        <v>1</v>
      </c>
      <c r="K2056" s="1" t="n">
        <v>0</v>
      </c>
      <c r="M2056" s="1" t="s">
        <v>23</v>
      </c>
      <c r="N2056" s="1" t="n">
        <v>41</v>
      </c>
      <c r="O2056" s="1" t="s">
        <v>11332</v>
      </c>
      <c r="P2056" s="1" t="n">
        <v>2209</v>
      </c>
      <c r="Q2056" s="1" t="s">
        <v>11333</v>
      </c>
      <c r="R2056" s="1" t="s">
        <v>11334</v>
      </c>
      <c r="S2056" s="1" t="s">
        <v>11335</v>
      </c>
      <c r="T2056" s="1" t="s">
        <v>4246</v>
      </c>
      <c r="U2056" s="1" t="s">
        <v>11336</v>
      </c>
    </row>
    <row r="2057" customFormat="false" ht="13.8" hidden="false" customHeight="false" outlineLevel="0" collapsed="false">
      <c r="A2057" s="1" t="n">
        <v>2056</v>
      </c>
      <c r="B2057" s="2" t="s">
        <v>11337</v>
      </c>
      <c r="C2057" s="1" t="n">
        <v>18</v>
      </c>
      <c r="D2057" s="1" t="n">
        <v>22</v>
      </c>
      <c r="E2057" s="1" t="n">
        <v>29</v>
      </c>
      <c r="F2057" s="1" t="n">
        <v>34</v>
      </c>
      <c r="G2057" s="1" t="n">
        <v>36</v>
      </c>
      <c r="H2057" s="1" t="n">
        <v>47</v>
      </c>
      <c r="I2057" s="1" t="str">
        <f aca="false">RIGHT(("0"&amp;C2057),2)&amp;RIGHT(("0"&amp;D2057),2)&amp;RIGHT(("0"&amp;E2057),2)&amp;RIGHT(("0"&amp;F2057),2)&amp;RIGHT(("0"&amp;G2057),2)&amp;RIGHT(("0"&amp;H2057),2)</f>
        <v>182229343647</v>
      </c>
      <c r="J2057" s="1" t="n">
        <f aca="false">COUNTIF(I:I,I2057)</f>
        <v>1</v>
      </c>
      <c r="K2057" s="1" t="n">
        <v>0</v>
      </c>
      <c r="M2057" s="1" t="s">
        <v>23</v>
      </c>
      <c r="N2057" s="1" t="n">
        <v>80</v>
      </c>
      <c r="O2057" s="1" t="s">
        <v>11338</v>
      </c>
      <c r="P2057" s="1" t="n">
        <v>4927</v>
      </c>
      <c r="Q2057" s="1" t="s">
        <v>11339</v>
      </c>
      <c r="R2057" s="1" t="s">
        <v>11340</v>
      </c>
      <c r="S2057" s="1" t="s">
        <v>11341</v>
      </c>
      <c r="T2057" s="1" t="s">
        <v>8218</v>
      </c>
      <c r="U2057" s="1" t="s">
        <v>11342</v>
      </c>
    </row>
    <row r="2058" customFormat="false" ht="13.8" hidden="false" customHeight="false" outlineLevel="0" collapsed="false">
      <c r="A2058" s="1" t="n">
        <v>2057</v>
      </c>
      <c r="B2058" s="2" t="s">
        <v>11343</v>
      </c>
      <c r="C2058" s="1" t="n">
        <v>10</v>
      </c>
      <c r="D2058" s="1" t="n">
        <v>13</v>
      </c>
      <c r="E2058" s="1" t="n">
        <v>20</v>
      </c>
      <c r="F2058" s="1" t="n">
        <v>37</v>
      </c>
      <c r="G2058" s="1" t="n">
        <v>38</v>
      </c>
      <c r="H2058" s="1" t="n">
        <v>54</v>
      </c>
      <c r="I2058" s="1" t="str">
        <f aca="false">RIGHT(("0"&amp;C2058),2)&amp;RIGHT(("0"&amp;D2058),2)&amp;RIGHT(("0"&amp;E2058),2)&amp;RIGHT(("0"&amp;F2058),2)&amp;RIGHT(("0"&amp;G2058),2)&amp;RIGHT(("0"&amp;H2058),2)</f>
        <v>101320373854</v>
      </c>
      <c r="J2058" s="1" t="n">
        <f aca="false">COUNTIF(I:I,I2058)</f>
        <v>1</v>
      </c>
      <c r="K2058" s="1" t="n">
        <v>0</v>
      </c>
      <c r="M2058" s="1" t="s">
        <v>23</v>
      </c>
      <c r="N2058" s="1" t="n">
        <v>42</v>
      </c>
      <c r="O2058" s="1" t="s">
        <v>11344</v>
      </c>
      <c r="P2058" s="1" t="n">
        <v>4086</v>
      </c>
      <c r="Q2058" s="1" t="s">
        <v>11345</v>
      </c>
      <c r="R2058" s="1" t="s">
        <v>11346</v>
      </c>
      <c r="S2058" s="1" t="s">
        <v>11347</v>
      </c>
      <c r="T2058" s="1" t="s">
        <v>6018</v>
      </c>
      <c r="U2058" s="1" t="s">
        <v>11348</v>
      </c>
    </row>
    <row r="2059" customFormat="false" ht="13.8" hidden="false" customHeight="false" outlineLevel="0" collapsed="false">
      <c r="A2059" s="1" t="n">
        <v>2058</v>
      </c>
      <c r="B2059" s="2" t="s">
        <v>11349</v>
      </c>
      <c r="C2059" s="1" t="n">
        <v>4</v>
      </c>
      <c r="D2059" s="1" t="n">
        <v>19</v>
      </c>
      <c r="E2059" s="1" t="n">
        <v>23</v>
      </c>
      <c r="F2059" s="1" t="n">
        <v>29</v>
      </c>
      <c r="G2059" s="1" t="n">
        <v>56</v>
      </c>
      <c r="H2059" s="1" t="n">
        <v>59</v>
      </c>
      <c r="I2059" s="1" t="str">
        <f aca="false">RIGHT(("0"&amp;C2059),2)&amp;RIGHT(("0"&amp;D2059),2)&amp;RIGHT(("0"&amp;E2059),2)&amp;RIGHT(("0"&amp;F2059),2)&amp;RIGHT(("0"&amp;G2059),2)&amp;RIGHT(("0"&amp;H2059),2)</f>
        <v>041923295659</v>
      </c>
      <c r="J2059" s="1" t="n">
        <f aca="false">COUNTIF(I:I,I2059)</f>
        <v>1</v>
      </c>
      <c r="K2059" s="1" t="n">
        <v>0</v>
      </c>
      <c r="M2059" s="1" t="s">
        <v>23</v>
      </c>
      <c r="N2059" s="1" t="n">
        <v>81</v>
      </c>
      <c r="O2059" s="1" t="s">
        <v>11350</v>
      </c>
      <c r="P2059" s="1" t="n">
        <v>5435</v>
      </c>
      <c r="Q2059" s="1" t="s">
        <v>11351</v>
      </c>
      <c r="R2059" s="1" t="s">
        <v>11352</v>
      </c>
      <c r="S2059" s="1" t="s">
        <v>11353</v>
      </c>
      <c r="T2059" s="1" t="s">
        <v>5686</v>
      </c>
      <c r="U2059" s="1" t="s">
        <v>11354</v>
      </c>
    </row>
    <row r="2060" customFormat="false" ht="13.8" hidden="false" customHeight="false" outlineLevel="0" collapsed="false">
      <c r="A2060" s="1" t="n">
        <v>2059</v>
      </c>
      <c r="B2060" s="2" t="s">
        <v>11355</v>
      </c>
      <c r="C2060" s="1" t="n">
        <v>4</v>
      </c>
      <c r="D2060" s="1" t="n">
        <v>5</v>
      </c>
      <c r="E2060" s="1" t="n">
        <v>36</v>
      </c>
      <c r="F2060" s="1" t="n">
        <v>40</v>
      </c>
      <c r="G2060" s="1" t="n">
        <v>44</v>
      </c>
      <c r="H2060" s="1" t="n">
        <v>56</v>
      </c>
      <c r="I2060" s="1" t="str">
        <f aca="false">RIGHT(("0"&amp;C2060),2)&amp;RIGHT(("0"&amp;D2060),2)&amp;RIGHT(("0"&amp;E2060),2)&amp;RIGHT(("0"&amp;F2060),2)&amp;RIGHT(("0"&amp;G2060),2)&amp;RIGHT(("0"&amp;H2060),2)</f>
        <v>040536404456</v>
      </c>
      <c r="J2060" s="1" t="n">
        <f aca="false">COUNTIF(I:I,I2060)</f>
        <v>1</v>
      </c>
      <c r="K2060" s="1" t="n">
        <v>0</v>
      </c>
      <c r="M2060" s="1" t="s">
        <v>23</v>
      </c>
      <c r="N2060" s="1" t="n">
        <v>77</v>
      </c>
      <c r="O2060" s="1" t="s">
        <v>11356</v>
      </c>
      <c r="P2060" s="1" t="n">
        <v>5562</v>
      </c>
      <c r="Q2060" s="1" t="s">
        <v>11357</v>
      </c>
      <c r="R2060" s="1" t="s">
        <v>11358</v>
      </c>
      <c r="S2060" s="1" t="s">
        <v>11359</v>
      </c>
      <c r="T2060" s="1" t="s">
        <v>5307</v>
      </c>
      <c r="U2060" s="1" t="s">
        <v>11360</v>
      </c>
    </row>
    <row r="2061" customFormat="false" ht="13.8" hidden="false" customHeight="false" outlineLevel="0" collapsed="false">
      <c r="A2061" s="1" t="n">
        <v>2060</v>
      </c>
      <c r="B2061" s="2" t="s">
        <v>11361</v>
      </c>
      <c r="C2061" s="1" t="n">
        <v>8</v>
      </c>
      <c r="D2061" s="1" t="n">
        <v>9</v>
      </c>
      <c r="E2061" s="1" t="n">
        <v>11</v>
      </c>
      <c r="F2061" s="1" t="n">
        <v>25</v>
      </c>
      <c r="G2061" s="1" t="n">
        <v>39</v>
      </c>
      <c r="H2061" s="1" t="n">
        <v>41</v>
      </c>
      <c r="I2061" s="1" t="str">
        <f aca="false">RIGHT(("0"&amp;C2061),2)&amp;RIGHT(("0"&amp;D2061),2)&amp;RIGHT(("0"&amp;E2061),2)&amp;RIGHT(("0"&amp;F2061),2)&amp;RIGHT(("0"&amp;G2061),2)&amp;RIGHT(("0"&amp;H2061),2)</f>
        <v>080911253941</v>
      </c>
      <c r="J2061" s="1" t="n">
        <f aca="false">COUNTIF(I:I,I2061)</f>
        <v>1</v>
      </c>
      <c r="K2061" s="1" t="n">
        <v>0</v>
      </c>
      <c r="M2061" s="1" t="s">
        <v>23</v>
      </c>
      <c r="N2061" s="1" t="n">
        <v>186</v>
      </c>
      <c r="O2061" s="1" t="s">
        <v>11362</v>
      </c>
      <c r="P2061" s="1" t="n">
        <v>8570</v>
      </c>
      <c r="Q2061" s="1" t="s">
        <v>11363</v>
      </c>
      <c r="R2061" s="1" t="s">
        <v>11364</v>
      </c>
      <c r="S2061" s="1" t="s">
        <v>11365</v>
      </c>
      <c r="T2061" s="1" t="s">
        <v>8336</v>
      </c>
      <c r="U2061" s="1" t="s">
        <v>11366</v>
      </c>
    </row>
    <row r="2062" customFormat="false" ht="13.8" hidden="false" customHeight="false" outlineLevel="0" collapsed="false">
      <c r="A2062" s="1" t="n">
        <v>2061</v>
      </c>
      <c r="B2062" s="2" t="s">
        <v>11367</v>
      </c>
      <c r="C2062" s="1" t="n">
        <v>33</v>
      </c>
      <c r="D2062" s="1" t="n">
        <v>36</v>
      </c>
      <c r="E2062" s="1" t="n">
        <v>40</v>
      </c>
      <c r="F2062" s="1" t="n">
        <v>44</v>
      </c>
      <c r="G2062" s="1" t="n">
        <v>45</v>
      </c>
      <c r="H2062" s="1" t="n">
        <v>54</v>
      </c>
      <c r="I2062" s="1" t="str">
        <f aca="false">RIGHT(("0"&amp;C2062),2)&amp;RIGHT(("0"&amp;D2062),2)&amp;RIGHT(("0"&amp;E2062),2)&amp;RIGHT(("0"&amp;F2062),2)&amp;RIGHT(("0"&amp;G2062),2)&amp;RIGHT(("0"&amp;H2062),2)</f>
        <v>333640444554</v>
      </c>
      <c r="J2062" s="1" t="n">
        <f aca="false">COUNTIF(I:I,I2062)</f>
        <v>1</v>
      </c>
      <c r="K2062" s="1" t="n">
        <v>0</v>
      </c>
      <c r="M2062" s="1" t="s">
        <v>23</v>
      </c>
      <c r="N2062" s="1" t="n">
        <v>93</v>
      </c>
      <c r="O2062" s="1" t="s">
        <v>11368</v>
      </c>
      <c r="P2062" s="1" t="n">
        <v>6899</v>
      </c>
      <c r="Q2062" s="1" t="s">
        <v>11369</v>
      </c>
      <c r="R2062" s="1" t="s">
        <v>11370</v>
      </c>
      <c r="S2062" s="1" t="s">
        <v>11371</v>
      </c>
      <c r="T2062" s="1" t="s">
        <v>6566</v>
      </c>
      <c r="U2062" s="1" t="s">
        <v>11372</v>
      </c>
    </row>
    <row r="2063" customFormat="false" ht="13.8" hidden="false" customHeight="false" outlineLevel="0" collapsed="false">
      <c r="A2063" s="1" t="n">
        <v>2062</v>
      </c>
      <c r="B2063" s="2" t="s">
        <v>11373</v>
      </c>
      <c r="C2063" s="1" t="n">
        <v>8</v>
      </c>
      <c r="D2063" s="1" t="n">
        <v>10</v>
      </c>
      <c r="E2063" s="1" t="n">
        <v>15</v>
      </c>
      <c r="F2063" s="1" t="n">
        <v>23</v>
      </c>
      <c r="G2063" s="1" t="n">
        <v>25</v>
      </c>
      <c r="H2063" s="1" t="n">
        <v>34</v>
      </c>
      <c r="I2063" s="1" t="str">
        <f aca="false">RIGHT(("0"&amp;C2063),2)&amp;RIGHT(("0"&amp;D2063),2)&amp;RIGHT(("0"&amp;E2063),2)&amp;RIGHT(("0"&amp;F2063),2)&amp;RIGHT(("0"&amp;G2063),2)&amp;RIGHT(("0"&amp;H2063),2)</f>
        <v>081015232534</v>
      </c>
      <c r="J2063" s="1" t="n">
        <f aca="false">COUNTIF(I:I,I2063)</f>
        <v>1</v>
      </c>
      <c r="K2063" s="1" t="n">
        <v>1</v>
      </c>
      <c r="L2063" s="1" t="s">
        <v>11374</v>
      </c>
      <c r="M2063" s="1" t="s">
        <v>11375</v>
      </c>
      <c r="N2063" s="1" t="n">
        <v>192</v>
      </c>
      <c r="O2063" s="1" t="s">
        <v>11376</v>
      </c>
      <c r="P2063" s="1" t="n">
        <v>13804</v>
      </c>
      <c r="Q2063" s="1" t="s">
        <v>11377</v>
      </c>
      <c r="R2063" s="1" t="s">
        <v>23</v>
      </c>
      <c r="S2063" s="1" t="s">
        <v>11378</v>
      </c>
      <c r="T2063" s="1" t="s">
        <v>473</v>
      </c>
      <c r="U2063" s="1" t="s">
        <v>11379</v>
      </c>
    </row>
    <row r="2064" customFormat="false" ht="13.8" hidden="false" customHeight="false" outlineLevel="0" collapsed="false">
      <c r="A2064" s="1" t="n">
        <v>2063</v>
      </c>
      <c r="B2064" s="2" t="s">
        <v>11380</v>
      </c>
      <c r="C2064" s="1" t="n">
        <v>6</v>
      </c>
      <c r="D2064" s="1" t="n">
        <v>10</v>
      </c>
      <c r="E2064" s="1" t="n">
        <v>19</v>
      </c>
      <c r="F2064" s="1" t="n">
        <v>24</v>
      </c>
      <c r="G2064" s="1" t="n">
        <v>25</v>
      </c>
      <c r="H2064" s="1" t="n">
        <v>29</v>
      </c>
      <c r="I2064" s="1" t="str">
        <f aca="false">RIGHT(("0"&amp;C2064),2)&amp;RIGHT(("0"&amp;D2064),2)&amp;RIGHT(("0"&amp;E2064),2)&amp;RIGHT(("0"&amp;F2064),2)&amp;RIGHT(("0"&amp;G2064),2)&amp;RIGHT(("0"&amp;H2064),2)</f>
        <v>061019242529</v>
      </c>
      <c r="J2064" s="1" t="n">
        <f aca="false">COUNTIF(I:I,I2064)</f>
        <v>1</v>
      </c>
      <c r="K2064" s="1" t="n">
        <v>0</v>
      </c>
      <c r="M2064" s="1" t="s">
        <v>23</v>
      </c>
      <c r="N2064" s="1" t="n">
        <v>94</v>
      </c>
      <c r="O2064" s="1" t="s">
        <v>11381</v>
      </c>
      <c r="P2064" s="1" t="n">
        <v>5511</v>
      </c>
      <c r="Q2064" s="1" t="s">
        <v>11382</v>
      </c>
      <c r="R2064" s="1" t="s">
        <v>11383</v>
      </c>
      <c r="S2064" s="1" t="s">
        <v>11384</v>
      </c>
      <c r="T2064" s="1" t="s">
        <v>4342</v>
      </c>
      <c r="U2064" s="1" t="s">
        <v>11385</v>
      </c>
    </row>
    <row r="2065" customFormat="false" ht="13.8" hidden="false" customHeight="false" outlineLevel="0" collapsed="false">
      <c r="A2065" s="1" t="n">
        <v>2064</v>
      </c>
      <c r="B2065" s="2" t="s">
        <v>11386</v>
      </c>
      <c r="C2065" s="1" t="n">
        <v>10</v>
      </c>
      <c r="D2065" s="1" t="n">
        <v>14</v>
      </c>
      <c r="E2065" s="1" t="n">
        <v>36</v>
      </c>
      <c r="F2065" s="1" t="n">
        <v>53</v>
      </c>
      <c r="G2065" s="1" t="n">
        <v>55</v>
      </c>
      <c r="H2065" s="1" t="n">
        <v>60</v>
      </c>
      <c r="I2065" s="1" t="str">
        <f aca="false">RIGHT(("0"&amp;C2065),2)&amp;RIGHT(("0"&amp;D2065),2)&amp;RIGHT(("0"&amp;E2065),2)&amp;RIGHT(("0"&amp;F2065),2)&amp;RIGHT(("0"&amp;G2065),2)&amp;RIGHT(("0"&amp;H2065),2)</f>
        <v>101436535560</v>
      </c>
      <c r="J2065" s="1" t="n">
        <f aca="false">COUNTIF(I:I,I2065)</f>
        <v>1</v>
      </c>
      <c r="K2065" s="1" t="n">
        <v>0</v>
      </c>
      <c r="M2065" s="1" t="s">
        <v>23</v>
      </c>
      <c r="N2065" s="1" t="n">
        <v>68</v>
      </c>
      <c r="O2065" s="1" t="s">
        <v>11387</v>
      </c>
      <c r="P2065" s="1" t="n">
        <v>3311</v>
      </c>
      <c r="Q2065" s="1" t="s">
        <v>11388</v>
      </c>
      <c r="R2065" s="1" t="s">
        <v>11389</v>
      </c>
      <c r="S2065" s="1" t="s">
        <v>11390</v>
      </c>
      <c r="T2065" s="1" t="s">
        <v>3892</v>
      </c>
      <c r="U2065" s="1" t="s">
        <v>11391</v>
      </c>
    </row>
    <row r="2066" customFormat="false" ht="13.8" hidden="false" customHeight="false" outlineLevel="0" collapsed="false">
      <c r="A2066" s="1" t="n">
        <v>2065</v>
      </c>
      <c r="B2066" s="2" t="s">
        <v>11392</v>
      </c>
      <c r="C2066" s="1" t="n">
        <v>4</v>
      </c>
      <c r="D2066" s="1" t="n">
        <v>11</v>
      </c>
      <c r="E2066" s="1" t="n">
        <v>20</v>
      </c>
      <c r="F2066" s="1" t="n">
        <v>30</v>
      </c>
      <c r="G2066" s="1" t="n">
        <v>37</v>
      </c>
      <c r="H2066" s="1" t="n">
        <v>43</v>
      </c>
      <c r="I2066" s="1" t="str">
        <f aca="false">RIGHT(("0"&amp;C2066),2)&amp;RIGHT(("0"&amp;D2066),2)&amp;RIGHT(("0"&amp;E2066),2)&amp;RIGHT(("0"&amp;F2066),2)&amp;RIGHT(("0"&amp;G2066),2)&amp;RIGHT(("0"&amp;H2066),2)</f>
        <v>041120303743</v>
      </c>
      <c r="J2066" s="1" t="n">
        <f aca="false">COUNTIF(I:I,I2066)</f>
        <v>1</v>
      </c>
      <c r="K2066" s="1" t="n">
        <v>0</v>
      </c>
      <c r="M2066" s="1" t="s">
        <v>23</v>
      </c>
      <c r="N2066" s="1" t="n">
        <v>74</v>
      </c>
      <c r="O2066" s="1" t="s">
        <v>11393</v>
      </c>
      <c r="P2066" s="1" t="n">
        <v>4900</v>
      </c>
      <c r="Q2066" s="1" t="s">
        <v>11394</v>
      </c>
      <c r="R2066" s="1" t="s">
        <v>11395</v>
      </c>
      <c r="S2066" s="1" t="s">
        <v>11396</v>
      </c>
      <c r="T2066" s="1" t="s">
        <v>4968</v>
      </c>
      <c r="U2066" s="1" t="s">
        <v>11397</v>
      </c>
    </row>
    <row r="2067" customFormat="false" ht="13.8" hidden="false" customHeight="false" outlineLevel="0" collapsed="false">
      <c r="A2067" s="1" t="n">
        <v>2066</v>
      </c>
      <c r="B2067" s="2" t="s">
        <v>11398</v>
      </c>
      <c r="C2067" s="1" t="n">
        <v>6</v>
      </c>
      <c r="D2067" s="1" t="n">
        <v>25</v>
      </c>
      <c r="E2067" s="1" t="n">
        <v>27</v>
      </c>
      <c r="F2067" s="1" t="n">
        <v>35</v>
      </c>
      <c r="G2067" s="1" t="n">
        <v>45</v>
      </c>
      <c r="H2067" s="1" t="n">
        <v>55</v>
      </c>
      <c r="I2067" s="1" t="str">
        <f aca="false">RIGHT(("0"&amp;C2067),2)&amp;RIGHT(("0"&amp;D2067),2)&amp;RIGHT(("0"&amp;E2067),2)&amp;RIGHT(("0"&amp;F2067),2)&amp;RIGHT(("0"&amp;G2067),2)&amp;RIGHT(("0"&amp;H2067),2)</f>
        <v>062527354555</v>
      </c>
      <c r="J2067" s="1" t="n">
        <f aca="false">COUNTIF(I:I,I2067)</f>
        <v>1</v>
      </c>
      <c r="K2067" s="1" t="n">
        <v>1</v>
      </c>
      <c r="L2067" s="1" t="s">
        <v>5484</v>
      </c>
      <c r="M2067" s="1" t="s">
        <v>11399</v>
      </c>
      <c r="N2067" s="1" t="n">
        <v>104</v>
      </c>
      <c r="O2067" s="1" t="s">
        <v>11400</v>
      </c>
      <c r="P2067" s="1" t="n">
        <v>7345</v>
      </c>
      <c r="Q2067" s="1" t="s">
        <v>11401</v>
      </c>
      <c r="R2067" s="1" t="s">
        <v>23</v>
      </c>
      <c r="S2067" s="1" t="s">
        <v>11402</v>
      </c>
      <c r="T2067" s="1" t="s">
        <v>473</v>
      </c>
      <c r="U2067" s="1" t="s">
        <v>11403</v>
      </c>
    </row>
    <row r="2068" customFormat="false" ht="13.8" hidden="false" customHeight="false" outlineLevel="0" collapsed="false">
      <c r="A2068" s="1" t="n">
        <v>2067</v>
      </c>
      <c r="B2068" s="2" t="s">
        <v>11404</v>
      </c>
      <c r="C2068" s="1" t="n">
        <v>2</v>
      </c>
      <c r="D2068" s="1" t="n">
        <v>11</v>
      </c>
      <c r="E2068" s="1" t="n">
        <v>13</v>
      </c>
      <c r="F2068" s="1" t="n">
        <v>26</v>
      </c>
      <c r="G2068" s="1" t="n">
        <v>32</v>
      </c>
      <c r="H2068" s="1" t="n">
        <v>59</v>
      </c>
      <c r="I2068" s="1" t="str">
        <f aca="false">RIGHT(("0"&amp;C2068),2)&amp;RIGHT(("0"&amp;D2068),2)&amp;RIGHT(("0"&amp;E2068),2)&amp;RIGHT(("0"&amp;F2068),2)&amp;RIGHT(("0"&amp;G2068),2)&amp;RIGHT(("0"&amp;H2068),2)</f>
        <v>021113263259</v>
      </c>
      <c r="J2068" s="1" t="n">
        <f aca="false">COUNTIF(I:I,I2068)</f>
        <v>1</v>
      </c>
      <c r="K2068" s="1" t="n">
        <v>0</v>
      </c>
      <c r="M2068" s="1" t="s">
        <v>23</v>
      </c>
      <c r="N2068" s="1" t="n">
        <v>57</v>
      </c>
      <c r="O2068" s="1" t="s">
        <v>11405</v>
      </c>
      <c r="P2068" s="1" t="n">
        <v>3828</v>
      </c>
      <c r="Q2068" s="1" t="s">
        <v>11406</v>
      </c>
      <c r="R2068" s="1" t="s">
        <v>11407</v>
      </c>
      <c r="S2068" s="1" t="s">
        <v>11408</v>
      </c>
      <c r="T2068" s="1" t="s">
        <v>5931</v>
      </c>
      <c r="U2068" s="1" t="s">
        <v>11409</v>
      </c>
    </row>
    <row r="2069" customFormat="false" ht="13.8" hidden="false" customHeight="false" outlineLevel="0" collapsed="false">
      <c r="A2069" s="1" t="n">
        <v>2068</v>
      </c>
      <c r="B2069" s="2" t="s">
        <v>11410</v>
      </c>
      <c r="C2069" s="1" t="n">
        <v>3</v>
      </c>
      <c r="D2069" s="1" t="n">
        <v>5</v>
      </c>
      <c r="E2069" s="1" t="n">
        <v>9</v>
      </c>
      <c r="F2069" s="1" t="n">
        <v>40</v>
      </c>
      <c r="G2069" s="1" t="n">
        <v>42</v>
      </c>
      <c r="H2069" s="1" t="n">
        <v>47</v>
      </c>
      <c r="I2069" s="1" t="str">
        <f aca="false">RIGHT(("0"&amp;C2069),2)&amp;RIGHT(("0"&amp;D2069),2)&amp;RIGHT(("0"&amp;E2069),2)&amp;RIGHT(("0"&amp;F2069),2)&amp;RIGHT(("0"&amp;G2069),2)&amp;RIGHT(("0"&amp;H2069),2)</f>
        <v>030509404247</v>
      </c>
      <c r="J2069" s="1" t="n">
        <f aca="false">COUNTIF(I:I,I2069)</f>
        <v>1</v>
      </c>
      <c r="K2069" s="1" t="n">
        <v>0</v>
      </c>
      <c r="M2069" s="1" t="s">
        <v>23</v>
      </c>
      <c r="N2069" s="1" t="n">
        <v>46</v>
      </c>
      <c r="O2069" s="1" t="s">
        <v>11411</v>
      </c>
      <c r="P2069" s="1" t="n">
        <v>2466</v>
      </c>
      <c r="Q2069" s="1" t="s">
        <v>11412</v>
      </c>
      <c r="R2069" s="1" t="s">
        <v>11413</v>
      </c>
      <c r="S2069" s="1" t="s">
        <v>11414</v>
      </c>
      <c r="T2069" s="1" t="s">
        <v>4991</v>
      </c>
      <c r="U2069" s="1" t="s">
        <v>11415</v>
      </c>
    </row>
    <row r="2070" customFormat="false" ht="13.8" hidden="false" customHeight="false" outlineLevel="0" collapsed="false">
      <c r="A2070" s="1" t="n">
        <v>2069</v>
      </c>
      <c r="B2070" s="2" t="s">
        <v>11416</v>
      </c>
      <c r="C2070" s="1" t="n">
        <v>3</v>
      </c>
      <c r="D2070" s="1" t="n">
        <v>17</v>
      </c>
      <c r="E2070" s="1" t="n">
        <v>34</v>
      </c>
      <c r="F2070" s="1" t="n">
        <v>35</v>
      </c>
      <c r="G2070" s="1" t="n">
        <v>40</v>
      </c>
      <c r="H2070" s="1" t="n">
        <v>48</v>
      </c>
      <c r="I2070" s="1" t="str">
        <f aca="false">RIGHT(("0"&amp;C2070),2)&amp;RIGHT(("0"&amp;D2070),2)&amp;RIGHT(("0"&amp;E2070),2)&amp;RIGHT(("0"&amp;F2070),2)&amp;RIGHT(("0"&amp;G2070),2)&amp;RIGHT(("0"&amp;H2070),2)</f>
        <v>031734354048</v>
      </c>
      <c r="J2070" s="1" t="n">
        <f aca="false">COUNTIF(I:I,I2070)</f>
        <v>1</v>
      </c>
      <c r="K2070" s="1" t="n">
        <v>0</v>
      </c>
      <c r="M2070" s="1" t="s">
        <v>23</v>
      </c>
      <c r="N2070" s="1" t="n">
        <v>48</v>
      </c>
      <c r="O2070" s="1" t="s">
        <v>11417</v>
      </c>
      <c r="P2070" s="1" t="n">
        <v>3638</v>
      </c>
      <c r="Q2070" s="1" t="s">
        <v>11418</v>
      </c>
      <c r="R2070" s="1" t="s">
        <v>11419</v>
      </c>
      <c r="S2070" s="1" t="s">
        <v>11420</v>
      </c>
      <c r="T2070" s="1" t="s">
        <v>4696</v>
      </c>
      <c r="U2070" s="1" t="s">
        <v>11421</v>
      </c>
    </row>
    <row r="2071" customFormat="false" ht="13.8" hidden="false" customHeight="false" outlineLevel="0" collapsed="false">
      <c r="A2071" s="1" t="n">
        <v>2070</v>
      </c>
      <c r="B2071" s="2" t="s">
        <v>11422</v>
      </c>
      <c r="C2071" s="1" t="n">
        <v>5</v>
      </c>
      <c r="D2071" s="1" t="n">
        <v>26</v>
      </c>
      <c r="E2071" s="1" t="n">
        <v>27</v>
      </c>
      <c r="F2071" s="1" t="n">
        <v>34</v>
      </c>
      <c r="G2071" s="1" t="n">
        <v>42</v>
      </c>
      <c r="H2071" s="1" t="n">
        <v>48</v>
      </c>
      <c r="I2071" s="1" t="str">
        <f aca="false">RIGHT(("0"&amp;C2071),2)&amp;RIGHT(("0"&amp;D2071),2)&amp;RIGHT(("0"&amp;E2071),2)&amp;RIGHT(("0"&amp;F2071),2)&amp;RIGHT(("0"&amp;G2071),2)&amp;RIGHT(("0"&amp;H2071),2)</f>
        <v>052627344248</v>
      </c>
      <c r="J2071" s="1" t="n">
        <f aca="false">COUNTIF(I:I,I2071)</f>
        <v>1</v>
      </c>
      <c r="K2071" s="1" t="n">
        <v>0</v>
      </c>
      <c r="M2071" s="1" t="s">
        <v>23</v>
      </c>
      <c r="N2071" s="1" t="n">
        <v>84</v>
      </c>
      <c r="O2071" s="1" t="s">
        <v>11423</v>
      </c>
      <c r="P2071" s="1" t="n">
        <v>5654</v>
      </c>
      <c r="Q2071" s="1" t="s">
        <v>11424</v>
      </c>
      <c r="R2071" s="1" t="s">
        <v>11425</v>
      </c>
      <c r="S2071" s="1" t="s">
        <v>11426</v>
      </c>
      <c r="T2071" s="1" t="s">
        <v>8218</v>
      </c>
      <c r="U2071" s="1" t="s">
        <v>11427</v>
      </c>
    </row>
    <row r="2072" customFormat="false" ht="13.8" hidden="false" customHeight="false" outlineLevel="0" collapsed="false">
      <c r="A2072" s="1" t="n">
        <v>2071</v>
      </c>
      <c r="B2072" s="2" t="s">
        <v>11428</v>
      </c>
      <c r="C2072" s="1" t="n">
        <v>24</v>
      </c>
      <c r="D2072" s="1" t="n">
        <v>33</v>
      </c>
      <c r="E2072" s="1" t="n">
        <v>34</v>
      </c>
      <c r="F2072" s="1" t="n">
        <v>35</v>
      </c>
      <c r="G2072" s="1" t="n">
        <v>46</v>
      </c>
      <c r="H2072" s="1" t="n">
        <v>60</v>
      </c>
      <c r="I2072" s="1" t="str">
        <f aca="false">RIGHT(("0"&amp;C2072),2)&amp;RIGHT(("0"&amp;D2072),2)&amp;RIGHT(("0"&amp;E2072),2)&amp;RIGHT(("0"&amp;F2072),2)&amp;RIGHT(("0"&amp;G2072),2)&amp;RIGHT(("0"&amp;H2072),2)</f>
        <v>243334354660</v>
      </c>
      <c r="J2072" s="1" t="n">
        <f aca="false">COUNTIF(I:I,I2072)</f>
        <v>1</v>
      </c>
      <c r="K2072" s="1" t="n">
        <v>0</v>
      </c>
      <c r="M2072" s="1" t="s">
        <v>23</v>
      </c>
      <c r="N2072" s="1" t="n">
        <v>33</v>
      </c>
      <c r="O2072" s="1" t="s">
        <v>11429</v>
      </c>
      <c r="P2072" s="1" t="n">
        <v>3760</v>
      </c>
      <c r="Q2072" s="1" t="s">
        <v>11430</v>
      </c>
      <c r="R2072" s="1" t="s">
        <v>11431</v>
      </c>
      <c r="S2072" s="1" t="s">
        <v>11432</v>
      </c>
      <c r="T2072" s="1" t="s">
        <v>4304</v>
      </c>
      <c r="U2072" s="1" t="s">
        <v>11433</v>
      </c>
    </row>
    <row r="2073" customFormat="false" ht="13.8" hidden="false" customHeight="false" outlineLevel="0" collapsed="false">
      <c r="A2073" s="1" t="n">
        <v>2072</v>
      </c>
      <c r="B2073" s="2" t="s">
        <v>11434</v>
      </c>
      <c r="C2073" s="1" t="n">
        <v>10</v>
      </c>
      <c r="D2073" s="1" t="n">
        <v>12</v>
      </c>
      <c r="E2073" s="1" t="n">
        <v>13</v>
      </c>
      <c r="F2073" s="1" t="n">
        <v>20</v>
      </c>
      <c r="G2073" s="1" t="n">
        <v>22</v>
      </c>
      <c r="H2073" s="1" t="n">
        <v>54</v>
      </c>
      <c r="I2073" s="1" t="str">
        <f aca="false">RIGHT(("0"&amp;C2073),2)&amp;RIGHT(("0"&amp;D2073),2)&amp;RIGHT(("0"&amp;E2073),2)&amp;RIGHT(("0"&amp;F2073),2)&amp;RIGHT(("0"&amp;G2073),2)&amp;RIGHT(("0"&amp;H2073),2)</f>
        <v>101213202254</v>
      </c>
      <c r="J2073" s="1" t="n">
        <f aca="false">COUNTIF(I:I,I2073)</f>
        <v>1</v>
      </c>
      <c r="K2073" s="1" t="n">
        <v>0</v>
      </c>
      <c r="M2073" s="1" t="s">
        <v>23</v>
      </c>
      <c r="N2073" s="1" t="n">
        <v>135</v>
      </c>
      <c r="O2073" s="1" t="s">
        <v>11435</v>
      </c>
      <c r="P2073" s="1" t="n">
        <v>8860</v>
      </c>
      <c r="Q2073" s="1" t="s">
        <v>11436</v>
      </c>
      <c r="R2073" s="1" t="s">
        <v>11437</v>
      </c>
      <c r="S2073" s="1" t="s">
        <v>11438</v>
      </c>
      <c r="T2073" s="1" t="s">
        <v>4309</v>
      </c>
      <c r="U2073" s="1" t="s">
        <v>11439</v>
      </c>
    </row>
    <row r="2074" customFormat="false" ht="13.8" hidden="false" customHeight="false" outlineLevel="0" collapsed="false">
      <c r="A2074" s="1" t="n">
        <v>2073</v>
      </c>
      <c r="B2074" s="2" t="s">
        <v>11440</v>
      </c>
      <c r="C2074" s="1" t="n">
        <v>12</v>
      </c>
      <c r="D2074" s="1" t="n">
        <v>15</v>
      </c>
      <c r="E2074" s="1" t="n">
        <v>18</v>
      </c>
      <c r="F2074" s="1" t="n">
        <v>30</v>
      </c>
      <c r="G2074" s="1" t="n">
        <v>52</v>
      </c>
      <c r="H2074" s="1" t="n">
        <v>55</v>
      </c>
      <c r="I2074" s="1" t="str">
        <f aca="false">RIGHT(("0"&amp;C2074),2)&amp;RIGHT(("0"&amp;D2074),2)&amp;RIGHT(("0"&amp;E2074),2)&amp;RIGHT(("0"&amp;F2074),2)&amp;RIGHT(("0"&amp;G2074),2)&amp;RIGHT(("0"&amp;H2074),2)</f>
        <v>121518305255</v>
      </c>
      <c r="J2074" s="1" t="n">
        <f aca="false">COUNTIF(I:I,I2074)</f>
        <v>1</v>
      </c>
      <c r="K2074" s="1" t="n">
        <v>0</v>
      </c>
      <c r="M2074" s="1" t="s">
        <v>23</v>
      </c>
      <c r="N2074" s="1" t="n">
        <v>80</v>
      </c>
      <c r="O2074" s="1" t="s">
        <v>11441</v>
      </c>
      <c r="P2074" s="1" t="n">
        <v>5335</v>
      </c>
      <c r="Q2074" s="1" t="s">
        <v>11442</v>
      </c>
      <c r="R2074" s="1" t="s">
        <v>11443</v>
      </c>
      <c r="S2074" s="1" t="s">
        <v>11444</v>
      </c>
      <c r="T2074" s="1" t="s">
        <v>4314</v>
      </c>
      <c r="U2074" s="1" t="s">
        <v>11445</v>
      </c>
    </row>
    <row r="2075" customFormat="false" ht="13.8" hidden="false" customHeight="false" outlineLevel="0" collapsed="false">
      <c r="A2075" s="1" t="n">
        <v>2074</v>
      </c>
      <c r="B2075" s="2" t="s">
        <v>11446</v>
      </c>
      <c r="C2075" s="1" t="n">
        <v>8</v>
      </c>
      <c r="D2075" s="1" t="n">
        <v>18</v>
      </c>
      <c r="E2075" s="1" t="n">
        <v>23</v>
      </c>
      <c r="F2075" s="1" t="n">
        <v>37</v>
      </c>
      <c r="G2075" s="1" t="n">
        <v>42</v>
      </c>
      <c r="H2075" s="1" t="n">
        <v>58</v>
      </c>
      <c r="I2075" s="1" t="str">
        <f aca="false">RIGHT(("0"&amp;C2075),2)&amp;RIGHT(("0"&amp;D2075),2)&amp;RIGHT(("0"&amp;E2075),2)&amp;RIGHT(("0"&amp;F2075),2)&amp;RIGHT(("0"&amp;G2075),2)&amp;RIGHT(("0"&amp;H2075),2)</f>
        <v>081823374258</v>
      </c>
      <c r="J2075" s="1" t="n">
        <f aca="false">COUNTIF(I:I,I2075)</f>
        <v>1</v>
      </c>
      <c r="K2075" s="1" t="n">
        <v>2</v>
      </c>
      <c r="L2075" s="1" t="s">
        <v>11447</v>
      </c>
      <c r="M2075" s="1" t="s">
        <v>11448</v>
      </c>
      <c r="N2075" s="1" t="n">
        <v>172</v>
      </c>
      <c r="O2075" s="1" t="s">
        <v>11449</v>
      </c>
      <c r="P2075" s="1" t="n">
        <v>8812</v>
      </c>
      <c r="Q2075" s="1" t="s">
        <v>11450</v>
      </c>
      <c r="R2075" s="1" t="s">
        <v>23</v>
      </c>
      <c r="S2075" s="1" t="s">
        <v>11451</v>
      </c>
      <c r="T2075" s="1" t="s">
        <v>4273</v>
      </c>
      <c r="U2075" s="1" t="s">
        <v>11452</v>
      </c>
    </row>
    <row r="2076" customFormat="false" ht="13.8" hidden="false" customHeight="false" outlineLevel="0" collapsed="false">
      <c r="A2076" s="1" t="n">
        <v>2075</v>
      </c>
      <c r="B2076" s="2" t="s">
        <v>11453</v>
      </c>
      <c r="C2076" s="1" t="n">
        <v>7</v>
      </c>
      <c r="D2076" s="1" t="n">
        <v>9</v>
      </c>
      <c r="E2076" s="1" t="n">
        <v>23</v>
      </c>
      <c r="F2076" s="1" t="n">
        <v>33</v>
      </c>
      <c r="G2076" s="1" t="n">
        <v>57</v>
      </c>
      <c r="H2076" s="1" t="n">
        <v>59</v>
      </c>
      <c r="I2076" s="1" t="str">
        <f aca="false">RIGHT(("0"&amp;C2076),2)&amp;RIGHT(("0"&amp;D2076),2)&amp;RIGHT(("0"&amp;E2076),2)&amp;RIGHT(("0"&amp;F2076),2)&amp;RIGHT(("0"&amp;G2076),2)&amp;RIGHT(("0"&amp;H2076),2)</f>
        <v>070923335759</v>
      </c>
      <c r="J2076" s="1" t="n">
        <f aca="false">COUNTIF(I:I,I2076)</f>
        <v>1</v>
      </c>
      <c r="K2076" s="1" t="n">
        <v>0</v>
      </c>
      <c r="M2076" s="1" t="s">
        <v>23</v>
      </c>
      <c r="N2076" s="1" t="n">
        <v>98</v>
      </c>
      <c r="O2076" s="1" t="s">
        <v>11454</v>
      </c>
      <c r="P2076" s="1" t="n">
        <v>5737</v>
      </c>
      <c r="Q2076" s="1" t="s">
        <v>11455</v>
      </c>
      <c r="R2076" s="1" t="s">
        <v>11456</v>
      </c>
      <c r="S2076" s="1" t="s">
        <v>11457</v>
      </c>
      <c r="T2076" s="1" t="s">
        <v>4328</v>
      </c>
      <c r="U2076" s="1" t="s">
        <v>11458</v>
      </c>
    </row>
    <row r="2077" customFormat="false" ht="13.8" hidden="false" customHeight="false" outlineLevel="0" collapsed="false">
      <c r="A2077" s="1" t="n">
        <v>2076</v>
      </c>
      <c r="B2077" s="2" t="s">
        <v>11459</v>
      </c>
      <c r="C2077" s="1" t="n">
        <v>5</v>
      </c>
      <c r="D2077" s="1" t="n">
        <v>6</v>
      </c>
      <c r="E2077" s="1" t="n">
        <v>12</v>
      </c>
      <c r="F2077" s="1" t="n">
        <v>15</v>
      </c>
      <c r="G2077" s="1" t="n">
        <v>22</v>
      </c>
      <c r="H2077" s="1" t="n">
        <v>43</v>
      </c>
      <c r="I2077" s="1" t="str">
        <f aca="false">RIGHT(("0"&amp;C2077),2)&amp;RIGHT(("0"&amp;D2077),2)&amp;RIGHT(("0"&amp;E2077),2)&amp;RIGHT(("0"&amp;F2077),2)&amp;RIGHT(("0"&amp;G2077),2)&amp;RIGHT(("0"&amp;H2077),2)</f>
        <v>050612152243</v>
      </c>
      <c r="J2077" s="1" t="n">
        <f aca="false">COUNTIF(I:I,I2077)</f>
        <v>1</v>
      </c>
      <c r="K2077" s="1" t="n">
        <v>0</v>
      </c>
      <c r="M2077" s="1" t="s">
        <v>23</v>
      </c>
      <c r="N2077" s="1" t="n">
        <v>86</v>
      </c>
      <c r="O2077" s="1" t="s">
        <v>11460</v>
      </c>
      <c r="P2077" s="1" t="n">
        <v>5364</v>
      </c>
      <c r="Q2077" s="1" t="s">
        <v>11461</v>
      </c>
      <c r="R2077" s="1" t="s">
        <v>11462</v>
      </c>
      <c r="S2077" s="1" t="s">
        <v>11463</v>
      </c>
      <c r="T2077" s="1" t="s">
        <v>5242</v>
      </c>
      <c r="U2077" s="1" t="s">
        <v>11464</v>
      </c>
    </row>
    <row r="2078" customFormat="false" ht="13.8" hidden="false" customHeight="false" outlineLevel="0" collapsed="false">
      <c r="A2078" s="1" t="n">
        <v>2077</v>
      </c>
      <c r="B2078" s="2" t="s">
        <v>11465</v>
      </c>
      <c r="C2078" s="1" t="n">
        <v>13</v>
      </c>
      <c r="D2078" s="1" t="n">
        <v>16</v>
      </c>
      <c r="E2078" s="1" t="n">
        <v>26</v>
      </c>
      <c r="F2078" s="1" t="n">
        <v>35</v>
      </c>
      <c r="G2078" s="1" t="n">
        <v>37</v>
      </c>
      <c r="H2078" s="1" t="n">
        <v>39</v>
      </c>
      <c r="I2078" s="1" t="str">
        <f aca="false">RIGHT(("0"&amp;C2078),2)&amp;RIGHT(("0"&amp;D2078),2)&amp;RIGHT(("0"&amp;E2078),2)&amp;RIGHT(("0"&amp;F2078),2)&amp;RIGHT(("0"&amp;G2078),2)&amp;RIGHT(("0"&amp;H2078),2)</f>
        <v>131626353739</v>
      </c>
      <c r="J2078" s="1" t="n">
        <f aca="false">COUNTIF(I:I,I2078)</f>
        <v>1</v>
      </c>
      <c r="K2078" s="1" t="n">
        <v>1</v>
      </c>
      <c r="L2078" s="1" t="s">
        <v>11466</v>
      </c>
      <c r="M2078" s="1" t="s">
        <v>11467</v>
      </c>
      <c r="N2078" s="1" t="n">
        <v>117</v>
      </c>
      <c r="O2078" s="1" t="s">
        <v>11468</v>
      </c>
      <c r="P2078" s="1" t="n">
        <v>6080</v>
      </c>
      <c r="Q2078" s="1" t="s">
        <v>11469</v>
      </c>
      <c r="R2078" s="1" t="s">
        <v>23</v>
      </c>
      <c r="S2078" s="1" t="s">
        <v>11470</v>
      </c>
      <c r="T2078" s="1" t="s">
        <v>4256</v>
      </c>
      <c r="U2078" s="1" t="s">
        <v>11471</v>
      </c>
    </row>
    <row r="2079" customFormat="false" ht="13.8" hidden="false" customHeight="false" outlineLevel="0" collapsed="false">
      <c r="A2079" s="1" t="n">
        <v>2078</v>
      </c>
      <c r="B2079" s="2" t="s">
        <v>11472</v>
      </c>
      <c r="C2079" s="1" t="n">
        <v>2</v>
      </c>
      <c r="D2079" s="1" t="n">
        <v>11</v>
      </c>
      <c r="E2079" s="1" t="n">
        <v>15</v>
      </c>
      <c r="F2079" s="1" t="n">
        <v>30</v>
      </c>
      <c r="G2079" s="1" t="n">
        <v>36</v>
      </c>
      <c r="H2079" s="1" t="n">
        <v>39</v>
      </c>
      <c r="I2079" s="1" t="str">
        <f aca="false">RIGHT(("0"&amp;C2079),2)&amp;RIGHT(("0"&amp;D2079),2)&amp;RIGHT(("0"&amp;E2079),2)&amp;RIGHT(("0"&amp;F2079),2)&amp;RIGHT(("0"&amp;G2079),2)&amp;RIGHT(("0"&amp;H2079),2)</f>
        <v>021115303639</v>
      </c>
      <c r="J2079" s="1" t="n">
        <f aca="false">COUNTIF(I:I,I2079)</f>
        <v>1</v>
      </c>
      <c r="K2079" s="1" t="n">
        <v>0</v>
      </c>
      <c r="M2079" s="1" t="s">
        <v>23</v>
      </c>
      <c r="N2079" s="1" t="n">
        <v>26</v>
      </c>
      <c r="O2079" s="1" t="s">
        <v>11473</v>
      </c>
      <c r="P2079" s="1" t="n">
        <v>2715</v>
      </c>
      <c r="Q2079" s="1" t="s">
        <v>11474</v>
      </c>
      <c r="R2079" s="1" t="s">
        <v>11475</v>
      </c>
      <c r="S2079" s="1" t="s">
        <v>11476</v>
      </c>
      <c r="T2079" s="1" t="s">
        <v>4227</v>
      </c>
      <c r="U2079" s="1" t="s">
        <v>11477</v>
      </c>
    </row>
    <row r="2080" customFormat="false" ht="13.8" hidden="false" customHeight="false" outlineLevel="0" collapsed="false">
      <c r="A2080" s="1" t="n">
        <v>2079</v>
      </c>
      <c r="B2080" s="2" t="s">
        <v>11478</v>
      </c>
      <c r="C2080" s="1" t="n">
        <v>1</v>
      </c>
      <c r="D2080" s="1" t="n">
        <v>2</v>
      </c>
      <c r="E2080" s="1" t="n">
        <v>14</v>
      </c>
      <c r="F2080" s="1" t="n">
        <v>37</v>
      </c>
      <c r="G2080" s="1" t="n">
        <v>55</v>
      </c>
      <c r="H2080" s="1" t="n">
        <v>58</v>
      </c>
      <c r="I2080" s="1" t="str">
        <f aca="false">RIGHT(("0"&amp;C2080),2)&amp;RIGHT(("0"&amp;D2080),2)&amp;RIGHT(("0"&amp;E2080),2)&amp;RIGHT(("0"&amp;F2080),2)&amp;RIGHT(("0"&amp;G2080),2)&amp;RIGHT(("0"&amp;H2080),2)</f>
        <v>010214375558</v>
      </c>
      <c r="J2080" s="1" t="n">
        <f aca="false">COUNTIF(I:I,I2080)</f>
        <v>1</v>
      </c>
      <c r="K2080" s="1" t="n">
        <v>0</v>
      </c>
      <c r="M2080" s="1" t="s">
        <v>23</v>
      </c>
      <c r="N2080" s="1" t="n">
        <v>23</v>
      </c>
      <c r="O2080" s="1" t="s">
        <v>11479</v>
      </c>
      <c r="P2080" s="1" t="n">
        <v>1681</v>
      </c>
      <c r="Q2080" s="1" t="s">
        <v>11480</v>
      </c>
      <c r="R2080" s="1" t="s">
        <v>11481</v>
      </c>
      <c r="S2080" s="1" t="s">
        <v>11482</v>
      </c>
      <c r="T2080" s="1" t="s">
        <v>4208</v>
      </c>
      <c r="U2080" s="1" t="s">
        <v>11483</v>
      </c>
    </row>
    <row r="2081" customFormat="false" ht="13.8" hidden="false" customHeight="false" outlineLevel="0" collapsed="false">
      <c r="A2081" s="1" t="n">
        <v>2080</v>
      </c>
      <c r="B2081" s="2" t="s">
        <v>11484</v>
      </c>
      <c r="C2081" s="1" t="n">
        <v>10</v>
      </c>
      <c r="D2081" s="1" t="n">
        <v>22</v>
      </c>
      <c r="E2081" s="1" t="n">
        <v>40</v>
      </c>
      <c r="F2081" s="1" t="n">
        <v>46</v>
      </c>
      <c r="G2081" s="1" t="n">
        <v>55</v>
      </c>
      <c r="H2081" s="1" t="n">
        <v>58</v>
      </c>
      <c r="I2081" s="1" t="str">
        <f aca="false">RIGHT(("0"&amp;C2081),2)&amp;RIGHT(("0"&amp;D2081),2)&amp;RIGHT(("0"&amp;E2081),2)&amp;RIGHT(("0"&amp;F2081),2)&amp;RIGHT(("0"&amp;G2081),2)&amp;RIGHT(("0"&amp;H2081),2)</f>
        <v>102240465558</v>
      </c>
      <c r="J2081" s="1" t="n">
        <f aca="false">COUNTIF(I:I,I2081)</f>
        <v>1</v>
      </c>
      <c r="K2081" s="1" t="n">
        <v>0</v>
      </c>
      <c r="M2081" s="1" t="s">
        <v>23</v>
      </c>
      <c r="N2081" s="1" t="n">
        <v>38</v>
      </c>
      <c r="O2081" s="1" t="s">
        <v>11485</v>
      </c>
      <c r="P2081" s="1" t="n">
        <v>2892</v>
      </c>
      <c r="Q2081" s="1" t="s">
        <v>11486</v>
      </c>
      <c r="R2081" s="1" t="s">
        <v>11487</v>
      </c>
      <c r="S2081" s="1" t="s">
        <v>11488</v>
      </c>
      <c r="T2081" s="1" t="s">
        <v>4246</v>
      </c>
      <c r="U2081" s="1" t="s">
        <v>11489</v>
      </c>
    </row>
    <row r="2082" customFormat="false" ht="13.8" hidden="false" customHeight="false" outlineLevel="0" collapsed="false">
      <c r="A2082" s="1" t="n">
        <v>2081</v>
      </c>
      <c r="B2082" s="2" t="s">
        <v>11490</v>
      </c>
      <c r="C2082" s="1" t="n">
        <v>13</v>
      </c>
      <c r="D2082" s="1" t="n">
        <v>18</v>
      </c>
      <c r="E2082" s="1" t="n">
        <v>35</v>
      </c>
      <c r="F2082" s="1" t="n">
        <v>40</v>
      </c>
      <c r="G2082" s="1" t="n">
        <v>41</v>
      </c>
      <c r="H2082" s="1" t="n">
        <v>42</v>
      </c>
      <c r="I2082" s="1" t="str">
        <f aca="false">RIGHT(("0"&amp;C2082),2)&amp;RIGHT(("0"&amp;D2082),2)&amp;RIGHT(("0"&amp;E2082),2)&amp;RIGHT(("0"&amp;F2082),2)&amp;RIGHT(("0"&amp;G2082),2)&amp;RIGHT(("0"&amp;H2082),2)</f>
        <v>131835404142</v>
      </c>
      <c r="J2082" s="1" t="n">
        <f aca="false">COUNTIF(I:I,I2082)</f>
        <v>1</v>
      </c>
      <c r="K2082" s="1" t="n">
        <v>1</v>
      </c>
      <c r="L2082" s="1" t="s">
        <v>11491</v>
      </c>
      <c r="M2082" s="1" t="s">
        <v>11492</v>
      </c>
      <c r="N2082" s="1" t="n">
        <v>128</v>
      </c>
      <c r="O2082" s="1" t="s">
        <v>11493</v>
      </c>
      <c r="P2082" s="1" t="n">
        <v>4287</v>
      </c>
      <c r="Q2082" s="1" t="s">
        <v>11494</v>
      </c>
      <c r="R2082" s="1" t="s">
        <v>23</v>
      </c>
      <c r="S2082" s="1" t="s">
        <v>11495</v>
      </c>
      <c r="T2082" s="1" t="s">
        <v>4256</v>
      </c>
      <c r="U2082" s="1" t="s">
        <v>11496</v>
      </c>
    </row>
    <row r="2083" customFormat="false" ht="13.8" hidden="false" customHeight="false" outlineLevel="0" collapsed="false">
      <c r="A2083" s="1" t="n">
        <v>2082</v>
      </c>
      <c r="B2083" s="2" t="s">
        <v>11497</v>
      </c>
      <c r="C2083" s="1" t="n">
        <v>6</v>
      </c>
      <c r="D2083" s="1" t="n">
        <v>25</v>
      </c>
      <c r="E2083" s="1" t="n">
        <v>33</v>
      </c>
      <c r="F2083" s="1" t="n">
        <v>42</v>
      </c>
      <c r="G2083" s="1" t="n">
        <v>48</v>
      </c>
      <c r="H2083" s="1" t="n">
        <v>49</v>
      </c>
      <c r="I2083" s="1" t="str">
        <f aca="false">RIGHT(("0"&amp;C2083),2)&amp;RIGHT(("0"&amp;D2083),2)&amp;RIGHT(("0"&amp;E2083),2)&amp;RIGHT(("0"&amp;F2083),2)&amp;RIGHT(("0"&amp;G2083),2)&amp;RIGHT(("0"&amp;H2083),2)</f>
        <v>062533424849</v>
      </c>
      <c r="J2083" s="1" t="n">
        <f aca="false">COUNTIF(I:I,I2083)</f>
        <v>1</v>
      </c>
      <c r="K2083" s="1" t="n">
        <v>1</v>
      </c>
      <c r="L2083" s="1" t="s">
        <v>5572</v>
      </c>
      <c r="M2083" s="1" t="s">
        <v>11498</v>
      </c>
      <c r="N2083" s="1" t="n">
        <v>32</v>
      </c>
      <c r="O2083" s="1" t="s">
        <v>11499</v>
      </c>
      <c r="P2083" s="1" t="n">
        <v>2640</v>
      </c>
      <c r="Q2083" s="1" t="s">
        <v>11500</v>
      </c>
      <c r="R2083" s="1" t="s">
        <v>23</v>
      </c>
      <c r="S2083" s="1" t="s">
        <v>11501</v>
      </c>
      <c r="T2083" s="1" t="s">
        <v>473</v>
      </c>
      <c r="U2083" s="1" t="s">
        <v>11502</v>
      </c>
    </row>
    <row r="2084" customFormat="false" ht="13.8" hidden="false" customHeight="false" outlineLevel="0" collapsed="false">
      <c r="A2084" s="1" t="n">
        <v>2083</v>
      </c>
      <c r="B2084" s="2" t="s">
        <v>11503</v>
      </c>
      <c r="C2084" s="1" t="n">
        <v>1</v>
      </c>
      <c r="D2084" s="1" t="n">
        <v>18</v>
      </c>
      <c r="E2084" s="1" t="n">
        <v>19</v>
      </c>
      <c r="F2084" s="1" t="n">
        <v>33</v>
      </c>
      <c r="G2084" s="1" t="n">
        <v>56</v>
      </c>
      <c r="H2084" s="1" t="n">
        <v>60</v>
      </c>
      <c r="I2084" s="1" t="str">
        <f aca="false">RIGHT(("0"&amp;C2084),2)&amp;RIGHT(("0"&amp;D2084),2)&amp;RIGHT(("0"&amp;E2084),2)&amp;RIGHT(("0"&amp;F2084),2)&amp;RIGHT(("0"&amp;G2084),2)&amp;RIGHT(("0"&amp;H2084),2)</f>
        <v>011819335660</v>
      </c>
      <c r="J2084" s="1" t="n">
        <f aca="false">COUNTIF(I:I,I2084)</f>
        <v>1</v>
      </c>
      <c r="K2084" s="1" t="n">
        <v>0</v>
      </c>
      <c r="M2084" s="1" t="s">
        <v>23</v>
      </c>
      <c r="N2084" s="1" t="n">
        <v>80</v>
      </c>
      <c r="O2084" s="1" t="s">
        <v>11504</v>
      </c>
      <c r="P2084" s="1" t="n">
        <v>3935</v>
      </c>
      <c r="Q2084" s="1" t="s">
        <v>11505</v>
      </c>
      <c r="R2084" s="1" t="s">
        <v>11506</v>
      </c>
      <c r="S2084" s="1" t="s">
        <v>11507</v>
      </c>
      <c r="T2084" s="1" t="s">
        <v>4342</v>
      </c>
      <c r="U2084" s="1" t="s">
        <v>11508</v>
      </c>
    </row>
    <row r="2085" customFormat="false" ht="13.8" hidden="false" customHeight="false" outlineLevel="0" collapsed="false">
      <c r="A2085" s="1" t="n">
        <v>2084</v>
      </c>
      <c r="B2085" s="2" t="s">
        <v>11509</v>
      </c>
      <c r="C2085" s="1" t="n">
        <v>7</v>
      </c>
      <c r="D2085" s="1" t="n">
        <v>20</v>
      </c>
      <c r="E2085" s="1" t="n">
        <v>26</v>
      </c>
      <c r="F2085" s="1" t="n">
        <v>37</v>
      </c>
      <c r="G2085" s="1" t="n">
        <v>38</v>
      </c>
      <c r="H2085" s="1" t="n">
        <v>39</v>
      </c>
      <c r="I2085" s="1" t="str">
        <f aca="false">RIGHT(("0"&amp;C2085),2)&amp;RIGHT(("0"&amp;D2085),2)&amp;RIGHT(("0"&amp;E2085),2)&amp;RIGHT(("0"&amp;F2085),2)&amp;RIGHT(("0"&amp;G2085),2)&amp;RIGHT(("0"&amp;H2085),2)</f>
        <v>072026373839</v>
      </c>
      <c r="J2085" s="1" t="n">
        <f aca="false">COUNTIF(I:I,I2085)</f>
        <v>1</v>
      </c>
      <c r="K2085" s="1" t="n">
        <v>0</v>
      </c>
      <c r="M2085" s="1" t="s">
        <v>23</v>
      </c>
      <c r="N2085" s="1" t="n">
        <v>48</v>
      </c>
      <c r="O2085" s="1" t="s">
        <v>11510</v>
      </c>
      <c r="P2085" s="1" t="n">
        <v>2667</v>
      </c>
      <c r="Q2085" s="1" t="s">
        <v>11511</v>
      </c>
      <c r="R2085" s="1" t="s">
        <v>11512</v>
      </c>
      <c r="S2085" s="1" t="s">
        <v>11513</v>
      </c>
      <c r="T2085" s="1" t="s">
        <v>4691</v>
      </c>
      <c r="U2085" s="1" t="s">
        <v>11514</v>
      </c>
    </row>
    <row r="2086" customFormat="false" ht="13.8" hidden="false" customHeight="false" outlineLevel="0" collapsed="false">
      <c r="A2086" s="1" t="n">
        <v>2085</v>
      </c>
      <c r="B2086" s="2" t="s">
        <v>11515</v>
      </c>
      <c r="C2086" s="1" t="n">
        <v>12</v>
      </c>
      <c r="D2086" s="1" t="n">
        <v>21</v>
      </c>
      <c r="E2086" s="1" t="n">
        <v>25</v>
      </c>
      <c r="F2086" s="1" t="n">
        <v>37</v>
      </c>
      <c r="G2086" s="1" t="n">
        <v>38</v>
      </c>
      <c r="H2086" s="1" t="n">
        <v>49</v>
      </c>
      <c r="I2086" s="1" t="str">
        <f aca="false">RIGHT(("0"&amp;C2086),2)&amp;RIGHT(("0"&amp;D2086),2)&amp;RIGHT(("0"&amp;E2086),2)&amp;RIGHT(("0"&amp;F2086),2)&amp;RIGHT(("0"&amp;G2086),2)&amp;RIGHT(("0"&amp;H2086),2)</f>
        <v>122125373849</v>
      </c>
      <c r="J2086" s="1" t="n">
        <f aca="false">COUNTIF(I:I,I2086)</f>
        <v>1</v>
      </c>
      <c r="K2086" s="1" t="n">
        <v>0</v>
      </c>
      <c r="M2086" s="1" t="s">
        <v>23</v>
      </c>
      <c r="N2086" s="1" t="n">
        <v>64</v>
      </c>
      <c r="O2086" s="1" t="s">
        <v>11516</v>
      </c>
      <c r="P2086" s="1" t="n">
        <v>4786</v>
      </c>
      <c r="Q2086" s="1" t="s">
        <v>11517</v>
      </c>
      <c r="R2086" s="1" t="s">
        <v>11518</v>
      </c>
      <c r="S2086" s="1" t="s">
        <v>11519</v>
      </c>
      <c r="T2086" s="1" t="s">
        <v>4696</v>
      </c>
      <c r="U2086" s="1" t="s">
        <v>11520</v>
      </c>
    </row>
    <row r="2087" customFormat="false" ht="13.8" hidden="false" customHeight="false" outlineLevel="0" collapsed="false">
      <c r="A2087" s="1" t="n">
        <v>2086</v>
      </c>
      <c r="B2087" s="2" t="s">
        <v>11521</v>
      </c>
      <c r="C2087" s="1" t="n">
        <v>4</v>
      </c>
      <c r="D2087" s="1" t="n">
        <v>35</v>
      </c>
      <c r="E2087" s="1" t="n">
        <v>43</v>
      </c>
      <c r="F2087" s="1" t="n">
        <v>46</v>
      </c>
      <c r="G2087" s="1" t="n">
        <v>47</v>
      </c>
      <c r="H2087" s="1" t="n">
        <v>53</v>
      </c>
      <c r="I2087" s="1" t="str">
        <f aca="false">RIGHT(("0"&amp;C2087),2)&amp;RIGHT(("0"&amp;D2087),2)&amp;RIGHT(("0"&amp;E2087),2)&amp;RIGHT(("0"&amp;F2087),2)&amp;RIGHT(("0"&amp;G2087),2)&amp;RIGHT(("0"&amp;H2087),2)</f>
        <v>043543464753</v>
      </c>
      <c r="J2087" s="1" t="n">
        <f aca="false">COUNTIF(I:I,I2087)</f>
        <v>1</v>
      </c>
      <c r="K2087" s="1" t="n">
        <v>0</v>
      </c>
      <c r="M2087" s="1" t="s">
        <v>23</v>
      </c>
      <c r="N2087" s="1" t="n">
        <v>33</v>
      </c>
      <c r="O2087" s="1" t="s">
        <v>11522</v>
      </c>
      <c r="P2087" s="1" t="n">
        <v>4355</v>
      </c>
      <c r="Q2087" s="1" t="s">
        <v>11523</v>
      </c>
      <c r="R2087" s="1" t="s">
        <v>11524</v>
      </c>
      <c r="S2087" s="1" t="s">
        <v>11525</v>
      </c>
      <c r="T2087" s="1" t="s">
        <v>5281</v>
      </c>
      <c r="U2087" s="1" t="s">
        <v>11526</v>
      </c>
    </row>
    <row r="2088" customFormat="false" ht="13.8" hidden="false" customHeight="false" outlineLevel="0" collapsed="false">
      <c r="A2088" s="1" t="n">
        <v>2087</v>
      </c>
      <c r="B2088" s="2" t="s">
        <v>11527</v>
      </c>
      <c r="C2088" s="1" t="n">
        <v>2</v>
      </c>
      <c r="D2088" s="1" t="n">
        <v>18</v>
      </c>
      <c r="E2088" s="1" t="n">
        <v>19</v>
      </c>
      <c r="F2088" s="1" t="n">
        <v>23</v>
      </c>
      <c r="G2088" s="1" t="n">
        <v>34</v>
      </c>
      <c r="H2088" s="1" t="n">
        <v>53</v>
      </c>
      <c r="I2088" s="1" t="str">
        <f aca="false">RIGHT(("0"&amp;C2088),2)&amp;RIGHT(("0"&amp;D2088),2)&amp;RIGHT(("0"&amp;E2088),2)&amp;RIGHT(("0"&amp;F2088),2)&amp;RIGHT(("0"&amp;G2088),2)&amp;RIGHT(("0"&amp;H2088),2)</f>
        <v>021819233453</v>
      </c>
      <c r="J2088" s="1" t="n">
        <f aca="false">COUNTIF(I:I,I2088)</f>
        <v>1</v>
      </c>
      <c r="K2088" s="1" t="n">
        <v>1</v>
      </c>
      <c r="L2088" s="1" t="s">
        <v>11528</v>
      </c>
      <c r="M2088" s="1" t="s">
        <v>11529</v>
      </c>
      <c r="N2088" s="1" t="n">
        <v>52</v>
      </c>
      <c r="O2088" s="1" t="s">
        <v>11530</v>
      </c>
      <c r="P2088" s="1" t="n">
        <v>4898</v>
      </c>
      <c r="Q2088" s="1" t="s">
        <v>11531</v>
      </c>
      <c r="R2088" s="1" t="s">
        <v>23</v>
      </c>
      <c r="S2088" s="1" t="s">
        <v>11532</v>
      </c>
      <c r="T2088" s="1" t="s">
        <v>4256</v>
      </c>
      <c r="U2088" s="1" t="s">
        <v>11533</v>
      </c>
    </row>
    <row r="2089" customFormat="false" ht="13.8" hidden="false" customHeight="false" outlineLevel="0" collapsed="false">
      <c r="A2089" s="1" t="n">
        <v>2088</v>
      </c>
      <c r="B2089" s="2" t="s">
        <v>11534</v>
      </c>
      <c r="C2089" s="1" t="n">
        <v>3</v>
      </c>
      <c r="D2089" s="1" t="n">
        <v>14</v>
      </c>
      <c r="E2089" s="1" t="n">
        <v>24</v>
      </c>
      <c r="F2089" s="1" t="n">
        <v>27</v>
      </c>
      <c r="G2089" s="1" t="n">
        <v>38</v>
      </c>
      <c r="H2089" s="1" t="n">
        <v>56</v>
      </c>
      <c r="I2089" s="1" t="str">
        <f aca="false">RIGHT(("0"&amp;C2089),2)&amp;RIGHT(("0"&amp;D2089),2)&amp;RIGHT(("0"&amp;E2089),2)&amp;RIGHT(("0"&amp;F2089),2)&amp;RIGHT(("0"&amp;G2089),2)&amp;RIGHT(("0"&amp;H2089),2)</f>
        <v>031424273856</v>
      </c>
      <c r="J2089" s="1" t="n">
        <f aca="false">COUNTIF(I:I,I2089)</f>
        <v>1</v>
      </c>
      <c r="K2089" s="1" t="n">
        <v>1</v>
      </c>
      <c r="L2089" s="1" t="s">
        <v>11535</v>
      </c>
      <c r="M2089" s="1" t="s">
        <v>11536</v>
      </c>
      <c r="N2089" s="1" t="n">
        <v>56</v>
      </c>
      <c r="O2089" s="1" t="s">
        <v>11537</v>
      </c>
      <c r="P2089" s="1" t="n">
        <v>3262</v>
      </c>
      <c r="Q2089" s="1" t="s">
        <v>11538</v>
      </c>
      <c r="R2089" s="1" t="s">
        <v>23</v>
      </c>
      <c r="S2089" s="1" t="s">
        <v>11539</v>
      </c>
      <c r="T2089" s="1" t="s">
        <v>473</v>
      </c>
      <c r="U2089" s="1" t="s">
        <v>11540</v>
      </c>
    </row>
    <row r="2090" customFormat="false" ht="13.8" hidden="false" customHeight="false" outlineLevel="0" collapsed="false">
      <c r="A2090" s="1" t="n">
        <v>2089</v>
      </c>
      <c r="B2090" s="2" t="s">
        <v>11541</v>
      </c>
      <c r="C2090" s="1" t="n">
        <v>5</v>
      </c>
      <c r="D2090" s="1" t="n">
        <v>10</v>
      </c>
      <c r="E2090" s="1" t="n">
        <v>32</v>
      </c>
      <c r="F2090" s="1" t="n">
        <v>38</v>
      </c>
      <c r="G2090" s="1" t="n">
        <v>48</v>
      </c>
      <c r="H2090" s="1" t="n">
        <v>49</v>
      </c>
      <c r="I2090" s="1" t="str">
        <f aca="false">RIGHT(("0"&amp;C2090),2)&amp;RIGHT(("0"&amp;D2090),2)&amp;RIGHT(("0"&amp;E2090),2)&amp;RIGHT(("0"&amp;F2090),2)&amp;RIGHT(("0"&amp;G2090),2)&amp;RIGHT(("0"&amp;H2090),2)</f>
        <v>051032384849</v>
      </c>
      <c r="J2090" s="1" t="n">
        <f aca="false">COUNTIF(I:I,I2090)</f>
        <v>1</v>
      </c>
      <c r="K2090" s="1" t="n">
        <v>0</v>
      </c>
      <c r="M2090" s="1" t="s">
        <v>23</v>
      </c>
      <c r="N2090" s="1" t="n">
        <v>29</v>
      </c>
      <c r="O2090" s="1" t="s">
        <v>11542</v>
      </c>
      <c r="P2090" s="1" t="n">
        <v>2665</v>
      </c>
      <c r="Q2090" s="1" t="s">
        <v>11543</v>
      </c>
      <c r="R2090" s="1" t="s">
        <v>11544</v>
      </c>
      <c r="S2090" s="1" t="s">
        <v>11545</v>
      </c>
      <c r="T2090" s="1" t="s">
        <v>4241</v>
      </c>
      <c r="U2090" s="1" t="s">
        <v>11546</v>
      </c>
    </row>
    <row r="2091" customFormat="false" ht="13.8" hidden="false" customHeight="false" outlineLevel="0" collapsed="false">
      <c r="A2091" s="1" t="n">
        <v>2090</v>
      </c>
      <c r="B2091" s="2" t="s">
        <v>11547</v>
      </c>
      <c r="C2091" s="1" t="n">
        <v>8</v>
      </c>
      <c r="D2091" s="1" t="n">
        <v>11</v>
      </c>
      <c r="E2091" s="1" t="n">
        <v>18</v>
      </c>
      <c r="F2091" s="1" t="n">
        <v>37</v>
      </c>
      <c r="G2091" s="1" t="n">
        <v>40</v>
      </c>
      <c r="H2091" s="1" t="n">
        <v>51</v>
      </c>
      <c r="I2091" s="1" t="str">
        <f aca="false">RIGHT(("0"&amp;C2091),2)&amp;RIGHT(("0"&amp;D2091),2)&amp;RIGHT(("0"&amp;E2091),2)&amp;RIGHT(("0"&amp;F2091),2)&amp;RIGHT(("0"&amp;G2091),2)&amp;RIGHT(("0"&amp;H2091),2)</f>
        <v>081118374051</v>
      </c>
      <c r="J2091" s="1" t="n">
        <f aca="false">COUNTIF(I:I,I2091)</f>
        <v>1</v>
      </c>
      <c r="K2091" s="1" t="n">
        <v>0</v>
      </c>
      <c r="M2091" s="1" t="s">
        <v>23</v>
      </c>
      <c r="N2091" s="1" t="n">
        <v>43</v>
      </c>
      <c r="O2091" s="1" t="s">
        <v>11548</v>
      </c>
      <c r="P2091" s="1" t="n">
        <v>2659</v>
      </c>
      <c r="Q2091" s="1" t="s">
        <v>11549</v>
      </c>
      <c r="R2091" s="1" t="s">
        <v>11550</v>
      </c>
      <c r="S2091" s="1" t="s">
        <v>11551</v>
      </c>
      <c r="T2091" s="1" t="s">
        <v>4273</v>
      </c>
      <c r="U2091" s="1" t="s">
        <v>11552</v>
      </c>
    </row>
    <row r="2092" customFormat="false" ht="13.8" hidden="false" customHeight="false" outlineLevel="0" collapsed="false">
      <c r="A2092" s="1" t="n">
        <v>2091</v>
      </c>
      <c r="B2092" s="2" t="s">
        <v>11553</v>
      </c>
      <c r="C2092" s="1" t="n">
        <v>10</v>
      </c>
      <c r="D2092" s="1" t="n">
        <v>11</v>
      </c>
      <c r="E2092" s="1" t="n">
        <v>12</v>
      </c>
      <c r="F2092" s="1" t="n">
        <v>37</v>
      </c>
      <c r="G2092" s="1" t="n">
        <v>38</v>
      </c>
      <c r="H2092" s="1" t="n">
        <v>59</v>
      </c>
      <c r="I2092" s="1" t="str">
        <f aca="false">RIGHT(("0"&amp;C2092),2)&amp;RIGHT(("0"&amp;D2092),2)&amp;RIGHT(("0"&amp;E2092),2)&amp;RIGHT(("0"&amp;F2092),2)&amp;RIGHT(("0"&amp;G2092),2)&amp;RIGHT(("0"&amp;H2092),2)</f>
        <v>101112373859</v>
      </c>
      <c r="J2092" s="1" t="n">
        <f aca="false">COUNTIF(I:I,I2092)</f>
        <v>1</v>
      </c>
      <c r="K2092" s="1" t="n">
        <v>1</v>
      </c>
      <c r="L2092" s="1" t="s">
        <v>8479</v>
      </c>
      <c r="M2092" s="1" t="s">
        <v>11554</v>
      </c>
      <c r="N2092" s="1" t="n">
        <v>75</v>
      </c>
      <c r="O2092" s="1" t="s">
        <v>11555</v>
      </c>
      <c r="P2092" s="1" t="n">
        <v>3855</v>
      </c>
      <c r="Q2092" s="1" t="s">
        <v>11556</v>
      </c>
      <c r="R2092" s="1" t="s">
        <v>23</v>
      </c>
      <c r="S2092" s="1" t="s">
        <v>11557</v>
      </c>
      <c r="T2092" s="1" t="s">
        <v>4256</v>
      </c>
      <c r="U2092" s="1" t="s">
        <v>11558</v>
      </c>
    </row>
    <row r="2093" customFormat="false" ht="13.8" hidden="false" customHeight="false" outlineLevel="0" collapsed="false">
      <c r="A2093" s="1" t="n">
        <v>2092</v>
      </c>
      <c r="B2093" s="2" t="s">
        <v>11559</v>
      </c>
      <c r="C2093" s="1" t="n">
        <v>11</v>
      </c>
      <c r="D2093" s="1" t="n">
        <v>13</v>
      </c>
      <c r="E2093" s="1" t="n">
        <v>15</v>
      </c>
      <c r="F2093" s="1" t="n">
        <v>17</v>
      </c>
      <c r="G2093" s="1" t="n">
        <v>22</v>
      </c>
      <c r="H2093" s="1" t="n">
        <v>27</v>
      </c>
      <c r="I2093" s="1" t="str">
        <f aca="false">RIGHT(("0"&amp;C2093),2)&amp;RIGHT(("0"&amp;D2093),2)&amp;RIGHT(("0"&amp;E2093),2)&amp;RIGHT(("0"&amp;F2093),2)&amp;RIGHT(("0"&amp;G2093),2)&amp;RIGHT(("0"&amp;H2093),2)</f>
        <v>111315172227</v>
      </c>
      <c r="J2093" s="1" t="n">
        <f aca="false">COUNTIF(I:I,I2093)</f>
        <v>1</v>
      </c>
      <c r="K2093" s="1" t="n">
        <v>0</v>
      </c>
      <c r="M2093" s="1" t="s">
        <v>23</v>
      </c>
      <c r="N2093" s="1" t="n">
        <v>175</v>
      </c>
      <c r="O2093" s="1" t="s">
        <v>11560</v>
      </c>
      <c r="P2093" s="1" t="n">
        <v>6609</v>
      </c>
      <c r="Q2093" s="1" t="s">
        <v>11561</v>
      </c>
      <c r="R2093" s="1" t="s">
        <v>11562</v>
      </c>
      <c r="S2093" s="1" t="s">
        <v>11563</v>
      </c>
      <c r="T2093" s="1" t="s">
        <v>7089</v>
      </c>
      <c r="U2093" s="1" t="s">
        <v>11564</v>
      </c>
    </row>
    <row r="2094" customFormat="false" ht="13.8" hidden="false" customHeight="false" outlineLevel="0" collapsed="false">
      <c r="A2094" s="1" t="n">
        <v>2093</v>
      </c>
      <c r="B2094" s="2" t="s">
        <v>11565</v>
      </c>
      <c r="C2094" s="1" t="n">
        <v>8</v>
      </c>
      <c r="D2094" s="1" t="n">
        <v>14</v>
      </c>
      <c r="E2094" s="1" t="n">
        <v>27</v>
      </c>
      <c r="F2094" s="1" t="n">
        <v>34</v>
      </c>
      <c r="G2094" s="1" t="n">
        <v>52</v>
      </c>
      <c r="H2094" s="1" t="n">
        <v>54</v>
      </c>
      <c r="I2094" s="1" t="str">
        <f aca="false">RIGHT(("0"&amp;C2094),2)&amp;RIGHT(("0"&amp;D2094),2)&amp;RIGHT(("0"&amp;E2094),2)&amp;RIGHT(("0"&amp;F2094),2)&amp;RIGHT(("0"&amp;G2094),2)&amp;RIGHT(("0"&amp;H2094),2)</f>
        <v>081427345254</v>
      </c>
      <c r="J2094" s="1" t="n">
        <f aca="false">COUNTIF(I:I,I2094)</f>
        <v>1</v>
      </c>
      <c r="K2094" s="1" t="n">
        <v>0</v>
      </c>
      <c r="M2094" s="1" t="s">
        <v>23</v>
      </c>
      <c r="N2094" s="1" t="n">
        <v>46</v>
      </c>
      <c r="O2094" s="1" t="s">
        <v>11566</v>
      </c>
      <c r="P2094" s="1" t="n">
        <v>3177</v>
      </c>
      <c r="Q2094" s="1" t="s">
        <v>11567</v>
      </c>
      <c r="R2094" s="1" t="s">
        <v>11568</v>
      </c>
      <c r="S2094" s="1" t="s">
        <v>11569</v>
      </c>
      <c r="T2094" s="1" t="s">
        <v>4195</v>
      </c>
      <c r="U2094" s="1" t="s">
        <v>11570</v>
      </c>
    </row>
    <row r="2095" customFormat="false" ht="13.8" hidden="false" customHeight="false" outlineLevel="0" collapsed="false">
      <c r="A2095" s="1" t="n">
        <v>2094</v>
      </c>
      <c r="B2095" s="2" t="s">
        <v>11571</v>
      </c>
      <c r="C2095" s="1" t="n">
        <v>4</v>
      </c>
      <c r="D2095" s="1" t="n">
        <v>16</v>
      </c>
      <c r="E2095" s="1" t="n">
        <v>19</v>
      </c>
      <c r="F2095" s="1" t="n">
        <v>31</v>
      </c>
      <c r="G2095" s="1" t="n">
        <v>33</v>
      </c>
      <c r="H2095" s="1" t="n">
        <v>44</v>
      </c>
      <c r="I2095" s="1" t="str">
        <f aca="false">RIGHT(("0"&amp;C2095),2)&amp;RIGHT(("0"&amp;D2095),2)&amp;RIGHT(("0"&amp;E2095),2)&amp;RIGHT(("0"&amp;F2095),2)&amp;RIGHT(("0"&amp;G2095),2)&amp;RIGHT(("0"&amp;H2095),2)</f>
        <v>041619313344</v>
      </c>
      <c r="J2095" s="1" t="n">
        <f aca="false">COUNTIF(I:I,I2095)</f>
        <v>1</v>
      </c>
      <c r="K2095" s="1" t="n">
        <v>0</v>
      </c>
      <c r="M2095" s="1" t="s">
        <v>23</v>
      </c>
      <c r="N2095" s="1" t="n">
        <v>66</v>
      </c>
      <c r="O2095" s="1" t="s">
        <v>11572</v>
      </c>
      <c r="P2095" s="1" t="n">
        <v>4528</v>
      </c>
      <c r="Q2095" s="1" t="s">
        <v>11573</v>
      </c>
      <c r="R2095" s="1" t="s">
        <v>11574</v>
      </c>
      <c r="S2095" s="1" t="s">
        <v>11575</v>
      </c>
      <c r="T2095" s="1" t="s">
        <v>4246</v>
      </c>
      <c r="U2095" s="1" t="s">
        <v>11576</v>
      </c>
    </row>
    <row r="2096" customFormat="false" ht="13.8" hidden="false" customHeight="false" outlineLevel="0" collapsed="false">
      <c r="A2096" s="1" t="n">
        <v>2095</v>
      </c>
      <c r="B2096" s="2" t="s">
        <v>11577</v>
      </c>
      <c r="C2096" s="1" t="n">
        <v>16</v>
      </c>
      <c r="D2096" s="1" t="n">
        <v>29</v>
      </c>
      <c r="E2096" s="1" t="n">
        <v>35</v>
      </c>
      <c r="F2096" s="1" t="n">
        <v>43</v>
      </c>
      <c r="G2096" s="1" t="n">
        <v>49</v>
      </c>
      <c r="H2096" s="1" t="n">
        <v>56</v>
      </c>
      <c r="I2096" s="1" t="str">
        <f aca="false">RIGHT(("0"&amp;C2096),2)&amp;RIGHT(("0"&amp;D2096),2)&amp;RIGHT(("0"&amp;E2096),2)&amp;RIGHT(("0"&amp;F2096),2)&amp;RIGHT(("0"&amp;G2096),2)&amp;RIGHT(("0"&amp;H2096),2)</f>
        <v>162935434956</v>
      </c>
      <c r="J2096" s="1" t="n">
        <f aca="false">COUNTIF(I:I,I2096)</f>
        <v>1</v>
      </c>
      <c r="K2096" s="1" t="n">
        <v>0</v>
      </c>
      <c r="M2096" s="1" t="s">
        <v>23</v>
      </c>
      <c r="N2096" s="1" t="n">
        <v>78</v>
      </c>
      <c r="O2096" s="1" t="s">
        <v>11578</v>
      </c>
      <c r="P2096" s="1" t="n">
        <v>4637</v>
      </c>
      <c r="Q2096" s="1" t="s">
        <v>6699</v>
      </c>
      <c r="R2096" s="1" t="s">
        <v>11579</v>
      </c>
      <c r="S2096" s="1" t="s">
        <v>11580</v>
      </c>
      <c r="T2096" s="1" t="s">
        <v>5281</v>
      </c>
      <c r="U2096" s="1" t="s">
        <v>11581</v>
      </c>
    </row>
    <row r="2097" customFormat="false" ht="13.8" hidden="false" customHeight="false" outlineLevel="0" collapsed="false">
      <c r="A2097" s="1" t="n">
        <v>2096</v>
      </c>
      <c r="B2097" s="2" t="s">
        <v>11582</v>
      </c>
      <c r="C2097" s="1" t="n">
        <v>6</v>
      </c>
      <c r="D2097" s="1" t="n">
        <v>11</v>
      </c>
      <c r="E2097" s="1" t="n">
        <v>13</v>
      </c>
      <c r="F2097" s="1" t="n">
        <v>19</v>
      </c>
      <c r="G2097" s="1" t="n">
        <v>24</v>
      </c>
      <c r="H2097" s="1" t="n">
        <v>51</v>
      </c>
      <c r="I2097" s="1" t="str">
        <f aca="false">RIGHT(("0"&amp;C2097),2)&amp;RIGHT(("0"&amp;D2097),2)&amp;RIGHT(("0"&amp;E2097),2)&amp;RIGHT(("0"&amp;F2097),2)&amp;RIGHT(("0"&amp;G2097),2)&amp;RIGHT(("0"&amp;H2097),2)</f>
        <v>061113192451</v>
      </c>
      <c r="J2097" s="1" t="n">
        <f aca="false">COUNTIF(I:I,I2097)</f>
        <v>1</v>
      </c>
      <c r="K2097" s="1" t="n">
        <v>0</v>
      </c>
      <c r="M2097" s="1" t="s">
        <v>23</v>
      </c>
      <c r="N2097" s="1" t="n">
        <v>185</v>
      </c>
      <c r="O2097" s="1" t="s">
        <v>11583</v>
      </c>
      <c r="P2097" s="1" t="n">
        <v>10842</v>
      </c>
      <c r="Q2097" s="1" t="s">
        <v>11584</v>
      </c>
      <c r="R2097" s="1" t="s">
        <v>11585</v>
      </c>
      <c r="S2097" s="1" t="s">
        <v>11586</v>
      </c>
      <c r="T2097" s="1" t="s">
        <v>4304</v>
      </c>
      <c r="U2097" s="1" t="s">
        <v>11587</v>
      </c>
    </row>
    <row r="2098" customFormat="false" ht="13.8" hidden="false" customHeight="false" outlineLevel="0" collapsed="false">
      <c r="A2098" s="1" t="n">
        <v>2097</v>
      </c>
      <c r="B2098" s="2" t="s">
        <v>11588</v>
      </c>
      <c r="C2098" s="1" t="n">
        <v>9</v>
      </c>
      <c r="D2098" s="1" t="n">
        <v>24</v>
      </c>
      <c r="E2098" s="1" t="n">
        <v>28</v>
      </c>
      <c r="F2098" s="1" t="n">
        <v>45</v>
      </c>
      <c r="G2098" s="1" t="n">
        <v>49</v>
      </c>
      <c r="H2098" s="1" t="n">
        <v>51</v>
      </c>
      <c r="I2098" s="1" t="str">
        <f aca="false">RIGHT(("0"&amp;C2098),2)&amp;RIGHT(("0"&amp;D2098),2)&amp;RIGHT(("0"&amp;E2098),2)&amp;RIGHT(("0"&amp;F2098),2)&amp;RIGHT(("0"&amp;G2098),2)&amp;RIGHT(("0"&amp;H2098),2)</f>
        <v>092428454951</v>
      </c>
      <c r="J2098" s="1" t="n">
        <f aca="false">COUNTIF(I:I,I2098)</f>
        <v>1</v>
      </c>
      <c r="K2098" s="1" t="n">
        <v>0</v>
      </c>
      <c r="M2098" s="1" t="s">
        <v>23</v>
      </c>
      <c r="N2098" s="1" t="n">
        <v>113</v>
      </c>
      <c r="O2098" s="1" t="s">
        <v>11589</v>
      </c>
      <c r="P2098" s="1" t="n">
        <v>6422</v>
      </c>
      <c r="Q2098" s="1" t="s">
        <v>11590</v>
      </c>
      <c r="R2098" s="1" t="s">
        <v>11591</v>
      </c>
      <c r="S2098" s="1" t="s">
        <v>11592</v>
      </c>
      <c r="T2098" s="1" t="s">
        <v>6025</v>
      </c>
      <c r="U2098" s="1" t="s">
        <v>11593</v>
      </c>
    </row>
    <row r="2099" customFormat="false" ht="13.8" hidden="false" customHeight="false" outlineLevel="0" collapsed="false">
      <c r="A2099" s="1" t="n">
        <v>2098</v>
      </c>
      <c r="B2099" s="2" t="s">
        <v>11594</v>
      </c>
      <c r="C2099" s="1" t="n">
        <v>2</v>
      </c>
      <c r="D2099" s="1" t="n">
        <v>8</v>
      </c>
      <c r="E2099" s="1" t="n">
        <v>18</v>
      </c>
      <c r="F2099" s="1" t="n">
        <v>27</v>
      </c>
      <c r="G2099" s="1" t="n">
        <v>38</v>
      </c>
      <c r="H2099" s="1" t="n">
        <v>60</v>
      </c>
      <c r="I2099" s="1" t="str">
        <f aca="false">RIGHT(("0"&amp;C2099),2)&amp;RIGHT(("0"&amp;D2099),2)&amp;RIGHT(("0"&amp;E2099),2)&amp;RIGHT(("0"&amp;F2099),2)&amp;RIGHT(("0"&amp;G2099),2)&amp;RIGHT(("0"&amp;H2099),2)</f>
        <v>020818273860</v>
      </c>
      <c r="J2099" s="1" t="n">
        <f aca="false">COUNTIF(I:I,I2099)</f>
        <v>1</v>
      </c>
      <c r="K2099" s="1" t="n">
        <v>0</v>
      </c>
      <c r="M2099" s="1" t="s">
        <v>23</v>
      </c>
      <c r="N2099" s="1" t="n">
        <v>85</v>
      </c>
      <c r="O2099" s="1" t="s">
        <v>11595</v>
      </c>
      <c r="P2099" s="1" t="n">
        <v>6551</v>
      </c>
      <c r="Q2099" s="1" t="s">
        <v>11596</v>
      </c>
      <c r="R2099" s="1" t="s">
        <v>11597</v>
      </c>
      <c r="S2099" s="1" t="s">
        <v>11598</v>
      </c>
      <c r="T2099" s="1" t="s">
        <v>10980</v>
      </c>
      <c r="U2099" s="1" t="s">
        <v>11599</v>
      </c>
    </row>
    <row r="2100" customFormat="false" ht="13.8" hidden="false" customHeight="false" outlineLevel="0" collapsed="false">
      <c r="A2100" s="1" t="n">
        <v>2099</v>
      </c>
      <c r="B2100" s="2" t="s">
        <v>11600</v>
      </c>
      <c r="C2100" s="1" t="n">
        <v>5</v>
      </c>
      <c r="D2100" s="1" t="n">
        <v>15</v>
      </c>
      <c r="E2100" s="1" t="n">
        <v>20</v>
      </c>
      <c r="F2100" s="1" t="n">
        <v>27</v>
      </c>
      <c r="G2100" s="1" t="n">
        <v>30</v>
      </c>
      <c r="H2100" s="1" t="n">
        <v>58</v>
      </c>
      <c r="I2100" s="1" t="str">
        <f aca="false">RIGHT(("0"&amp;C2100),2)&amp;RIGHT(("0"&amp;D2100),2)&amp;RIGHT(("0"&amp;E2100),2)&amp;RIGHT(("0"&amp;F2100),2)&amp;RIGHT(("0"&amp;G2100),2)&amp;RIGHT(("0"&amp;H2100),2)</f>
        <v>051520273058</v>
      </c>
      <c r="J2100" s="1" t="n">
        <f aca="false">COUNTIF(I:I,I2100)</f>
        <v>1</v>
      </c>
      <c r="K2100" s="1" t="n">
        <v>0</v>
      </c>
      <c r="M2100" s="1" t="s">
        <v>23</v>
      </c>
      <c r="N2100" s="1" t="n">
        <v>97</v>
      </c>
      <c r="O2100" s="1" t="s">
        <v>11601</v>
      </c>
      <c r="P2100" s="1" t="n">
        <v>7549</v>
      </c>
      <c r="Q2100" s="1" t="s">
        <v>11602</v>
      </c>
      <c r="R2100" s="1" t="s">
        <v>11603</v>
      </c>
      <c r="S2100" s="1" t="s">
        <v>11604</v>
      </c>
      <c r="T2100" s="1" t="s">
        <v>5706</v>
      </c>
      <c r="U2100" s="1" t="s">
        <v>11605</v>
      </c>
    </row>
    <row r="2101" customFormat="false" ht="13.8" hidden="false" customHeight="false" outlineLevel="0" collapsed="false">
      <c r="A2101" s="1" t="n">
        <v>2100</v>
      </c>
      <c r="B2101" s="2" t="s">
        <v>11606</v>
      </c>
      <c r="C2101" s="1" t="n">
        <v>1</v>
      </c>
      <c r="D2101" s="1" t="n">
        <v>10</v>
      </c>
      <c r="E2101" s="1" t="n">
        <v>11</v>
      </c>
      <c r="F2101" s="1" t="n">
        <v>13</v>
      </c>
      <c r="G2101" s="1" t="n">
        <v>35</v>
      </c>
      <c r="H2101" s="1" t="n">
        <v>49</v>
      </c>
      <c r="I2101" s="1" t="str">
        <f aca="false">RIGHT(("0"&amp;C2101),2)&amp;RIGHT(("0"&amp;D2101),2)&amp;RIGHT(("0"&amp;E2101),2)&amp;RIGHT(("0"&amp;F2101),2)&amp;RIGHT(("0"&amp;G2101),2)&amp;RIGHT(("0"&amp;H2101),2)</f>
        <v>011011133549</v>
      </c>
      <c r="J2101" s="1" t="n">
        <f aca="false">COUNTIF(I:I,I2101)</f>
        <v>1</v>
      </c>
      <c r="K2101" s="1" t="n">
        <v>1</v>
      </c>
      <c r="L2101" s="1" t="s">
        <v>5213</v>
      </c>
      <c r="M2101" s="1" t="s">
        <v>11607</v>
      </c>
      <c r="N2101" s="1" t="n">
        <v>266</v>
      </c>
      <c r="O2101" s="1" t="s">
        <v>11608</v>
      </c>
      <c r="P2101" s="1" t="n">
        <v>15540</v>
      </c>
      <c r="Q2101" s="1" t="s">
        <v>11609</v>
      </c>
      <c r="R2101" s="1" t="s">
        <v>23</v>
      </c>
      <c r="S2101" s="1" t="s">
        <v>11610</v>
      </c>
      <c r="T2101" s="1" t="s">
        <v>473</v>
      </c>
      <c r="U2101" s="1" t="s">
        <v>11611</v>
      </c>
    </row>
    <row r="2102" customFormat="false" ht="13.8" hidden="false" customHeight="false" outlineLevel="0" collapsed="false">
      <c r="A2102" s="1" t="n">
        <v>2101</v>
      </c>
      <c r="B2102" s="2" t="s">
        <v>11612</v>
      </c>
      <c r="C2102" s="1" t="n">
        <v>2</v>
      </c>
      <c r="D2102" s="1" t="n">
        <v>8</v>
      </c>
      <c r="E2102" s="1" t="n">
        <v>18</v>
      </c>
      <c r="F2102" s="1" t="n">
        <v>37</v>
      </c>
      <c r="G2102" s="1" t="n">
        <v>56</v>
      </c>
      <c r="H2102" s="1" t="n">
        <v>58</v>
      </c>
      <c r="I2102" s="1" t="str">
        <f aca="false">RIGHT(("0"&amp;C2102),2)&amp;RIGHT(("0"&amp;D2102),2)&amp;RIGHT(("0"&amp;E2102),2)&amp;RIGHT(("0"&amp;F2102),2)&amp;RIGHT(("0"&amp;G2102),2)&amp;RIGHT(("0"&amp;H2102),2)</f>
        <v>020818375658</v>
      </c>
      <c r="J2102" s="1" t="n">
        <f aca="false">COUNTIF(I:I,I2102)</f>
        <v>1</v>
      </c>
      <c r="K2102" s="1" t="n">
        <v>0</v>
      </c>
      <c r="M2102" s="1" t="s">
        <v>23</v>
      </c>
      <c r="N2102" s="1" t="n">
        <v>61</v>
      </c>
      <c r="O2102" s="1" t="s">
        <v>11613</v>
      </c>
      <c r="P2102" s="1" t="n">
        <v>3852</v>
      </c>
      <c r="Q2102" s="1" t="s">
        <v>11614</v>
      </c>
      <c r="R2102" s="1" t="s">
        <v>11615</v>
      </c>
      <c r="S2102" s="1" t="s">
        <v>11616</v>
      </c>
      <c r="T2102" s="1" t="s">
        <v>4342</v>
      </c>
      <c r="U2102" s="1" t="s">
        <v>11617</v>
      </c>
    </row>
    <row r="2103" customFormat="false" ht="13.8" hidden="false" customHeight="false" outlineLevel="0" collapsed="false">
      <c r="A2103" s="1" t="n">
        <v>2102</v>
      </c>
      <c r="B2103" s="2" t="s">
        <v>11618</v>
      </c>
      <c r="C2103" s="1" t="n">
        <v>4</v>
      </c>
      <c r="D2103" s="1" t="n">
        <v>6</v>
      </c>
      <c r="E2103" s="1" t="n">
        <v>17</v>
      </c>
      <c r="F2103" s="1" t="n">
        <v>34</v>
      </c>
      <c r="G2103" s="1" t="n">
        <v>51</v>
      </c>
      <c r="H2103" s="1" t="n">
        <v>57</v>
      </c>
      <c r="I2103" s="1" t="str">
        <f aca="false">RIGHT(("0"&amp;C2103),2)&amp;RIGHT(("0"&amp;D2103),2)&amp;RIGHT(("0"&amp;E2103),2)&amp;RIGHT(("0"&amp;F2103),2)&amp;RIGHT(("0"&amp;G2103),2)&amp;RIGHT(("0"&amp;H2103),2)</f>
        <v>040617345157</v>
      </c>
      <c r="J2103" s="1" t="n">
        <f aca="false">COUNTIF(I:I,I2103)</f>
        <v>1</v>
      </c>
      <c r="K2103" s="1" t="n">
        <v>0</v>
      </c>
      <c r="M2103" s="1" t="s">
        <v>23</v>
      </c>
      <c r="N2103" s="1" t="n">
        <v>77</v>
      </c>
      <c r="O2103" s="1" t="s">
        <v>11619</v>
      </c>
      <c r="P2103" s="1" t="n">
        <v>4557</v>
      </c>
      <c r="Q2103" s="1" t="s">
        <v>11620</v>
      </c>
      <c r="R2103" s="1" t="s">
        <v>11621</v>
      </c>
      <c r="S2103" s="1" t="s">
        <v>11622</v>
      </c>
      <c r="T2103" s="1" t="s">
        <v>4195</v>
      </c>
      <c r="U2103" s="1" t="s">
        <v>11623</v>
      </c>
    </row>
    <row r="2104" customFormat="false" ht="13.8" hidden="false" customHeight="false" outlineLevel="0" collapsed="false">
      <c r="A2104" s="1" t="n">
        <v>2103</v>
      </c>
      <c r="B2104" s="2" t="s">
        <v>11624</v>
      </c>
      <c r="C2104" s="1" t="n">
        <v>3</v>
      </c>
      <c r="D2104" s="1" t="n">
        <v>13</v>
      </c>
      <c r="E2104" s="1" t="n">
        <v>40</v>
      </c>
      <c r="F2104" s="1" t="n">
        <v>44</v>
      </c>
      <c r="G2104" s="1" t="n">
        <v>46</v>
      </c>
      <c r="H2104" s="1" t="n">
        <v>50</v>
      </c>
      <c r="I2104" s="1" t="str">
        <f aca="false">RIGHT(("0"&amp;C2104),2)&amp;RIGHT(("0"&amp;D2104),2)&amp;RIGHT(("0"&amp;E2104),2)&amp;RIGHT(("0"&amp;F2104),2)&amp;RIGHT(("0"&amp;G2104),2)&amp;RIGHT(("0"&amp;H2104),2)</f>
        <v>031340444650</v>
      </c>
      <c r="J2104" s="1" t="n">
        <f aca="false">COUNTIF(I:I,I2104)</f>
        <v>1</v>
      </c>
      <c r="K2104" s="1" t="n">
        <v>0</v>
      </c>
      <c r="M2104" s="1" t="s">
        <v>23</v>
      </c>
      <c r="N2104" s="1" t="n">
        <v>40</v>
      </c>
      <c r="O2104" s="1" t="s">
        <v>11625</v>
      </c>
      <c r="P2104" s="1" t="n">
        <v>2226</v>
      </c>
      <c r="Q2104" s="1" t="s">
        <v>11626</v>
      </c>
      <c r="R2104" s="1" t="s">
        <v>11627</v>
      </c>
      <c r="S2104" s="1" t="s">
        <v>11628</v>
      </c>
      <c r="T2104" s="1" t="s">
        <v>3727</v>
      </c>
      <c r="U2104" s="1" t="s">
        <v>11629</v>
      </c>
    </row>
    <row r="2105" customFormat="false" ht="13.8" hidden="false" customHeight="false" outlineLevel="0" collapsed="false">
      <c r="A2105" s="1" t="n">
        <v>2104</v>
      </c>
      <c r="B2105" s="2" t="s">
        <v>11630</v>
      </c>
      <c r="C2105" s="1" t="n">
        <v>2</v>
      </c>
      <c r="D2105" s="1" t="n">
        <v>10</v>
      </c>
      <c r="E2105" s="1" t="n">
        <v>12</v>
      </c>
      <c r="F2105" s="1" t="n">
        <v>27</v>
      </c>
      <c r="G2105" s="1" t="n">
        <v>45</v>
      </c>
      <c r="H2105" s="1" t="n">
        <v>56</v>
      </c>
      <c r="I2105" s="1" t="str">
        <f aca="false">RIGHT(("0"&amp;C2105),2)&amp;RIGHT(("0"&amp;D2105),2)&amp;RIGHT(("0"&amp;E2105),2)&amp;RIGHT(("0"&amp;F2105),2)&amp;RIGHT(("0"&amp;G2105),2)&amp;RIGHT(("0"&amp;H2105),2)</f>
        <v>021012274556</v>
      </c>
      <c r="J2105" s="1" t="n">
        <f aca="false">COUNTIF(I:I,I2105)</f>
        <v>1</v>
      </c>
      <c r="K2105" s="1" t="n">
        <v>0</v>
      </c>
      <c r="M2105" s="1" t="s">
        <v>23</v>
      </c>
      <c r="N2105" s="1" t="n">
        <v>79</v>
      </c>
      <c r="O2105" s="1" t="s">
        <v>11631</v>
      </c>
      <c r="P2105" s="1" t="n">
        <v>5762</v>
      </c>
      <c r="Q2105" s="1" t="s">
        <v>11632</v>
      </c>
      <c r="R2105" s="1" t="s">
        <v>11633</v>
      </c>
      <c r="S2105" s="1" t="s">
        <v>11634</v>
      </c>
      <c r="T2105" s="1" t="s">
        <v>3892</v>
      </c>
      <c r="U2105" s="1" t="s">
        <v>11635</v>
      </c>
    </row>
    <row r="2106" customFormat="false" ht="13.8" hidden="false" customHeight="false" outlineLevel="0" collapsed="false">
      <c r="A2106" s="1" t="n">
        <v>2105</v>
      </c>
      <c r="B2106" s="2" t="s">
        <v>11636</v>
      </c>
      <c r="C2106" s="1" t="n">
        <v>11</v>
      </c>
      <c r="D2106" s="1" t="n">
        <v>13</v>
      </c>
      <c r="E2106" s="1" t="n">
        <v>16</v>
      </c>
      <c r="F2106" s="1" t="n">
        <v>24</v>
      </c>
      <c r="G2106" s="1" t="n">
        <v>31</v>
      </c>
      <c r="H2106" s="1" t="n">
        <v>46</v>
      </c>
      <c r="I2106" s="1" t="str">
        <f aca="false">RIGHT(("0"&amp;C2106),2)&amp;RIGHT(("0"&amp;D2106),2)&amp;RIGHT(("0"&amp;E2106),2)&amp;RIGHT(("0"&amp;F2106),2)&amp;RIGHT(("0"&amp;G2106),2)&amp;RIGHT(("0"&amp;H2106),2)</f>
        <v>111316243146</v>
      </c>
      <c r="J2106" s="1" t="n">
        <f aca="false">COUNTIF(I:I,I2106)</f>
        <v>1</v>
      </c>
      <c r="K2106" s="1" t="n">
        <v>0</v>
      </c>
      <c r="M2106" s="1" t="s">
        <v>23</v>
      </c>
      <c r="N2106" s="1" t="n">
        <v>106</v>
      </c>
      <c r="O2106" s="1" t="s">
        <v>11637</v>
      </c>
      <c r="P2106" s="1" t="n">
        <v>6029</v>
      </c>
      <c r="Q2106" s="1" t="s">
        <v>11638</v>
      </c>
      <c r="R2106" s="1" t="s">
        <v>11639</v>
      </c>
      <c r="S2106" s="1" t="s">
        <v>11640</v>
      </c>
      <c r="T2106" s="1" t="s">
        <v>5154</v>
      </c>
      <c r="U2106" s="1" t="s">
        <v>11641</v>
      </c>
    </row>
    <row r="2107" customFormat="false" ht="13.8" hidden="false" customHeight="false" outlineLevel="0" collapsed="false">
      <c r="A2107" s="1" t="n">
        <v>2106</v>
      </c>
      <c r="B2107" s="2" t="s">
        <v>11642</v>
      </c>
      <c r="C2107" s="1" t="n">
        <v>3</v>
      </c>
      <c r="D2107" s="1" t="n">
        <v>27</v>
      </c>
      <c r="E2107" s="1" t="n">
        <v>36</v>
      </c>
      <c r="F2107" s="1" t="n">
        <v>39</v>
      </c>
      <c r="G2107" s="1" t="n">
        <v>40</v>
      </c>
      <c r="H2107" s="1" t="n">
        <v>43</v>
      </c>
      <c r="I2107" s="1" t="str">
        <f aca="false">RIGHT(("0"&amp;C2107),2)&amp;RIGHT(("0"&amp;D2107),2)&amp;RIGHT(("0"&amp;E2107),2)&amp;RIGHT(("0"&amp;F2107),2)&amp;RIGHT(("0"&amp;G2107),2)&amp;RIGHT(("0"&amp;H2107),2)</f>
        <v>032736394043</v>
      </c>
      <c r="J2107" s="1" t="n">
        <f aca="false">COUNTIF(I:I,I2107)</f>
        <v>1</v>
      </c>
      <c r="K2107" s="1" t="n">
        <v>0</v>
      </c>
      <c r="M2107" s="1" t="s">
        <v>23</v>
      </c>
      <c r="N2107" s="1" t="n">
        <v>82</v>
      </c>
      <c r="O2107" s="1" t="s">
        <v>11643</v>
      </c>
      <c r="P2107" s="1" t="n">
        <v>5610</v>
      </c>
      <c r="Q2107" s="1" t="s">
        <v>11644</v>
      </c>
      <c r="R2107" s="1" t="s">
        <v>11645</v>
      </c>
      <c r="S2107" s="1" t="s">
        <v>11646</v>
      </c>
      <c r="T2107" s="1" t="s">
        <v>7301</v>
      </c>
      <c r="U2107" s="1" t="s">
        <v>11647</v>
      </c>
    </row>
    <row r="2108" customFormat="false" ht="13.8" hidden="false" customHeight="false" outlineLevel="0" collapsed="false">
      <c r="A2108" s="1" t="n">
        <v>2107</v>
      </c>
      <c r="B2108" s="2" t="s">
        <v>11648</v>
      </c>
      <c r="C2108" s="1" t="n">
        <v>8</v>
      </c>
      <c r="D2108" s="1" t="n">
        <v>38</v>
      </c>
      <c r="E2108" s="1" t="n">
        <v>44</v>
      </c>
      <c r="F2108" s="1" t="n">
        <v>50</v>
      </c>
      <c r="G2108" s="1" t="n">
        <v>56</v>
      </c>
      <c r="H2108" s="1" t="n">
        <v>60</v>
      </c>
      <c r="I2108" s="1" t="str">
        <f aca="false">RIGHT(("0"&amp;C2108),2)&amp;RIGHT(("0"&amp;D2108),2)&amp;RIGHT(("0"&amp;E2108),2)&amp;RIGHT(("0"&amp;F2108),2)&amp;RIGHT(("0"&amp;G2108),2)&amp;RIGHT(("0"&amp;H2108),2)</f>
        <v>083844505660</v>
      </c>
      <c r="J2108" s="1" t="n">
        <f aca="false">COUNTIF(I:I,I2108)</f>
        <v>1</v>
      </c>
      <c r="K2108" s="1" t="n">
        <v>0</v>
      </c>
      <c r="M2108" s="1" t="s">
        <v>23</v>
      </c>
      <c r="N2108" s="1" t="n">
        <v>72</v>
      </c>
      <c r="O2108" s="1" t="s">
        <v>11649</v>
      </c>
      <c r="P2108" s="1" t="n">
        <v>5454</v>
      </c>
      <c r="Q2108" s="1" t="s">
        <v>11650</v>
      </c>
      <c r="R2108" s="1" t="s">
        <v>11651</v>
      </c>
      <c r="S2108" s="1" t="s">
        <v>11652</v>
      </c>
      <c r="T2108" s="1" t="s">
        <v>7574</v>
      </c>
      <c r="U2108" s="1" t="s">
        <v>11653</v>
      </c>
    </row>
    <row r="2109" customFormat="false" ht="13.8" hidden="false" customHeight="false" outlineLevel="0" collapsed="false">
      <c r="A2109" s="1" t="n">
        <v>2108</v>
      </c>
      <c r="B2109" s="2" t="s">
        <v>11654</v>
      </c>
      <c r="C2109" s="1" t="n">
        <v>19</v>
      </c>
      <c r="D2109" s="1" t="n">
        <v>22</v>
      </c>
      <c r="E2109" s="1" t="n">
        <v>29</v>
      </c>
      <c r="F2109" s="1" t="n">
        <v>41</v>
      </c>
      <c r="G2109" s="1" t="n">
        <v>44</v>
      </c>
      <c r="H2109" s="1" t="n">
        <v>59</v>
      </c>
      <c r="I2109" s="1" t="str">
        <f aca="false">RIGHT(("0"&amp;C2109),2)&amp;RIGHT(("0"&amp;D2109),2)&amp;RIGHT(("0"&amp;E2109),2)&amp;RIGHT(("0"&amp;F2109),2)&amp;RIGHT(("0"&amp;G2109),2)&amp;RIGHT(("0"&amp;H2109),2)</f>
        <v>192229414459</v>
      </c>
      <c r="J2109" s="1" t="n">
        <f aca="false">COUNTIF(I:I,I2109)</f>
        <v>1</v>
      </c>
      <c r="K2109" s="1" t="n">
        <v>0</v>
      </c>
      <c r="M2109" s="1" t="s">
        <v>23</v>
      </c>
      <c r="N2109" s="1" t="n">
        <v>58</v>
      </c>
      <c r="O2109" s="1" t="s">
        <v>11655</v>
      </c>
      <c r="P2109" s="1" t="n">
        <v>4051</v>
      </c>
      <c r="Q2109" s="1" t="s">
        <v>11656</v>
      </c>
      <c r="R2109" s="1" t="s">
        <v>11657</v>
      </c>
      <c r="S2109" s="1" t="s">
        <v>11658</v>
      </c>
      <c r="T2109" s="1" t="s">
        <v>6559</v>
      </c>
      <c r="U2109" s="1" t="s">
        <v>11659</v>
      </c>
    </row>
    <row r="2110" customFormat="false" ht="13.8" hidden="false" customHeight="false" outlineLevel="0" collapsed="false">
      <c r="A2110" s="1" t="n">
        <v>2109</v>
      </c>
      <c r="B2110" s="2" t="s">
        <v>11660</v>
      </c>
      <c r="C2110" s="1" t="n">
        <v>4</v>
      </c>
      <c r="D2110" s="1" t="n">
        <v>12</v>
      </c>
      <c r="E2110" s="1" t="n">
        <v>16</v>
      </c>
      <c r="F2110" s="1" t="n">
        <v>34</v>
      </c>
      <c r="G2110" s="1" t="n">
        <v>44</v>
      </c>
      <c r="H2110" s="1" t="n">
        <v>49</v>
      </c>
      <c r="I2110" s="1" t="str">
        <f aca="false">RIGHT(("0"&amp;C2110),2)&amp;RIGHT(("0"&amp;D2110),2)&amp;RIGHT(("0"&amp;E2110),2)&amp;RIGHT(("0"&amp;F2110),2)&amp;RIGHT(("0"&amp;G2110),2)&amp;RIGHT(("0"&amp;H2110),2)</f>
        <v>041216344449</v>
      </c>
      <c r="J2110" s="1" t="n">
        <f aca="false">COUNTIF(I:I,I2110)</f>
        <v>1</v>
      </c>
      <c r="K2110" s="1" t="n">
        <v>0</v>
      </c>
      <c r="M2110" s="1" t="s">
        <v>23</v>
      </c>
      <c r="N2110" s="1" t="n">
        <v>125</v>
      </c>
      <c r="O2110" s="1" t="s">
        <v>11661</v>
      </c>
      <c r="P2110" s="1" t="n">
        <v>7480</v>
      </c>
      <c r="Q2110" s="1" t="s">
        <v>11662</v>
      </c>
      <c r="R2110" s="1" t="s">
        <v>11663</v>
      </c>
      <c r="S2110" s="1" t="s">
        <v>11664</v>
      </c>
      <c r="T2110" s="1" t="s">
        <v>9601</v>
      </c>
      <c r="U2110" s="1" t="s">
        <v>11663</v>
      </c>
    </row>
    <row r="2111" customFormat="false" ht="13.8" hidden="false" customHeight="false" outlineLevel="0" collapsed="false">
      <c r="A2111" s="1" t="n">
        <v>2110</v>
      </c>
      <c r="B2111" s="2" t="s">
        <v>11665</v>
      </c>
      <c r="C2111" s="1" t="n">
        <v>5</v>
      </c>
      <c r="D2111" s="1" t="n">
        <v>10</v>
      </c>
      <c r="E2111" s="1" t="n">
        <v>12</v>
      </c>
      <c r="F2111" s="1" t="n">
        <v>18</v>
      </c>
      <c r="G2111" s="1" t="n">
        <v>25</v>
      </c>
      <c r="H2111" s="1" t="n">
        <v>33</v>
      </c>
      <c r="I2111" s="1" t="str">
        <f aca="false">RIGHT(("0"&amp;C2111),2)&amp;RIGHT(("0"&amp;D2111),2)&amp;RIGHT(("0"&amp;E2111),2)&amp;RIGHT(("0"&amp;F2111),2)&amp;RIGHT(("0"&amp;G2111),2)&amp;RIGHT(("0"&amp;H2111),2)</f>
        <v>051012182533</v>
      </c>
      <c r="J2111" s="1" t="n">
        <f aca="false">COUNTIF(I:I,I2111)</f>
        <v>1</v>
      </c>
      <c r="K2111" s="1" t="n">
        <v>52</v>
      </c>
      <c r="L2111" s="1" t="s">
        <v>11666</v>
      </c>
      <c r="M2111" s="1" t="s">
        <v>11667</v>
      </c>
      <c r="N2111" s="1" t="n">
        <v>7688</v>
      </c>
      <c r="O2111" s="1" t="s">
        <v>11668</v>
      </c>
      <c r="P2111" s="1" t="n">
        <v>303857</v>
      </c>
      <c r="Q2111" s="1" t="s">
        <v>11669</v>
      </c>
      <c r="R2111" s="1" t="s">
        <v>23</v>
      </c>
      <c r="S2111" s="1" t="s">
        <v>11670</v>
      </c>
      <c r="T2111" s="1" t="s">
        <v>4732</v>
      </c>
      <c r="U2111" s="1" t="s">
        <v>23</v>
      </c>
      <c r="V2111" s="1" t="s">
        <v>11671</v>
      </c>
    </row>
    <row r="2112" customFormat="false" ht="13.8" hidden="false" customHeight="false" outlineLevel="0" collapsed="false">
      <c r="A2112" s="1" t="n">
        <v>2111</v>
      </c>
      <c r="B2112" s="2" t="s">
        <v>11672</v>
      </c>
      <c r="C2112" s="1" t="n">
        <v>1</v>
      </c>
      <c r="D2112" s="1" t="n">
        <v>41</v>
      </c>
      <c r="E2112" s="1" t="n">
        <v>44</v>
      </c>
      <c r="F2112" s="1" t="n">
        <v>46</v>
      </c>
      <c r="G2112" s="1" t="n">
        <v>54</v>
      </c>
      <c r="H2112" s="1" t="n">
        <v>58</v>
      </c>
      <c r="I2112" s="1" t="str">
        <f aca="false">RIGHT(("0"&amp;C2112),2)&amp;RIGHT(("0"&amp;D2112),2)&amp;RIGHT(("0"&amp;E2112),2)&amp;RIGHT(("0"&amp;F2112),2)&amp;RIGHT(("0"&amp;G2112),2)&amp;RIGHT(("0"&amp;H2112),2)</f>
        <v>014144465458</v>
      </c>
      <c r="J2112" s="1" t="n">
        <f aca="false">COUNTIF(I:I,I2112)</f>
        <v>1</v>
      </c>
      <c r="K2112" s="1" t="n">
        <v>0</v>
      </c>
      <c r="M2112" s="1" t="s">
        <v>23</v>
      </c>
      <c r="N2112" s="1" t="n">
        <v>4</v>
      </c>
      <c r="O2112" s="1" t="s">
        <v>11673</v>
      </c>
      <c r="P2112" s="1" t="n">
        <v>689</v>
      </c>
      <c r="Q2112" s="1" t="s">
        <v>11674</v>
      </c>
      <c r="R2112" s="1" t="s">
        <v>11675</v>
      </c>
      <c r="S2112" s="1" t="s">
        <v>11676</v>
      </c>
      <c r="T2112" s="1" t="s">
        <v>4409</v>
      </c>
      <c r="U2112" s="1" t="s">
        <v>11677</v>
      </c>
    </row>
    <row r="2113" customFormat="false" ht="13.8" hidden="false" customHeight="false" outlineLevel="0" collapsed="false">
      <c r="A2113" s="1" t="n">
        <v>2112</v>
      </c>
      <c r="B2113" s="2" t="s">
        <v>11678</v>
      </c>
      <c r="C2113" s="1" t="n">
        <v>17</v>
      </c>
      <c r="D2113" s="1" t="n">
        <v>39</v>
      </c>
      <c r="E2113" s="1" t="n">
        <v>43</v>
      </c>
      <c r="F2113" s="1" t="n">
        <v>46</v>
      </c>
      <c r="G2113" s="1" t="n">
        <v>52</v>
      </c>
      <c r="H2113" s="1" t="n">
        <v>53</v>
      </c>
      <c r="I2113" s="1" t="str">
        <f aca="false">RIGHT(("0"&amp;C2113),2)&amp;RIGHT(("0"&amp;D2113),2)&amp;RIGHT(("0"&amp;E2113),2)&amp;RIGHT(("0"&amp;F2113),2)&amp;RIGHT(("0"&amp;G2113),2)&amp;RIGHT(("0"&amp;H2113),2)</f>
        <v>173943465253</v>
      </c>
      <c r="J2113" s="1" t="n">
        <f aca="false">COUNTIF(I:I,I2113)</f>
        <v>1</v>
      </c>
      <c r="K2113" s="1" t="n">
        <v>0</v>
      </c>
      <c r="M2113" s="1" t="s">
        <v>23</v>
      </c>
      <c r="N2113" s="1" t="n">
        <v>34</v>
      </c>
      <c r="O2113" s="1" t="s">
        <v>11679</v>
      </c>
      <c r="P2113" s="1" t="n">
        <v>2547</v>
      </c>
      <c r="Q2113" s="1" t="s">
        <v>11680</v>
      </c>
      <c r="R2113" s="1" t="s">
        <v>11681</v>
      </c>
      <c r="S2113" s="1" t="s">
        <v>11682</v>
      </c>
      <c r="T2113" s="1" t="s">
        <v>4347</v>
      </c>
      <c r="U2113" s="1" t="s">
        <v>11683</v>
      </c>
    </row>
    <row r="2114" customFormat="false" ht="13.8" hidden="false" customHeight="false" outlineLevel="0" collapsed="false">
      <c r="A2114" s="1" t="n">
        <v>2113</v>
      </c>
      <c r="B2114" s="2" t="s">
        <v>11684</v>
      </c>
      <c r="C2114" s="1" t="n">
        <v>11</v>
      </c>
      <c r="D2114" s="1" t="n">
        <v>14</v>
      </c>
      <c r="E2114" s="1" t="n">
        <v>21</v>
      </c>
      <c r="F2114" s="1" t="n">
        <v>25</v>
      </c>
      <c r="G2114" s="1" t="n">
        <v>46</v>
      </c>
      <c r="H2114" s="1" t="n">
        <v>50</v>
      </c>
      <c r="I2114" s="1" t="str">
        <f aca="false">RIGHT(("0"&amp;C2114),2)&amp;RIGHT(("0"&amp;D2114),2)&amp;RIGHT(("0"&amp;E2114),2)&amp;RIGHT(("0"&amp;F2114),2)&amp;RIGHT(("0"&amp;G2114),2)&amp;RIGHT(("0"&amp;H2114),2)</f>
        <v>111421254650</v>
      </c>
      <c r="J2114" s="1" t="n">
        <f aca="false">COUNTIF(I:I,I2114)</f>
        <v>1</v>
      </c>
      <c r="K2114" s="1" t="n">
        <v>0</v>
      </c>
      <c r="M2114" s="1" t="s">
        <v>23</v>
      </c>
      <c r="N2114" s="1" t="n">
        <v>30</v>
      </c>
      <c r="O2114" s="1" t="s">
        <v>11685</v>
      </c>
      <c r="P2114" s="1" t="n">
        <v>2752</v>
      </c>
      <c r="Q2114" s="1" t="s">
        <v>11686</v>
      </c>
      <c r="R2114" s="1" t="s">
        <v>11687</v>
      </c>
      <c r="S2114" s="1" t="s">
        <v>11688</v>
      </c>
      <c r="T2114" s="1" t="s">
        <v>3727</v>
      </c>
      <c r="U2114" s="1" t="s">
        <v>11689</v>
      </c>
    </row>
    <row r="2115" customFormat="false" ht="13.8" hidden="false" customHeight="false" outlineLevel="0" collapsed="false">
      <c r="A2115" s="1" t="n">
        <v>2114</v>
      </c>
      <c r="B2115" s="2" t="s">
        <v>11690</v>
      </c>
      <c r="C2115" s="1" t="n">
        <v>17</v>
      </c>
      <c r="D2115" s="1" t="n">
        <v>25</v>
      </c>
      <c r="E2115" s="1" t="n">
        <v>30</v>
      </c>
      <c r="F2115" s="1" t="n">
        <v>35</v>
      </c>
      <c r="G2115" s="1" t="n">
        <v>42</v>
      </c>
      <c r="H2115" s="1" t="n">
        <v>57</v>
      </c>
      <c r="I2115" s="1" t="str">
        <f aca="false">RIGHT(("0"&amp;C2115),2)&amp;RIGHT(("0"&amp;D2115),2)&amp;RIGHT(("0"&amp;E2115),2)&amp;RIGHT(("0"&amp;F2115),2)&amp;RIGHT(("0"&amp;G2115),2)&amp;RIGHT(("0"&amp;H2115),2)</f>
        <v>172530354257</v>
      </c>
      <c r="J2115" s="1" t="n">
        <f aca="false">COUNTIF(I:I,I2115)</f>
        <v>1</v>
      </c>
      <c r="K2115" s="1" t="n">
        <v>0</v>
      </c>
      <c r="M2115" s="1" t="s">
        <v>23</v>
      </c>
      <c r="N2115" s="1" t="n">
        <v>70</v>
      </c>
      <c r="O2115" s="1" t="s">
        <v>11691</v>
      </c>
      <c r="P2115" s="1" t="n">
        <v>4376</v>
      </c>
      <c r="Q2115" s="1" t="s">
        <v>11692</v>
      </c>
      <c r="R2115" s="1" t="s">
        <v>11693</v>
      </c>
      <c r="S2115" s="1" t="s">
        <v>11694</v>
      </c>
      <c r="T2115" s="1" t="s">
        <v>4718</v>
      </c>
      <c r="U2115" s="1" t="s">
        <v>11695</v>
      </c>
    </row>
    <row r="2116" customFormat="false" ht="13.8" hidden="false" customHeight="false" outlineLevel="0" collapsed="false">
      <c r="A2116" s="1" t="n">
        <v>2115</v>
      </c>
      <c r="B2116" s="2" t="s">
        <v>11696</v>
      </c>
      <c r="C2116" s="1" t="n">
        <v>4</v>
      </c>
      <c r="D2116" s="1" t="n">
        <v>19</v>
      </c>
      <c r="E2116" s="1" t="n">
        <v>27</v>
      </c>
      <c r="F2116" s="1" t="n">
        <v>35</v>
      </c>
      <c r="G2116" s="1" t="n">
        <v>40</v>
      </c>
      <c r="H2116" s="1" t="n">
        <v>44</v>
      </c>
      <c r="I2116" s="1" t="str">
        <f aca="false">RIGHT(("0"&amp;C2116),2)&amp;RIGHT(("0"&amp;D2116),2)&amp;RIGHT(("0"&amp;E2116),2)&amp;RIGHT(("0"&amp;F2116),2)&amp;RIGHT(("0"&amp;G2116),2)&amp;RIGHT(("0"&amp;H2116),2)</f>
        <v>041927354044</v>
      </c>
      <c r="J2116" s="1" t="n">
        <f aca="false">COUNTIF(I:I,I2116)</f>
        <v>1</v>
      </c>
      <c r="K2116" s="1" t="n">
        <v>0</v>
      </c>
      <c r="M2116" s="1" t="s">
        <v>23</v>
      </c>
      <c r="N2116" s="1" t="n">
        <v>75</v>
      </c>
      <c r="O2116" s="1" t="s">
        <v>11697</v>
      </c>
      <c r="P2116" s="1" t="n">
        <v>4470</v>
      </c>
      <c r="Q2116" s="1" t="s">
        <v>11698</v>
      </c>
      <c r="R2116" s="1" t="s">
        <v>11699</v>
      </c>
      <c r="S2116" s="1" t="s">
        <v>11700</v>
      </c>
      <c r="T2116" s="1" t="s">
        <v>5281</v>
      </c>
      <c r="U2116" s="1" t="s">
        <v>11701</v>
      </c>
    </row>
    <row r="2117" customFormat="false" ht="13.8" hidden="false" customHeight="false" outlineLevel="0" collapsed="false">
      <c r="A2117" s="1" t="n">
        <v>2116</v>
      </c>
      <c r="B2117" s="2" t="s">
        <v>11702</v>
      </c>
      <c r="C2117" s="1" t="n">
        <v>1</v>
      </c>
      <c r="D2117" s="1" t="n">
        <v>9</v>
      </c>
      <c r="E2117" s="1" t="n">
        <v>19</v>
      </c>
      <c r="F2117" s="1" t="n">
        <v>21</v>
      </c>
      <c r="G2117" s="1" t="n">
        <v>34</v>
      </c>
      <c r="H2117" s="1" t="n">
        <v>54</v>
      </c>
      <c r="I2117" s="1" t="str">
        <f aca="false">RIGHT(("0"&amp;C2117),2)&amp;RIGHT(("0"&amp;D2117),2)&amp;RIGHT(("0"&amp;E2117),2)&amp;RIGHT(("0"&amp;F2117),2)&amp;RIGHT(("0"&amp;G2117),2)&amp;RIGHT(("0"&amp;H2117),2)</f>
        <v>010919213454</v>
      </c>
      <c r="J2117" s="1" t="n">
        <f aca="false">COUNTIF(I:I,I2117)</f>
        <v>1</v>
      </c>
      <c r="K2117" s="1" t="n">
        <v>0</v>
      </c>
      <c r="M2117" s="1" t="s">
        <v>23</v>
      </c>
      <c r="N2117" s="1" t="n">
        <v>91</v>
      </c>
      <c r="O2117" s="1" t="s">
        <v>11703</v>
      </c>
      <c r="P2117" s="1" t="n">
        <v>5468</v>
      </c>
      <c r="Q2117" s="1" t="s">
        <v>11704</v>
      </c>
      <c r="R2117" s="1" t="s">
        <v>11705</v>
      </c>
      <c r="S2117" s="1" t="s">
        <v>11706</v>
      </c>
      <c r="T2117" s="1" t="s">
        <v>4304</v>
      </c>
      <c r="U2117" s="1" t="s">
        <v>11707</v>
      </c>
    </row>
    <row r="2118" customFormat="false" ht="13.8" hidden="false" customHeight="false" outlineLevel="0" collapsed="false">
      <c r="A2118" s="1" t="n">
        <v>2117</v>
      </c>
      <c r="B2118" s="2" t="s">
        <v>11708</v>
      </c>
      <c r="C2118" s="1" t="n">
        <v>4</v>
      </c>
      <c r="D2118" s="1" t="n">
        <v>28</v>
      </c>
      <c r="E2118" s="1" t="n">
        <v>29</v>
      </c>
      <c r="F2118" s="1" t="n">
        <v>30</v>
      </c>
      <c r="G2118" s="1" t="n">
        <v>43</v>
      </c>
      <c r="H2118" s="1" t="n">
        <v>52</v>
      </c>
      <c r="I2118" s="1" t="str">
        <f aca="false">RIGHT(("0"&amp;C2118),2)&amp;RIGHT(("0"&amp;D2118),2)&amp;RIGHT(("0"&amp;E2118),2)&amp;RIGHT(("0"&amp;F2118),2)&amp;RIGHT(("0"&amp;G2118),2)&amp;RIGHT(("0"&amp;H2118),2)</f>
        <v>042829304352</v>
      </c>
      <c r="J2118" s="1" t="n">
        <f aca="false">COUNTIF(I:I,I2118)</f>
        <v>1</v>
      </c>
      <c r="K2118" s="1" t="n">
        <v>0</v>
      </c>
      <c r="M2118" s="1" t="s">
        <v>23</v>
      </c>
      <c r="N2118" s="1" t="n">
        <v>44</v>
      </c>
      <c r="O2118" s="1" t="s">
        <v>11709</v>
      </c>
      <c r="P2118" s="1" t="n">
        <v>4036</v>
      </c>
      <c r="Q2118" s="1" t="s">
        <v>11710</v>
      </c>
      <c r="R2118" s="1" t="s">
        <v>11711</v>
      </c>
      <c r="S2118" s="1" t="s">
        <v>11712</v>
      </c>
      <c r="T2118" s="1" t="s">
        <v>5294</v>
      </c>
      <c r="U2118" s="1" t="s">
        <v>11713</v>
      </c>
    </row>
    <row r="2119" customFormat="false" ht="13.8" hidden="false" customHeight="false" outlineLevel="0" collapsed="false">
      <c r="A2119" s="1" t="n">
        <v>2118</v>
      </c>
      <c r="B2119" s="2" t="s">
        <v>11714</v>
      </c>
      <c r="C2119" s="1" t="n">
        <v>11</v>
      </c>
      <c r="D2119" s="1" t="n">
        <v>12</v>
      </c>
      <c r="E2119" s="1" t="n">
        <v>20</v>
      </c>
      <c r="F2119" s="1" t="n">
        <v>40</v>
      </c>
      <c r="G2119" s="1" t="n">
        <v>41</v>
      </c>
      <c r="H2119" s="1" t="n">
        <v>46</v>
      </c>
      <c r="I2119" s="1" t="str">
        <f aca="false">RIGHT(("0"&amp;C2119),2)&amp;RIGHT(("0"&amp;D2119),2)&amp;RIGHT(("0"&amp;E2119),2)&amp;RIGHT(("0"&amp;F2119),2)&amp;RIGHT(("0"&amp;G2119),2)&amp;RIGHT(("0"&amp;H2119),2)</f>
        <v>111220404146</v>
      </c>
      <c r="J2119" s="1" t="n">
        <f aca="false">COUNTIF(I:I,I2119)</f>
        <v>1</v>
      </c>
      <c r="K2119" s="1" t="n">
        <v>1</v>
      </c>
      <c r="L2119" s="1" t="s">
        <v>7737</v>
      </c>
      <c r="M2119" s="1" t="s">
        <v>11715</v>
      </c>
      <c r="N2119" s="1" t="n">
        <v>58</v>
      </c>
      <c r="O2119" s="1" t="s">
        <v>11716</v>
      </c>
      <c r="P2119" s="1" t="n">
        <v>4135</v>
      </c>
      <c r="Q2119" s="1" t="s">
        <v>11717</v>
      </c>
      <c r="R2119" s="1" t="s">
        <v>23</v>
      </c>
      <c r="S2119" s="1" t="s">
        <v>11718</v>
      </c>
      <c r="T2119" s="1" t="s">
        <v>4256</v>
      </c>
      <c r="U2119" s="1" t="s">
        <v>11719</v>
      </c>
    </row>
    <row r="2120" customFormat="false" ht="13.8" hidden="false" customHeight="false" outlineLevel="0" collapsed="false">
      <c r="A2120" s="1" t="n">
        <v>2119</v>
      </c>
      <c r="B2120" s="2" t="s">
        <v>11720</v>
      </c>
      <c r="C2120" s="1" t="n">
        <v>19</v>
      </c>
      <c r="D2120" s="1" t="n">
        <v>21</v>
      </c>
      <c r="E2120" s="1" t="n">
        <v>26</v>
      </c>
      <c r="F2120" s="1" t="n">
        <v>31</v>
      </c>
      <c r="G2120" s="1" t="n">
        <v>42</v>
      </c>
      <c r="H2120" s="1" t="n">
        <v>49</v>
      </c>
      <c r="I2120" s="1" t="str">
        <f aca="false">RIGHT(("0"&amp;C2120),2)&amp;RIGHT(("0"&amp;D2120),2)&amp;RIGHT(("0"&amp;E2120),2)&amp;RIGHT(("0"&amp;F2120),2)&amp;RIGHT(("0"&amp;G2120),2)&amp;RIGHT(("0"&amp;H2120),2)</f>
        <v>192126314249</v>
      </c>
      <c r="J2120" s="1" t="n">
        <f aca="false">COUNTIF(I:I,I2120)</f>
        <v>1</v>
      </c>
      <c r="K2120" s="1" t="n">
        <v>0</v>
      </c>
      <c r="M2120" s="1" t="s">
        <v>23</v>
      </c>
      <c r="N2120" s="1" t="n">
        <v>46</v>
      </c>
      <c r="O2120" s="1" t="s">
        <v>11721</v>
      </c>
      <c r="P2120" s="1" t="n">
        <v>2569</v>
      </c>
      <c r="Q2120" s="1" t="s">
        <v>11722</v>
      </c>
      <c r="R2120" s="1" t="s">
        <v>11723</v>
      </c>
      <c r="S2120" s="1" t="s">
        <v>11724</v>
      </c>
      <c r="T2120" s="1" t="s">
        <v>4273</v>
      </c>
      <c r="U2120" s="1" t="s">
        <v>11725</v>
      </c>
    </row>
    <row r="2121" customFormat="false" ht="13.8" hidden="false" customHeight="false" outlineLevel="0" collapsed="false">
      <c r="A2121" s="1" t="n">
        <v>2120</v>
      </c>
      <c r="B2121" s="2" t="s">
        <v>11726</v>
      </c>
      <c r="C2121" s="1" t="n">
        <v>13</v>
      </c>
      <c r="D2121" s="1" t="n">
        <v>20</v>
      </c>
      <c r="E2121" s="1" t="n">
        <v>24</v>
      </c>
      <c r="F2121" s="1" t="n">
        <v>25</v>
      </c>
      <c r="G2121" s="1" t="n">
        <v>38</v>
      </c>
      <c r="H2121" s="1" t="n">
        <v>41</v>
      </c>
      <c r="I2121" s="1" t="str">
        <f aca="false">RIGHT(("0"&amp;C2121),2)&amp;RIGHT(("0"&amp;D2121),2)&amp;RIGHT(("0"&amp;E2121),2)&amp;RIGHT(("0"&amp;F2121),2)&amp;RIGHT(("0"&amp;G2121),2)&amp;RIGHT(("0"&amp;H2121),2)</f>
        <v>132024253841</v>
      </c>
      <c r="J2121" s="1" t="n">
        <f aca="false">COUNTIF(I:I,I2121)</f>
        <v>1</v>
      </c>
      <c r="K2121" s="1" t="n">
        <v>0</v>
      </c>
      <c r="M2121" s="1" t="s">
        <v>23</v>
      </c>
      <c r="N2121" s="1" t="n">
        <v>61</v>
      </c>
      <c r="O2121" s="1" t="s">
        <v>11727</v>
      </c>
      <c r="P2121" s="1" t="n">
        <v>3897</v>
      </c>
      <c r="Q2121" s="1" t="s">
        <v>11728</v>
      </c>
      <c r="R2121" s="1" t="s">
        <v>11729</v>
      </c>
      <c r="S2121" s="1" t="s">
        <v>11730</v>
      </c>
      <c r="T2121" s="1" t="s">
        <v>4718</v>
      </c>
      <c r="U2121" s="1" t="s">
        <v>11731</v>
      </c>
    </row>
    <row r="2122" customFormat="false" ht="13.8" hidden="false" customHeight="false" outlineLevel="0" collapsed="false">
      <c r="A2122" s="1" t="n">
        <v>2121</v>
      </c>
      <c r="B2122" s="2" t="s">
        <v>11732</v>
      </c>
      <c r="C2122" s="1" t="n">
        <v>8</v>
      </c>
      <c r="D2122" s="1" t="n">
        <v>10</v>
      </c>
      <c r="E2122" s="1" t="n">
        <v>17</v>
      </c>
      <c r="F2122" s="1" t="n">
        <v>29</v>
      </c>
      <c r="G2122" s="1" t="n">
        <v>37</v>
      </c>
      <c r="H2122" s="1" t="n">
        <v>40</v>
      </c>
      <c r="I2122" s="1" t="str">
        <f aca="false">RIGHT(("0"&amp;C2122),2)&amp;RIGHT(("0"&amp;D2122),2)&amp;RIGHT(("0"&amp;E2122),2)&amp;RIGHT(("0"&amp;F2122),2)&amp;RIGHT(("0"&amp;G2122),2)&amp;RIGHT(("0"&amp;H2122),2)</f>
        <v>081017293740</v>
      </c>
      <c r="J2122" s="1" t="n">
        <f aca="false">COUNTIF(I:I,I2122)</f>
        <v>1</v>
      </c>
      <c r="K2122" s="1" t="n">
        <v>1</v>
      </c>
      <c r="L2122" s="1" t="s">
        <v>5310</v>
      </c>
      <c r="M2122" s="1" t="s">
        <v>11733</v>
      </c>
      <c r="N2122" s="1" t="n">
        <v>82</v>
      </c>
      <c r="O2122" s="1" t="s">
        <v>11734</v>
      </c>
      <c r="P2122" s="1" t="n">
        <v>5493</v>
      </c>
      <c r="Q2122" s="1" t="s">
        <v>11735</v>
      </c>
      <c r="R2122" s="1" t="s">
        <v>23</v>
      </c>
      <c r="S2122" s="1" t="s">
        <v>11736</v>
      </c>
      <c r="T2122" s="1" t="s">
        <v>473</v>
      </c>
      <c r="U2122" s="1" t="s">
        <v>11737</v>
      </c>
    </row>
    <row r="2123" customFormat="false" ht="13.8" hidden="false" customHeight="false" outlineLevel="0" collapsed="false">
      <c r="A2123" s="1" t="n">
        <v>2122</v>
      </c>
      <c r="B2123" s="2" t="s">
        <v>11738</v>
      </c>
      <c r="C2123" s="1" t="n">
        <v>3</v>
      </c>
      <c r="D2123" s="1" t="n">
        <v>11</v>
      </c>
      <c r="E2123" s="1" t="n">
        <v>15</v>
      </c>
      <c r="F2123" s="1" t="n">
        <v>21</v>
      </c>
      <c r="G2123" s="1" t="n">
        <v>27</v>
      </c>
      <c r="H2123" s="1" t="n">
        <v>49</v>
      </c>
      <c r="I2123" s="1" t="str">
        <f aca="false">RIGHT(("0"&amp;C2123),2)&amp;RIGHT(("0"&amp;D2123),2)&amp;RIGHT(("0"&amp;E2123),2)&amp;RIGHT(("0"&amp;F2123),2)&amp;RIGHT(("0"&amp;G2123),2)&amp;RIGHT(("0"&amp;H2123),2)</f>
        <v>031115212749</v>
      </c>
      <c r="J2123" s="1" t="n">
        <f aca="false">COUNTIF(I:I,I2123)</f>
        <v>1</v>
      </c>
      <c r="K2123" s="1" t="n">
        <v>0</v>
      </c>
      <c r="M2123" s="1" t="s">
        <v>23</v>
      </c>
      <c r="N2123" s="1" t="n">
        <v>92</v>
      </c>
      <c r="O2123" s="1" t="s">
        <v>11739</v>
      </c>
      <c r="P2123" s="1" t="n">
        <v>4938</v>
      </c>
      <c r="Q2123" s="1" t="s">
        <v>11740</v>
      </c>
      <c r="R2123" s="1" t="s">
        <v>11741</v>
      </c>
      <c r="S2123" s="1" t="s">
        <v>11742</v>
      </c>
      <c r="T2123" s="1" t="s">
        <v>7089</v>
      </c>
      <c r="U2123" s="1" t="s">
        <v>11743</v>
      </c>
    </row>
    <row r="2124" customFormat="false" ht="13.8" hidden="false" customHeight="false" outlineLevel="0" collapsed="false">
      <c r="A2124" s="1" t="n">
        <v>2123</v>
      </c>
      <c r="B2124" s="2" t="s">
        <v>11744</v>
      </c>
      <c r="C2124" s="1" t="n">
        <v>14</v>
      </c>
      <c r="D2124" s="1" t="n">
        <v>15</v>
      </c>
      <c r="E2124" s="1" t="n">
        <v>47</v>
      </c>
      <c r="F2124" s="1" t="n">
        <v>50</v>
      </c>
      <c r="G2124" s="1" t="n">
        <v>56</v>
      </c>
      <c r="H2124" s="1" t="n">
        <v>59</v>
      </c>
      <c r="I2124" s="1" t="str">
        <f aca="false">RIGHT(("0"&amp;C2124),2)&amp;RIGHT(("0"&amp;D2124),2)&amp;RIGHT(("0"&amp;E2124),2)&amp;RIGHT(("0"&amp;F2124),2)&amp;RIGHT(("0"&amp;G2124),2)&amp;RIGHT(("0"&amp;H2124),2)</f>
        <v>141547505659</v>
      </c>
      <c r="J2124" s="1" t="n">
        <f aca="false">COUNTIF(I:I,I2124)</f>
        <v>1</v>
      </c>
      <c r="K2124" s="1" t="n">
        <v>0</v>
      </c>
      <c r="M2124" s="1" t="s">
        <v>23</v>
      </c>
      <c r="N2124" s="1" t="n">
        <v>28</v>
      </c>
      <c r="O2124" s="1" t="s">
        <v>11745</v>
      </c>
      <c r="P2124" s="1" t="n">
        <v>2301</v>
      </c>
      <c r="Q2124" s="1" t="s">
        <v>11746</v>
      </c>
      <c r="R2124" s="1" t="s">
        <v>11747</v>
      </c>
      <c r="S2124" s="1" t="s">
        <v>11748</v>
      </c>
      <c r="T2124" s="1" t="s">
        <v>4195</v>
      </c>
      <c r="U2124" s="1" t="s">
        <v>11749</v>
      </c>
    </row>
    <row r="2125" customFormat="false" ht="13.8" hidden="false" customHeight="false" outlineLevel="0" collapsed="false">
      <c r="A2125" s="1" t="n">
        <v>2124</v>
      </c>
      <c r="B2125" s="2" t="s">
        <v>11750</v>
      </c>
      <c r="C2125" s="1" t="n">
        <v>2</v>
      </c>
      <c r="D2125" s="1" t="n">
        <v>11</v>
      </c>
      <c r="E2125" s="1" t="n">
        <v>20</v>
      </c>
      <c r="F2125" s="1" t="n">
        <v>31</v>
      </c>
      <c r="G2125" s="1" t="n">
        <v>43</v>
      </c>
      <c r="H2125" s="1" t="n">
        <v>47</v>
      </c>
      <c r="I2125" s="1" t="str">
        <f aca="false">RIGHT(("0"&amp;C2125),2)&amp;RIGHT(("0"&amp;D2125),2)&amp;RIGHT(("0"&amp;E2125),2)&amp;RIGHT(("0"&amp;F2125),2)&amp;RIGHT(("0"&amp;G2125),2)&amp;RIGHT(("0"&amp;H2125),2)</f>
        <v>021120314347</v>
      </c>
      <c r="J2125" s="1" t="n">
        <f aca="false">COUNTIF(I:I,I2125)</f>
        <v>1</v>
      </c>
      <c r="K2125" s="1" t="n">
        <v>0</v>
      </c>
      <c r="M2125" s="1" t="s">
        <v>23</v>
      </c>
      <c r="N2125" s="1" t="n">
        <v>41</v>
      </c>
      <c r="O2125" s="1" t="s">
        <v>11751</v>
      </c>
      <c r="P2125" s="1" t="n">
        <v>3660</v>
      </c>
      <c r="Q2125" s="1" t="s">
        <v>11752</v>
      </c>
      <c r="R2125" s="1" t="s">
        <v>11753</v>
      </c>
      <c r="S2125" s="1" t="s">
        <v>11754</v>
      </c>
      <c r="T2125" s="1" t="s">
        <v>4213</v>
      </c>
      <c r="U2125" s="1" t="s">
        <v>11755</v>
      </c>
    </row>
    <row r="2126" customFormat="false" ht="13.8" hidden="false" customHeight="false" outlineLevel="0" collapsed="false">
      <c r="A2126" s="1" t="n">
        <v>2125</v>
      </c>
      <c r="B2126" s="2" t="s">
        <v>11756</v>
      </c>
      <c r="C2126" s="1" t="n">
        <v>1</v>
      </c>
      <c r="D2126" s="1" t="n">
        <v>31</v>
      </c>
      <c r="E2126" s="1" t="n">
        <v>44</v>
      </c>
      <c r="F2126" s="1" t="n">
        <v>46</v>
      </c>
      <c r="G2126" s="1" t="n">
        <v>53</v>
      </c>
      <c r="H2126" s="1" t="n">
        <v>58</v>
      </c>
      <c r="I2126" s="1" t="str">
        <f aca="false">RIGHT(("0"&amp;C2126),2)&amp;RIGHT(("0"&amp;D2126),2)&amp;RIGHT(("0"&amp;E2126),2)&amp;RIGHT(("0"&amp;F2126),2)&amp;RIGHT(("0"&amp;G2126),2)&amp;RIGHT(("0"&amp;H2126),2)</f>
        <v>013144465358</v>
      </c>
      <c r="J2126" s="1" t="n">
        <f aca="false">COUNTIF(I:I,I2126)</f>
        <v>1</v>
      </c>
      <c r="K2126" s="1" t="n">
        <v>0</v>
      </c>
      <c r="M2126" s="1" t="s">
        <v>23</v>
      </c>
      <c r="N2126" s="1" t="n">
        <v>55</v>
      </c>
      <c r="O2126" s="1" t="s">
        <v>11757</v>
      </c>
      <c r="P2126" s="1" t="n">
        <v>4090</v>
      </c>
      <c r="Q2126" s="1" t="s">
        <v>11758</v>
      </c>
      <c r="R2126" s="1" t="s">
        <v>11759</v>
      </c>
      <c r="S2126" s="1" t="s">
        <v>11760</v>
      </c>
      <c r="T2126" s="1" t="s">
        <v>4935</v>
      </c>
      <c r="U2126" s="1" t="s">
        <v>11761</v>
      </c>
    </row>
    <row r="2127" customFormat="false" ht="13.8" hidden="false" customHeight="false" outlineLevel="0" collapsed="false">
      <c r="A2127" s="1" t="n">
        <v>2126</v>
      </c>
      <c r="B2127" s="2" t="s">
        <v>11762</v>
      </c>
      <c r="C2127" s="1" t="n">
        <v>7</v>
      </c>
      <c r="D2127" s="1" t="n">
        <v>12</v>
      </c>
      <c r="E2127" s="1" t="n">
        <v>24</v>
      </c>
      <c r="F2127" s="1" t="n">
        <v>27</v>
      </c>
      <c r="G2127" s="1" t="n">
        <v>39</v>
      </c>
      <c r="H2127" s="1" t="n">
        <v>58</v>
      </c>
      <c r="I2127" s="1" t="str">
        <f aca="false">RIGHT(("0"&amp;C2127),2)&amp;RIGHT(("0"&amp;D2127),2)&amp;RIGHT(("0"&amp;E2127),2)&amp;RIGHT(("0"&amp;F2127),2)&amp;RIGHT(("0"&amp;G2127),2)&amp;RIGHT(("0"&amp;H2127),2)</f>
        <v>071224273958</v>
      </c>
      <c r="J2127" s="1" t="n">
        <f aca="false">COUNTIF(I:I,I2127)</f>
        <v>1</v>
      </c>
      <c r="K2127" s="1" t="n">
        <v>0</v>
      </c>
      <c r="M2127" s="1" t="s">
        <v>23</v>
      </c>
      <c r="N2127" s="1" t="n">
        <v>130</v>
      </c>
      <c r="O2127" s="1" t="s">
        <v>11763</v>
      </c>
      <c r="P2127" s="1" t="n">
        <v>8139</v>
      </c>
      <c r="Q2127" s="1" t="s">
        <v>11764</v>
      </c>
      <c r="R2127" s="1" t="s">
        <v>11765</v>
      </c>
      <c r="S2127" s="1" t="s">
        <v>11766</v>
      </c>
      <c r="T2127" s="1" t="s">
        <v>6025</v>
      </c>
      <c r="U2127" s="1" t="s">
        <v>11767</v>
      </c>
    </row>
    <row r="2128" customFormat="false" ht="13.8" hidden="false" customHeight="false" outlineLevel="0" collapsed="false">
      <c r="A2128" s="1" t="n">
        <v>2127</v>
      </c>
      <c r="B2128" s="2" t="s">
        <v>11768</v>
      </c>
      <c r="C2128" s="1" t="n">
        <v>1</v>
      </c>
      <c r="D2128" s="1" t="n">
        <v>7</v>
      </c>
      <c r="E2128" s="1" t="n">
        <v>28</v>
      </c>
      <c r="F2128" s="1" t="n">
        <v>30</v>
      </c>
      <c r="G2128" s="1" t="n">
        <v>44</v>
      </c>
      <c r="H2128" s="1" t="n">
        <v>46</v>
      </c>
      <c r="I2128" s="1" t="str">
        <f aca="false">RIGHT(("0"&amp;C2128),2)&amp;RIGHT(("0"&amp;D2128),2)&amp;RIGHT(("0"&amp;E2128),2)&amp;RIGHT(("0"&amp;F2128),2)&amp;RIGHT(("0"&amp;G2128),2)&amp;RIGHT(("0"&amp;H2128),2)</f>
        <v>010728304446</v>
      </c>
      <c r="J2128" s="1" t="n">
        <f aca="false">COUNTIF(I:I,I2128)</f>
        <v>1</v>
      </c>
      <c r="K2128" s="1" t="n">
        <v>0</v>
      </c>
      <c r="M2128" s="1" t="s">
        <v>23</v>
      </c>
      <c r="N2128" s="1" t="n">
        <v>76</v>
      </c>
      <c r="O2128" s="1" t="s">
        <v>11769</v>
      </c>
      <c r="P2128" s="1" t="n">
        <v>6182</v>
      </c>
      <c r="Q2128" s="1" t="s">
        <v>11770</v>
      </c>
      <c r="R2128" s="1" t="s">
        <v>11771</v>
      </c>
      <c r="S2128" s="1" t="s">
        <v>11772</v>
      </c>
      <c r="T2128" s="1" t="s">
        <v>6032</v>
      </c>
      <c r="U2128" s="1" t="s">
        <v>11773</v>
      </c>
    </row>
    <row r="2129" customFormat="false" ht="13.8" hidden="false" customHeight="false" outlineLevel="0" collapsed="false">
      <c r="A2129" s="1" t="n">
        <v>2128</v>
      </c>
      <c r="B2129" s="2" t="s">
        <v>11774</v>
      </c>
      <c r="C2129" s="1" t="n">
        <v>11</v>
      </c>
      <c r="D2129" s="1" t="n">
        <v>16</v>
      </c>
      <c r="E2129" s="1" t="n">
        <v>24</v>
      </c>
      <c r="F2129" s="1" t="n">
        <v>46</v>
      </c>
      <c r="G2129" s="1" t="n">
        <v>54</v>
      </c>
      <c r="H2129" s="1" t="n">
        <v>55</v>
      </c>
      <c r="I2129" s="1" t="str">
        <f aca="false">RIGHT(("0"&amp;C2129),2)&amp;RIGHT(("0"&amp;D2129),2)&amp;RIGHT(("0"&amp;E2129),2)&amp;RIGHT(("0"&amp;F2129),2)&amp;RIGHT(("0"&amp;G2129),2)&amp;RIGHT(("0"&amp;H2129),2)</f>
        <v>111624465455</v>
      </c>
      <c r="J2129" s="1" t="n">
        <f aca="false">COUNTIF(I:I,I2129)</f>
        <v>1</v>
      </c>
      <c r="K2129" s="1" t="n">
        <v>0</v>
      </c>
      <c r="M2129" s="1" t="s">
        <v>23</v>
      </c>
      <c r="N2129" s="1" t="n">
        <v>47</v>
      </c>
      <c r="O2129" s="1" t="s">
        <v>11775</v>
      </c>
      <c r="P2129" s="1" t="n">
        <v>4353</v>
      </c>
      <c r="Q2129" s="1" t="s">
        <v>11776</v>
      </c>
      <c r="R2129" s="1" t="s">
        <v>11777</v>
      </c>
      <c r="S2129" s="1" t="s">
        <v>11778</v>
      </c>
      <c r="T2129" s="1" t="s">
        <v>6077</v>
      </c>
      <c r="U2129" s="1" t="s">
        <v>11779</v>
      </c>
    </row>
    <row r="2130" customFormat="false" ht="13.8" hidden="false" customHeight="false" outlineLevel="0" collapsed="false">
      <c r="A2130" s="1" t="n">
        <v>2129</v>
      </c>
      <c r="B2130" s="2" t="s">
        <v>11780</v>
      </c>
      <c r="C2130" s="1" t="n">
        <v>6</v>
      </c>
      <c r="D2130" s="1" t="n">
        <v>12</v>
      </c>
      <c r="E2130" s="1" t="n">
        <v>31</v>
      </c>
      <c r="F2130" s="1" t="n">
        <v>32</v>
      </c>
      <c r="G2130" s="1" t="n">
        <v>46</v>
      </c>
      <c r="H2130" s="1" t="n">
        <v>60</v>
      </c>
      <c r="I2130" s="1" t="str">
        <f aca="false">RIGHT(("0"&amp;C2130),2)&amp;RIGHT(("0"&amp;D2130),2)&amp;RIGHT(("0"&amp;E2130),2)&amp;RIGHT(("0"&amp;F2130),2)&amp;RIGHT(("0"&amp;G2130),2)&amp;RIGHT(("0"&amp;H2130),2)</f>
        <v>061231324660</v>
      </c>
      <c r="J2130" s="1" t="n">
        <f aca="false">COUNTIF(I:I,I2130)</f>
        <v>1</v>
      </c>
      <c r="K2130" s="1" t="n">
        <v>0</v>
      </c>
      <c r="M2130" s="1" t="s">
        <v>23</v>
      </c>
      <c r="N2130" s="1" t="n">
        <v>50</v>
      </c>
      <c r="O2130" s="1" t="s">
        <v>11781</v>
      </c>
      <c r="P2130" s="1" t="n">
        <v>5113</v>
      </c>
      <c r="Q2130" s="1" t="s">
        <v>11782</v>
      </c>
      <c r="R2130" s="1" t="s">
        <v>11783</v>
      </c>
      <c r="S2130" s="1" t="s">
        <v>11784</v>
      </c>
      <c r="T2130" s="1" t="s">
        <v>11785</v>
      </c>
      <c r="U2130" s="1" t="s">
        <v>11786</v>
      </c>
    </row>
    <row r="2131" customFormat="false" ht="13.8" hidden="false" customHeight="false" outlineLevel="0" collapsed="false">
      <c r="A2131" s="1" t="n">
        <v>2130</v>
      </c>
      <c r="B2131" s="2" t="s">
        <v>11787</v>
      </c>
      <c r="C2131" s="1" t="n">
        <v>13</v>
      </c>
      <c r="D2131" s="1" t="n">
        <v>16</v>
      </c>
      <c r="E2131" s="1" t="n">
        <v>36</v>
      </c>
      <c r="F2131" s="1" t="n">
        <v>53</v>
      </c>
      <c r="G2131" s="1" t="n">
        <v>54</v>
      </c>
      <c r="H2131" s="1" t="n">
        <v>55</v>
      </c>
      <c r="I2131" s="1" t="str">
        <f aca="false">RIGHT(("0"&amp;C2131),2)&amp;RIGHT(("0"&amp;D2131),2)&amp;RIGHT(("0"&amp;E2131),2)&amp;RIGHT(("0"&amp;F2131),2)&amp;RIGHT(("0"&amp;G2131),2)&amp;RIGHT(("0"&amp;H2131),2)</f>
        <v>131636535455</v>
      </c>
      <c r="J2131" s="1" t="n">
        <f aca="false">COUNTIF(I:I,I2131)</f>
        <v>1</v>
      </c>
      <c r="K2131" s="1" t="n">
        <v>0</v>
      </c>
      <c r="M2131" s="1" t="s">
        <v>23</v>
      </c>
      <c r="N2131" s="1" t="n">
        <v>101</v>
      </c>
      <c r="O2131" s="1" t="s">
        <v>11788</v>
      </c>
      <c r="P2131" s="1" t="n">
        <v>7900</v>
      </c>
      <c r="Q2131" s="1" t="s">
        <v>11789</v>
      </c>
      <c r="R2131" s="1" t="s">
        <v>11790</v>
      </c>
      <c r="S2131" s="1" t="s">
        <v>11791</v>
      </c>
      <c r="T2131" s="1" t="s">
        <v>8842</v>
      </c>
      <c r="U2131" s="1" t="s">
        <v>11792</v>
      </c>
    </row>
    <row r="2132" customFormat="false" ht="13.8" hidden="false" customHeight="false" outlineLevel="0" collapsed="false">
      <c r="A2132" s="1" t="n">
        <v>2131</v>
      </c>
      <c r="B2132" s="2" t="s">
        <v>11793</v>
      </c>
      <c r="C2132" s="1" t="n">
        <v>2</v>
      </c>
      <c r="D2132" s="1" t="n">
        <v>3</v>
      </c>
      <c r="E2132" s="1" t="n">
        <v>6</v>
      </c>
      <c r="F2132" s="1" t="n">
        <v>18</v>
      </c>
      <c r="G2132" s="1" t="n">
        <v>20</v>
      </c>
      <c r="H2132" s="1" t="n">
        <v>28</v>
      </c>
      <c r="I2132" s="1" t="str">
        <f aca="false">RIGHT(("0"&amp;C2132),2)&amp;RIGHT(("0"&amp;D2132),2)&amp;RIGHT(("0"&amp;E2132),2)&amp;RIGHT(("0"&amp;F2132),2)&amp;RIGHT(("0"&amp;G2132),2)&amp;RIGHT(("0"&amp;H2132),2)</f>
        <v>020306182028</v>
      </c>
      <c r="J2132" s="1" t="n">
        <f aca="false">COUNTIF(I:I,I2132)</f>
        <v>1</v>
      </c>
      <c r="K2132" s="1" t="n">
        <v>1</v>
      </c>
      <c r="L2132" s="1" t="s">
        <v>11794</v>
      </c>
      <c r="M2132" s="1" t="s">
        <v>11795</v>
      </c>
      <c r="N2132" s="1" t="n">
        <v>414</v>
      </c>
      <c r="O2132" s="1" t="s">
        <v>11796</v>
      </c>
      <c r="P2132" s="1" t="n">
        <v>16733</v>
      </c>
      <c r="Q2132" s="1" t="s">
        <v>11797</v>
      </c>
      <c r="R2132" s="1" t="s">
        <v>23</v>
      </c>
      <c r="S2132" s="1" t="s">
        <v>11798</v>
      </c>
      <c r="T2132" s="1" t="s">
        <v>473</v>
      </c>
      <c r="U2132" s="1" t="s">
        <v>11799</v>
      </c>
    </row>
    <row r="2133" customFormat="false" ht="13.8" hidden="false" customHeight="false" outlineLevel="0" collapsed="false">
      <c r="A2133" s="1" t="n">
        <v>2132</v>
      </c>
      <c r="B2133" s="2" t="s">
        <v>11800</v>
      </c>
      <c r="C2133" s="1" t="n">
        <v>5</v>
      </c>
      <c r="D2133" s="1" t="n">
        <v>18</v>
      </c>
      <c r="E2133" s="1" t="n">
        <v>30</v>
      </c>
      <c r="F2133" s="1" t="n">
        <v>35</v>
      </c>
      <c r="G2133" s="1" t="n">
        <v>39</v>
      </c>
      <c r="H2133" s="1" t="n">
        <v>60</v>
      </c>
      <c r="I2133" s="1" t="str">
        <f aca="false">RIGHT(("0"&amp;C2133),2)&amp;RIGHT(("0"&amp;D2133),2)&amp;RIGHT(("0"&amp;E2133),2)&amp;RIGHT(("0"&amp;F2133),2)&amp;RIGHT(("0"&amp;G2133),2)&amp;RIGHT(("0"&amp;H2133),2)</f>
        <v>051830353960</v>
      </c>
      <c r="J2133" s="1" t="n">
        <f aca="false">COUNTIF(I:I,I2133)</f>
        <v>1</v>
      </c>
      <c r="K2133" s="1" t="n">
        <v>0</v>
      </c>
      <c r="M2133" s="1" t="s">
        <v>23</v>
      </c>
      <c r="N2133" s="1" t="n">
        <v>41</v>
      </c>
      <c r="O2133" s="1" t="s">
        <v>11801</v>
      </c>
      <c r="P2133" s="1" t="n">
        <v>2912</v>
      </c>
      <c r="Q2133" s="1" t="s">
        <v>11802</v>
      </c>
      <c r="R2133" s="1" t="s">
        <v>11803</v>
      </c>
      <c r="S2133" s="1" t="s">
        <v>11804</v>
      </c>
      <c r="T2133" s="1" t="s">
        <v>4232</v>
      </c>
      <c r="U2133" s="1" t="s">
        <v>11805</v>
      </c>
    </row>
    <row r="2134" customFormat="false" ht="13.8" hidden="false" customHeight="false" outlineLevel="0" collapsed="false">
      <c r="A2134" s="1" t="n">
        <v>2133</v>
      </c>
      <c r="B2134" s="2" t="s">
        <v>11806</v>
      </c>
      <c r="C2134" s="1" t="n">
        <v>19</v>
      </c>
      <c r="D2134" s="1" t="n">
        <v>20</v>
      </c>
      <c r="E2134" s="1" t="n">
        <v>26</v>
      </c>
      <c r="F2134" s="1" t="n">
        <v>51</v>
      </c>
      <c r="G2134" s="1" t="n">
        <v>52</v>
      </c>
      <c r="H2134" s="1" t="n">
        <v>57</v>
      </c>
      <c r="I2134" s="1" t="str">
        <f aca="false">RIGHT(("0"&amp;C2134),2)&amp;RIGHT(("0"&amp;D2134),2)&amp;RIGHT(("0"&amp;E2134),2)&amp;RIGHT(("0"&amp;F2134),2)&amp;RIGHT(("0"&amp;G2134),2)&amp;RIGHT(("0"&amp;H2134),2)</f>
        <v>192026515257</v>
      </c>
      <c r="J2134" s="1" t="n">
        <f aca="false">COUNTIF(I:I,I2134)</f>
        <v>1</v>
      </c>
      <c r="K2134" s="1" t="n">
        <v>0</v>
      </c>
      <c r="M2134" s="1" t="s">
        <v>23</v>
      </c>
      <c r="N2134" s="1" t="n">
        <v>32</v>
      </c>
      <c r="O2134" s="1" t="s">
        <v>11807</v>
      </c>
      <c r="P2134" s="1" t="n">
        <v>2790</v>
      </c>
      <c r="Q2134" s="1" t="s">
        <v>11808</v>
      </c>
      <c r="R2134" s="1" t="s">
        <v>11809</v>
      </c>
      <c r="S2134" s="1" t="s">
        <v>11810</v>
      </c>
      <c r="T2134" s="1" t="s">
        <v>4461</v>
      </c>
      <c r="U2134" s="1" t="s">
        <v>11811</v>
      </c>
    </row>
    <row r="2135" customFormat="false" ht="13.8" hidden="false" customHeight="false" outlineLevel="0" collapsed="false">
      <c r="A2135" s="1" t="n">
        <v>2134</v>
      </c>
      <c r="B2135" s="2" t="s">
        <v>11812</v>
      </c>
      <c r="C2135" s="1" t="n">
        <v>6</v>
      </c>
      <c r="D2135" s="1" t="n">
        <v>21</v>
      </c>
      <c r="E2135" s="1" t="n">
        <v>34</v>
      </c>
      <c r="F2135" s="1" t="n">
        <v>46</v>
      </c>
      <c r="G2135" s="1" t="n">
        <v>54</v>
      </c>
      <c r="H2135" s="1" t="n">
        <v>59</v>
      </c>
      <c r="I2135" s="1" t="str">
        <f aca="false">RIGHT(("0"&amp;C2135),2)&amp;RIGHT(("0"&amp;D2135),2)&amp;RIGHT(("0"&amp;E2135),2)&amp;RIGHT(("0"&amp;F2135),2)&amp;RIGHT(("0"&amp;G2135),2)&amp;RIGHT(("0"&amp;H2135),2)</f>
        <v>062134465459</v>
      </c>
      <c r="J2135" s="1" t="n">
        <f aca="false">COUNTIF(I:I,I2135)</f>
        <v>1</v>
      </c>
      <c r="K2135" s="1" t="n">
        <v>0</v>
      </c>
      <c r="M2135" s="1" t="s">
        <v>23</v>
      </c>
      <c r="N2135" s="1" t="n">
        <v>60</v>
      </c>
      <c r="O2135" s="1" t="s">
        <v>11813</v>
      </c>
      <c r="P2135" s="1" t="n">
        <v>4157</v>
      </c>
      <c r="Q2135" s="1" t="s">
        <v>11814</v>
      </c>
      <c r="R2135" s="1" t="s">
        <v>11815</v>
      </c>
      <c r="S2135" s="1" t="s">
        <v>11816</v>
      </c>
      <c r="T2135" s="1" t="s">
        <v>4304</v>
      </c>
      <c r="U2135" s="1" t="s">
        <v>11817</v>
      </c>
    </row>
    <row r="2136" customFormat="false" ht="13.8" hidden="false" customHeight="false" outlineLevel="0" collapsed="false">
      <c r="A2136" s="1" t="n">
        <v>2135</v>
      </c>
      <c r="B2136" s="2" t="s">
        <v>11818</v>
      </c>
      <c r="C2136" s="1" t="n">
        <v>9</v>
      </c>
      <c r="D2136" s="1" t="n">
        <v>23</v>
      </c>
      <c r="E2136" s="1" t="n">
        <v>28</v>
      </c>
      <c r="F2136" s="1" t="n">
        <v>40</v>
      </c>
      <c r="G2136" s="1" t="n">
        <v>48</v>
      </c>
      <c r="H2136" s="1" t="n">
        <v>59</v>
      </c>
      <c r="I2136" s="1" t="str">
        <f aca="false">RIGHT(("0"&amp;C2136),2)&amp;RIGHT(("0"&amp;D2136),2)&amp;RIGHT(("0"&amp;E2136),2)&amp;RIGHT(("0"&amp;F2136),2)&amp;RIGHT(("0"&amp;G2136),2)&amp;RIGHT(("0"&amp;H2136),2)</f>
        <v>092328404859</v>
      </c>
      <c r="J2136" s="1" t="n">
        <f aca="false">COUNTIF(I:I,I2136)</f>
        <v>1</v>
      </c>
      <c r="K2136" s="1" t="n">
        <v>1</v>
      </c>
      <c r="L2136" s="1" t="s">
        <v>6843</v>
      </c>
      <c r="M2136" s="1" t="s">
        <v>11819</v>
      </c>
      <c r="N2136" s="1" t="n">
        <v>50</v>
      </c>
      <c r="O2136" s="1" t="s">
        <v>11820</v>
      </c>
      <c r="P2136" s="1" t="n">
        <v>4546</v>
      </c>
      <c r="Q2136" s="1" t="s">
        <v>11821</v>
      </c>
      <c r="R2136" s="1" t="s">
        <v>23</v>
      </c>
      <c r="S2136" s="1" t="s">
        <v>11822</v>
      </c>
      <c r="T2136" s="1" t="s">
        <v>473</v>
      </c>
      <c r="U2136" s="1" t="s">
        <v>11823</v>
      </c>
    </row>
    <row r="2137" customFormat="false" ht="13.8" hidden="false" customHeight="false" outlineLevel="0" collapsed="false">
      <c r="A2137" s="1" t="n">
        <v>2136</v>
      </c>
      <c r="B2137" s="2" t="s">
        <v>11824</v>
      </c>
      <c r="C2137" s="1" t="n">
        <v>1</v>
      </c>
      <c r="D2137" s="1" t="n">
        <v>8</v>
      </c>
      <c r="E2137" s="1" t="n">
        <v>11</v>
      </c>
      <c r="F2137" s="1" t="n">
        <v>22</v>
      </c>
      <c r="G2137" s="1" t="n">
        <v>30</v>
      </c>
      <c r="H2137" s="1" t="n">
        <v>35</v>
      </c>
      <c r="I2137" s="1" t="str">
        <f aca="false">RIGHT(("0"&amp;C2137),2)&amp;RIGHT(("0"&amp;D2137),2)&amp;RIGHT(("0"&amp;E2137),2)&amp;RIGHT(("0"&amp;F2137),2)&amp;RIGHT(("0"&amp;G2137),2)&amp;RIGHT(("0"&amp;H2137),2)</f>
        <v>010811223035</v>
      </c>
      <c r="J2137" s="1" t="n">
        <f aca="false">COUNTIF(I:I,I2137)</f>
        <v>1</v>
      </c>
      <c r="K2137" s="1" t="n">
        <v>0</v>
      </c>
      <c r="M2137" s="1" t="s">
        <v>23</v>
      </c>
      <c r="N2137" s="1" t="n">
        <v>63</v>
      </c>
      <c r="O2137" s="1" t="s">
        <v>11825</v>
      </c>
      <c r="P2137" s="1" t="n">
        <v>4209</v>
      </c>
      <c r="Q2137" s="1" t="s">
        <v>11826</v>
      </c>
      <c r="R2137" s="1" t="s">
        <v>11827</v>
      </c>
      <c r="S2137" s="1" t="s">
        <v>11828</v>
      </c>
      <c r="T2137" s="1" t="s">
        <v>4342</v>
      </c>
      <c r="U2137" s="1" t="s">
        <v>11829</v>
      </c>
    </row>
    <row r="2138" customFormat="false" ht="13.8" hidden="false" customHeight="false" outlineLevel="0" collapsed="false">
      <c r="A2138" s="1" t="n">
        <v>2137</v>
      </c>
      <c r="B2138" s="2" t="s">
        <v>11830</v>
      </c>
      <c r="C2138" s="1" t="n">
        <v>1</v>
      </c>
      <c r="D2138" s="1" t="n">
        <v>2</v>
      </c>
      <c r="E2138" s="1" t="n">
        <v>11</v>
      </c>
      <c r="F2138" s="1" t="n">
        <v>12</v>
      </c>
      <c r="G2138" s="1" t="n">
        <v>34</v>
      </c>
      <c r="H2138" s="1" t="n">
        <v>49</v>
      </c>
      <c r="I2138" s="1" t="str">
        <f aca="false">RIGHT(("0"&amp;C2138),2)&amp;RIGHT(("0"&amp;D2138),2)&amp;RIGHT(("0"&amp;E2138),2)&amp;RIGHT(("0"&amp;F2138),2)&amp;RIGHT(("0"&amp;G2138),2)&amp;RIGHT(("0"&amp;H2138),2)</f>
        <v>010211123449</v>
      </c>
      <c r="J2138" s="1" t="n">
        <f aca="false">COUNTIF(I:I,I2138)</f>
        <v>1</v>
      </c>
      <c r="K2138" s="1" t="n">
        <v>0</v>
      </c>
      <c r="M2138" s="1" t="s">
        <v>23</v>
      </c>
      <c r="N2138" s="1" t="n">
        <v>45</v>
      </c>
      <c r="O2138" s="1" t="s">
        <v>11831</v>
      </c>
      <c r="P2138" s="1" t="n">
        <v>4488</v>
      </c>
      <c r="Q2138" s="1" t="s">
        <v>11832</v>
      </c>
      <c r="R2138" s="1" t="s">
        <v>11833</v>
      </c>
      <c r="S2138" s="1" t="s">
        <v>11834</v>
      </c>
      <c r="T2138" s="1" t="s">
        <v>4195</v>
      </c>
      <c r="U2138" s="1" t="s">
        <v>11835</v>
      </c>
    </row>
    <row r="2139" customFormat="false" ht="13.8" hidden="false" customHeight="false" outlineLevel="0" collapsed="false">
      <c r="A2139" s="1" t="n">
        <v>2138</v>
      </c>
      <c r="B2139" s="2" t="s">
        <v>11836</v>
      </c>
      <c r="C2139" s="1" t="n">
        <v>4</v>
      </c>
      <c r="D2139" s="1" t="n">
        <v>13</v>
      </c>
      <c r="E2139" s="1" t="n">
        <v>14</v>
      </c>
      <c r="F2139" s="1" t="n">
        <v>21</v>
      </c>
      <c r="G2139" s="1" t="n">
        <v>30</v>
      </c>
      <c r="H2139" s="1" t="n">
        <v>34</v>
      </c>
      <c r="I2139" s="1" t="str">
        <f aca="false">RIGHT(("0"&amp;C2139),2)&amp;RIGHT(("0"&amp;D2139),2)&amp;RIGHT(("0"&amp;E2139),2)&amp;RIGHT(("0"&amp;F2139),2)&amp;RIGHT(("0"&amp;G2139),2)&amp;RIGHT(("0"&amp;H2139),2)</f>
        <v>041314213034</v>
      </c>
      <c r="J2139" s="1" t="n">
        <f aca="false">COUNTIF(I:I,I2139)</f>
        <v>1</v>
      </c>
      <c r="K2139" s="1" t="n">
        <v>0</v>
      </c>
      <c r="M2139" s="1" t="s">
        <v>23</v>
      </c>
      <c r="N2139" s="1" t="n">
        <v>59</v>
      </c>
      <c r="O2139" s="1" t="s">
        <v>11837</v>
      </c>
      <c r="P2139" s="1" t="n">
        <v>4532</v>
      </c>
      <c r="Q2139" s="1" t="s">
        <v>11838</v>
      </c>
      <c r="R2139" s="1" t="s">
        <v>11839</v>
      </c>
      <c r="S2139" s="1" t="s">
        <v>11840</v>
      </c>
      <c r="T2139" s="1" t="s">
        <v>3602</v>
      </c>
      <c r="U2139" s="1" t="s">
        <v>11841</v>
      </c>
    </row>
    <row r="2140" customFormat="false" ht="13.8" hidden="false" customHeight="false" outlineLevel="0" collapsed="false">
      <c r="A2140" s="1" t="n">
        <v>2139</v>
      </c>
      <c r="B2140" s="2" t="s">
        <v>11842</v>
      </c>
      <c r="C2140" s="1" t="n">
        <v>14</v>
      </c>
      <c r="D2140" s="1" t="n">
        <v>23</v>
      </c>
      <c r="E2140" s="1" t="n">
        <v>29</v>
      </c>
      <c r="F2140" s="1" t="n">
        <v>41</v>
      </c>
      <c r="G2140" s="1" t="n">
        <v>57</v>
      </c>
      <c r="H2140" s="1" t="n">
        <v>58</v>
      </c>
      <c r="I2140" s="1" t="str">
        <f aca="false">RIGHT(("0"&amp;C2140),2)&amp;RIGHT(("0"&amp;D2140),2)&amp;RIGHT(("0"&amp;E2140),2)&amp;RIGHT(("0"&amp;F2140),2)&amp;RIGHT(("0"&amp;G2140),2)&amp;RIGHT(("0"&amp;H2140),2)</f>
        <v>142329415758</v>
      </c>
      <c r="J2140" s="1" t="n">
        <f aca="false">COUNTIF(I:I,I2140)</f>
        <v>1</v>
      </c>
      <c r="K2140" s="1" t="n">
        <v>0</v>
      </c>
      <c r="M2140" s="1" t="s">
        <v>23</v>
      </c>
      <c r="N2140" s="1" t="n">
        <v>65</v>
      </c>
      <c r="O2140" s="1" t="s">
        <v>11843</v>
      </c>
      <c r="P2140" s="1" t="n">
        <v>3441</v>
      </c>
      <c r="Q2140" s="1" t="s">
        <v>11844</v>
      </c>
      <c r="R2140" s="1" t="s">
        <v>11845</v>
      </c>
      <c r="S2140" s="1" t="s">
        <v>11846</v>
      </c>
      <c r="T2140" s="1" t="s">
        <v>4935</v>
      </c>
      <c r="U2140" s="1" t="s">
        <v>11847</v>
      </c>
    </row>
    <row r="2141" customFormat="false" ht="13.8" hidden="false" customHeight="false" outlineLevel="0" collapsed="false">
      <c r="A2141" s="1" t="n">
        <v>2140</v>
      </c>
      <c r="B2141" s="2" t="s">
        <v>11848</v>
      </c>
      <c r="C2141" s="1" t="n">
        <v>17</v>
      </c>
      <c r="D2141" s="1" t="n">
        <v>20</v>
      </c>
      <c r="E2141" s="1" t="n">
        <v>26</v>
      </c>
      <c r="F2141" s="1" t="n">
        <v>36</v>
      </c>
      <c r="G2141" s="1" t="n">
        <v>42</v>
      </c>
      <c r="H2141" s="1" t="n">
        <v>54</v>
      </c>
      <c r="I2141" s="1" t="str">
        <f aca="false">RIGHT(("0"&amp;C2141),2)&amp;RIGHT(("0"&amp;D2141),2)&amp;RIGHT(("0"&amp;E2141),2)&amp;RIGHT(("0"&amp;F2141),2)&amp;RIGHT(("0"&amp;G2141),2)&amp;RIGHT(("0"&amp;H2141),2)</f>
        <v>172026364254</v>
      </c>
      <c r="J2141" s="1" t="n">
        <f aca="false">COUNTIF(I:I,I2141)</f>
        <v>1</v>
      </c>
      <c r="K2141" s="1" t="n">
        <v>0</v>
      </c>
      <c r="M2141" s="1" t="s">
        <v>23</v>
      </c>
      <c r="N2141" s="1" t="n">
        <v>66</v>
      </c>
      <c r="O2141" s="1" t="s">
        <v>11849</v>
      </c>
      <c r="P2141" s="1" t="n">
        <v>5044</v>
      </c>
      <c r="Q2141" s="1" t="s">
        <v>11850</v>
      </c>
      <c r="R2141" s="1" t="s">
        <v>11851</v>
      </c>
      <c r="S2141" s="1" t="s">
        <v>11852</v>
      </c>
      <c r="T2141" s="1" t="s">
        <v>4309</v>
      </c>
      <c r="U2141" s="1" t="s">
        <v>11853</v>
      </c>
    </row>
    <row r="2142" customFormat="false" ht="13.8" hidden="false" customHeight="false" outlineLevel="0" collapsed="false">
      <c r="A2142" s="1" t="n">
        <v>2141</v>
      </c>
      <c r="B2142" s="2" t="s">
        <v>11854</v>
      </c>
      <c r="C2142" s="1" t="n">
        <v>10</v>
      </c>
      <c r="D2142" s="1" t="n">
        <v>11</v>
      </c>
      <c r="E2142" s="1" t="n">
        <v>17</v>
      </c>
      <c r="F2142" s="1" t="n">
        <v>19</v>
      </c>
      <c r="G2142" s="1" t="n">
        <v>37</v>
      </c>
      <c r="H2142" s="1" t="n">
        <v>41</v>
      </c>
      <c r="I2142" s="1" t="str">
        <f aca="false">RIGHT(("0"&amp;C2142),2)&amp;RIGHT(("0"&amp;D2142),2)&amp;RIGHT(("0"&amp;E2142),2)&amp;RIGHT(("0"&amp;F2142),2)&amp;RIGHT(("0"&amp;G2142),2)&amp;RIGHT(("0"&amp;H2142),2)</f>
        <v>101117193741</v>
      </c>
      <c r="J2142" s="1" t="n">
        <f aca="false">COUNTIF(I:I,I2142)</f>
        <v>1</v>
      </c>
      <c r="K2142" s="1" t="n">
        <v>0</v>
      </c>
      <c r="M2142" s="1" t="s">
        <v>23</v>
      </c>
      <c r="N2142" s="1" t="n">
        <v>117</v>
      </c>
      <c r="O2142" s="1" t="s">
        <v>11855</v>
      </c>
      <c r="P2142" s="1" t="n">
        <v>8868</v>
      </c>
      <c r="Q2142" s="1" t="s">
        <v>11856</v>
      </c>
      <c r="R2142" s="1" t="s">
        <v>11857</v>
      </c>
      <c r="S2142" s="1" t="s">
        <v>11858</v>
      </c>
      <c r="T2142" s="1" t="s">
        <v>4314</v>
      </c>
      <c r="U2142" s="1" t="s">
        <v>11859</v>
      </c>
    </row>
    <row r="2143" customFormat="false" ht="13.8" hidden="false" customHeight="false" outlineLevel="0" collapsed="false">
      <c r="A2143" s="1" t="n">
        <v>2142</v>
      </c>
      <c r="B2143" s="2" t="s">
        <v>11860</v>
      </c>
      <c r="C2143" s="1" t="n">
        <v>7</v>
      </c>
      <c r="D2143" s="1" t="n">
        <v>40</v>
      </c>
      <c r="E2143" s="1" t="n">
        <v>44</v>
      </c>
      <c r="F2143" s="1" t="n">
        <v>50</v>
      </c>
      <c r="G2143" s="1" t="n">
        <v>52</v>
      </c>
      <c r="H2143" s="1" t="n">
        <v>57</v>
      </c>
      <c r="I2143" s="1" t="str">
        <f aca="false">RIGHT(("0"&amp;C2143),2)&amp;RIGHT(("0"&amp;D2143),2)&amp;RIGHT(("0"&amp;E2143),2)&amp;RIGHT(("0"&amp;F2143),2)&amp;RIGHT(("0"&amp;G2143),2)&amp;RIGHT(("0"&amp;H2143),2)</f>
        <v>074044505257</v>
      </c>
      <c r="J2143" s="1" t="n">
        <f aca="false">COUNTIF(I:I,I2143)</f>
        <v>1</v>
      </c>
      <c r="K2143" s="1" t="n">
        <v>0</v>
      </c>
      <c r="M2143" s="1" t="s">
        <v>23</v>
      </c>
      <c r="N2143" s="1" t="n">
        <v>65</v>
      </c>
      <c r="O2143" s="1" t="s">
        <v>11861</v>
      </c>
      <c r="P2143" s="1" t="n">
        <v>5028</v>
      </c>
      <c r="Q2143" s="1" t="s">
        <v>11862</v>
      </c>
      <c r="R2143" s="1" t="s">
        <v>11863</v>
      </c>
      <c r="S2143" s="1" t="s">
        <v>11864</v>
      </c>
      <c r="T2143" s="1" t="s">
        <v>4727</v>
      </c>
      <c r="U2143" s="1" t="s">
        <v>11865</v>
      </c>
    </row>
    <row r="2144" customFormat="false" ht="13.8" hidden="false" customHeight="false" outlineLevel="0" collapsed="false">
      <c r="A2144" s="1" t="n">
        <v>2143</v>
      </c>
      <c r="B2144" s="2" t="s">
        <v>11866</v>
      </c>
      <c r="C2144" s="1" t="n">
        <v>2</v>
      </c>
      <c r="D2144" s="1" t="n">
        <v>12</v>
      </c>
      <c r="E2144" s="1" t="n">
        <v>35</v>
      </c>
      <c r="F2144" s="1" t="n">
        <v>51</v>
      </c>
      <c r="G2144" s="1" t="n">
        <v>57</v>
      </c>
      <c r="H2144" s="1" t="n">
        <v>58</v>
      </c>
      <c r="I2144" s="1" t="str">
        <f aca="false">RIGHT(("0"&amp;C2144),2)&amp;RIGHT(("0"&amp;D2144),2)&amp;RIGHT(("0"&amp;E2144),2)&amp;RIGHT(("0"&amp;F2144),2)&amp;RIGHT(("0"&amp;G2144),2)&amp;RIGHT(("0"&amp;H2144),2)</f>
        <v>021235515758</v>
      </c>
      <c r="J2144" s="1" t="n">
        <f aca="false">COUNTIF(I:I,I2144)</f>
        <v>1</v>
      </c>
      <c r="K2144" s="1" t="n">
        <v>0</v>
      </c>
      <c r="M2144" s="1" t="s">
        <v>23</v>
      </c>
      <c r="N2144" s="1" t="n">
        <v>81</v>
      </c>
      <c r="O2144" s="1" t="s">
        <v>11867</v>
      </c>
      <c r="P2144" s="1" t="n">
        <v>6545</v>
      </c>
      <c r="Q2144" s="1" t="s">
        <v>11868</v>
      </c>
      <c r="R2144" s="1" t="s">
        <v>11869</v>
      </c>
      <c r="S2144" s="1" t="s">
        <v>11870</v>
      </c>
      <c r="T2144" s="1" t="s">
        <v>8797</v>
      </c>
      <c r="U2144" s="1" t="s">
        <v>11871</v>
      </c>
    </row>
    <row r="2145" customFormat="false" ht="13.8" hidden="false" customHeight="false" outlineLevel="0" collapsed="false">
      <c r="A2145" s="1" t="n">
        <v>2144</v>
      </c>
      <c r="B2145" s="2" t="s">
        <v>11872</v>
      </c>
      <c r="C2145" s="1" t="n">
        <v>7</v>
      </c>
      <c r="D2145" s="1" t="n">
        <v>16</v>
      </c>
      <c r="E2145" s="1" t="n">
        <v>21</v>
      </c>
      <c r="F2145" s="1" t="n">
        <v>33</v>
      </c>
      <c r="G2145" s="1" t="n">
        <v>55</v>
      </c>
      <c r="H2145" s="1" t="n">
        <v>60</v>
      </c>
      <c r="I2145" s="1" t="str">
        <f aca="false">RIGHT(("0"&amp;C2145),2)&amp;RIGHT(("0"&amp;D2145),2)&amp;RIGHT(("0"&amp;E2145),2)&amp;RIGHT(("0"&amp;F2145),2)&amp;RIGHT(("0"&amp;G2145),2)&amp;RIGHT(("0"&amp;H2145),2)</f>
        <v>071621335560</v>
      </c>
      <c r="J2145" s="1" t="n">
        <f aca="false">COUNTIF(I:I,I2145)</f>
        <v>1</v>
      </c>
      <c r="K2145" s="1" t="n">
        <v>0</v>
      </c>
      <c r="M2145" s="1" t="s">
        <v>23</v>
      </c>
      <c r="N2145" s="1" t="n">
        <v>188</v>
      </c>
      <c r="O2145" s="1" t="s">
        <v>11873</v>
      </c>
      <c r="P2145" s="1" t="n">
        <v>10251</v>
      </c>
      <c r="Q2145" s="1" t="s">
        <v>11874</v>
      </c>
      <c r="R2145" s="1" t="s">
        <v>11875</v>
      </c>
      <c r="S2145" s="1" t="s">
        <v>11876</v>
      </c>
      <c r="T2145" s="1" t="s">
        <v>9814</v>
      </c>
      <c r="U2145" s="1" t="s">
        <v>11877</v>
      </c>
    </row>
    <row r="2146" customFormat="false" ht="13.8" hidden="false" customHeight="false" outlineLevel="0" collapsed="false">
      <c r="A2146" s="1" t="n">
        <v>2145</v>
      </c>
      <c r="B2146" s="2" t="s">
        <v>11878</v>
      </c>
      <c r="C2146" s="1" t="n">
        <v>6</v>
      </c>
      <c r="D2146" s="1" t="n">
        <v>8</v>
      </c>
      <c r="E2146" s="1" t="n">
        <v>28</v>
      </c>
      <c r="F2146" s="1" t="n">
        <v>51</v>
      </c>
      <c r="G2146" s="1" t="n">
        <v>53</v>
      </c>
      <c r="H2146" s="1" t="n">
        <v>59</v>
      </c>
      <c r="I2146" s="1" t="str">
        <f aca="false">RIGHT(("0"&amp;C2146),2)&amp;RIGHT(("0"&amp;D2146),2)&amp;RIGHT(("0"&amp;E2146),2)&amp;RIGHT(("0"&amp;F2146),2)&amp;RIGHT(("0"&amp;G2146),2)&amp;RIGHT(("0"&amp;H2146),2)</f>
        <v>060828515359</v>
      </c>
      <c r="J2146" s="1" t="n">
        <f aca="false">COUNTIF(I:I,I2146)</f>
        <v>1</v>
      </c>
      <c r="K2146" s="1" t="n">
        <v>0</v>
      </c>
      <c r="M2146" s="1" t="s">
        <v>23</v>
      </c>
      <c r="N2146" s="1" t="n">
        <v>115</v>
      </c>
      <c r="O2146" s="1" t="s">
        <v>11879</v>
      </c>
      <c r="P2146" s="1" t="n">
        <v>10504</v>
      </c>
      <c r="Q2146" s="1" t="s">
        <v>11880</v>
      </c>
      <c r="R2146" s="1" t="s">
        <v>11881</v>
      </c>
      <c r="S2146" s="1" t="s">
        <v>11882</v>
      </c>
      <c r="T2146" s="1" t="s">
        <v>8343</v>
      </c>
      <c r="U2146" s="1" t="s">
        <v>11883</v>
      </c>
    </row>
    <row r="2147" customFormat="false" ht="13.8" hidden="false" customHeight="false" outlineLevel="0" collapsed="false">
      <c r="A2147" s="1" t="n">
        <v>2146</v>
      </c>
      <c r="B2147" s="2" t="s">
        <v>11884</v>
      </c>
      <c r="C2147" s="1" t="n">
        <v>16</v>
      </c>
      <c r="D2147" s="1" t="n">
        <v>18</v>
      </c>
      <c r="E2147" s="1" t="n">
        <v>31</v>
      </c>
      <c r="F2147" s="1" t="n">
        <v>39</v>
      </c>
      <c r="G2147" s="1" t="n">
        <v>42</v>
      </c>
      <c r="H2147" s="1" t="n">
        <v>44</v>
      </c>
      <c r="I2147" s="1" t="str">
        <f aca="false">RIGHT(("0"&amp;C2147),2)&amp;RIGHT(("0"&amp;D2147),2)&amp;RIGHT(("0"&amp;E2147),2)&amp;RIGHT(("0"&amp;F2147),2)&amp;RIGHT(("0"&amp;G2147),2)&amp;RIGHT(("0"&amp;H2147),2)</f>
        <v>161831394244</v>
      </c>
      <c r="J2147" s="1" t="n">
        <f aca="false">COUNTIF(I:I,I2147)</f>
        <v>1</v>
      </c>
      <c r="K2147" s="1" t="n">
        <v>0</v>
      </c>
      <c r="M2147" s="1" t="s">
        <v>23</v>
      </c>
      <c r="N2147" s="1" t="n">
        <v>283</v>
      </c>
      <c r="O2147" s="1" t="s">
        <v>11885</v>
      </c>
      <c r="P2147" s="1" t="n">
        <v>15338</v>
      </c>
      <c r="Q2147" s="1" t="s">
        <v>11886</v>
      </c>
      <c r="R2147" s="1" t="s">
        <v>11887</v>
      </c>
      <c r="S2147" s="1" t="s">
        <v>11888</v>
      </c>
      <c r="T2147" s="1" t="s">
        <v>9554</v>
      </c>
      <c r="U2147" s="1" t="s">
        <v>11889</v>
      </c>
    </row>
    <row r="2148" customFormat="false" ht="13.8" hidden="false" customHeight="false" outlineLevel="0" collapsed="false">
      <c r="A2148" s="1" t="n">
        <v>2147</v>
      </c>
      <c r="B2148" s="2" t="s">
        <v>11890</v>
      </c>
      <c r="C2148" s="1" t="n">
        <v>17</v>
      </c>
      <c r="D2148" s="1" t="n">
        <v>19</v>
      </c>
      <c r="E2148" s="1" t="n">
        <v>37</v>
      </c>
      <c r="F2148" s="1" t="n">
        <v>41</v>
      </c>
      <c r="G2148" s="1" t="n">
        <v>42</v>
      </c>
      <c r="H2148" s="1" t="n">
        <v>49</v>
      </c>
      <c r="I2148" s="1" t="str">
        <f aca="false">RIGHT(("0"&amp;C2148),2)&amp;RIGHT(("0"&amp;D2148),2)&amp;RIGHT(("0"&amp;E2148),2)&amp;RIGHT(("0"&amp;F2148),2)&amp;RIGHT(("0"&amp;G2148),2)&amp;RIGHT(("0"&amp;H2148),2)</f>
        <v>171937414249</v>
      </c>
      <c r="J2148" s="1" t="n">
        <f aca="false">COUNTIF(I:I,I2148)</f>
        <v>1</v>
      </c>
      <c r="K2148" s="1" t="n">
        <v>0</v>
      </c>
      <c r="M2148" s="1" t="s">
        <v>23</v>
      </c>
      <c r="N2148" s="1" t="n">
        <v>366</v>
      </c>
      <c r="O2148" s="1" t="s">
        <v>11891</v>
      </c>
      <c r="P2148" s="1" t="n">
        <v>28045</v>
      </c>
      <c r="Q2148" s="1" t="s">
        <v>11892</v>
      </c>
      <c r="R2148" s="1" t="s">
        <v>11893</v>
      </c>
      <c r="S2148" s="1" t="s">
        <v>11894</v>
      </c>
      <c r="T2148" s="1" t="s">
        <v>11895</v>
      </c>
      <c r="U2148" s="1" t="s">
        <v>11896</v>
      </c>
    </row>
    <row r="2149" customFormat="false" ht="13.8" hidden="false" customHeight="false" outlineLevel="0" collapsed="false">
      <c r="A2149" s="1" t="n">
        <v>2148</v>
      </c>
      <c r="B2149" s="2" t="s">
        <v>11897</v>
      </c>
      <c r="C2149" s="1" t="n">
        <v>8</v>
      </c>
      <c r="D2149" s="1" t="n">
        <v>15</v>
      </c>
      <c r="E2149" s="1" t="n">
        <v>32</v>
      </c>
      <c r="F2149" s="1" t="n">
        <v>33</v>
      </c>
      <c r="G2149" s="1" t="n">
        <v>58</v>
      </c>
      <c r="H2149" s="1" t="n">
        <v>59</v>
      </c>
      <c r="I2149" s="1" t="str">
        <f aca="false">RIGHT(("0"&amp;C2149),2)&amp;RIGHT(("0"&amp;D2149),2)&amp;RIGHT(("0"&amp;E2149),2)&amp;RIGHT(("0"&amp;F2149),2)&amp;RIGHT(("0"&amp;G2149),2)&amp;RIGHT(("0"&amp;H2149),2)</f>
        <v>081532335859</v>
      </c>
      <c r="J2149" s="1" t="n">
        <f aca="false">COUNTIF(I:I,I2149)</f>
        <v>1</v>
      </c>
      <c r="K2149" s="1" t="n">
        <v>0</v>
      </c>
      <c r="M2149" s="1" t="s">
        <v>23</v>
      </c>
      <c r="N2149" s="1" t="n">
        <v>296</v>
      </c>
      <c r="O2149" s="1" t="s">
        <v>11898</v>
      </c>
      <c r="P2149" s="1" t="n">
        <v>21684</v>
      </c>
      <c r="Q2149" s="1" t="s">
        <v>11899</v>
      </c>
      <c r="R2149" s="1" t="s">
        <v>11900</v>
      </c>
      <c r="S2149" s="1" t="s">
        <v>11901</v>
      </c>
      <c r="T2149" s="1" t="s">
        <v>6916</v>
      </c>
      <c r="U2149" s="1" t="s">
        <v>11902</v>
      </c>
    </row>
    <row r="2150" customFormat="false" ht="13.8" hidden="false" customHeight="false" outlineLevel="0" collapsed="false">
      <c r="A2150" s="1" t="n">
        <v>2149</v>
      </c>
      <c r="B2150" s="2" t="s">
        <v>11903</v>
      </c>
      <c r="C2150" s="1" t="n">
        <v>21</v>
      </c>
      <c r="D2150" s="1" t="n">
        <v>23</v>
      </c>
      <c r="E2150" s="1" t="n">
        <v>37</v>
      </c>
      <c r="F2150" s="1" t="n">
        <v>44</v>
      </c>
      <c r="G2150" s="1" t="n">
        <v>46</v>
      </c>
      <c r="H2150" s="1" t="n">
        <v>48</v>
      </c>
      <c r="I2150" s="1" t="str">
        <f aca="false">RIGHT(("0"&amp;C2150),2)&amp;RIGHT(("0"&amp;D2150),2)&amp;RIGHT(("0"&amp;E2150),2)&amp;RIGHT(("0"&amp;F2150),2)&amp;RIGHT(("0"&amp;G2150),2)&amp;RIGHT(("0"&amp;H2150),2)</f>
        <v>212337444648</v>
      </c>
      <c r="J2150" s="1" t="n">
        <f aca="false">COUNTIF(I:I,I2150)</f>
        <v>1</v>
      </c>
      <c r="K2150" s="1" t="n">
        <v>0</v>
      </c>
      <c r="M2150" s="1" t="s">
        <v>23</v>
      </c>
      <c r="N2150" s="1" t="n">
        <v>496</v>
      </c>
      <c r="O2150" s="1" t="s">
        <v>11904</v>
      </c>
      <c r="P2150" s="1" t="n">
        <v>32880</v>
      </c>
      <c r="Q2150" s="1" t="s">
        <v>11905</v>
      </c>
      <c r="R2150" s="1" t="s">
        <v>11906</v>
      </c>
      <c r="S2150" s="1" t="s">
        <v>11907</v>
      </c>
      <c r="T2150" s="1" t="s">
        <v>11908</v>
      </c>
      <c r="U2150" s="1" t="s">
        <v>11909</v>
      </c>
    </row>
    <row r="2151" customFormat="false" ht="13.8" hidden="false" customHeight="false" outlineLevel="0" collapsed="false">
      <c r="A2151" s="1" t="n">
        <v>2150</v>
      </c>
      <c r="B2151" s="2" t="s">
        <v>11910</v>
      </c>
      <c r="C2151" s="1" t="n">
        <v>23</v>
      </c>
      <c r="D2151" s="1" t="n">
        <v>24</v>
      </c>
      <c r="E2151" s="1" t="n">
        <v>26</v>
      </c>
      <c r="F2151" s="1" t="n">
        <v>38</v>
      </c>
      <c r="G2151" s="1" t="n">
        <v>42</v>
      </c>
      <c r="H2151" s="1" t="n">
        <v>49</v>
      </c>
      <c r="I2151" s="1" t="str">
        <f aca="false">RIGHT(("0"&amp;C2151),2)&amp;RIGHT(("0"&amp;D2151),2)&amp;RIGHT(("0"&amp;E2151),2)&amp;RIGHT(("0"&amp;F2151),2)&amp;RIGHT(("0"&amp;G2151),2)&amp;RIGHT(("0"&amp;H2151),2)</f>
        <v>232426384249</v>
      </c>
      <c r="J2151" s="1" t="n">
        <f aca="false">COUNTIF(I:I,I2151)</f>
        <v>1</v>
      </c>
      <c r="K2151" s="1" t="n">
        <v>1</v>
      </c>
      <c r="L2151" s="1" t="s">
        <v>11911</v>
      </c>
      <c r="M2151" s="1" t="s">
        <v>11912</v>
      </c>
      <c r="N2151" s="1" t="n">
        <v>838</v>
      </c>
      <c r="O2151" s="1" t="s">
        <v>11913</v>
      </c>
      <c r="P2151" s="1" t="n">
        <v>56994</v>
      </c>
      <c r="Q2151" s="1" t="s">
        <v>11914</v>
      </c>
      <c r="R2151" s="1" t="s">
        <v>23</v>
      </c>
      <c r="S2151" s="1" t="s">
        <v>11915</v>
      </c>
      <c r="T2151" s="1" t="s">
        <v>473</v>
      </c>
      <c r="U2151" s="1" t="s">
        <v>11916</v>
      </c>
      <c r="V2151" s="1" t="s">
        <v>11917</v>
      </c>
    </row>
    <row r="2152" customFormat="false" ht="13.8" hidden="false" customHeight="false" outlineLevel="0" collapsed="false">
      <c r="A2152" s="1" t="n">
        <v>2151</v>
      </c>
      <c r="B2152" s="2" t="s">
        <v>11918</v>
      </c>
      <c r="C2152" s="1" t="n">
        <v>2</v>
      </c>
      <c r="D2152" s="1" t="n">
        <v>14</v>
      </c>
      <c r="E2152" s="1" t="n">
        <v>18</v>
      </c>
      <c r="F2152" s="1" t="n">
        <v>29</v>
      </c>
      <c r="G2152" s="1" t="n">
        <v>36</v>
      </c>
      <c r="H2152" s="1" t="n">
        <v>38</v>
      </c>
      <c r="I2152" s="1" t="str">
        <f aca="false">RIGHT(("0"&amp;C2152),2)&amp;RIGHT(("0"&amp;D2152),2)&amp;RIGHT(("0"&amp;E2152),2)&amp;RIGHT(("0"&amp;F2152),2)&amp;RIGHT(("0"&amp;G2152),2)&amp;RIGHT(("0"&amp;H2152),2)</f>
        <v>021418293638</v>
      </c>
      <c r="J2152" s="1" t="n">
        <f aca="false">COUNTIF(I:I,I2152)</f>
        <v>1</v>
      </c>
      <c r="K2152" s="1" t="n">
        <v>0</v>
      </c>
      <c r="M2152" s="1" t="s">
        <v>23</v>
      </c>
      <c r="N2152" s="1" t="n">
        <v>80</v>
      </c>
      <c r="O2152" s="1" t="s">
        <v>11919</v>
      </c>
      <c r="P2152" s="1" t="n">
        <v>5236</v>
      </c>
      <c r="Q2152" s="1" t="s">
        <v>11920</v>
      </c>
      <c r="R2152" s="1" t="s">
        <v>11921</v>
      </c>
      <c r="S2152" s="1" t="s">
        <v>11922</v>
      </c>
      <c r="T2152" s="1" t="s">
        <v>4232</v>
      </c>
      <c r="U2152" s="1" t="s">
        <v>11923</v>
      </c>
    </row>
    <row r="2153" customFormat="false" ht="13.8" hidden="false" customHeight="false" outlineLevel="0" collapsed="false">
      <c r="A2153" s="1" t="n">
        <v>2152</v>
      </c>
      <c r="B2153" s="2" t="s">
        <v>11924</v>
      </c>
      <c r="C2153" s="1" t="n">
        <v>26</v>
      </c>
      <c r="D2153" s="1" t="n">
        <v>29</v>
      </c>
      <c r="E2153" s="1" t="n">
        <v>36</v>
      </c>
      <c r="F2153" s="1" t="n">
        <v>49</v>
      </c>
      <c r="G2153" s="1" t="n">
        <v>50</v>
      </c>
      <c r="H2153" s="1" t="n">
        <v>59</v>
      </c>
      <c r="I2153" s="1" t="str">
        <f aca="false">RIGHT(("0"&amp;C2153),2)&amp;RIGHT(("0"&amp;D2153),2)&amp;RIGHT(("0"&amp;E2153),2)&amp;RIGHT(("0"&amp;F2153),2)&amp;RIGHT(("0"&amp;G2153),2)&amp;RIGHT(("0"&amp;H2153),2)</f>
        <v>262936495059</v>
      </c>
      <c r="J2153" s="1" t="n">
        <f aca="false">COUNTIF(I:I,I2153)</f>
        <v>1</v>
      </c>
      <c r="K2153" s="1" t="n">
        <v>0</v>
      </c>
      <c r="M2153" s="1" t="s">
        <v>23</v>
      </c>
      <c r="N2153" s="1" t="n">
        <v>28</v>
      </c>
      <c r="O2153" s="1" t="s">
        <v>11925</v>
      </c>
      <c r="P2153" s="1" t="n">
        <v>2420</v>
      </c>
      <c r="Q2153" s="1" t="s">
        <v>11926</v>
      </c>
      <c r="R2153" s="1" t="s">
        <v>11927</v>
      </c>
      <c r="S2153" s="1" t="s">
        <v>11928</v>
      </c>
      <c r="T2153" s="1" t="s">
        <v>3727</v>
      </c>
      <c r="U2153" s="1" t="s">
        <v>11929</v>
      </c>
    </row>
    <row r="2154" customFormat="false" ht="13.8" hidden="false" customHeight="false" outlineLevel="0" collapsed="false">
      <c r="A2154" s="1" t="n">
        <v>2153</v>
      </c>
      <c r="B2154" s="2" t="s">
        <v>11930</v>
      </c>
      <c r="C2154" s="1" t="n">
        <v>8</v>
      </c>
      <c r="D2154" s="1" t="n">
        <v>13</v>
      </c>
      <c r="E2154" s="1" t="n">
        <v>28</v>
      </c>
      <c r="F2154" s="1" t="n">
        <v>31</v>
      </c>
      <c r="G2154" s="1" t="n">
        <v>32</v>
      </c>
      <c r="H2154" s="1" t="n">
        <v>33</v>
      </c>
      <c r="I2154" s="1" t="str">
        <f aca="false">RIGHT(("0"&amp;C2154),2)&amp;RIGHT(("0"&amp;D2154),2)&amp;RIGHT(("0"&amp;E2154),2)&amp;RIGHT(("0"&amp;F2154),2)&amp;RIGHT(("0"&amp;G2154),2)&amp;RIGHT(("0"&amp;H2154),2)</f>
        <v>081328313233</v>
      </c>
      <c r="J2154" s="1" t="n">
        <f aca="false">COUNTIF(I:I,I2154)</f>
        <v>1</v>
      </c>
      <c r="K2154" s="1" t="n">
        <v>1</v>
      </c>
      <c r="L2154" s="1" t="s">
        <v>11931</v>
      </c>
      <c r="M2154" s="1" t="s">
        <v>11932</v>
      </c>
      <c r="N2154" s="1" t="n">
        <v>127</v>
      </c>
      <c r="O2154" s="1" t="s">
        <v>11933</v>
      </c>
      <c r="P2154" s="1" t="n">
        <v>6356</v>
      </c>
      <c r="Q2154" s="1" t="s">
        <v>11934</v>
      </c>
      <c r="R2154" s="1" t="s">
        <v>23</v>
      </c>
      <c r="S2154" s="1" t="s">
        <v>11935</v>
      </c>
      <c r="T2154" s="1" t="s">
        <v>473</v>
      </c>
      <c r="U2154" s="1" t="s">
        <v>11936</v>
      </c>
    </row>
    <row r="2155" customFormat="false" ht="13.8" hidden="false" customHeight="false" outlineLevel="0" collapsed="false">
      <c r="A2155" s="1" t="n">
        <v>2154</v>
      </c>
      <c r="B2155" s="2" t="s">
        <v>11937</v>
      </c>
      <c r="C2155" s="1" t="n">
        <v>7</v>
      </c>
      <c r="D2155" s="1" t="n">
        <v>25</v>
      </c>
      <c r="E2155" s="1" t="n">
        <v>41</v>
      </c>
      <c r="F2155" s="1" t="n">
        <v>47</v>
      </c>
      <c r="G2155" s="1" t="n">
        <v>50</v>
      </c>
      <c r="H2155" s="1" t="n">
        <v>53</v>
      </c>
      <c r="I2155" s="1" t="str">
        <f aca="false">RIGHT(("0"&amp;C2155),2)&amp;RIGHT(("0"&amp;D2155),2)&amp;RIGHT(("0"&amp;E2155),2)&amp;RIGHT(("0"&amp;F2155),2)&amp;RIGHT(("0"&amp;G2155),2)&amp;RIGHT(("0"&amp;H2155),2)</f>
        <v>072541475053</v>
      </c>
      <c r="J2155" s="1" t="n">
        <f aca="false">COUNTIF(I:I,I2155)</f>
        <v>1</v>
      </c>
      <c r="K2155" s="1" t="n">
        <v>0</v>
      </c>
      <c r="M2155" s="1" t="s">
        <v>23</v>
      </c>
      <c r="N2155" s="1" t="n">
        <v>36</v>
      </c>
      <c r="O2155" s="1" t="s">
        <v>11938</v>
      </c>
      <c r="P2155" s="1" t="n">
        <v>2951</v>
      </c>
      <c r="Q2155" s="1" t="s">
        <v>11939</v>
      </c>
      <c r="R2155" s="1" t="s">
        <v>11940</v>
      </c>
      <c r="S2155" s="1" t="s">
        <v>11941</v>
      </c>
      <c r="T2155" s="1" t="s">
        <v>7574</v>
      </c>
      <c r="U2155" s="1" t="s">
        <v>11942</v>
      </c>
    </row>
    <row r="2156" customFormat="false" ht="13.8" hidden="false" customHeight="false" outlineLevel="0" collapsed="false">
      <c r="A2156" s="1" t="n">
        <v>2155</v>
      </c>
      <c r="B2156" s="2" t="s">
        <v>11943</v>
      </c>
      <c r="C2156" s="1" t="n">
        <v>2</v>
      </c>
      <c r="D2156" s="1" t="n">
        <v>6</v>
      </c>
      <c r="E2156" s="1" t="n">
        <v>27</v>
      </c>
      <c r="F2156" s="1" t="n">
        <v>37</v>
      </c>
      <c r="G2156" s="1" t="n">
        <v>44</v>
      </c>
      <c r="H2156" s="1" t="n">
        <v>47</v>
      </c>
      <c r="I2156" s="1" t="str">
        <f aca="false">RIGHT(("0"&amp;C2156),2)&amp;RIGHT(("0"&amp;D2156),2)&amp;RIGHT(("0"&amp;E2156),2)&amp;RIGHT(("0"&amp;F2156),2)&amp;RIGHT(("0"&amp;G2156),2)&amp;RIGHT(("0"&amp;H2156),2)</f>
        <v>020627374447</v>
      </c>
      <c r="J2156" s="1" t="n">
        <f aca="false">COUNTIF(I:I,I2156)</f>
        <v>1</v>
      </c>
      <c r="K2156" s="1" t="n">
        <v>0</v>
      </c>
      <c r="M2156" s="1" t="s">
        <v>23</v>
      </c>
      <c r="N2156" s="1" t="n">
        <v>91</v>
      </c>
      <c r="O2156" s="1" t="s">
        <v>11944</v>
      </c>
      <c r="P2156" s="1" t="n">
        <v>6630</v>
      </c>
      <c r="Q2156" s="1" t="s">
        <v>11945</v>
      </c>
      <c r="R2156" s="1" t="s">
        <v>11946</v>
      </c>
      <c r="S2156" s="1" t="s">
        <v>11947</v>
      </c>
      <c r="T2156" s="1" t="s">
        <v>5255</v>
      </c>
      <c r="U2156" s="1" t="s">
        <v>11948</v>
      </c>
    </row>
    <row r="2157" customFormat="false" ht="13.8" hidden="false" customHeight="false" outlineLevel="0" collapsed="false">
      <c r="A2157" s="1" t="n">
        <v>2156</v>
      </c>
      <c r="B2157" s="2" t="s">
        <v>11949</v>
      </c>
      <c r="C2157" s="1" t="n">
        <v>1</v>
      </c>
      <c r="D2157" s="1" t="n">
        <v>6</v>
      </c>
      <c r="E2157" s="1" t="n">
        <v>23</v>
      </c>
      <c r="F2157" s="1" t="n">
        <v>26</v>
      </c>
      <c r="G2157" s="1" t="n">
        <v>39</v>
      </c>
      <c r="H2157" s="1" t="n">
        <v>49</v>
      </c>
      <c r="I2157" s="1" t="str">
        <f aca="false">RIGHT(("0"&amp;C2157),2)&amp;RIGHT(("0"&amp;D2157),2)&amp;RIGHT(("0"&amp;E2157),2)&amp;RIGHT(("0"&amp;F2157),2)&amp;RIGHT(("0"&amp;G2157),2)&amp;RIGHT(("0"&amp;H2157),2)</f>
        <v>010623263949</v>
      </c>
      <c r="J2157" s="1" t="n">
        <f aca="false">COUNTIF(I:I,I2157)</f>
        <v>1</v>
      </c>
      <c r="K2157" s="1" t="n">
        <v>0</v>
      </c>
      <c r="M2157" s="1" t="s">
        <v>23</v>
      </c>
      <c r="N2157" s="1" t="n">
        <v>91</v>
      </c>
      <c r="O2157" s="1" t="s">
        <v>11950</v>
      </c>
      <c r="P2157" s="1" t="n">
        <v>7556</v>
      </c>
      <c r="Q2157" s="1" t="s">
        <v>11951</v>
      </c>
      <c r="R2157" s="1" t="s">
        <v>11952</v>
      </c>
      <c r="S2157" s="1" t="s">
        <v>11953</v>
      </c>
      <c r="T2157" s="1" t="s">
        <v>6693</v>
      </c>
      <c r="U2157" s="1" t="s">
        <v>11954</v>
      </c>
    </row>
    <row r="2158" customFormat="false" ht="13.8" hidden="false" customHeight="false" outlineLevel="0" collapsed="false">
      <c r="A2158" s="1" t="n">
        <v>2157</v>
      </c>
      <c r="B2158" s="2" t="s">
        <v>11955</v>
      </c>
      <c r="C2158" s="1" t="n">
        <v>31</v>
      </c>
      <c r="D2158" s="1" t="n">
        <v>33</v>
      </c>
      <c r="E2158" s="1" t="n">
        <v>34</v>
      </c>
      <c r="F2158" s="1" t="n">
        <v>35</v>
      </c>
      <c r="G2158" s="1" t="n">
        <v>39</v>
      </c>
      <c r="H2158" s="1" t="n">
        <v>48</v>
      </c>
      <c r="I2158" s="1" t="str">
        <f aca="false">RIGHT(("0"&amp;C2158),2)&amp;RIGHT(("0"&amp;D2158),2)&amp;RIGHT(("0"&amp;E2158),2)&amp;RIGHT(("0"&amp;F2158),2)&amp;RIGHT(("0"&amp;G2158),2)&amp;RIGHT(("0"&amp;H2158),2)</f>
        <v>313334353948</v>
      </c>
      <c r="J2158" s="1" t="n">
        <f aca="false">COUNTIF(I:I,I2158)</f>
        <v>1</v>
      </c>
      <c r="K2158" s="1" t="n">
        <v>0</v>
      </c>
      <c r="M2158" s="1" t="s">
        <v>23</v>
      </c>
      <c r="N2158" s="1" t="n">
        <v>188</v>
      </c>
      <c r="O2158" s="1" t="s">
        <v>11956</v>
      </c>
      <c r="P2158" s="1" t="n">
        <v>8779</v>
      </c>
      <c r="Q2158" s="1" t="s">
        <v>11957</v>
      </c>
      <c r="R2158" s="1" t="s">
        <v>11958</v>
      </c>
      <c r="S2158" s="1" t="s">
        <v>11959</v>
      </c>
      <c r="T2158" s="1" t="s">
        <v>5706</v>
      </c>
      <c r="U2158" s="1" t="s">
        <v>11960</v>
      </c>
    </row>
    <row r="2159" customFormat="false" ht="13.8" hidden="false" customHeight="false" outlineLevel="0" collapsed="false">
      <c r="A2159" s="1" t="n">
        <v>2158</v>
      </c>
      <c r="B2159" s="2" t="s">
        <v>11961</v>
      </c>
      <c r="C2159" s="1" t="n">
        <v>9</v>
      </c>
      <c r="D2159" s="1" t="n">
        <v>27</v>
      </c>
      <c r="E2159" s="1" t="n">
        <v>35</v>
      </c>
      <c r="F2159" s="1" t="n">
        <v>45</v>
      </c>
      <c r="G2159" s="1" t="n">
        <v>46</v>
      </c>
      <c r="H2159" s="1" t="n">
        <v>59</v>
      </c>
      <c r="I2159" s="1" t="str">
        <f aca="false">RIGHT(("0"&amp;C2159),2)&amp;RIGHT(("0"&amp;D2159),2)&amp;RIGHT(("0"&amp;E2159),2)&amp;RIGHT(("0"&amp;F2159),2)&amp;RIGHT(("0"&amp;G2159),2)&amp;RIGHT(("0"&amp;H2159),2)</f>
        <v>092735454659</v>
      </c>
      <c r="J2159" s="1" t="n">
        <f aca="false">COUNTIF(I:I,I2159)</f>
        <v>1</v>
      </c>
      <c r="K2159" s="1" t="n">
        <v>0</v>
      </c>
      <c r="M2159" s="1" t="s">
        <v>23</v>
      </c>
      <c r="N2159" s="1" t="n">
        <v>109</v>
      </c>
      <c r="O2159" s="1" t="s">
        <v>11962</v>
      </c>
      <c r="P2159" s="1" t="n">
        <v>8855</v>
      </c>
      <c r="Q2159" s="1" t="s">
        <v>11963</v>
      </c>
      <c r="R2159" s="1" t="s">
        <v>11964</v>
      </c>
      <c r="S2159" s="1" t="s">
        <v>11965</v>
      </c>
      <c r="T2159" s="1" t="s">
        <v>8842</v>
      </c>
      <c r="U2159" s="1" t="s">
        <v>11966</v>
      </c>
    </row>
    <row r="2160" customFormat="false" ht="13.8" hidden="false" customHeight="false" outlineLevel="0" collapsed="false">
      <c r="A2160" s="1" t="n">
        <v>2159</v>
      </c>
      <c r="B2160" s="2" t="s">
        <v>11967</v>
      </c>
      <c r="C2160" s="1" t="n">
        <v>14</v>
      </c>
      <c r="D2160" s="1" t="n">
        <v>26</v>
      </c>
      <c r="E2160" s="1" t="n">
        <v>35</v>
      </c>
      <c r="F2160" s="1" t="n">
        <v>38</v>
      </c>
      <c r="G2160" s="1" t="n">
        <v>45</v>
      </c>
      <c r="H2160" s="1" t="n">
        <v>53</v>
      </c>
      <c r="I2160" s="1" t="str">
        <f aca="false">RIGHT(("0"&amp;C2160),2)&amp;RIGHT(("0"&amp;D2160),2)&amp;RIGHT(("0"&amp;E2160),2)&amp;RIGHT(("0"&amp;F2160),2)&amp;RIGHT(("0"&amp;G2160),2)&amp;RIGHT(("0"&amp;H2160),2)</f>
        <v>142635384553</v>
      </c>
      <c r="J2160" s="1" t="n">
        <f aca="false">COUNTIF(I:I,I2160)</f>
        <v>1</v>
      </c>
      <c r="K2160" s="1" t="n">
        <v>0</v>
      </c>
      <c r="M2160" s="1" t="s">
        <v>23</v>
      </c>
      <c r="N2160" s="1" t="n">
        <v>170</v>
      </c>
      <c r="O2160" s="1" t="s">
        <v>11968</v>
      </c>
      <c r="P2160" s="1" t="n">
        <v>9781</v>
      </c>
      <c r="Q2160" s="1" t="s">
        <v>11969</v>
      </c>
      <c r="R2160" s="1" t="s">
        <v>11970</v>
      </c>
      <c r="S2160" s="1" t="s">
        <v>11971</v>
      </c>
      <c r="T2160" s="1" t="s">
        <v>6104</v>
      </c>
      <c r="U2160" s="1" t="s">
        <v>11972</v>
      </c>
    </row>
    <row r="2161" customFormat="false" ht="13.8" hidden="false" customHeight="false" outlineLevel="0" collapsed="false">
      <c r="A2161" s="1" t="n">
        <v>2160</v>
      </c>
      <c r="B2161" s="2" t="s">
        <v>11973</v>
      </c>
      <c r="C2161" s="1" t="n">
        <v>1</v>
      </c>
      <c r="D2161" s="1" t="n">
        <v>19</v>
      </c>
      <c r="E2161" s="1" t="n">
        <v>46</v>
      </c>
      <c r="F2161" s="1" t="n">
        <v>47</v>
      </c>
      <c r="G2161" s="1" t="n">
        <v>49</v>
      </c>
      <c r="H2161" s="1" t="n">
        <v>53</v>
      </c>
      <c r="I2161" s="1" t="str">
        <f aca="false">RIGHT(("0"&amp;C2161),2)&amp;RIGHT(("0"&amp;D2161),2)&amp;RIGHT(("0"&amp;E2161),2)&amp;RIGHT(("0"&amp;F2161),2)&amp;RIGHT(("0"&amp;G2161),2)&amp;RIGHT(("0"&amp;H2161),2)</f>
        <v>011946474953</v>
      </c>
      <c r="J2161" s="1" t="n">
        <f aca="false">COUNTIF(I:I,I2161)</f>
        <v>1</v>
      </c>
      <c r="K2161" s="1" t="n">
        <v>0</v>
      </c>
      <c r="M2161" s="1" t="s">
        <v>23</v>
      </c>
      <c r="N2161" s="1" t="n">
        <v>116</v>
      </c>
      <c r="O2161" s="1" t="s">
        <v>11974</v>
      </c>
      <c r="P2161" s="1" t="n">
        <v>9486</v>
      </c>
      <c r="Q2161" s="1" t="s">
        <v>11975</v>
      </c>
      <c r="R2161" s="1" t="s">
        <v>11976</v>
      </c>
      <c r="S2161" s="1" t="s">
        <v>11977</v>
      </c>
      <c r="T2161" s="1" t="s">
        <v>9554</v>
      </c>
      <c r="U2161" s="1" t="s">
        <v>11978</v>
      </c>
    </row>
    <row r="2162" customFormat="false" ht="13.8" hidden="false" customHeight="false" outlineLevel="0" collapsed="false">
      <c r="A2162" s="1" t="n">
        <v>2161</v>
      </c>
      <c r="B2162" s="2" t="s">
        <v>11979</v>
      </c>
      <c r="C2162" s="1" t="n">
        <v>8</v>
      </c>
      <c r="D2162" s="1" t="n">
        <v>9</v>
      </c>
      <c r="E2162" s="1" t="n">
        <v>10</v>
      </c>
      <c r="F2162" s="1" t="n">
        <v>24</v>
      </c>
      <c r="G2162" s="1" t="n">
        <v>42</v>
      </c>
      <c r="H2162" s="1" t="n">
        <v>44</v>
      </c>
      <c r="I2162" s="1" t="str">
        <f aca="false">RIGHT(("0"&amp;C2162),2)&amp;RIGHT(("0"&amp;D2162),2)&amp;RIGHT(("0"&amp;E2162),2)&amp;RIGHT(("0"&amp;F2162),2)&amp;RIGHT(("0"&amp;G2162),2)&amp;RIGHT(("0"&amp;H2162),2)</f>
        <v>080910244244</v>
      </c>
      <c r="J2162" s="1" t="n">
        <f aca="false">COUNTIF(I:I,I2162)</f>
        <v>1</v>
      </c>
      <c r="K2162" s="1" t="n">
        <v>1</v>
      </c>
      <c r="L2162" s="1" t="s">
        <v>11980</v>
      </c>
      <c r="M2162" s="1" t="s">
        <v>11981</v>
      </c>
      <c r="N2162" s="1" t="n">
        <v>255</v>
      </c>
      <c r="O2162" s="1" t="s">
        <v>11982</v>
      </c>
      <c r="P2162" s="1" t="n">
        <v>15769</v>
      </c>
      <c r="Q2162" s="1" t="s">
        <v>11983</v>
      </c>
      <c r="R2162" s="1" t="s">
        <v>23</v>
      </c>
      <c r="S2162" s="1" t="s">
        <v>11984</v>
      </c>
      <c r="T2162" s="1" t="s">
        <v>4256</v>
      </c>
      <c r="U2162" s="1" t="s">
        <v>11985</v>
      </c>
    </row>
    <row r="2163" customFormat="false" ht="13.8" hidden="false" customHeight="false" outlineLevel="0" collapsed="false">
      <c r="A2163" s="1" t="n">
        <v>2162</v>
      </c>
      <c r="B2163" s="2" t="s">
        <v>11986</v>
      </c>
      <c r="C2163" s="1" t="n">
        <v>11</v>
      </c>
      <c r="D2163" s="1" t="n">
        <v>16</v>
      </c>
      <c r="E2163" s="1" t="n">
        <v>22</v>
      </c>
      <c r="F2163" s="1" t="n">
        <v>30</v>
      </c>
      <c r="G2163" s="1" t="n">
        <v>34</v>
      </c>
      <c r="H2163" s="1" t="n">
        <v>42</v>
      </c>
      <c r="I2163" s="1" t="str">
        <f aca="false">RIGHT(("0"&amp;C2163),2)&amp;RIGHT(("0"&amp;D2163),2)&amp;RIGHT(("0"&amp;E2163),2)&amp;RIGHT(("0"&amp;F2163),2)&amp;RIGHT(("0"&amp;G2163),2)&amp;RIGHT(("0"&amp;H2163),2)</f>
        <v>111622303442</v>
      </c>
      <c r="J2163" s="1" t="n">
        <f aca="false">COUNTIF(I:I,I2163)</f>
        <v>1</v>
      </c>
      <c r="K2163" s="1" t="n">
        <v>0</v>
      </c>
      <c r="M2163" s="1" t="s">
        <v>23</v>
      </c>
      <c r="N2163" s="1" t="n">
        <v>35</v>
      </c>
      <c r="O2163" s="1" t="s">
        <v>11987</v>
      </c>
      <c r="P2163" s="1" t="n">
        <v>2763</v>
      </c>
      <c r="Q2163" s="1" t="s">
        <v>11988</v>
      </c>
      <c r="R2163" s="1" t="s">
        <v>11989</v>
      </c>
      <c r="S2163" s="1" t="s">
        <v>11990</v>
      </c>
      <c r="T2163" s="1" t="s">
        <v>11096</v>
      </c>
      <c r="U2163" s="1" t="s">
        <v>11991</v>
      </c>
    </row>
    <row r="2164" customFormat="false" ht="13.8" hidden="false" customHeight="false" outlineLevel="0" collapsed="false">
      <c r="A2164" s="1" t="n">
        <v>2163</v>
      </c>
      <c r="B2164" s="2" t="s">
        <v>11992</v>
      </c>
      <c r="C2164" s="1" t="n">
        <v>8</v>
      </c>
      <c r="D2164" s="1" t="n">
        <v>18</v>
      </c>
      <c r="E2164" s="1" t="n">
        <v>20</v>
      </c>
      <c r="F2164" s="1" t="n">
        <v>24</v>
      </c>
      <c r="G2164" s="1" t="n">
        <v>36</v>
      </c>
      <c r="H2164" s="1" t="n">
        <v>45</v>
      </c>
      <c r="I2164" s="1" t="str">
        <f aca="false">RIGHT(("0"&amp;C2164),2)&amp;RIGHT(("0"&amp;D2164),2)&amp;RIGHT(("0"&amp;E2164),2)&amp;RIGHT(("0"&amp;F2164),2)&amp;RIGHT(("0"&amp;G2164),2)&amp;RIGHT(("0"&amp;H2164),2)</f>
        <v>081820243645</v>
      </c>
      <c r="J2164" s="1" t="n">
        <f aca="false">COUNTIF(I:I,I2164)</f>
        <v>1</v>
      </c>
      <c r="K2164" s="1" t="n">
        <v>0</v>
      </c>
      <c r="M2164" s="1" t="s">
        <v>23</v>
      </c>
      <c r="N2164" s="1" t="n">
        <v>75</v>
      </c>
      <c r="O2164" s="1" t="s">
        <v>11993</v>
      </c>
      <c r="P2164" s="1" t="n">
        <v>4758</v>
      </c>
      <c r="Q2164" s="1" t="s">
        <v>11994</v>
      </c>
      <c r="R2164" s="1" t="s">
        <v>11995</v>
      </c>
      <c r="S2164" s="1" t="s">
        <v>11996</v>
      </c>
      <c r="T2164" s="1" t="s">
        <v>4195</v>
      </c>
      <c r="U2164" s="1" t="s">
        <v>11997</v>
      </c>
    </row>
    <row r="2165" customFormat="false" ht="13.8" hidden="false" customHeight="false" outlineLevel="0" collapsed="false">
      <c r="A2165" s="1" t="n">
        <v>2164</v>
      </c>
      <c r="B2165" s="2" t="s">
        <v>11998</v>
      </c>
      <c r="C2165" s="1" t="n">
        <v>16</v>
      </c>
      <c r="D2165" s="1" t="n">
        <v>17</v>
      </c>
      <c r="E2165" s="1" t="n">
        <v>25</v>
      </c>
      <c r="F2165" s="1" t="n">
        <v>47</v>
      </c>
      <c r="G2165" s="1" t="n">
        <v>48</v>
      </c>
      <c r="H2165" s="1" t="n">
        <v>58</v>
      </c>
      <c r="I2165" s="1" t="str">
        <f aca="false">RIGHT(("0"&amp;C2165),2)&amp;RIGHT(("0"&amp;D2165),2)&amp;RIGHT(("0"&amp;E2165),2)&amp;RIGHT(("0"&amp;F2165),2)&amp;RIGHT(("0"&amp;G2165),2)&amp;RIGHT(("0"&amp;H2165),2)</f>
        <v>161725474858</v>
      </c>
      <c r="J2165" s="1" t="n">
        <f aca="false">COUNTIF(I:I,I2165)</f>
        <v>1</v>
      </c>
      <c r="K2165" s="1" t="n">
        <v>0</v>
      </c>
      <c r="M2165" s="1" t="s">
        <v>23</v>
      </c>
      <c r="N2165" s="1" t="n">
        <v>51</v>
      </c>
      <c r="O2165" s="1" t="s">
        <v>11999</v>
      </c>
      <c r="P2165" s="1" t="n">
        <v>3431</v>
      </c>
      <c r="Q2165" s="1" t="s">
        <v>12000</v>
      </c>
      <c r="R2165" s="1" t="s">
        <v>12001</v>
      </c>
      <c r="S2165" s="1" t="s">
        <v>12002</v>
      </c>
      <c r="T2165" s="1" t="s">
        <v>12003</v>
      </c>
      <c r="U2165" s="1" t="s">
        <v>12004</v>
      </c>
    </row>
    <row r="2166" customFormat="false" ht="13.8" hidden="false" customHeight="false" outlineLevel="0" collapsed="false">
      <c r="A2166" s="1" t="n">
        <v>2165</v>
      </c>
      <c r="B2166" s="2" t="s">
        <v>12005</v>
      </c>
      <c r="C2166" s="1" t="n">
        <v>5</v>
      </c>
      <c r="D2166" s="1" t="n">
        <v>37</v>
      </c>
      <c r="E2166" s="1" t="n">
        <v>43</v>
      </c>
      <c r="F2166" s="1" t="n">
        <v>49</v>
      </c>
      <c r="G2166" s="1" t="n">
        <v>54</v>
      </c>
      <c r="H2166" s="1" t="n">
        <v>56</v>
      </c>
      <c r="I2166" s="1" t="str">
        <f aca="false">RIGHT(("0"&amp;C2166),2)&amp;RIGHT(("0"&amp;D2166),2)&amp;RIGHT(("0"&amp;E2166),2)&amp;RIGHT(("0"&amp;F2166),2)&amp;RIGHT(("0"&amp;G2166),2)&amp;RIGHT(("0"&amp;H2166),2)</f>
        <v>053743495456</v>
      </c>
      <c r="J2166" s="1" t="n">
        <f aca="false">COUNTIF(I:I,I2166)</f>
        <v>1</v>
      </c>
      <c r="K2166" s="1" t="n">
        <v>1</v>
      </c>
      <c r="L2166" s="1" t="s">
        <v>5484</v>
      </c>
      <c r="M2166" s="1" t="s">
        <v>12006</v>
      </c>
      <c r="N2166" s="1" t="n">
        <v>113</v>
      </c>
      <c r="O2166" s="1" t="s">
        <v>12007</v>
      </c>
      <c r="P2166" s="1" t="n">
        <v>8189</v>
      </c>
      <c r="Q2166" s="1" t="s">
        <v>12008</v>
      </c>
      <c r="R2166" s="1" t="s">
        <v>23</v>
      </c>
      <c r="S2166" s="1" t="s">
        <v>12009</v>
      </c>
      <c r="T2166" s="1" t="s">
        <v>473</v>
      </c>
      <c r="U2166" s="1" t="s">
        <v>12010</v>
      </c>
    </row>
    <row r="2167" customFormat="false" ht="13.8" hidden="false" customHeight="false" outlineLevel="0" collapsed="false">
      <c r="A2167" s="1" t="n">
        <v>2166</v>
      </c>
      <c r="B2167" s="2" t="s">
        <v>12011</v>
      </c>
      <c r="C2167" s="1" t="n">
        <v>3</v>
      </c>
      <c r="D2167" s="1" t="n">
        <v>19</v>
      </c>
      <c r="E2167" s="1" t="n">
        <v>34</v>
      </c>
      <c r="F2167" s="1" t="n">
        <v>44</v>
      </c>
      <c r="G2167" s="1" t="n">
        <v>56</v>
      </c>
      <c r="H2167" s="1" t="n">
        <v>58</v>
      </c>
      <c r="I2167" s="1" t="str">
        <f aca="false">RIGHT(("0"&amp;C2167),2)&amp;RIGHT(("0"&amp;D2167),2)&amp;RIGHT(("0"&amp;E2167),2)&amp;RIGHT(("0"&amp;F2167),2)&amp;RIGHT(("0"&amp;G2167),2)&amp;RIGHT(("0"&amp;H2167),2)</f>
        <v>031934445658</v>
      </c>
      <c r="J2167" s="1" t="n">
        <f aca="false">COUNTIF(I:I,I2167)</f>
        <v>1</v>
      </c>
      <c r="K2167" s="1" t="n">
        <v>0</v>
      </c>
      <c r="M2167" s="1" t="s">
        <v>23</v>
      </c>
      <c r="N2167" s="1" t="n">
        <v>44</v>
      </c>
      <c r="O2167" s="1" t="s">
        <v>12012</v>
      </c>
      <c r="P2167" s="1" t="n">
        <v>3749</v>
      </c>
      <c r="Q2167" s="1" t="s">
        <v>12013</v>
      </c>
      <c r="R2167" s="1" t="s">
        <v>12014</v>
      </c>
      <c r="S2167" s="1" t="s">
        <v>12015</v>
      </c>
      <c r="T2167" s="1" t="s">
        <v>4342</v>
      </c>
      <c r="U2167" s="1" t="s">
        <v>12016</v>
      </c>
    </row>
    <row r="2168" customFormat="false" ht="13.8" hidden="false" customHeight="false" outlineLevel="0" collapsed="false">
      <c r="A2168" s="1" t="n">
        <v>2167</v>
      </c>
      <c r="B2168" s="2" t="s">
        <v>12017</v>
      </c>
      <c r="C2168" s="1" t="n">
        <v>27</v>
      </c>
      <c r="D2168" s="1" t="n">
        <v>37</v>
      </c>
      <c r="E2168" s="1" t="n">
        <v>38</v>
      </c>
      <c r="F2168" s="1" t="n">
        <v>43</v>
      </c>
      <c r="G2168" s="1" t="n">
        <v>45</v>
      </c>
      <c r="H2168" s="1" t="n">
        <v>54</v>
      </c>
      <c r="I2168" s="1" t="str">
        <f aca="false">RIGHT(("0"&amp;C2168),2)&amp;RIGHT(("0"&amp;D2168),2)&amp;RIGHT(("0"&amp;E2168),2)&amp;RIGHT(("0"&amp;F2168),2)&amp;RIGHT(("0"&amp;G2168),2)&amp;RIGHT(("0"&amp;H2168),2)</f>
        <v>273738434554</v>
      </c>
      <c r="J2168" s="1" t="n">
        <f aca="false">COUNTIF(I:I,I2168)</f>
        <v>1</v>
      </c>
      <c r="K2168" s="1" t="n">
        <v>0</v>
      </c>
      <c r="M2168" s="1" t="s">
        <v>23</v>
      </c>
      <c r="N2168" s="1" t="n">
        <v>37</v>
      </c>
      <c r="O2168" s="1" t="s">
        <v>12018</v>
      </c>
      <c r="P2168" s="1" t="n">
        <v>1971</v>
      </c>
      <c r="Q2168" s="1" t="s">
        <v>12019</v>
      </c>
      <c r="R2168" s="1" t="s">
        <v>12020</v>
      </c>
      <c r="S2168" s="1" t="s">
        <v>12021</v>
      </c>
      <c r="T2168" s="1" t="s">
        <v>4991</v>
      </c>
      <c r="U2168" s="1" t="s">
        <v>12022</v>
      </c>
    </row>
    <row r="2169" customFormat="false" ht="13.8" hidden="false" customHeight="false" outlineLevel="0" collapsed="false">
      <c r="A2169" s="1" t="n">
        <v>2168</v>
      </c>
      <c r="B2169" s="2" t="s">
        <v>12023</v>
      </c>
      <c r="C2169" s="1" t="n">
        <v>1</v>
      </c>
      <c r="D2169" s="1" t="n">
        <v>4</v>
      </c>
      <c r="E2169" s="1" t="n">
        <v>25</v>
      </c>
      <c r="F2169" s="1" t="n">
        <v>27</v>
      </c>
      <c r="G2169" s="1" t="n">
        <v>29</v>
      </c>
      <c r="H2169" s="1" t="n">
        <v>37</v>
      </c>
      <c r="I2169" s="1" t="str">
        <f aca="false">RIGHT(("0"&amp;C2169),2)&amp;RIGHT(("0"&amp;D2169),2)&amp;RIGHT(("0"&amp;E2169),2)&amp;RIGHT(("0"&amp;F2169),2)&amp;RIGHT(("0"&amp;G2169),2)&amp;RIGHT(("0"&amp;H2169),2)</f>
        <v>010425272937</v>
      </c>
      <c r="J2169" s="1" t="n">
        <f aca="false">COUNTIF(I:I,I2169)</f>
        <v>1</v>
      </c>
      <c r="K2169" s="1" t="n">
        <v>1</v>
      </c>
      <c r="L2169" s="1" t="s">
        <v>8479</v>
      </c>
      <c r="M2169" s="1" t="s">
        <v>12024</v>
      </c>
      <c r="N2169" s="1" t="n">
        <v>66</v>
      </c>
      <c r="O2169" s="1" t="s">
        <v>12025</v>
      </c>
      <c r="P2169" s="1" t="n">
        <v>4054</v>
      </c>
      <c r="Q2169" s="1" t="s">
        <v>12026</v>
      </c>
      <c r="R2169" s="1" t="s">
        <v>23</v>
      </c>
      <c r="S2169" s="1" t="s">
        <v>12027</v>
      </c>
      <c r="T2169" s="1" t="s">
        <v>4256</v>
      </c>
      <c r="U2169" s="1" t="s">
        <v>12028</v>
      </c>
    </row>
    <row r="2170" customFormat="false" ht="13.8" hidden="false" customHeight="false" outlineLevel="0" collapsed="false">
      <c r="A2170" s="1" t="n">
        <v>2169</v>
      </c>
      <c r="B2170" s="2" t="s">
        <v>12029</v>
      </c>
      <c r="C2170" s="1" t="n">
        <v>7</v>
      </c>
      <c r="D2170" s="1" t="n">
        <v>34</v>
      </c>
      <c r="E2170" s="1" t="n">
        <v>45</v>
      </c>
      <c r="F2170" s="1" t="n">
        <v>51</v>
      </c>
      <c r="G2170" s="1" t="n">
        <v>54</v>
      </c>
      <c r="H2170" s="1" t="n">
        <v>59</v>
      </c>
      <c r="I2170" s="1" t="str">
        <f aca="false">RIGHT(("0"&amp;C2170),2)&amp;RIGHT(("0"&amp;D2170),2)&amp;RIGHT(("0"&amp;E2170),2)&amp;RIGHT(("0"&amp;F2170),2)&amp;RIGHT(("0"&amp;G2170),2)&amp;RIGHT(("0"&amp;H2170),2)</f>
        <v>073445515459</v>
      </c>
      <c r="J2170" s="1" t="n">
        <f aca="false">COUNTIF(I:I,I2170)</f>
        <v>1</v>
      </c>
      <c r="K2170" s="1" t="n">
        <v>0</v>
      </c>
      <c r="M2170" s="1" t="s">
        <v>23</v>
      </c>
      <c r="N2170" s="1" t="n">
        <v>18</v>
      </c>
      <c r="O2170" s="1" t="s">
        <v>12030</v>
      </c>
      <c r="P2170" s="1" t="n">
        <v>2145</v>
      </c>
      <c r="Q2170" s="1" t="s">
        <v>12031</v>
      </c>
      <c r="R2170" s="1" t="s">
        <v>12032</v>
      </c>
      <c r="S2170" s="1" t="s">
        <v>12033</v>
      </c>
      <c r="T2170" s="1" t="s">
        <v>3928</v>
      </c>
      <c r="U2170" s="1" t="s">
        <v>12034</v>
      </c>
    </row>
    <row r="2171" customFormat="false" ht="13.8" hidden="false" customHeight="false" outlineLevel="0" collapsed="false">
      <c r="A2171" s="1" t="n">
        <v>2170</v>
      </c>
      <c r="B2171" s="2" t="s">
        <v>12035</v>
      </c>
      <c r="C2171" s="1" t="n">
        <v>10</v>
      </c>
      <c r="D2171" s="1" t="n">
        <v>21</v>
      </c>
      <c r="E2171" s="1" t="n">
        <v>24</v>
      </c>
      <c r="F2171" s="1" t="n">
        <v>36</v>
      </c>
      <c r="G2171" s="1" t="n">
        <v>38</v>
      </c>
      <c r="H2171" s="1" t="n">
        <v>51</v>
      </c>
      <c r="I2171" s="1" t="str">
        <f aca="false">RIGHT(("0"&amp;C2171),2)&amp;RIGHT(("0"&amp;D2171),2)&amp;RIGHT(("0"&amp;E2171),2)&amp;RIGHT(("0"&amp;F2171),2)&amp;RIGHT(("0"&amp;G2171),2)&amp;RIGHT(("0"&amp;H2171),2)</f>
        <v>102124363851</v>
      </c>
      <c r="J2171" s="1" t="n">
        <f aca="false">COUNTIF(I:I,I2171)</f>
        <v>1</v>
      </c>
      <c r="K2171" s="1" t="n">
        <v>0</v>
      </c>
      <c r="M2171" s="1" t="s">
        <v>23</v>
      </c>
      <c r="N2171" s="1" t="n">
        <v>79</v>
      </c>
      <c r="O2171" s="1" t="s">
        <v>12036</v>
      </c>
      <c r="P2171" s="1" t="n">
        <v>4697</v>
      </c>
      <c r="Q2171" s="1" t="s">
        <v>12037</v>
      </c>
      <c r="R2171" s="1" t="s">
        <v>12038</v>
      </c>
      <c r="S2171" s="1" t="s">
        <v>12039</v>
      </c>
      <c r="T2171" s="1" t="s">
        <v>4246</v>
      </c>
      <c r="U2171" s="1" t="s">
        <v>12040</v>
      </c>
    </row>
    <row r="2172" customFormat="false" ht="13.8" hidden="false" customHeight="false" outlineLevel="0" collapsed="false">
      <c r="A2172" s="1" t="n">
        <v>2171</v>
      </c>
      <c r="B2172" s="2" t="s">
        <v>12041</v>
      </c>
      <c r="C2172" s="1" t="n">
        <v>12</v>
      </c>
      <c r="D2172" s="1" t="n">
        <v>13</v>
      </c>
      <c r="E2172" s="1" t="n">
        <v>19</v>
      </c>
      <c r="F2172" s="1" t="n">
        <v>36</v>
      </c>
      <c r="G2172" s="1" t="n">
        <v>44</v>
      </c>
      <c r="H2172" s="1" t="n">
        <v>55</v>
      </c>
      <c r="I2172" s="1" t="str">
        <f aca="false">RIGHT(("0"&amp;C2172),2)&amp;RIGHT(("0"&amp;D2172),2)&amp;RIGHT(("0"&amp;E2172),2)&amp;RIGHT(("0"&amp;F2172),2)&amp;RIGHT(("0"&amp;G2172),2)&amp;RIGHT(("0"&amp;H2172),2)</f>
        <v>121319364455</v>
      </c>
      <c r="J2172" s="1" t="n">
        <f aca="false">COUNTIF(I:I,I2172)</f>
        <v>1</v>
      </c>
      <c r="K2172" s="1" t="n">
        <v>1</v>
      </c>
      <c r="L2172" s="1" t="s">
        <v>5484</v>
      </c>
      <c r="M2172" s="1" t="s">
        <v>12042</v>
      </c>
      <c r="N2172" s="1" t="n">
        <v>118</v>
      </c>
      <c r="O2172" s="1" t="s">
        <v>12043</v>
      </c>
      <c r="P2172" s="1" t="n">
        <v>7127</v>
      </c>
      <c r="Q2172" s="1" t="s">
        <v>12044</v>
      </c>
      <c r="R2172" s="1" t="s">
        <v>23</v>
      </c>
      <c r="S2172" s="1" t="s">
        <v>12045</v>
      </c>
      <c r="T2172" s="1" t="s">
        <v>473</v>
      </c>
      <c r="U2172" s="1" t="s">
        <v>12046</v>
      </c>
    </row>
    <row r="2173" customFormat="false" ht="13.8" hidden="false" customHeight="false" outlineLevel="0" collapsed="false">
      <c r="A2173" s="1" t="n">
        <v>2172</v>
      </c>
      <c r="B2173" s="2" t="s">
        <v>12047</v>
      </c>
      <c r="C2173" s="1" t="n">
        <v>9</v>
      </c>
      <c r="D2173" s="1" t="n">
        <v>24</v>
      </c>
      <c r="E2173" s="1" t="n">
        <v>28</v>
      </c>
      <c r="F2173" s="1" t="n">
        <v>37</v>
      </c>
      <c r="G2173" s="1" t="n">
        <v>43</v>
      </c>
      <c r="H2173" s="1" t="n">
        <v>57</v>
      </c>
      <c r="I2173" s="1" t="str">
        <f aca="false">RIGHT(("0"&amp;C2173),2)&amp;RIGHT(("0"&amp;D2173),2)&amp;RIGHT(("0"&amp;E2173),2)&amp;RIGHT(("0"&amp;F2173),2)&amp;RIGHT(("0"&amp;G2173),2)&amp;RIGHT(("0"&amp;H2173),2)</f>
        <v>092428374357</v>
      </c>
      <c r="J2173" s="1" t="n">
        <f aca="false">COUNTIF(I:I,I2173)</f>
        <v>1</v>
      </c>
      <c r="K2173" s="1" t="n">
        <v>0</v>
      </c>
      <c r="M2173" s="1" t="s">
        <v>23</v>
      </c>
      <c r="N2173" s="1" t="n">
        <v>73</v>
      </c>
      <c r="O2173" s="1" t="s">
        <v>12048</v>
      </c>
      <c r="P2173" s="1" t="n">
        <v>3356</v>
      </c>
      <c r="Q2173" s="1" t="s">
        <v>12049</v>
      </c>
      <c r="R2173" s="1" t="s">
        <v>12050</v>
      </c>
      <c r="S2173" s="1" t="s">
        <v>12051</v>
      </c>
      <c r="T2173" s="1" t="s">
        <v>4342</v>
      </c>
      <c r="U2173" s="1" t="s">
        <v>12052</v>
      </c>
    </row>
    <row r="2174" customFormat="false" ht="13.8" hidden="false" customHeight="false" outlineLevel="0" collapsed="false">
      <c r="A2174" s="1" t="n">
        <v>2173</v>
      </c>
      <c r="B2174" s="2" t="s">
        <v>12053</v>
      </c>
      <c r="C2174" s="1" t="n">
        <v>2</v>
      </c>
      <c r="D2174" s="1" t="n">
        <v>9</v>
      </c>
      <c r="E2174" s="1" t="n">
        <v>42</v>
      </c>
      <c r="F2174" s="1" t="n">
        <v>44</v>
      </c>
      <c r="G2174" s="1" t="n">
        <v>48</v>
      </c>
      <c r="H2174" s="1" t="n">
        <v>50</v>
      </c>
      <c r="I2174" s="1" t="str">
        <f aca="false">RIGHT(("0"&amp;C2174),2)&amp;RIGHT(("0"&amp;D2174),2)&amp;RIGHT(("0"&amp;E2174),2)&amp;RIGHT(("0"&amp;F2174),2)&amp;RIGHT(("0"&amp;G2174),2)&amp;RIGHT(("0"&amp;H2174),2)</f>
        <v>020942444850</v>
      </c>
      <c r="J2174" s="1" t="n">
        <f aca="false">COUNTIF(I:I,I2174)</f>
        <v>1</v>
      </c>
      <c r="K2174" s="1" t="n">
        <v>0</v>
      </c>
      <c r="M2174" s="1" t="s">
        <v>23</v>
      </c>
      <c r="N2174" s="1" t="n">
        <v>51</v>
      </c>
      <c r="O2174" s="1" t="s">
        <v>12054</v>
      </c>
      <c r="P2174" s="1" t="n">
        <v>3884</v>
      </c>
      <c r="Q2174" s="1" t="s">
        <v>12055</v>
      </c>
      <c r="R2174" s="1" t="s">
        <v>12056</v>
      </c>
      <c r="S2174" s="1" t="s">
        <v>12057</v>
      </c>
      <c r="T2174" s="1" t="s">
        <v>4195</v>
      </c>
      <c r="U2174" s="1" t="s">
        <v>12058</v>
      </c>
    </row>
    <row r="2175" customFormat="false" ht="13.8" hidden="false" customHeight="false" outlineLevel="0" collapsed="false">
      <c r="A2175" s="1" t="n">
        <v>2174</v>
      </c>
      <c r="B2175" s="2" t="s">
        <v>12059</v>
      </c>
      <c r="C2175" s="1" t="n">
        <v>10</v>
      </c>
      <c r="D2175" s="1" t="n">
        <v>15</v>
      </c>
      <c r="E2175" s="1" t="n">
        <v>34</v>
      </c>
      <c r="F2175" s="1" t="n">
        <v>36</v>
      </c>
      <c r="G2175" s="1" t="n">
        <v>56</v>
      </c>
      <c r="H2175" s="1" t="n">
        <v>60</v>
      </c>
      <c r="I2175" s="1" t="str">
        <f aca="false">RIGHT(("0"&amp;C2175),2)&amp;RIGHT(("0"&amp;D2175),2)&amp;RIGHT(("0"&amp;E2175),2)&amp;RIGHT(("0"&amp;F2175),2)&amp;RIGHT(("0"&amp;G2175),2)&amp;RIGHT(("0"&amp;H2175),2)</f>
        <v>101534365660</v>
      </c>
      <c r="J2175" s="1" t="n">
        <f aca="false">COUNTIF(I:I,I2175)</f>
        <v>1</v>
      </c>
      <c r="K2175" s="1" t="n">
        <v>0</v>
      </c>
      <c r="M2175" s="1" t="s">
        <v>23</v>
      </c>
      <c r="N2175" s="1" t="n">
        <v>52</v>
      </c>
      <c r="O2175" s="1" t="s">
        <v>12060</v>
      </c>
      <c r="P2175" s="1" t="n">
        <v>3892</v>
      </c>
      <c r="Q2175" s="1" t="s">
        <v>12061</v>
      </c>
      <c r="R2175" s="1" t="s">
        <v>12062</v>
      </c>
      <c r="S2175" s="1" t="s">
        <v>12063</v>
      </c>
      <c r="T2175" s="1" t="s">
        <v>4213</v>
      </c>
      <c r="U2175" s="1" t="s">
        <v>12064</v>
      </c>
    </row>
    <row r="2176" customFormat="false" ht="13.8" hidden="false" customHeight="false" outlineLevel="0" collapsed="false">
      <c r="A2176" s="1" t="n">
        <v>2175</v>
      </c>
      <c r="B2176" s="2" t="s">
        <v>12065</v>
      </c>
      <c r="C2176" s="1" t="n">
        <v>7</v>
      </c>
      <c r="D2176" s="1" t="n">
        <v>25</v>
      </c>
      <c r="E2176" s="1" t="n">
        <v>32</v>
      </c>
      <c r="F2176" s="1" t="n">
        <v>43</v>
      </c>
      <c r="G2176" s="1" t="n">
        <v>53</v>
      </c>
      <c r="H2176" s="1" t="n">
        <v>55</v>
      </c>
      <c r="I2176" s="1" t="str">
        <f aca="false">RIGHT(("0"&amp;C2176),2)&amp;RIGHT(("0"&amp;D2176),2)&amp;RIGHT(("0"&amp;E2176),2)&amp;RIGHT(("0"&amp;F2176),2)&amp;RIGHT(("0"&amp;G2176),2)&amp;RIGHT(("0"&amp;H2176),2)</f>
        <v>072532435355</v>
      </c>
      <c r="J2176" s="1" t="n">
        <f aca="false">COUNTIF(I:I,I2176)</f>
        <v>1</v>
      </c>
      <c r="K2176" s="1" t="n">
        <v>0</v>
      </c>
      <c r="M2176" s="1" t="s">
        <v>23</v>
      </c>
      <c r="N2176" s="1" t="n">
        <v>73</v>
      </c>
      <c r="O2176" s="1" t="s">
        <v>12066</v>
      </c>
      <c r="P2176" s="1" t="n">
        <v>5485</v>
      </c>
      <c r="Q2176" s="1" t="s">
        <v>12067</v>
      </c>
      <c r="R2176" s="1" t="s">
        <v>12068</v>
      </c>
      <c r="S2176" s="1" t="s">
        <v>12069</v>
      </c>
      <c r="T2176" s="1" t="s">
        <v>4935</v>
      </c>
      <c r="U2176" s="1" t="s">
        <v>12070</v>
      </c>
    </row>
    <row r="2177" customFormat="false" ht="13.8" hidden="false" customHeight="false" outlineLevel="0" collapsed="false">
      <c r="A2177" s="1" t="n">
        <v>2176</v>
      </c>
      <c r="B2177" s="2" t="s">
        <v>12071</v>
      </c>
      <c r="C2177" s="1" t="n">
        <v>8</v>
      </c>
      <c r="D2177" s="1" t="n">
        <v>23</v>
      </c>
      <c r="E2177" s="1" t="n">
        <v>25</v>
      </c>
      <c r="F2177" s="1" t="n">
        <v>39</v>
      </c>
      <c r="G2177" s="1" t="n">
        <v>43</v>
      </c>
      <c r="H2177" s="1" t="n">
        <v>44</v>
      </c>
      <c r="I2177" s="1" t="str">
        <f aca="false">RIGHT(("0"&amp;C2177),2)&amp;RIGHT(("0"&amp;D2177),2)&amp;RIGHT(("0"&amp;E2177),2)&amp;RIGHT(("0"&amp;F2177),2)&amp;RIGHT(("0"&amp;G2177),2)&amp;RIGHT(("0"&amp;H2177),2)</f>
        <v>082325394344</v>
      </c>
      <c r="J2177" s="1" t="n">
        <f aca="false">COUNTIF(I:I,I2177)</f>
        <v>1</v>
      </c>
      <c r="K2177" s="1" t="n">
        <v>1</v>
      </c>
      <c r="L2177" s="1" t="s">
        <v>5310</v>
      </c>
      <c r="M2177" s="1" t="s">
        <v>12072</v>
      </c>
      <c r="N2177" s="1" t="n">
        <v>61</v>
      </c>
      <c r="O2177" s="1" t="s">
        <v>12073</v>
      </c>
      <c r="P2177" s="1" t="n">
        <v>4688</v>
      </c>
      <c r="Q2177" s="1" t="s">
        <v>12074</v>
      </c>
      <c r="R2177" s="1" t="s">
        <v>23</v>
      </c>
      <c r="S2177" s="1" t="s">
        <v>12075</v>
      </c>
      <c r="T2177" s="1" t="s">
        <v>4732</v>
      </c>
      <c r="U2177" s="1" t="s">
        <v>12076</v>
      </c>
    </row>
    <row r="2178" customFormat="false" ht="13.8" hidden="false" customHeight="false" outlineLevel="0" collapsed="false">
      <c r="A2178" s="1" t="n">
        <v>2177</v>
      </c>
      <c r="B2178" s="2" t="s">
        <v>12077</v>
      </c>
      <c r="C2178" s="1" t="n">
        <v>9</v>
      </c>
      <c r="D2178" s="1" t="n">
        <v>11</v>
      </c>
      <c r="E2178" s="1" t="n">
        <v>14</v>
      </c>
      <c r="F2178" s="1" t="n">
        <v>31</v>
      </c>
      <c r="G2178" s="1" t="n">
        <v>48</v>
      </c>
      <c r="H2178" s="1" t="n">
        <v>51</v>
      </c>
      <c r="I2178" s="1" t="str">
        <f aca="false">RIGHT(("0"&amp;C2178),2)&amp;RIGHT(("0"&amp;D2178),2)&amp;RIGHT(("0"&amp;E2178),2)&amp;RIGHT(("0"&amp;F2178),2)&amp;RIGHT(("0"&amp;G2178),2)&amp;RIGHT(("0"&amp;H2178),2)</f>
        <v>091114314851</v>
      </c>
      <c r="J2178" s="1" t="n">
        <f aca="false">COUNTIF(I:I,I2178)</f>
        <v>1</v>
      </c>
      <c r="K2178" s="1" t="n">
        <v>0</v>
      </c>
      <c r="M2178" s="1" t="s">
        <v>23</v>
      </c>
      <c r="N2178" s="1" t="n">
        <v>49</v>
      </c>
      <c r="O2178" s="1" t="s">
        <v>12078</v>
      </c>
      <c r="P2178" s="1" t="n">
        <v>2338</v>
      </c>
      <c r="Q2178" s="1" t="s">
        <v>12079</v>
      </c>
      <c r="R2178" s="1" t="s">
        <v>12080</v>
      </c>
      <c r="S2178" s="1" t="s">
        <v>12081</v>
      </c>
      <c r="T2178" s="1" t="s">
        <v>4227</v>
      </c>
      <c r="U2178" s="1" t="s">
        <v>12082</v>
      </c>
    </row>
    <row r="2179" customFormat="false" ht="13.8" hidden="false" customHeight="false" outlineLevel="0" collapsed="false">
      <c r="A2179" s="1" t="n">
        <v>2178</v>
      </c>
      <c r="B2179" s="2" t="s">
        <v>12083</v>
      </c>
      <c r="C2179" s="1" t="n">
        <v>2</v>
      </c>
      <c r="D2179" s="1" t="n">
        <v>16</v>
      </c>
      <c r="E2179" s="1" t="n">
        <v>21</v>
      </c>
      <c r="F2179" s="1" t="n">
        <v>42</v>
      </c>
      <c r="G2179" s="1" t="n">
        <v>50</v>
      </c>
      <c r="H2179" s="1" t="n">
        <v>56</v>
      </c>
      <c r="I2179" s="1" t="str">
        <f aca="false">RIGHT(("0"&amp;C2179),2)&amp;RIGHT(("0"&amp;D2179),2)&amp;RIGHT(("0"&amp;E2179),2)&amp;RIGHT(("0"&amp;F2179),2)&amp;RIGHT(("0"&amp;G2179),2)&amp;RIGHT(("0"&amp;H2179),2)</f>
        <v>021621425056</v>
      </c>
      <c r="J2179" s="1" t="n">
        <f aca="false">COUNTIF(I:I,I2179)</f>
        <v>1</v>
      </c>
      <c r="K2179" s="1" t="n">
        <v>0</v>
      </c>
      <c r="M2179" s="1" t="s">
        <v>23</v>
      </c>
      <c r="N2179" s="1" t="n">
        <v>25</v>
      </c>
      <c r="O2179" s="1" t="s">
        <v>12084</v>
      </c>
      <c r="P2179" s="1" t="n">
        <v>2304</v>
      </c>
      <c r="Q2179" s="1" t="s">
        <v>12085</v>
      </c>
      <c r="R2179" s="1" t="s">
        <v>12086</v>
      </c>
      <c r="S2179" s="1" t="s">
        <v>12087</v>
      </c>
      <c r="T2179" s="1" t="s">
        <v>4190</v>
      </c>
      <c r="U2179" s="1" t="s">
        <v>12088</v>
      </c>
    </row>
    <row r="2180" customFormat="false" ht="13.8" hidden="false" customHeight="false" outlineLevel="0" collapsed="false">
      <c r="A2180" s="1" t="n">
        <v>2179</v>
      </c>
      <c r="B2180" s="2" t="s">
        <v>12089</v>
      </c>
      <c r="C2180" s="1" t="n">
        <v>2</v>
      </c>
      <c r="D2180" s="1" t="n">
        <v>13</v>
      </c>
      <c r="E2180" s="1" t="n">
        <v>24</v>
      </c>
      <c r="F2180" s="1" t="n">
        <v>35</v>
      </c>
      <c r="G2180" s="1" t="n">
        <v>50</v>
      </c>
      <c r="H2180" s="1" t="n">
        <v>54</v>
      </c>
      <c r="I2180" s="1" t="str">
        <f aca="false">RIGHT(("0"&amp;C2180),2)&amp;RIGHT(("0"&amp;D2180),2)&amp;RIGHT(("0"&amp;E2180),2)&amp;RIGHT(("0"&amp;F2180),2)&amp;RIGHT(("0"&amp;G2180),2)&amp;RIGHT(("0"&amp;H2180),2)</f>
        <v>021324355054</v>
      </c>
      <c r="J2180" s="1" t="n">
        <f aca="false">COUNTIF(I:I,I2180)</f>
        <v>1</v>
      </c>
      <c r="K2180" s="1" t="n">
        <v>0</v>
      </c>
      <c r="M2180" s="1" t="s">
        <v>23</v>
      </c>
      <c r="N2180" s="1" t="n">
        <v>55</v>
      </c>
      <c r="O2180" s="1" t="s">
        <v>12090</v>
      </c>
      <c r="P2180" s="1" t="n">
        <v>4563</v>
      </c>
      <c r="Q2180" s="1" t="s">
        <v>12091</v>
      </c>
      <c r="R2180" s="1" t="s">
        <v>12092</v>
      </c>
      <c r="S2180" s="1" t="s">
        <v>12093</v>
      </c>
      <c r="T2180" s="1" t="s">
        <v>4328</v>
      </c>
      <c r="U2180" s="1" t="s">
        <v>12094</v>
      </c>
    </row>
    <row r="2181" customFormat="false" ht="13.8" hidden="false" customHeight="false" outlineLevel="0" collapsed="false">
      <c r="A2181" s="1" t="n">
        <v>2180</v>
      </c>
      <c r="B2181" s="2" t="s">
        <v>12095</v>
      </c>
      <c r="C2181" s="1" t="n">
        <v>10</v>
      </c>
      <c r="D2181" s="1" t="n">
        <v>12</v>
      </c>
      <c r="E2181" s="1" t="n">
        <v>16</v>
      </c>
      <c r="F2181" s="1" t="n">
        <v>21</v>
      </c>
      <c r="G2181" s="1" t="n">
        <v>28</v>
      </c>
      <c r="H2181" s="1" t="n">
        <v>38</v>
      </c>
      <c r="I2181" s="1" t="str">
        <f aca="false">RIGHT(("0"&amp;C2181),2)&amp;RIGHT(("0"&amp;D2181),2)&amp;RIGHT(("0"&amp;E2181),2)&amp;RIGHT(("0"&amp;F2181),2)&amp;RIGHT(("0"&amp;G2181),2)&amp;RIGHT(("0"&amp;H2181),2)</f>
        <v>101216212838</v>
      </c>
      <c r="J2181" s="1" t="n">
        <f aca="false">COUNTIF(I:I,I2181)</f>
        <v>1</v>
      </c>
      <c r="K2181" s="1" t="n">
        <v>0</v>
      </c>
      <c r="M2181" s="1" t="s">
        <v>23</v>
      </c>
      <c r="N2181" s="1" t="n">
        <v>95</v>
      </c>
      <c r="O2181" s="1" t="s">
        <v>12096</v>
      </c>
      <c r="P2181" s="1" t="n">
        <v>6869</v>
      </c>
      <c r="Q2181" s="1" t="s">
        <v>12097</v>
      </c>
      <c r="R2181" s="1" t="s">
        <v>12098</v>
      </c>
      <c r="S2181" s="1" t="s">
        <v>12099</v>
      </c>
      <c r="T2181" s="1" t="s">
        <v>6018</v>
      </c>
      <c r="U2181" s="1" t="s">
        <v>12100</v>
      </c>
    </row>
    <row r="2182" customFormat="false" ht="13.8" hidden="false" customHeight="false" outlineLevel="0" collapsed="false">
      <c r="A2182" s="1" t="n">
        <v>2181</v>
      </c>
      <c r="B2182" s="2" t="s">
        <v>12101</v>
      </c>
      <c r="C2182" s="1" t="n">
        <v>1</v>
      </c>
      <c r="D2182" s="1" t="n">
        <v>8</v>
      </c>
      <c r="E2182" s="1" t="n">
        <v>19</v>
      </c>
      <c r="F2182" s="1" t="n">
        <v>33</v>
      </c>
      <c r="G2182" s="1" t="n">
        <v>36</v>
      </c>
      <c r="H2182" s="1" t="n">
        <v>48</v>
      </c>
      <c r="I2182" s="1" t="str">
        <f aca="false">RIGHT(("0"&amp;C2182),2)&amp;RIGHT(("0"&amp;D2182),2)&amp;RIGHT(("0"&amp;E2182),2)&amp;RIGHT(("0"&amp;F2182),2)&amp;RIGHT(("0"&amp;G2182),2)&amp;RIGHT(("0"&amp;H2182),2)</f>
        <v>010819333648</v>
      </c>
      <c r="J2182" s="1" t="n">
        <f aca="false">COUNTIF(I:I,I2182)</f>
        <v>1</v>
      </c>
      <c r="K2182" s="1" t="n">
        <v>0</v>
      </c>
      <c r="M2182" s="1" t="s">
        <v>23</v>
      </c>
      <c r="N2182" s="1" t="n">
        <v>138</v>
      </c>
      <c r="O2182" s="1" t="s">
        <v>12102</v>
      </c>
      <c r="P2182" s="1" t="n">
        <v>8329</v>
      </c>
      <c r="Q2182" s="1" t="s">
        <v>12103</v>
      </c>
      <c r="R2182" s="1" t="s">
        <v>12104</v>
      </c>
      <c r="S2182" s="1" t="s">
        <v>12105</v>
      </c>
      <c r="T2182" s="1" t="s">
        <v>4968</v>
      </c>
      <c r="U2182" s="1" t="s">
        <v>12106</v>
      </c>
    </row>
    <row r="2183" customFormat="false" ht="13.8" hidden="false" customHeight="false" outlineLevel="0" collapsed="false">
      <c r="A2183" s="1" t="n">
        <v>2182</v>
      </c>
      <c r="B2183" s="2" t="s">
        <v>12107</v>
      </c>
      <c r="C2183" s="1" t="n">
        <v>19</v>
      </c>
      <c r="D2183" s="1" t="n">
        <v>22</v>
      </c>
      <c r="E2183" s="1" t="n">
        <v>39</v>
      </c>
      <c r="F2183" s="1" t="n">
        <v>46</v>
      </c>
      <c r="G2183" s="1" t="n">
        <v>47</v>
      </c>
      <c r="H2183" s="1" t="n">
        <v>59</v>
      </c>
      <c r="I2183" s="1" t="str">
        <f aca="false">RIGHT(("0"&amp;C2183),2)&amp;RIGHT(("0"&amp;D2183),2)&amp;RIGHT(("0"&amp;E2183),2)&amp;RIGHT(("0"&amp;F2183),2)&amp;RIGHT(("0"&amp;G2183),2)&amp;RIGHT(("0"&amp;H2183),2)</f>
        <v>192239464759</v>
      </c>
      <c r="J2183" s="1" t="n">
        <f aca="false">COUNTIF(I:I,I2183)</f>
        <v>1</v>
      </c>
      <c r="K2183" s="1" t="n">
        <v>0</v>
      </c>
      <c r="M2183" s="1" t="s">
        <v>23</v>
      </c>
      <c r="N2183" s="1" t="n">
        <v>66</v>
      </c>
      <c r="O2183" s="1" t="s">
        <v>12108</v>
      </c>
      <c r="P2183" s="1" t="n">
        <v>5179</v>
      </c>
      <c r="Q2183" s="1" t="s">
        <v>12109</v>
      </c>
      <c r="R2183" s="1" t="s">
        <v>12110</v>
      </c>
      <c r="S2183" s="1" t="s">
        <v>12111</v>
      </c>
      <c r="T2183" s="1" t="s">
        <v>7301</v>
      </c>
      <c r="U2183" s="1" t="s">
        <v>12112</v>
      </c>
    </row>
    <row r="2184" customFormat="false" ht="13.8" hidden="false" customHeight="false" outlineLevel="0" collapsed="false">
      <c r="A2184" s="1" t="n">
        <v>2183</v>
      </c>
      <c r="B2184" s="2" t="s">
        <v>12113</v>
      </c>
      <c r="C2184" s="1" t="n">
        <v>13</v>
      </c>
      <c r="D2184" s="1" t="n">
        <v>26</v>
      </c>
      <c r="E2184" s="1" t="n">
        <v>30</v>
      </c>
      <c r="F2184" s="1" t="n">
        <v>34</v>
      </c>
      <c r="G2184" s="1" t="n">
        <v>43</v>
      </c>
      <c r="H2184" s="1" t="n">
        <v>51</v>
      </c>
      <c r="I2184" s="1" t="str">
        <f aca="false">RIGHT(("0"&amp;C2184),2)&amp;RIGHT(("0"&amp;D2184),2)&amp;RIGHT(("0"&amp;E2184),2)&amp;RIGHT(("0"&amp;F2184),2)&amp;RIGHT(("0"&amp;G2184),2)&amp;RIGHT(("0"&amp;H2184),2)</f>
        <v>132630344351</v>
      </c>
      <c r="J2184" s="1" t="n">
        <f aca="false">COUNTIF(I:I,I2184)</f>
        <v>1</v>
      </c>
      <c r="K2184" s="1" t="n">
        <v>0</v>
      </c>
      <c r="M2184" s="1" t="s">
        <v>23</v>
      </c>
      <c r="N2184" s="1" t="n">
        <v>74</v>
      </c>
      <c r="O2184" s="1" t="s">
        <v>12114</v>
      </c>
      <c r="P2184" s="1" t="n">
        <v>6087</v>
      </c>
      <c r="Q2184" s="1" t="s">
        <v>12115</v>
      </c>
      <c r="R2184" s="1" t="s">
        <v>12116</v>
      </c>
      <c r="S2184" s="1" t="s">
        <v>12117</v>
      </c>
      <c r="T2184" s="1" t="s">
        <v>5782</v>
      </c>
      <c r="U2184" s="1" t="s">
        <v>12118</v>
      </c>
    </row>
    <row r="2185" customFormat="false" ht="13.8" hidden="false" customHeight="false" outlineLevel="0" collapsed="false">
      <c r="A2185" s="1" t="n">
        <v>2184</v>
      </c>
      <c r="B2185" s="2" t="s">
        <v>12119</v>
      </c>
      <c r="C2185" s="1" t="n">
        <v>15</v>
      </c>
      <c r="D2185" s="1" t="n">
        <v>36</v>
      </c>
      <c r="E2185" s="1" t="n">
        <v>45</v>
      </c>
      <c r="F2185" s="1" t="n">
        <v>51</v>
      </c>
      <c r="G2185" s="1" t="n">
        <v>52</v>
      </c>
      <c r="H2185" s="1" t="n">
        <v>59</v>
      </c>
      <c r="I2185" s="1" t="str">
        <f aca="false">RIGHT(("0"&amp;C2185),2)&amp;RIGHT(("0"&amp;D2185),2)&amp;RIGHT(("0"&amp;E2185),2)&amp;RIGHT(("0"&amp;F2185),2)&amp;RIGHT(("0"&amp;G2185),2)&amp;RIGHT(("0"&amp;H2185),2)</f>
        <v>153645515259</v>
      </c>
      <c r="J2185" s="1" t="n">
        <f aca="false">COUNTIF(I:I,I2185)</f>
        <v>1</v>
      </c>
      <c r="K2185" s="1" t="n">
        <v>0</v>
      </c>
      <c r="M2185" s="1" t="s">
        <v>23</v>
      </c>
      <c r="N2185" s="1" t="n">
        <v>64</v>
      </c>
      <c r="O2185" s="1" t="s">
        <v>12120</v>
      </c>
      <c r="P2185" s="1" t="n">
        <v>5158</v>
      </c>
      <c r="Q2185" s="1" t="s">
        <v>12121</v>
      </c>
      <c r="R2185" s="1" t="s">
        <v>12122</v>
      </c>
      <c r="S2185" s="1" t="s">
        <v>12123</v>
      </c>
      <c r="T2185" s="1" t="s">
        <v>6566</v>
      </c>
      <c r="U2185" s="1" t="s">
        <v>12124</v>
      </c>
    </row>
    <row r="2186" customFormat="false" ht="13.8" hidden="false" customHeight="false" outlineLevel="0" collapsed="false">
      <c r="A2186" s="1" t="n">
        <v>2185</v>
      </c>
      <c r="B2186" s="2" t="s">
        <v>12125</v>
      </c>
      <c r="C2186" s="1" t="n">
        <v>9</v>
      </c>
      <c r="D2186" s="1" t="n">
        <v>18</v>
      </c>
      <c r="E2186" s="1" t="n">
        <v>19</v>
      </c>
      <c r="F2186" s="1" t="n">
        <v>22</v>
      </c>
      <c r="G2186" s="1" t="n">
        <v>42</v>
      </c>
      <c r="H2186" s="1" t="n">
        <v>47</v>
      </c>
      <c r="I2186" s="1" t="str">
        <f aca="false">RIGHT(("0"&amp;C2186),2)&amp;RIGHT(("0"&amp;D2186),2)&amp;RIGHT(("0"&amp;E2186),2)&amp;RIGHT(("0"&amp;F2186),2)&amp;RIGHT(("0"&amp;G2186),2)&amp;RIGHT(("0"&amp;H2186),2)</f>
        <v>091819224247</v>
      </c>
      <c r="J2186" s="1" t="n">
        <f aca="false">COUNTIF(I:I,I2186)</f>
        <v>1</v>
      </c>
      <c r="K2186" s="1" t="n">
        <v>0</v>
      </c>
      <c r="M2186" s="1" t="s">
        <v>23</v>
      </c>
      <c r="N2186" s="1" t="n">
        <v>115</v>
      </c>
      <c r="O2186" s="1" t="s">
        <v>12126</v>
      </c>
      <c r="P2186" s="1" t="n">
        <v>9835</v>
      </c>
      <c r="Q2186" s="1" t="s">
        <v>12127</v>
      </c>
      <c r="R2186" s="1" t="s">
        <v>12128</v>
      </c>
      <c r="S2186" s="1" t="s">
        <v>12129</v>
      </c>
      <c r="T2186" s="1" t="s">
        <v>8842</v>
      </c>
      <c r="U2186" s="1" t="s">
        <v>12130</v>
      </c>
    </row>
    <row r="2187" customFormat="false" ht="13.8" hidden="false" customHeight="false" outlineLevel="0" collapsed="false">
      <c r="A2187" s="1" t="n">
        <v>2186</v>
      </c>
      <c r="B2187" s="2" t="s">
        <v>12131</v>
      </c>
      <c r="C2187" s="1" t="n">
        <v>12</v>
      </c>
      <c r="D2187" s="1" t="n">
        <v>18</v>
      </c>
      <c r="E2187" s="1" t="n">
        <v>19</v>
      </c>
      <c r="F2187" s="1" t="n">
        <v>27</v>
      </c>
      <c r="G2187" s="1" t="n">
        <v>41</v>
      </c>
      <c r="H2187" s="1" t="n">
        <v>46</v>
      </c>
      <c r="I2187" s="1" t="str">
        <f aca="false">RIGHT(("0"&amp;C2187),2)&amp;RIGHT(("0"&amp;D2187),2)&amp;RIGHT(("0"&amp;E2187),2)&amp;RIGHT(("0"&amp;F2187),2)&amp;RIGHT(("0"&amp;G2187),2)&amp;RIGHT(("0"&amp;H2187),2)</f>
        <v>121819274146</v>
      </c>
      <c r="J2187" s="1" t="n">
        <f aca="false">COUNTIF(I:I,I2187)</f>
        <v>1</v>
      </c>
      <c r="K2187" s="1" t="n">
        <v>0</v>
      </c>
      <c r="M2187" s="1" t="s">
        <v>23</v>
      </c>
      <c r="N2187" s="1" t="n">
        <v>131</v>
      </c>
      <c r="O2187" s="1" t="s">
        <v>12132</v>
      </c>
      <c r="P2187" s="1" t="n">
        <v>11409</v>
      </c>
      <c r="Q2187" s="1" t="s">
        <v>12133</v>
      </c>
      <c r="R2187" s="1" t="s">
        <v>12134</v>
      </c>
      <c r="S2187" s="1" t="s">
        <v>12135</v>
      </c>
      <c r="T2187" s="1" t="s">
        <v>9814</v>
      </c>
      <c r="U2187" s="1" t="s">
        <v>12136</v>
      </c>
    </row>
    <row r="2188" customFormat="false" ht="13.8" hidden="false" customHeight="false" outlineLevel="0" collapsed="false">
      <c r="A2188" s="1" t="n">
        <v>2187</v>
      </c>
      <c r="B2188" s="2" t="s">
        <v>12137</v>
      </c>
      <c r="C2188" s="1" t="n">
        <v>10</v>
      </c>
      <c r="D2188" s="1" t="n">
        <v>11</v>
      </c>
      <c r="E2188" s="1" t="n">
        <v>16</v>
      </c>
      <c r="F2188" s="1" t="n">
        <v>21</v>
      </c>
      <c r="G2188" s="1" t="n">
        <v>46</v>
      </c>
      <c r="H2188" s="1" t="n">
        <v>50</v>
      </c>
      <c r="I2188" s="1" t="str">
        <f aca="false">RIGHT(("0"&amp;C2188),2)&amp;RIGHT(("0"&amp;D2188),2)&amp;RIGHT(("0"&amp;E2188),2)&amp;RIGHT(("0"&amp;F2188),2)&amp;RIGHT(("0"&amp;G2188),2)&amp;RIGHT(("0"&amp;H2188),2)</f>
        <v>101116214650</v>
      </c>
      <c r="J2188" s="1" t="n">
        <f aca="false">COUNTIF(I:I,I2188)</f>
        <v>1</v>
      </c>
      <c r="K2188" s="1" t="n">
        <v>0</v>
      </c>
      <c r="M2188" s="1" t="s">
        <v>23</v>
      </c>
      <c r="N2188" s="1" t="n">
        <v>124</v>
      </c>
      <c r="O2188" s="1" t="s">
        <v>12138</v>
      </c>
      <c r="P2188" s="1" t="n">
        <v>10072</v>
      </c>
      <c r="Q2188" s="1" t="s">
        <v>12139</v>
      </c>
      <c r="R2188" s="1" t="s">
        <v>12140</v>
      </c>
      <c r="S2188" s="1" t="s">
        <v>12141</v>
      </c>
      <c r="T2188" s="1" t="s">
        <v>9535</v>
      </c>
      <c r="U2188" s="1" t="s">
        <v>12142</v>
      </c>
    </row>
    <row r="2189" customFormat="false" ht="13.8" hidden="false" customHeight="false" outlineLevel="0" collapsed="false">
      <c r="A2189" s="1" t="n">
        <v>2188</v>
      </c>
      <c r="B2189" s="2" t="s">
        <v>12143</v>
      </c>
      <c r="C2189" s="1" t="n">
        <v>2</v>
      </c>
      <c r="D2189" s="1" t="n">
        <v>17</v>
      </c>
      <c r="E2189" s="1" t="n">
        <v>21</v>
      </c>
      <c r="F2189" s="1" t="n">
        <v>28</v>
      </c>
      <c r="G2189" s="1" t="n">
        <v>51</v>
      </c>
      <c r="H2189" s="1" t="n">
        <v>60</v>
      </c>
      <c r="I2189" s="1" t="str">
        <f aca="false">RIGHT(("0"&amp;C2189),2)&amp;RIGHT(("0"&amp;D2189),2)&amp;RIGHT(("0"&amp;E2189),2)&amp;RIGHT(("0"&amp;F2189),2)&amp;RIGHT(("0"&amp;G2189),2)&amp;RIGHT(("0"&amp;H2189),2)</f>
        <v>021721285160</v>
      </c>
      <c r="J2189" s="1" t="n">
        <f aca="false">COUNTIF(I:I,I2189)</f>
        <v>1</v>
      </c>
      <c r="K2189" s="1" t="n">
        <v>0</v>
      </c>
      <c r="M2189" s="1" t="s">
        <v>23</v>
      </c>
      <c r="N2189" s="1" t="n">
        <v>154</v>
      </c>
      <c r="O2189" s="1" t="s">
        <v>12144</v>
      </c>
      <c r="P2189" s="1" t="n">
        <v>13387</v>
      </c>
      <c r="Q2189" s="1" t="s">
        <v>12145</v>
      </c>
      <c r="R2189" s="1" t="s">
        <v>12146</v>
      </c>
      <c r="S2189" s="1" t="s">
        <v>12147</v>
      </c>
      <c r="T2189" s="1" t="s">
        <v>5601</v>
      </c>
      <c r="U2189" s="1" t="s">
        <v>12148</v>
      </c>
    </row>
    <row r="2190" customFormat="false" ht="13.8" hidden="false" customHeight="false" outlineLevel="0" collapsed="false">
      <c r="A2190" s="1" t="n">
        <v>2189</v>
      </c>
      <c r="B2190" s="2" t="s">
        <v>12149</v>
      </c>
      <c r="C2190" s="1" t="n">
        <v>4</v>
      </c>
      <c r="D2190" s="1" t="n">
        <v>11</v>
      </c>
      <c r="E2190" s="1" t="n">
        <v>16</v>
      </c>
      <c r="F2190" s="1" t="n">
        <v>22</v>
      </c>
      <c r="G2190" s="1" t="n">
        <v>29</v>
      </c>
      <c r="H2190" s="1" t="n">
        <v>33</v>
      </c>
      <c r="I2190" s="1" t="str">
        <f aca="false">RIGHT(("0"&amp;C2190),2)&amp;RIGHT(("0"&amp;D2190),2)&amp;RIGHT(("0"&amp;E2190),2)&amp;RIGHT(("0"&amp;F2190),2)&amp;RIGHT(("0"&amp;G2190),2)&amp;RIGHT(("0"&amp;H2190),2)</f>
        <v>041116222933</v>
      </c>
      <c r="J2190" s="1" t="n">
        <f aca="false">COUNTIF(I:I,I2190)</f>
        <v>1</v>
      </c>
      <c r="K2190" s="1" t="n">
        <v>1</v>
      </c>
      <c r="L2190" s="1" t="s">
        <v>5633</v>
      </c>
      <c r="M2190" s="1" t="s">
        <v>12150</v>
      </c>
      <c r="N2190" s="1" t="n">
        <v>406</v>
      </c>
      <c r="O2190" s="1" t="s">
        <v>12151</v>
      </c>
      <c r="P2190" s="1" t="n">
        <v>24366</v>
      </c>
      <c r="Q2190" s="1" t="s">
        <v>12152</v>
      </c>
      <c r="R2190" s="1" t="s">
        <v>23</v>
      </c>
      <c r="S2190" s="1" t="s">
        <v>12153</v>
      </c>
      <c r="T2190" s="1" t="s">
        <v>5294</v>
      </c>
      <c r="U2190" s="1" t="s">
        <v>12154</v>
      </c>
      <c r="V2190" s="1" t="s">
        <v>12155</v>
      </c>
    </row>
    <row r="2191" customFormat="false" ht="13.8" hidden="false" customHeight="false" outlineLevel="0" collapsed="false">
      <c r="A2191" s="1" t="n">
        <v>2190</v>
      </c>
      <c r="B2191" s="2" t="s">
        <v>12156</v>
      </c>
      <c r="C2191" s="1" t="n">
        <v>5</v>
      </c>
      <c r="D2191" s="1" t="n">
        <v>9</v>
      </c>
      <c r="E2191" s="1" t="n">
        <v>20</v>
      </c>
      <c r="F2191" s="1" t="n">
        <v>25</v>
      </c>
      <c r="G2191" s="1" t="n">
        <v>35</v>
      </c>
      <c r="H2191" s="1" t="n">
        <v>53</v>
      </c>
      <c r="I2191" s="1" t="str">
        <f aca="false">RIGHT(("0"&amp;C2191),2)&amp;RIGHT(("0"&amp;D2191),2)&amp;RIGHT(("0"&amp;E2191),2)&amp;RIGHT(("0"&amp;F2191),2)&amp;RIGHT(("0"&amp;G2191),2)&amp;RIGHT(("0"&amp;H2191),2)</f>
        <v>050920253553</v>
      </c>
      <c r="J2191" s="1" t="n">
        <f aca="false">COUNTIF(I:I,I2191)</f>
        <v>1</v>
      </c>
      <c r="K2191" s="1" t="n">
        <v>0</v>
      </c>
      <c r="M2191" s="1" t="s">
        <v>23</v>
      </c>
      <c r="N2191" s="1" t="n">
        <v>94</v>
      </c>
      <c r="O2191" s="1" t="s">
        <v>12157</v>
      </c>
      <c r="P2191" s="1" t="n">
        <v>6835</v>
      </c>
      <c r="Q2191" s="1" t="s">
        <v>12158</v>
      </c>
      <c r="R2191" s="1" t="s">
        <v>12159</v>
      </c>
      <c r="S2191" s="1" t="s">
        <v>12160</v>
      </c>
      <c r="T2191" s="1" t="s">
        <v>8236</v>
      </c>
      <c r="U2191" s="1" t="s">
        <v>12161</v>
      </c>
    </row>
    <row r="2192" customFormat="false" ht="13.8" hidden="false" customHeight="false" outlineLevel="0" collapsed="false">
      <c r="A2192" s="1" t="n">
        <v>2191</v>
      </c>
      <c r="B2192" s="2" t="s">
        <v>12162</v>
      </c>
      <c r="C2192" s="1" t="n">
        <v>4</v>
      </c>
      <c r="D2192" s="1" t="n">
        <v>8</v>
      </c>
      <c r="E2192" s="1" t="n">
        <v>26</v>
      </c>
      <c r="F2192" s="1" t="n">
        <v>33</v>
      </c>
      <c r="G2192" s="1" t="n">
        <v>46</v>
      </c>
      <c r="H2192" s="1" t="n">
        <v>53</v>
      </c>
      <c r="I2192" s="1" t="str">
        <f aca="false">RIGHT(("0"&amp;C2192),2)&amp;RIGHT(("0"&amp;D2192),2)&amp;RIGHT(("0"&amp;E2192),2)&amp;RIGHT(("0"&amp;F2192),2)&amp;RIGHT(("0"&amp;G2192),2)&amp;RIGHT(("0"&amp;H2192),2)</f>
        <v>040826334653</v>
      </c>
      <c r="J2192" s="1" t="n">
        <f aca="false">COUNTIF(I:I,I2192)</f>
        <v>1</v>
      </c>
      <c r="K2192" s="1" t="n">
        <v>1</v>
      </c>
      <c r="L2192" s="1" t="s">
        <v>12163</v>
      </c>
      <c r="M2192" s="1" t="s">
        <v>12164</v>
      </c>
      <c r="N2192" s="1" t="n">
        <v>104</v>
      </c>
      <c r="O2192" s="1" t="s">
        <v>12165</v>
      </c>
      <c r="P2192" s="1" t="n">
        <v>5272</v>
      </c>
      <c r="Q2192" s="1" t="s">
        <v>12166</v>
      </c>
      <c r="R2192" s="1" t="s">
        <v>23</v>
      </c>
      <c r="S2192" s="1" t="s">
        <v>12167</v>
      </c>
      <c r="T2192" s="1" t="s">
        <v>4612</v>
      </c>
      <c r="U2192" s="1" t="s">
        <v>12168</v>
      </c>
    </row>
    <row r="2193" customFormat="false" ht="13.8" hidden="false" customHeight="false" outlineLevel="0" collapsed="false">
      <c r="A2193" s="1" t="n">
        <v>2192</v>
      </c>
      <c r="B2193" s="2" t="s">
        <v>12169</v>
      </c>
      <c r="C2193" s="1" t="n">
        <v>7</v>
      </c>
      <c r="D2193" s="1" t="n">
        <v>16</v>
      </c>
      <c r="E2193" s="1" t="n">
        <v>37</v>
      </c>
      <c r="F2193" s="1" t="n">
        <v>53</v>
      </c>
      <c r="G2193" s="1" t="n">
        <v>57</v>
      </c>
      <c r="H2193" s="1" t="n">
        <v>59</v>
      </c>
      <c r="I2193" s="1" t="str">
        <f aca="false">RIGHT(("0"&amp;C2193),2)&amp;RIGHT(("0"&amp;D2193),2)&amp;RIGHT(("0"&amp;E2193),2)&amp;RIGHT(("0"&amp;F2193),2)&amp;RIGHT(("0"&amp;G2193),2)&amp;RIGHT(("0"&amp;H2193),2)</f>
        <v>071637535759</v>
      </c>
      <c r="J2193" s="1" t="n">
        <f aca="false">COUNTIF(I:I,I2193)</f>
        <v>1</v>
      </c>
      <c r="K2193" s="1" t="n">
        <v>0</v>
      </c>
      <c r="M2193" s="1" t="s">
        <v>23</v>
      </c>
      <c r="N2193" s="1" t="n">
        <v>38</v>
      </c>
      <c r="O2193" s="1" t="s">
        <v>12170</v>
      </c>
      <c r="P2193" s="1" t="n">
        <v>2635</v>
      </c>
      <c r="Q2193" s="1" t="s">
        <v>12171</v>
      </c>
      <c r="R2193" s="1" t="s">
        <v>12172</v>
      </c>
      <c r="S2193" s="1" t="s">
        <v>12173</v>
      </c>
      <c r="T2193" s="1" t="s">
        <v>7089</v>
      </c>
      <c r="U2193" s="1" t="s">
        <v>12174</v>
      </c>
    </row>
    <row r="2194" customFormat="false" ht="13.8" hidden="false" customHeight="false" outlineLevel="0" collapsed="false">
      <c r="A2194" s="1" t="n">
        <v>2193</v>
      </c>
      <c r="B2194" s="2" t="s">
        <v>12175</v>
      </c>
      <c r="C2194" s="1" t="n">
        <v>7</v>
      </c>
      <c r="D2194" s="1" t="n">
        <v>8</v>
      </c>
      <c r="E2194" s="1" t="n">
        <v>22</v>
      </c>
      <c r="F2194" s="1" t="n">
        <v>27</v>
      </c>
      <c r="G2194" s="1" t="n">
        <v>29</v>
      </c>
      <c r="H2194" s="1" t="n">
        <v>42</v>
      </c>
      <c r="I2194" s="1" t="str">
        <f aca="false">RIGHT(("0"&amp;C2194),2)&amp;RIGHT(("0"&amp;D2194),2)&amp;RIGHT(("0"&amp;E2194),2)&amp;RIGHT(("0"&amp;F2194),2)&amp;RIGHT(("0"&amp;G2194),2)&amp;RIGHT(("0"&amp;H2194),2)</f>
        <v>070822272942</v>
      </c>
      <c r="J2194" s="1" t="n">
        <f aca="false">COUNTIF(I:I,I2194)</f>
        <v>1</v>
      </c>
      <c r="K2194" s="1" t="n">
        <v>1</v>
      </c>
      <c r="L2194" s="1" t="s">
        <v>7775</v>
      </c>
      <c r="M2194" s="1" t="s">
        <v>12176</v>
      </c>
      <c r="N2194" s="1" t="n">
        <v>55</v>
      </c>
      <c r="O2194" s="1" t="s">
        <v>12177</v>
      </c>
      <c r="P2194" s="1" t="n">
        <v>4664</v>
      </c>
      <c r="Q2194" s="1" t="s">
        <v>12178</v>
      </c>
      <c r="R2194" s="1" t="s">
        <v>23</v>
      </c>
      <c r="S2194" s="1" t="s">
        <v>12179</v>
      </c>
      <c r="T2194" s="1" t="s">
        <v>473</v>
      </c>
      <c r="U2194" s="1" t="s">
        <v>12180</v>
      </c>
    </row>
    <row r="2195" customFormat="false" ht="13.8" hidden="false" customHeight="false" outlineLevel="0" collapsed="false">
      <c r="A2195" s="1" t="n">
        <v>2194</v>
      </c>
      <c r="B2195" s="2" t="s">
        <v>12181</v>
      </c>
      <c r="C2195" s="1" t="n">
        <v>8</v>
      </c>
      <c r="D2195" s="1" t="n">
        <v>16</v>
      </c>
      <c r="E2195" s="1" t="n">
        <v>20</v>
      </c>
      <c r="F2195" s="1" t="n">
        <v>21</v>
      </c>
      <c r="G2195" s="1" t="n">
        <v>31</v>
      </c>
      <c r="H2195" s="1" t="n">
        <v>34</v>
      </c>
      <c r="I2195" s="1" t="str">
        <f aca="false">RIGHT(("0"&amp;C2195),2)&amp;RIGHT(("0"&amp;D2195),2)&amp;RIGHT(("0"&amp;E2195),2)&amp;RIGHT(("0"&amp;F2195),2)&amp;RIGHT(("0"&amp;G2195),2)&amp;RIGHT(("0"&amp;H2195),2)</f>
        <v>081620213134</v>
      </c>
      <c r="J2195" s="1" t="n">
        <f aca="false">COUNTIF(I:I,I2195)</f>
        <v>1</v>
      </c>
      <c r="K2195" s="1" t="n">
        <v>0</v>
      </c>
      <c r="M2195" s="1" t="s">
        <v>23</v>
      </c>
      <c r="N2195" s="1" t="n">
        <v>38</v>
      </c>
      <c r="O2195" s="1" t="s">
        <v>12182</v>
      </c>
      <c r="P2195" s="1" t="n">
        <v>2925</v>
      </c>
      <c r="Q2195" s="1" t="s">
        <v>12183</v>
      </c>
      <c r="R2195" s="1" t="s">
        <v>12184</v>
      </c>
      <c r="S2195" s="1" t="s">
        <v>12185</v>
      </c>
      <c r="T2195" s="1" t="s">
        <v>4241</v>
      </c>
      <c r="U2195" s="1" t="s">
        <v>12186</v>
      </c>
    </row>
    <row r="2196" customFormat="false" ht="13.8" hidden="false" customHeight="false" outlineLevel="0" collapsed="false">
      <c r="A2196" s="1" t="n">
        <v>2195</v>
      </c>
      <c r="B2196" s="2" t="s">
        <v>12187</v>
      </c>
      <c r="C2196" s="1" t="n">
        <v>14</v>
      </c>
      <c r="D2196" s="1" t="n">
        <v>24</v>
      </c>
      <c r="E2196" s="1" t="n">
        <v>32</v>
      </c>
      <c r="F2196" s="1" t="n">
        <v>38</v>
      </c>
      <c r="G2196" s="1" t="n">
        <v>46</v>
      </c>
      <c r="H2196" s="1" t="n">
        <v>53</v>
      </c>
      <c r="I2196" s="1" t="str">
        <f aca="false">RIGHT(("0"&amp;C2196),2)&amp;RIGHT(("0"&amp;D2196),2)&amp;RIGHT(("0"&amp;E2196),2)&amp;RIGHT(("0"&amp;F2196),2)&amp;RIGHT(("0"&amp;G2196),2)&amp;RIGHT(("0"&amp;H2196),2)</f>
        <v>142432384653</v>
      </c>
      <c r="J2196" s="1" t="n">
        <f aca="false">COUNTIF(I:I,I2196)</f>
        <v>1</v>
      </c>
      <c r="K2196" s="1" t="n">
        <v>0</v>
      </c>
      <c r="M2196" s="1" t="s">
        <v>23</v>
      </c>
      <c r="N2196" s="1" t="n">
        <v>107</v>
      </c>
      <c r="O2196" s="1" t="s">
        <v>12188</v>
      </c>
      <c r="P2196" s="1" t="n">
        <v>6144</v>
      </c>
      <c r="Q2196" s="1" t="s">
        <v>12189</v>
      </c>
      <c r="R2196" s="1" t="s">
        <v>12190</v>
      </c>
      <c r="S2196" s="1" t="s">
        <v>12191</v>
      </c>
      <c r="T2196" s="1" t="s">
        <v>4718</v>
      </c>
      <c r="U2196" s="1" t="s">
        <v>12192</v>
      </c>
    </row>
    <row r="2197" customFormat="false" ht="13.8" hidden="false" customHeight="false" outlineLevel="0" collapsed="false">
      <c r="A2197" s="1" t="n">
        <v>2196</v>
      </c>
      <c r="B2197" s="2" t="s">
        <v>12193</v>
      </c>
      <c r="C2197" s="1" t="n">
        <v>1</v>
      </c>
      <c r="D2197" s="1" t="n">
        <v>25</v>
      </c>
      <c r="E2197" s="1" t="n">
        <v>27</v>
      </c>
      <c r="F2197" s="1" t="n">
        <v>28</v>
      </c>
      <c r="G2197" s="1" t="n">
        <v>41</v>
      </c>
      <c r="H2197" s="1" t="n">
        <v>56</v>
      </c>
      <c r="I2197" s="1" t="str">
        <f aca="false">RIGHT(("0"&amp;C2197),2)&amp;RIGHT(("0"&amp;D2197),2)&amp;RIGHT(("0"&amp;E2197),2)&amp;RIGHT(("0"&amp;F2197),2)&amp;RIGHT(("0"&amp;G2197),2)&amp;RIGHT(("0"&amp;H2197),2)</f>
        <v>012527284156</v>
      </c>
      <c r="J2197" s="1" t="n">
        <f aca="false">COUNTIF(I:I,I2197)</f>
        <v>1</v>
      </c>
      <c r="K2197" s="1" t="n">
        <v>0</v>
      </c>
      <c r="M2197" s="1" t="s">
        <v>23</v>
      </c>
      <c r="N2197" s="1" t="n">
        <v>58</v>
      </c>
      <c r="O2197" s="1" t="s">
        <v>12194</v>
      </c>
      <c r="P2197" s="1" t="n">
        <v>4166</v>
      </c>
      <c r="Q2197" s="1" t="s">
        <v>12195</v>
      </c>
      <c r="R2197" s="1" t="s">
        <v>12196</v>
      </c>
      <c r="S2197" s="1" t="s">
        <v>12197</v>
      </c>
      <c r="T2197" s="1" t="s">
        <v>3892</v>
      </c>
      <c r="U2197" s="1" t="s">
        <v>12198</v>
      </c>
    </row>
    <row r="2198" customFormat="false" ht="13.8" hidden="false" customHeight="false" outlineLevel="0" collapsed="false">
      <c r="A2198" s="1" t="n">
        <v>2197</v>
      </c>
      <c r="B2198" s="2" t="s">
        <v>12199</v>
      </c>
      <c r="C2198" s="1" t="n">
        <v>3</v>
      </c>
      <c r="D2198" s="1" t="n">
        <v>11</v>
      </c>
      <c r="E2198" s="1" t="n">
        <v>29</v>
      </c>
      <c r="F2198" s="1" t="n">
        <v>35</v>
      </c>
      <c r="G2198" s="1" t="n">
        <v>44</v>
      </c>
      <c r="H2198" s="1" t="n">
        <v>57</v>
      </c>
      <c r="I2198" s="1" t="str">
        <f aca="false">RIGHT(("0"&amp;C2198),2)&amp;RIGHT(("0"&amp;D2198),2)&amp;RIGHT(("0"&amp;E2198),2)&amp;RIGHT(("0"&amp;F2198),2)&amp;RIGHT(("0"&amp;G2198),2)&amp;RIGHT(("0"&amp;H2198),2)</f>
        <v>031129354457</v>
      </c>
      <c r="J2198" s="1" t="n">
        <f aca="false">COUNTIF(I:I,I2198)</f>
        <v>1</v>
      </c>
      <c r="K2198" s="1" t="n">
        <v>0</v>
      </c>
      <c r="M2198" s="1" t="s">
        <v>23</v>
      </c>
      <c r="N2198" s="1" t="n">
        <v>150</v>
      </c>
      <c r="O2198" s="1" t="s">
        <v>12200</v>
      </c>
      <c r="P2198" s="1" t="n">
        <v>7727</v>
      </c>
      <c r="Q2198" s="1" t="s">
        <v>12201</v>
      </c>
      <c r="R2198" s="1" t="s">
        <v>12202</v>
      </c>
      <c r="S2198" s="1" t="s">
        <v>12203</v>
      </c>
      <c r="T2198" s="1" t="s">
        <v>5686</v>
      </c>
      <c r="U2198" s="1" t="s">
        <v>12204</v>
      </c>
    </row>
    <row r="2199" customFormat="false" ht="13.8" hidden="false" customHeight="false" outlineLevel="0" collapsed="false">
      <c r="A2199" s="1" t="n">
        <v>2198</v>
      </c>
      <c r="B2199" s="2" t="s">
        <v>12205</v>
      </c>
      <c r="C2199" s="1" t="n">
        <v>1</v>
      </c>
      <c r="D2199" s="1" t="n">
        <v>11</v>
      </c>
      <c r="E2199" s="1" t="n">
        <v>34</v>
      </c>
      <c r="F2199" s="1" t="n">
        <v>36</v>
      </c>
      <c r="G2199" s="1" t="n">
        <v>44</v>
      </c>
      <c r="H2199" s="1" t="n">
        <v>56</v>
      </c>
      <c r="I2199" s="1" t="str">
        <f aca="false">RIGHT(("0"&amp;C2199),2)&amp;RIGHT(("0"&amp;D2199),2)&amp;RIGHT(("0"&amp;E2199),2)&amp;RIGHT(("0"&amp;F2199),2)&amp;RIGHT(("0"&amp;G2199),2)&amp;RIGHT(("0"&amp;H2199),2)</f>
        <v>011134364456</v>
      </c>
      <c r="J2199" s="1" t="n">
        <f aca="false">COUNTIF(I:I,I2199)</f>
        <v>1</v>
      </c>
      <c r="K2199" s="1" t="n">
        <v>1</v>
      </c>
      <c r="L2199" s="1" t="s">
        <v>6152</v>
      </c>
      <c r="M2199" s="1" t="s">
        <v>12206</v>
      </c>
      <c r="N2199" s="1" t="n">
        <v>47</v>
      </c>
      <c r="O2199" s="1" t="s">
        <v>12207</v>
      </c>
      <c r="P2199" s="1" t="n">
        <v>4402</v>
      </c>
      <c r="Q2199" s="1" t="s">
        <v>12208</v>
      </c>
      <c r="R2199" s="1" t="s">
        <v>23</v>
      </c>
      <c r="S2199" s="1" t="s">
        <v>12209</v>
      </c>
      <c r="T2199" s="1" t="s">
        <v>473</v>
      </c>
      <c r="U2199" s="1" t="s">
        <v>12210</v>
      </c>
    </row>
    <row r="2200" customFormat="false" ht="13.8" hidden="false" customHeight="false" outlineLevel="0" collapsed="false">
      <c r="A2200" s="1" t="n">
        <v>2199</v>
      </c>
      <c r="B2200" s="2" t="s">
        <v>12211</v>
      </c>
      <c r="C2200" s="1" t="n">
        <v>15</v>
      </c>
      <c r="D2200" s="1" t="n">
        <v>23</v>
      </c>
      <c r="E2200" s="1" t="n">
        <v>30</v>
      </c>
      <c r="F2200" s="1" t="n">
        <v>35</v>
      </c>
      <c r="G2200" s="1" t="n">
        <v>38</v>
      </c>
      <c r="H2200" s="1" t="n">
        <v>44</v>
      </c>
      <c r="I2200" s="1" t="str">
        <f aca="false">RIGHT(("0"&amp;C2200),2)&amp;RIGHT(("0"&amp;D2200),2)&amp;RIGHT(("0"&amp;E2200),2)&amp;RIGHT(("0"&amp;F2200),2)&amp;RIGHT(("0"&amp;G2200),2)&amp;RIGHT(("0"&amp;H2200),2)</f>
        <v>152330353844</v>
      </c>
      <c r="J2200" s="1" t="n">
        <f aca="false">COUNTIF(I:I,I2200)</f>
        <v>1</v>
      </c>
      <c r="K2200" s="1" t="n">
        <v>0</v>
      </c>
      <c r="M2200" s="1" t="s">
        <v>23</v>
      </c>
      <c r="N2200" s="1" t="n">
        <v>29</v>
      </c>
      <c r="O2200" s="1" t="s">
        <v>12212</v>
      </c>
      <c r="P2200" s="1" t="n">
        <v>3056</v>
      </c>
      <c r="Q2200" s="1" t="s">
        <v>12213</v>
      </c>
      <c r="R2200" s="1" t="s">
        <v>12214</v>
      </c>
      <c r="S2200" s="1" t="s">
        <v>12215</v>
      </c>
      <c r="T2200" s="1" t="s">
        <v>6968</v>
      </c>
      <c r="U2200" s="1" t="s">
        <v>12216</v>
      </c>
    </row>
    <row r="2201" customFormat="false" ht="13.8" hidden="false" customHeight="false" outlineLevel="0" collapsed="false">
      <c r="A2201" s="1" t="n">
        <v>2200</v>
      </c>
      <c r="B2201" s="2" t="s">
        <v>12217</v>
      </c>
      <c r="C2201" s="1" t="n">
        <v>11</v>
      </c>
      <c r="D2201" s="1" t="n">
        <v>15</v>
      </c>
      <c r="E2201" s="1" t="n">
        <v>28</v>
      </c>
      <c r="F2201" s="1" t="n">
        <v>36</v>
      </c>
      <c r="G2201" s="1" t="n">
        <v>43</v>
      </c>
      <c r="H2201" s="1" t="n">
        <v>55</v>
      </c>
      <c r="I2201" s="1" t="str">
        <f aca="false">RIGHT(("0"&amp;C2201),2)&amp;RIGHT(("0"&amp;D2201),2)&amp;RIGHT(("0"&amp;E2201),2)&amp;RIGHT(("0"&amp;F2201),2)&amp;RIGHT(("0"&amp;G2201),2)&amp;RIGHT(("0"&amp;H2201),2)</f>
        <v>111528364355</v>
      </c>
      <c r="J2201" s="1" t="n">
        <f aca="false">COUNTIF(I:I,I2201)</f>
        <v>1</v>
      </c>
      <c r="K2201" s="1" t="n">
        <v>0</v>
      </c>
      <c r="M2201" s="1" t="s">
        <v>23</v>
      </c>
      <c r="N2201" s="1" t="n">
        <v>52</v>
      </c>
      <c r="O2201" s="1" t="s">
        <v>12218</v>
      </c>
      <c r="P2201" s="1" t="n">
        <v>3371</v>
      </c>
      <c r="Q2201" s="1" t="s">
        <v>6875</v>
      </c>
      <c r="R2201" s="1" t="s">
        <v>12219</v>
      </c>
      <c r="S2201" s="1" t="s">
        <v>12220</v>
      </c>
      <c r="T2201" s="1" t="s">
        <v>4328</v>
      </c>
      <c r="U2201" s="1" t="s">
        <v>12221</v>
      </c>
    </row>
    <row r="2202" customFormat="false" ht="13.8" hidden="false" customHeight="false" outlineLevel="0" collapsed="false">
      <c r="A2202" s="1" t="n">
        <v>2201</v>
      </c>
      <c r="B2202" s="2" t="s">
        <v>12222</v>
      </c>
      <c r="C2202" s="1" t="n">
        <v>3</v>
      </c>
      <c r="D2202" s="1" t="n">
        <v>13</v>
      </c>
      <c r="E2202" s="1" t="n">
        <v>23</v>
      </c>
      <c r="F2202" s="1" t="n">
        <v>41</v>
      </c>
      <c r="G2202" s="1" t="n">
        <v>49</v>
      </c>
      <c r="H2202" s="1" t="n">
        <v>53</v>
      </c>
      <c r="I2202" s="1" t="str">
        <f aca="false">RIGHT(("0"&amp;C2202),2)&amp;RIGHT(("0"&amp;D2202),2)&amp;RIGHT(("0"&amp;E2202),2)&amp;RIGHT(("0"&amp;F2202),2)&amp;RIGHT(("0"&amp;G2202),2)&amp;RIGHT(("0"&amp;H2202),2)</f>
        <v>031323414953</v>
      </c>
      <c r="J2202" s="1" t="n">
        <f aca="false">COUNTIF(I:I,I2202)</f>
        <v>1</v>
      </c>
      <c r="K2202" s="1" t="n">
        <v>0</v>
      </c>
      <c r="M2202" s="1" t="s">
        <v>23</v>
      </c>
      <c r="N2202" s="1" t="n">
        <v>60</v>
      </c>
      <c r="O2202" s="1" t="s">
        <v>12223</v>
      </c>
      <c r="P2202" s="1" t="n">
        <v>5425</v>
      </c>
      <c r="Q2202" s="1" t="s">
        <v>12224</v>
      </c>
      <c r="R2202" s="1" t="s">
        <v>12225</v>
      </c>
      <c r="S2202" s="1" t="s">
        <v>12226</v>
      </c>
      <c r="T2202" s="1" t="s">
        <v>3892</v>
      </c>
      <c r="U2202" s="1" t="s">
        <v>12227</v>
      </c>
    </row>
    <row r="2203" customFormat="false" ht="13.8" hidden="false" customHeight="false" outlineLevel="0" collapsed="false">
      <c r="A2203" s="1" t="n">
        <v>2202</v>
      </c>
      <c r="B2203" s="2" t="s">
        <v>12228</v>
      </c>
      <c r="C2203" s="1" t="n">
        <v>11</v>
      </c>
      <c r="D2203" s="1" t="n">
        <v>29</v>
      </c>
      <c r="E2203" s="1" t="n">
        <v>37</v>
      </c>
      <c r="F2203" s="1" t="n">
        <v>38</v>
      </c>
      <c r="G2203" s="1" t="n">
        <v>43</v>
      </c>
      <c r="H2203" s="1" t="n">
        <v>60</v>
      </c>
      <c r="I2203" s="1" t="str">
        <f aca="false">RIGHT(("0"&amp;C2203),2)&amp;RIGHT(("0"&amp;D2203),2)&amp;RIGHT(("0"&amp;E2203),2)&amp;RIGHT(("0"&amp;F2203),2)&amp;RIGHT(("0"&amp;G2203),2)&amp;RIGHT(("0"&amp;H2203),2)</f>
        <v>112937384360</v>
      </c>
      <c r="J2203" s="1" t="n">
        <f aca="false">COUNTIF(I:I,I2203)</f>
        <v>1</v>
      </c>
      <c r="K2203" s="1" t="n">
        <v>0</v>
      </c>
      <c r="M2203" s="1" t="s">
        <v>23</v>
      </c>
      <c r="N2203" s="1" t="n">
        <v>48</v>
      </c>
      <c r="O2203" s="1" t="s">
        <v>12229</v>
      </c>
      <c r="P2203" s="1" t="n">
        <v>3717</v>
      </c>
      <c r="Q2203" s="1" t="s">
        <v>12230</v>
      </c>
      <c r="R2203" s="1" t="s">
        <v>12231</v>
      </c>
      <c r="S2203" s="1" t="s">
        <v>12232</v>
      </c>
      <c r="T2203" s="1" t="s">
        <v>4968</v>
      </c>
      <c r="U2203" s="1" t="s">
        <v>12233</v>
      </c>
    </row>
    <row r="2204" customFormat="false" ht="13.8" hidden="false" customHeight="false" outlineLevel="0" collapsed="false">
      <c r="A2204" s="1" t="n">
        <v>2203</v>
      </c>
      <c r="B2204" s="2" t="s">
        <v>12234</v>
      </c>
      <c r="C2204" s="1" t="n">
        <v>17</v>
      </c>
      <c r="D2204" s="1" t="n">
        <v>34</v>
      </c>
      <c r="E2204" s="1" t="n">
        <v>46</v>
      </c>
      <c r="F2204" s="1" t="n">
        <v>49</v>
      </c>
      <c r="G2204" s="1" t="n">
        <v>50</v>
      </c>
      <c r="H2204" s="1" t="n">
        <v>57</v>
      </c>
      <c r="I2204" s="1" t="str">
        <f aca="false">RIGHT(("0"&amp;C2204),2)&amp;RIGHT(("0"&amp;D2204),2)&amp;RIGHT(("0"&amp;E2204),2)&amp;RIGHT(("0"&amp;F2204),2)&amp;RIGHT(("0"&amp;G2204),2)&amp;RIGHT(("0"&amp;H2204),2)</f>
        <v>173446495057</v>
      </c>
      <c r="J2204" s="1" t="n">
        <f aca="false">COUNTIF(I:I,I2204)</f>
        <v>1</v>
      </c>
      <c r="K2204" s="1" t="n">
        <v>0</v>
      </c>
      <c r="M2204" s="1" t="s">
        <v>23</v>
      </c>
      <c r="N2204" s="1" t="n">
        <v>57</v>
      </c>
      <c r="O2204" s="1" t="s">
        <v>12235</v>
      </c>
      <c r="P2204" s="1" t="n">
        <v>4811</v>
      </c>
      <c r="Q2204" s="1" t="s">
        <v>12236</v>
      </c>
      <c r="R2204" s="1" t="s">
        <v>12237</v>
      </c>
      <c r="S2204" s="1" t="s">
        <v>12238</v>
      </c>
      <c r="T2204" s="1" t="s">
        <v>4309</v>
      </c>
      <c r="U2204" s="1" t="s">
        <v>12239</v>
      </c>
    </row>
    <row r="2205" customFormat="false" ht="13.8" hidden="false" customHeight="false" outlineLevel="0" collapsed="false">
      <c r="A2205" s="1" t="n">
        <v>2204</v>
      </c>
      <c r="B2205" s="2" t="s">
        <v>12240</v>
      </c>
      <c r="C2205" s="1" t="n">
        <v>1</v>
      </c>
      <c r="D2205" s="1" t="n">
        <v>28</v>
      </c>
      <c r="E2205" s="1" t="n">
        <v>29</v>
      </c>
      <c r="F2205" s="1" t="n">
        <v>32</v>
      </c>
      <c r="G2205" s="1" t="n">
        <v>35</v>
      </c>
      <c r="H2205" s="1" t="n">
        <v>56</v>
      </c>
      <c r="I2205" s="1" t="str">
        <f aca="false">RIGHT(("0"&amp;C2205),2)&amp;RIGHT(("0"&amp;D2205),2)&amp;RIGHT(("0"&amp;E2205),2)&amp;RIGHT(("0"&amp;F2205),2)&amp;RIGHT(("0"&amp;G2205),2)&amp;RIGHT(("0"&amp;H2205),2)</f>
        <v>012829323556</v>
      </c>
      <c r="J2205" s="1" t="n">
        <f aca="false">COUNTIF(I:I,I2205)</f>
        <v>1</v>
      </c>
      <c r="K2205" s="1" t="n">
        <v>0</v>
      </c>
      <c r="M2205" s="1" t="s">
        <v>23</v>
      </c>
      <c r="N2205" s="1" t="n">
        <v>76</v>
      </c>
      <c r="O2205" s="1" t="s">
        <v>12241</v>
      </c>
      <c r="P2205" s="1" t="n">
        <v>5847</v>
      </c>
      <c r="Q2205" s="1" t="s">
        <v>12242</v>
      </c>
      <c r="R2205" s="1" t="s">
        <v>12243</v>
      </c>
      <c r="S2205" s="1" t="s">
        <v>12244</v>
      </c>
      <c r="T2205" s="1" t="s">
        <v>8797</v>
      </c>
      <c r="U2205" s="1" t="s">
        <v>12245</v>
      </c>
    </row>
    <row r="2206" customFormat="false" ht="13.8" hidden="false" customHeight="false" outlineLevel="0" collapsed="false">
      <c r="A2206" s="1" t="n">
        <v>2205</v>
      </c>
      <c r="B2206" s="2" t="s">
        <v>12246</v>
      </c>
      <c r="C2206" s="1" t="n">
        <v>12</v>
      </c>
      <c r="D2206" s="1" t="n">
        <v>21</v>
      </c>
      <c r="E2206" s="1" t="n">
        <v>28</v>
      </c>
      <c r="F2206" s="1" t="n">
        <v>37</v>
      </c>
      <c r="G2206" s="1" t="n">
        <v>42</v>
      </c>
      <c r="H2206" s="1" t="n">
        <v>57</v>
      </c>
      <c r="I2206" s="1" t="str">
        <f aca="false">RIGHT(("0"&amp;C2206),2)&amp;RIGHT(("0"&amp;D2206),2)&amp;RIGHT(("0"&amp;E2206),2)&amp;RIGHT(("0"&amp;F2206),2)&amp;RIGHT(("0"&amp;G2206),2)&amp;RIGHT(("0"&amp;H2206),2)</f>
        <v>122128374257</v>
      </c>
      <c r="J2206" s="1" t="n">
        <f aca="false">COUNTIF(I:I,I2206)</f>
        <v>1</v>
      </c>
      <c r="K2206" s="1" t="n">
        <v>1</v>
      </c>
      <c r="L2206" s="1" t="s">
        <v>12247</v>
      </c>
      <c r="M2206" s="1" t="s">
        <v>12248</v>
      </c>
      <c r="N2206" s="1" t="n">
        <v>112</v>
      </c>
      <c r="O2206" s="1" t="s">
        <v>12249</v>
      </c>
      <c r="P2206" s="1" t="n">
        <v>6318</v>
      </c>
      <c r="Q2206" s="1" t="s">
        <v>12250</v>
      </c>
      <c r="R2206" s="1" t="s">
        <v>23</v>
      </c>
      <c r="S2206" s="1" t="s">
        <v>12251</v>
      </c>
      <c r="T2206" s="1" t="s">
        <v>473</v>
      </c>
      <c r="U2206" s="1" t="s">
        <v>12252</v>
      </c>
    </row>
    <row r="2207" customFormat="false" ht="13.8" hidden="false" customHeight="false" outlineLevel="0" collapsed="false">
      <c r="A2207" s="1" t="n">
        <v>2206</v>
      </c>
      <c r="B2207" s="2" t="s">
        <v>12253</v>
      </c>
      <c r="C2207" s="1" t="n">
        <v>6</v>
      </c>
      <c r="D2207" s="1" t="n">
        <v>27</v>
      </c>
      <c r="E2207" s="1" t="n">
        <v>38</v>
      </c>
      <c r="F2207" s="1" t="n">
        <v>42</v>
      </c>
      <c r="G2207" s="1" t="n">
        <v>45</v>
      </c>
      <c r="H2207" s="1" t="n">
        <v>57</v>
      </c>
      <c r="I2207" s="1" t="str">
        <f aca="false">RIGHT(("0"&amp;C2207),2)&amp;RIGHT(("0"&amp;D2207),2)&amp;RIGHT(("0"&amp;E2207),2)&amp;RIGHT(("0"&amp;F2207),2)&amp;RIGHT(("0"&amp;G2207),2)&amp;RIGHT(("0"&amp;H2207),2)</f>
        <v>062738424557</v>
      </c>
      <c r="J2207" s="1" t="n">
        <f aca="false">COUNTIF(I:I,I2207)</f>
        <v>1</v>
      </c>
      <c r="K2207" s="1" t="n">
        <v>0</v>
      </c>
      <c r="M2207" s="1" t="s">
        <v>23</v>
      </c>
      <c r="N2207" s="1" t="n">
        <v>51</v>
      </c>
      <c r="O2207" s="1" t="s">
        <v>12254</v>
      </c>
      <c r="P2207" s="1" t="n">
        <v>3495</v>
      </c>
      <c r="Q2207" s="1" t="s">
        <v>12255</v>
      </c>
      <c r="R2207" s="1" t="s">
        <v>12256</v>
      </c>
      <c r="S2207" s="1" t="s">
        <v>12257</v>
      </c>
      <c r="T2207" s="1" t="s">
        <v>5931</v>
      </c>
      <c r="U2207" s="1" t="s">
        <v>12258</v>
      </c>
    </row>
    <row r="2208" customFormat="false" ht="13.8" hidden="false" customHeight="false" outlineLevel="0" collapsed="false">
      <c r="A2208" s="1" t="n">
        <v>2207</v>
      </c>
      <c r="B2208" s="2" t="s">
        <v>12259</v>
      </c>
      <c r="C2208" s="1" t="n">
        <v>6</v>
      </c>
      <c r="D2208" s="1" t="n">
        <v>10</v>
      </c>
      <c r="E2208" s="1" t="n">
        <v>11</v>
      </c>
      <c r="F2208" s="1" t="n">
        <v>43</v>
      </c>
      <c r="G2208" s="1" t="n">
        <v>53</v>
      </c>
      <c r="H2208" s="1" t="n">
        <v>55</v>
      </c>
      <c r="I2208" s="1" t="str">
        <f aca="false">RIGHT(("0"&amp;C2208),2)&amp;RIGHT(("0"&amp;D2208),2)&amp;RIGHT(("0"&amp;E2208),2)&amp;RIGHT(("0"&amp;F2208),2)&amp;RIGHT(("0"&amp;G2208),2)&amp;RIGHT(("0"&amp;H2208),2)</f>
        <v>061011435355</v>
      </c>
      <c r="J2208" s="1" t="n">
        <f aca="false">COUNTIF(I:I,I2208)</f>
        <v>1</v>
      </c>
      <c r="K2208" s="1" t="n">
        <v>0</v>
      </c>
      <c r="M2208" s="1" t="s">
        <v>23</v>
      </c>
      <c r="N2208" s="1" t="n">
        <v>39</v>
      </c>
      <c r="O2208" s="1" t="s">
        <v>12260</v>
      </c>
      <c r="P2208" s="1" t="n">
        <v>2736</v>
      </c>
      <c r="Q2208" s="1" t="s">
        <v>12261</v>
      </c>
      <c r="R2208" s="1" t="s">
        <v>12262</v>
      </c>
      <c r="S2208" s="1" t="s">
        <v>12263</v>
      </c>
      <c r="T2208" s="1" t="s">
        <v>12264</v>
      </c>
      <c r="U2208" s="1" t="s">
        <v>12265</v>
      </c>
    </row>
    <row r="2209" customFormat="false" ht="13.8" hidden="false" customHeight="false" outlineLevel="0" collapsed="false">
      <c r="A2209" s="1" t="n">
        <v>2208</v>
      </c>
      <c r="B2209" s="2" t="s">
        <v>12266</v>
      </c>
      <c r="C2209" s="1" t="n">
        <v>16</v>
      </c>
      <c r="D2209" s="1" t="n">
        <v>25</v>
      </c>
      <c r="E2209" s="1" t="n">
        <v>30</v>
      </c>
      <c r="F2209" s="1" t="n">
        <v>40</v>
      </c>
      <c r="G2209" s="1" t="n">
        <v>45</v>
      </c>
      <c r="H2209" s="1" t="n">
        <v>49</v>
      </c>
      <c r="I2209" s="1" t="str">
        <f aca="false">RIGHT(("0"&amp;C2209),2)&amp;RIGHT(("0"&amp;D2209),2)&amp;RIGHT(("0"&amp;E2209),2)&amp;RIGHT(("0"&amp;F2209),2)&amp;RIGHT(("0"&amp;G2209),2)&amp;RIGHT(("0"&amp;H2209),2)</f>
        <v>162530404549</v>
      </c>
      <c r="J2209" s="1" t="n">
        <f aca="false">COUNTIF(I:I,I2209)</f>
        <v>1</v>
      </c>
      <c r="K2209" s="1" t="n">
        <v>0</v>
      </c>
      <c r="M2209" s="1" t="s">
        <v>23</v>
      </c>
      <c r="N2209" s="1" t="n">
        <v>17</v>
      </c>
      <c r="O2209" s="1" t="s">
        <v>12267</v>
      </c>
      <c r="P2209" s="1" t="n">
        <v>1708</v>
      </c>
      <c r="Q2209" s="1" t="s">
        <v>12268</v>
      </c>
      <c r="R2209" s="1" t="s">
        <v>12269</v>
      </c>
      <c r="S2209" s="1" t="s">
        <v>12270</v>
      </c>
      <c r="T2209" s="1" t="s">
        <v>12271</v>
      </c>
      <c r="U2209" s="1" t="s">
        <v>12272</v>
      </c>
    </row>
    <row r="2210" customFormat="false" ht="13.8" hidden="false" customHeight="false" outlineLevel="0" collapsed="false">
      <c r="A2210" s="1" t="n">
        <v>2209</v>
      </c>
      <c r="B2210" s="2" t="s">
        <v>12273</v>
      </c>
      <c r="C2210" s="1" t="n">
        <v>22</v>
      </c>
      <c r="D2210" s="1" t="n">
        <v>25</v>
      </c>
      <c r="E2210" s="1" t="n">
        <v>28</v>
      </c>
      <c r="F2210" s="1" t="n">
        <v>32</v>
      </c>
      <c r="G2210" s="1" t="n">
        <v>33</v>
      </c>
      <c r="H2210" s="1" t="n">
        <v>47</v>
      </c>
      <c r="I2210" s="1" t="str">
        <f aca="false">RIGHT(("0"&amp;C2210),2)&amp;RIGHT(("0"&amp;D2210),2)&amp;RIGHT(("0"&amp;E2210),2)&amp;RIGHT(("0"&amp;F2210),2)&amp;RIGHT(("0"&amp;G2210),2)&amp;RIGHT(("0"&amp;H2210),2)</f>
        <v>222528323347</v>
      </c>
      <c r="J2210" s="1" t="n">
        <f aca="false">COUNTIF(I:I,I2210)</f>
        <v>1</v>
      </c>
      <c r="K2210" s="1" t="n">
        <v>0</v>
      </c>
      <c r="M2210" s="1" t="s">
        <v>23</v>
      </c>
      <c r="N2210" s="1" t="n">
        <v>49</v>
      </c>
      <c r="O2210" s="1" t="s">
        <v>12274</v>
      </c>
      <c r="P2210" s="1" t="n">
        <v>3746</v>
      </c>
      <c r="Q2210" s="1" t="s">
        <v>12275</v>
      </c>
      <c r="R2210" s="1" t="s">
        <v>12276</v>
      </c>
      <c r="S2210" s="1" t="s">
        <v>12277</v>
      </c>
      <c r="T2210" s="1" t="s">
        <v>6018</v>
      </c>
      <c r="U2210" s="1" t="s">
        <v>12278</v>
      </c>
    </row>
    <row r="2211" customFormat="false" ht="13.8" hidden="false" customHeight="false" outlineLevel="0" collapsed="false">
      <c r="A2211" s="1" t="n">
        <v>2210</v>
      </c>
      <c r="B2211" s="2" t="s">
        <v>12279</v>
      </c>
      <c r="C2211" s="1" t="n">
        <v>11</v>
      </c>
      <c r="D2211" s="1" t="n">
        <v>17</v>
      </c>
      <c r="E2211" s="1" t="n">
        <v>24</v>
      </c>
      <c r="F2211" s="1" t="n">
        <v>25</v>
      </c>
      <c r="G2211" s="1" t="n">
        <v>33</v>
      </c>
      <c r="H2211" s="1" t="n">
        <v>34</v>
      </c>
      <c r="I2211" s="1" t="str">
        <f aca="false">RIGHT(("0"&amp;C2211),2)&amp;RIGHT(("0"&amp;D2211),2)&amp;RIGHT(("0"&amp;E2211),2)&amp;RIGHT(("0"&amp;F2211),2)&amp;RIGHT(("0"&amp;G2211),2)&amp;RIGHT(("0"&amp;H2211),2)</f>
        <v>111724253334</v>
      </c>
      <c r="J2211" s="1" t="n">
        <f aca="false">COUNTIF(I:I,I2211)</f>
        <v>1</v>
      </c>
      <c r="K2211" s="1" t="n">
        <v>0</v>
      </c>
      <c r="M2211" s="1" t="s">
        <v>23</v>
      </c>
      <c r="N2211" s="1" t="n">
        <v>81</v>
      </c>
      <c r="O2211" s="1" t="s">
        <v>12280</v>
      </c>
      <c r="P2211" s="1" t="n">
        <v>5910</v>
      </c>
      <c r="Q2211" s="1" t="s">
        <v>12281</v>
      </c>
      <c r="R2211" s="1" t="s">
        <v>12282</v>
      </c>
      <c r="S2211" s="1" t="s">
        <v>12283</v>
      </c>
      <c r="T2211" s="1" t="s">
        <v>5294</v>
      </c>
      <c r="U2211" s="1" t="s">
        <v>12284</v>
      </c>
    </row>
    <row r="2212" customFormat="false" ht="13.8" hidden="false" customHeight="false" outlineLevel="0" collapsed="false">
      <c r="A2212" s="1" t="n">
        <v>2211</v>
      </c>
      <c r="B2212" s="2" t="s">
        <v>12285</v>
      </c>
      <c r="C2212" s="1" t="n">
        <v>27</v>
      </c>
      <c r="D2212" s="1" t="n">
        <v>36</v>
      </c>
      <c r="E2212" s="1" t="n">
        <v>40</v>
      </c>
      <c r="F2212" s="1" t="n">
        <v>41</v>
      </c>
      <c r="G2212" s="1" t="n">
        <v>44</v>
      </c>
      <c r="H2212" s="1" t="n">
        <v>54</v>
      </c>
      <c r="I2212" s="1" t="str">
        <f aca="false">RIGHT(("0"&amp;C2212),2)&amp;RIGHT(("0"&amp;D2212),2)&amp;RIGHT(("0"&amp;E2212),2)&amp;RIGHT(("0"&amp;F2212),2)&amp;RIGHT(("0"&amp;G2212),2)&amp;RIGHT(("0"&amp;H2212),2)</f>
        <v>273640414454</v>
      </c>
      <c r="J2212" s="1" t="n">
        <f aca="false">COUNTIF(I:I,I2212)</f>
        <v>1</v>
      </c>
      <c r="K2212" s="1" t="n">
        <v>0</v>
      </c>
      <c r="M2212" s="1" t="s">
        <v>23</v>
      </c>
      <c r="N2212" s="1" t="n">
        <v>52</v>
      </c>
      <c r="O2212" s="1" t="s">
        <v>12286</v>
      </c>
      <c r="P2212" s="1" t="n">
        <v>3681</v>
      </c>
      <c r="Q2212" s="1" t="s">
        <v>12287</v>
      </c>
      <c r="R2212" s="1" t="s">
        <v>12288</v>
      </c>
      <c r="S2212" s="1" t="s">
        <v>12289</v>
      </c>
      <c r="T2212" s="1" t="s">
        <v>8236</v>
      </c>
      <c r="U2212" s="1" t="s">
        <v>12290</v>
      </c>
    </row>
    <row r="2213" customFormat="false" ht="13.8" hidden="false" customHeight="false" outlineLevel="0" collapsed="false">
      <c r="A2213" s="1" t="n">
        <v>2212</v>
      </c>
      <c r="B2213" s="2" t="s">
        <v>12291</v>
      </c>
      <c r="C2213" s="1" t="n">
        <v>23</v>
      </c>
      <c r="D2213" s="1" t="n">
        <v>26</v>
      </c>
      <c r="E2213" s="1" t="n">
        <v>51</v>
      </c>
      <c r="F2213" s="1" t="n">
        <v>52</v>
      </c>
      <c r="G2213" s="1" t="n">
        <v>53</v>
      </c>
      <c r="H2213" s="1" t="n">
        <v>58</v>
      </c>
      <c r="I2213" s="1" t="str">
        <f aca="false">RIGHT(("0"&amp;C2213),2)&amp;RIGHT(("0"&amp;D2213),2)&amp;RIGHT(("0"&amp;E2213),2)&amp;RIGHT(("0"&amp;F2213),2)&amp;RIGHT(("0"&amp;G2213),2)&amp;RIGHT(("0"&amp;H2213),2)</f>
        <v>232651525358</v>
      </c>
      <c r="J2213" s="1" t="n">
        <f aca="false">COUNTIF(I:I,I2213)</f>
        <v>1</v>
      </c>
      <c r="K2213" s="1" t="n">
        <v>0</v>
      </c>
      <c r="M2213" s="1" t="s">
        <v>23</v>
      </c>
      <c r="N2213" s="1" t="n">
        <v>61</v>
      </c>
      <c r="O2213" s="1" t="s">
        <v>12292</v>
      </c>
      <c r="P2213" s="1" t="n">
        <v>5215</v>
      </c>
      <c r="Q2213" s="1" t="s">
        <v>12293</v>
      </c>
      <c r="R2213" s="1" t="s">
        <v>12294</v>
      </c>
      <c r="S2213" s="1" t="s">
        <v>12295</v>
      </c>
      <c r="T2213" s="1" t="s">
        <v>6559</v>
      </c>
      <c r="U2213" s="1" t="s">
        <v>12296</v>
      </c>
    </row>
    <row r="2214" customFormat="false" ht="13.8" hidden="false" customHeight="false" outlineLevel="0" collapsed="false">
      <c r="A2214" s="1" t="n">
        <v>2213</v>
      </c>
      <c r="B2214" s="2" t="s">
        <v>12297</v>
      </c>
      <c r="C2214" s="1" t="n">
        <v>5</v>
      </c>
      <c r="D2214" s="1" t="n">
        <v>7</v>
      </c>
      <c r="E2214" s="1" t="n">
        <v>10</v>
      </c>
      <c r="F2214" s="1" t="n">
        <v>32</v>
      </c>
      <c r="G2214" s="1" t="n">
        <v>46</v>
      </c>
      <c r="H2214" s="1" t="n">
        <v>60</v>
      </c>
      <c r="I2214" s="1" t="str">
        <f aca="false">RIGHT(("0"&amp;C2214),2)&amp;RIGHT(("0"&amp;D2214),2)&amp;RIGHT(("0"&amp;E2214),2)&amp;RIGHT(("0"&amp;F2214),2)&amp;RIGHT(("0"&amp;G2214),2)&amp;RIGHT(("0"&amp;H2214),2)</f>
        <v>050710324660</v>
      </c>
      <c r="J2214" s="1" t="n">
        <f aca="false">COUNTIF(I:I,I2214)</f>
        <v>1</v>
      </c>
      <c r="K2214" s="1" t="n">
        <v>1</v>
      </c>
      <c r="L2214" s="1" t="s">
        <v>12298</v>
      </c>
      <c r="M2214" s="1" t="s">
        <v>12299</v>
      </c>
      <c r="N2214" s="1" t="n">
        <v>96</v>
      </c>
      <c r="O2214" s="1" t="s">
        <v>12300</v>
      </c>
      <c r="P2214" s="1" t="n">
        <v>7360</v>
      </c>
      <c r="Q2214" s="1" t="s">
        <v>12301</v>
      </c>
      <c r="R2214" s="1" t="s">
        <v>23</v>
      </c>
      <c r="S2214" s="1" t="s">
        <v>12302</v>
      </c>
      <c r="T2214" s="1" t="s">
        <v>473</v>
      </c>
      <c r="U2214" s="1" t="s">
        <v>12303</v>
      </c>
    </row>
    <row r="2215" customFormat="false" ht="13.8" hidden="false" customHeight="false" outlineLevel="0" collapsed="false">
      <c r="A2215" s="1" t="n">
        <v>2214</v>
      </c>
      <c r="B2215" s="2" t="s">
        <v>12304</v>
      </c>
      <c r="C2215" s="1" t="n">
        <v>4</v>
      </c>
      <c r="D2215" s="1" t="n">
        <v>10</v>
      </c>
      <c r="E2215" s="1" t="n">
        <v>18</v>
      </c>
      <c r="F2215" s="1" t="n">
        <v>30</v>
      </c>
      <c r="G2215" s="1" t="n">
        <v>34</v>
      </c>
      <c r="H2215" s="1" t="n">
        <v>47</v>
      </c>
      <c r="I2215" s="1" t="str">
        <f aca="false">RIGHT(("0"&amp;C2215),2)&amp;RIGHT(("0"&amp;D2215),2)&amp;RIGHT(("0"&amp;E2215),2)&amp;RIGHT(("0"&amp;F2215),2)&amp;RIGHT(("0"&amp;G2215),2)&amp;RIGHT(("0"&amp;H2215),2)</f>
        <v>041018303447</v>
      </c>
      <c r="J2215" s="1" t="n">
        <f aca="false">COUNTIF(I:I,I2215)</f>
        <v>1</v>
      </c>
      <c r="K2215" s="1" t="n">
        <v>0</v>
      </c>
      <c r="M2215" s="1" t="s">
        <v>23</v>
      </c>
      <c r="N2215" s="1" t="n">
        <v>44</v>
      </c>
      <c r="O2215" s="1" t="s">
        <v>12305</v>
      </c>
      <c r="P2215" s="1" t="n">
        <v>3223</v>
      </c>
      <c r="Q2215" s="1" t="s">
        <v>12306</v>
      </c>
      <c r="R2215" s="1" t="s">
        <v>12307</v>
      </c>
      <c r="S2215" s="1" t="s">
        <v>12308</v>
      </c>
      <c r="T2215" s="1" t="s">
        <v>4718</v>
      </c>
      <c r="U2215" s="1" t="s">
        <v>12309</v>
      </c>
    </row>
    <row r="2216" customFormat="false" ht="13.8" hidden="false" customHeight="false" outlineLevel="0" collapsed="false">
      <c r="A2216" s="1" t="n">
        <v>2215</v>
      </c>
      <c r="B2216" s="2" t="s">
        <v>12310</v>
      </c>
      <c r="C2216" s="1" t="n">
        <v>1</v>
      </c>
      <c r="D2216" s="1" t="n">
        <v>19</v>
      </c>
      <c r="E2216" s="1" t="n">
        <v>21</v>
      </c>
      <c r="F2216" s="1" t="n">
        <v>23</v>
      </c>
      <c r="G2216" s="1" t="n">
        <v>33</v>
      </c>
      <c r="H2216" s="1" t="n">
        <v>43</v>
      </c>
      <c r="I2216" s="1" t="str">
        <f aca="false">RIGHT(("0"&amp;C2216),2)&amp;RIGHT(("0"&amp;D2216),2)&amp;RIGHT(("0"&amp;E2216),2)&amp;RIGHT(("0"&amp;F2216),2)&amp;RIGHT(("0"&amp;G2216),2)&amp;RIGHT(("0"&amp;H2216),2)</f>
        <v>011921233343</v>
      </c>
      <c r="J2216" s="1" t="n">
        <f aca="false">COUNTIF(I:I,I2216)</f>
        <v>1</v>
      </c>
      <c r="K2216" s="1" t="n">
        <v>0</v>
      </c>
      <c r="M2216" s="1" t="s">
        <v>23</v>
      </c>
      <c r="N2216" s="1" t="n">
        <v>48</v>
      </c>
      <c r="O2216" s="1" t="s">
        <v>12311</v>
      </c>
      <c r="P2216" s="1" t="n">
        <v>4092</v>
      </c>
      <c r="Q2216" s="1" t="s">
        <v>12312</v>
      </c>
      <c r="R2216" s="1" t="s">
        <v>12313</v>
      </c>
      <c r="S2216" s="1" t="s">
        <v>12314</v>
      </c>
      <c r="T2216" s="1" t="s">
        <v>6018</v>
      </c>
      <c r="U2216" s="1" t="s">
        <v>12315</v>
      </c>
    </row>
    <row r="2217" customFormat="false" ht="13.8" hidden="false" customHeight="false" outlineLevel="0" collapsed="false">
      <c r="A2217" s="1" t="n">
        <v>2216</v>
      </c>
      <c r="B2217" s="2" t="s">
        <v>12316</v>
      </c>
      <c r="C2217" s="1" t="n">
        <v>10</v>
      </c>
      <c r="D2217" s="1" t="n">
        <v>24</v>
      </c>
      <c r="E2217" s="1" t="n">
        <v>42</v>
      </c>
      <c r="F2217" s="1" t="n">
        <v>43</v>
      </c>
      <c r="G2217" s="1" t="n">
        <v>48</v>
      </c>
      <c r="H2217" s="1" t="n">
        <v>49</v>
      </c>
      <c r="I2217" s="1" t="str">
        <f aca="false">RIGHT(("0"&amp;C2217),2)&amp;RIGHT(("0"&amp;D2217),2)&amp;RIGHT(("0"&amp;E2217),2)&amp;RIGHT(("0"&amp;F2217),2)&amp;RIGHT(("0"&amp;G2217),2)&amp;RIGHT(("0"&amp;H2217),2)</f>
        <v>102442434849</v>
      </c>
      <c r="J2217" s="1" t="n">
        <f aca="false">COUNTIF(I:I,I2217)</f>
        <v>1</v>
      </c>
      <c r="K2217" s="1" t="n">
        <v>0</v>
      </c>
      <c r="M2217" s="1" t="s">
        <v>23</v>
      </c>
      <c r="N2217" s="1" t="n">
        <v>49</v>
      </c>
      <c r="O2217" s="1" t="s">
        <v>12317</v>
      </c>
      <c r="P2217" s="1" t="n">
        <v>4361</v>
      </c>
      <c r="Q2217" s="1" t="s">
        <v>12318</v>
      </c>
      <c r="R2217" s="1" t="s">
        <v>12319</v>
      </c>
      <c r="S2217" s="1" t="s">
        <v>12320</v>
      </c>
      <c r="T2217" s="1" t="s">
        <v>5154</v>
      </c>
      <c r="U2217" s="1" t="s">
        <v>12321</v>
      </c>
    </row>
    <row r="2218" customFormat="false" ht="13.8" hidden="false" customHeight="false" outlineLevel="0" collapsed="false">
      <c r="A2218" s="1" t="n">
        <v>2217</v>
      </c>
      <c r="B2218" s="2" t="s">
        <v>12322</v>
      </c>
      <c r="C2218" s="1" t="n">
        <v>10</v>
      </c>
      <c r="D2218" s="1" t="n">
        <v>14</v>
      </c>
      <c r="E2218" s="1" t="n">
        <v>16</v>
      </c>
      <c r="F2218" s="1" t="n">
        <v>30</v>
      </c>
      <c r="G2218" s="1" t="n">
        <v>32</v>
      </c>
      <c r="H2218" s="1" t="n">
        <v>36</v>
      </c>
      <c r="I2218" s="1" t="str">
        <f aca="false">RIGHT(("0"&amp;C2218),2)&amp;RIGHT(("0"&amp;D2218),2)&amp;RIGHT(("0"&amp;E2218),2)&amp;RIGHT(("0"&amp;F2218),2)&amp;RIGHT(("0"&amp;G2218),2)&amp;RIGHT(("0"&amp;H2218),2)</f>
        <v>101416303236</v>
      </c>
      <c r="J2218" s="1" t="n">
        <f aca="false">COUNTIF(I:I,I2218)</f>
        <v>1</v>
      </c>
      <c r="K2218" s="1" t="n">
        <v>0</v>
      </c>
      <c r="M2218" s="1" t="s">
        <v>23</v>
      </c>
      <c r="N2218" s="1" t="n">
        <v>51</v>
      </c>
      <c r="O2218" s="1" t="s">
        <v>12323</v>
      </c>
      <c r="P2218" s="1" t="n">
        <v>3258</v>
      </c>
      <c r="Q2218" s="1" t="s">
        <v>12324</v>
      </c>
      <c r="R2218" s="1" t="s">
        <v>12325</v>
      </c>
      <c r="S2218" s="1" t="s">
        <v>12326</v>
      </c>
      <c r="T2218" s="1" t="s">
        <v>5775</v>
      </c>
      <c r="U2218" s="1" t="s">
        <v>12327</v>
      </c>
    </row>
    <row r="2219" customFormat="false" ht="13.8" hidden="false" customHeight="false" outlineLevel="0" collapsed="false">
      <c r="A2219" s="1" t="n">
        <v>2218</v>
      </c>
      <c r="B2219" s="2" t="s">
        <v>12328</v>
      </c>
      <c r="C2219" s="1" t="n">
        <v>6</v>
      </c>
      <c r="D2219" s="1" t="n">
        <v>16</v>
      </c>
      <c r="E2219" s="1" t="n">
        <v>22</v>
      </c>
      <c r="F2219" s="1" t="n">
        <v>38</v>
      </c>
      <c r="G2219" s="1" t="n">
        <v>48</v>
      </c>
      <c r="H2219" s="1" t="n">
        <v>52</v>
      </c>
      <c r="I2219" s="1" t="str">
        <f aca="false">RIGHT(("0"&amp;C2219),2)&amp;RIGHT(("0"&amp;D2219),2)&amp;RIGHT(("0"&amp;E2219),2)&amp;RIGHT(("0"&amp;F2219),2)&amp;RIGHT(("0"&amp;G2219),2)&amp;RIGHT(("0"&amp;H2219),2)</f>
        <v>061622384852</v>
      </c>
      <c r="J2219" s="1" t="n">
        <f aca="false">COUNTIF(I:I,I2219)</f>
        <v>1</v>
      </c>
      <c r="K2219" s="1" t="n">
        <v>1</v>
      </c>
      <c r="L2219" s="1" t="s">
        <v>12329</v>
      </c>
      <c r="M2219" s="1" t="s">
        <v>12330</v>
      </c>
      <c r="N2219" s="1" t="n">
        <v>42</v>
      </c>
      <c r="O2219" s="1" t="s">
        <v>12331</v>
      </c>
      <c r="P2219" s="1" t="n">
        <v>3345</v>
      </c>
      <c r="Q2219" s="1" t="s">
        <v>12332</v>
      </c>
      <c r="R2219" s="1" t="s">
        <v>23</v>
      </c>
      <c r="S2219" s="1" t="s">
        <v>12333</v>
      </c>
      <c r="T2219" s="1" t="s">
        <v>4256</v>
      </c>
      <c r="U2219" s="1" t="s">
        <v>12334</v>
      </c>
    </row>
    <row r="2220" customFormat="false" ht="13.8" hidden="false" customHeight="false" outlineLevel="0" collapsed="false">
      <c r="A2220" s="1" t="n">
        <v>2219</v>
      </c>
      <c r="B2220" s="2" t="s">
        <v>12335</v>
      </c>
      <c r="C2220" s="1" t="n">
        <v>8</v>
      </c>
      <c r="D2220" s="1" t="n">
        <v>28</v>
      </c>
      <c r="E2220" s="1" t="n">
        <v>36</v>
      </c>
      <c r="F2220" s="1" t="n">
        <v>45</v>
      </c>
      <c r="G2220" s="1" t="n">
        <v>57</v>
      </c>
      <c r="H2220" s="1" t="n">
        <v>59</v>
      </c>
      <c r="I2220" s="1" t="str">
        <f aca="false">RIGHT(("0"&amp;C2220),2)&amp;RIGHT(("0"&amp;D2220),2)&amp;RIGHT(("0"&amp;E2220),2)&amp;RIGHT(("0"&amp;F2220),2)&amp;RIGHT(("0"&amp;G2220),2)&amp;RIGHT(("0"&amp;H2220),2)</f>
        <v>082836455759</v>
      </c>
      <c r="J2220" s="1" t="n">
        <f aca="false">COUNTIF(I:I,I2220)</f>
        <v>1</v>
      </c>
      <c r="K2220" s="1" t="n">
        <v>0</v>
      </c>
      <c r="M2220" s="1" t="s">
        <v>23</v>
      </c>
      <c r="N2220" s="1" t="n">
        <v>26</v>
      </c>
      <c r="O2220" s="1" t="s">
        <v>12336</v>
      </c>
      <c r="P2220" s="1" t="n">
        <v>2235</v>
      </c>
      <c r="Q2220" s="1" t="s">
        <v>12337</v>
      </c>
      <c r="R2220" s="1" t="s">
        <v>12338</v>
      </c>
      <c r="S2220" s="1" t="s">
        <v>12339</v>
      </c>
      <c r="T2220" s="1" t="s">
        <v>12340</v>
      </c>
      <c r="U2220" s="1" t="s">
        <v>12341</v>
      </c>
    </row>
    <row r="2221" customFormat="false" ht="13.8" hidden="false" customHeight="false" outlineLevel="0" collapsed="false">
      <c r="A2221" s="1" t="n">
        <v>2220</v>
      </c>
      <c r="B2221" s="2" t="s">
        <v>12342</v>
      </c>
      <c r="C2221" s="1" t="n">
        <v>3</v>
      </c>
      <c r="D2221" s="1" t="n">
        <v>35</v>
      </c>
      <c r="E2221" s="1" t="n">
        <v>38</v>
      </c>
      <c r="F2221" s="1" t="n">
        <v>40</v>
      </c>
      <c r="G2221" s="1" t="n">
        <v>57</v>
      </c>
      <c r="H2221" s="1" t="n">
        <v>58</v>
      </c>
      <c r="I2221" s="1" t="str">
        <f aca="false">RIGHT(("0"&amp;C2221),2)&amp;RIGHT(("0"&amp;D2221),2)&amp;RIGHT(("0"&amp;E2221),2)&amp;RIGHT(("0"&amp;F2221),2)&amp;RIGHT(("0"&amp;G2221),2)&amp;RIGHT(("0"&amp;H2221),2)</f>
        <v>033538405758</v>
      </c>
      <c r="J2221" s="1" t="n">
        <f aca="false">COUNTIF(I:I,I2221)</f>
        <v>1</v>
      </c>
      <c r="K2221" s="1" t="n">
        <v>4</v>
      </c>
      <c r="L2221" s="1" t="s">
        <v>12343</v>
      </c>
      <c r="M2221" s="1" t="s">
        <v>12344</v>
      </c>
      <c r="N2221" s="1" t="n">
        <v>1031</v>
      </c>
      <c r="O2221" s="1" t="s">
        <v>12345</v>
      </c>
      <c r="P2221" s="1" t="n">
        <v>77055</v>
      </c>
      <c r="Q2221" s="1" t="s">
        <v>12346</v>
      </c>
      <c r="R2221" s="1" t="s">
        <v>23</v>
      </c>
      <c r="S2221" s="1" t="s">
        <v>12347</v>
      </c>
      <c r="T2221" s="1" t="s">
        <v>4732</v>
      </c>
      <c r="U2221" s="1" t="s">
        <v>23</v>
      </c>
    </row>
    <row r="2222" customFormat="false" ht="13.8" hidden="false" customHeight="false" outlineLevel="0" collapsed="false">
      <c r="A2222" s="1" t="n">
        <v>2221</v>
      </c>
      <c r="B2222" s="2" t="s">
        <v>12348</v>
      </c>
      <c r="C2222" s="1" t="n">
        <v>5</v>
      </c>
      <c r="D2222" s="1" t="n">
        <v>23</v>
      </c>
      <c r="E2222" s="1" t="n">
        <v>34</v>
      </c>
      <c r="F2222" s="1" t="n">
        <v>45</v>
      </c>
      <c r="G2222" s="1" t="n">
        <v>56</v>
      </c>
      <c r="H2222" s="1" t="n">
        <v>57</v>
      </c>
      <c r="I2222" s="1" t="str">
        <f aca="false">RIGHT(("0"&amp;C2222),2)&amp;RIGHT(("0"&amp;D2222),2)&amp;RIGHT(("0"&amp;E2222),2)&amp;RIGHT(("0"&amp;F2222),2)&amp;RIGHT(("0"&amp;G2222),2)&amp;RIGHT(("0"&amp;H2222),2)</f>
        <v>052334455657</v>
      </c>
      <c r="J2222" s="1" t="n">
        <f aca="false">COUNTIF(I:I,I2222)</f>
        <v>1</v>
      </c>
      <c r="K2222" s="1" t="n">
        <v>0</v>
      </c>
      <c r="M2222" s="1" t="s">
        <v>23</v>
      </c>
      <c r="N2222" s="1" t="n">
        <v>101</v>
      </c>
      <c r="O2222" s="1" t="s">
        <v>12349</v>
      </c>
      <c r="P2222" s="1" t="n">
        <v>3669</v>
      </c>
      <c r="Q2222" s="1" t="s">
        <v>12350</v>
      </c>
      <c r="R2222" s="1" t="s">
        <v>12351</v>
      </c>
      <c r="S2222" s="1" t="s">
        <v>12352</v>
      </c>
      <c r="T2222" s="1" t="s">
        <v>4342</v>
      </c>
      <c r="U2222" s="1" t="s">
        <v>12353</v>
      </c>
    </row>
    <row r="2223" customFormat="false" ht="13.8" hidden="false" customHeight="false" outlineLevel="0" collapsed="false">
      <c r="A2223" s="1" t="n">
        <v>2222</v>
      </c>
      <c r="B2223" s="2" t="s">
        <v>12354</v>
      </c>
      <c r="C2223" s="1" t="n">
        <v>13</v>
      </c>
      <c r="D2223" s="1" t="n">
        <v>14</v>
      </c>
      <c r="E2223" s="1" t="n">
        <v>29</v>
      </c>
      <c r="F2223" s="1" t="n">
        <v>30</v>
      </c>
      <c r="G2223" s="1" t="n">
        <v>48</v>
      </c>
      <c r="H2223" s="1" t="n">
        <v>59</v>
      </c>
      <c r="I2223" s="1" t="str">
        <f aca="false">RIGHT(("0"&amp;C2223),2)&amp;RIGHT(("0"&amp;D2223),2)&amp;RIGHT(("0"&amp;E2223),2)&amp;RIGHT(("0"&amp;F2223),2)&amp;RIGHT(("0"&amp;G2223),2)&amp;RIGHT(("0"&amp;H2223),2)</f>
        <v>131429304859</v>
      </c>
      <c r="J2223" s="1" t="n">
        <f aca="false">COUNTIF(I:I,I2223)</f>
        <v>1</v>
      </c>
      <c r="K2223" s="1" t="n">
        <v>0</v>
      </c>
      <c r="M2223" s="1" t="s">
        <v>23</v>
      </c>
      <c r="N2223" s="1" t="n">
        <v>29</v>
      </c>
      <c r="O2223" s="1" t="s">
        <v>12355</v>
      </c>
      <c r="P2223" s="1" t="n">
        <v>1969</v>
      </c>
      <c r="Q2223" s="1" t="s">
        <v>12356</v>
      </c>
      <c r="R2223" s="1" t="s">
        <v>12357</v>
      </c>
      <c r="S2223" s="1" t="s">
        <v>12358</v>
      </c>
      <c r="T2223" s="1" t="s">
        <v>4195</v>
      </c>
      <c r="U2223" s="1" t="s">
        <v>12359</v>
      </c>
    </row>
    <row r="2224" customFormat="false" ht="13.8" hidden="false" customHeight="false" outlineLevel="0" collapsed="false">
      <c r="A2224" s="1" t="n">
        <v>2223</v>
      </c>
      <c r="B2224" s="2" t="s">
        <v>12360</v>
      </c>
      <c r="C2224" s="1" t="n">
        <v>2</v>
      </c>
      <c r="D2224" s="1" t="n">
        <v>26</v>
      </c>
      <c r="E2224" s="1" t="n">
        <v>40</v>
      </c>
      <c r="F2224" s="1" t="n">
        <v>42</v>
      </c>
      <c r="G2224" s="1" t="n">
        <v>49</v>
      </c>
      <c r="H2224" s="1" t="n">
        <v>56</v>
      </c>
      <c r="I2224" s="1" t="str">
        <f aca="false">RIGHT(("0"&amp;C2224),2)&amp;RIGHT(("0"&amp;D2224),2)&amp;RIGHT(("0"&amp;E2224),2)&amp;RIGHT(("0"&amp;F2224),2)&amp;RIGHT(("0"&amp;G2224),2)&amp;RIGHT(("0"&amp;H2224),2)</f>
        <v>022640424956</v>
      </c>
      <c r="J2224" s="1" t="n">
        <f aca="false">COUNTIF(I:I,I2224)</f>
        <v>1</v>
      </c>
      <c r="K2224" s="1" t="n">
        <v>0</v>
      </c>
      <c r="M2224" s="1" t="s">
        <v>23</v>
      </c>
      <c r="N2224" s="1" t="n">
        <v>45</v>
      </c>
      <c r="O2224" s="1" t="s">
        <v>12361</v>
      </c>
      <c r="P2224" s="1" t="n">
        <v>2702</v>
      </c>
      <c r="Q2224" s="1" t="s">
        <v>12362</v>
      </c>
      <c r="R2224" s="1" t="s">
        <v>12363</v>
      </c>
      <c r="S2224" s="1" t="s">
        <v>12364</v>
      </c>
      <c r="T2224" s="1" t="s">
        <v>4203</v>
      </c>
      <c r="U2224" s="1" t="s">
        <v>12365</v>
      </c>
    </row>
    <row r="2225" customFormat="false" ht="13.8" hidden="false" customHeight="false" outlineLevel="0" collapsed="false">
      <c r="A2225" s="1" t="n">
        <v>2224</v>
      </c>
      <c r="B2225" s="2" t="s">
        <v>12366</v>
      </c>
      <c r="C2225" s="1" t="n">
        <v>16</v>
      </c>
      <c r="D2225" s="1" t="n">
        <v>23</v>
      </c>
      <c r="E2225" s="1" t="n">
        <v>32</v>
      </c>
      <c r="F2225" s="1" t="n">
        <v>50</v>
      </c>
      <c r="G2225" s="1" t="n">
        <v>52</v>
      </c>
      <c r="H2225" s="1" t="n">
        <v>58</v>
      </c>
      <c r="I2225" s="1" t="str">
        <f aca="false">RIGHT(("0"&amp;C2225),2)&amp;RIGHT(("0"&amp;D2225),2)&amp;RIGHT(("0"&amp;E2225),2)&amp;RIGHT(("0"&amp;F2225),2)&amp;RIGHT(("0"&amp;G2225),2)&amp;RIGHT(("0"&amp;H2225),2)</f>
        <v>162332505258</v>
      </c>
      <c r="J2225" s="1" t="n">
        <f aca="false">COUNTIF(I:I,I2225)</f>
        <v>1</v>
      </c>
      <c r="K2225" s="1" t="n">
        <v>0</v>
      </c>
      <c r="M2225" s="1" t="s">
        <v>23</v>
      </c>
      <c r="N2225" s="1" t="n">
        <v>28</v>
      </c>
      <c r="O2225" s="1" t="s">
        <v>12367</v>
      </c>
      <c r="P2225" s="1" t="n">
        <v>2283</v>
      </c>
      <c r="Q2225" s="1" t="s">
        <v>12368</v>
      </c>
      <c r="R2225" s="1" t="s">
        <v>12369</v>
      </c>
      <c r="S2225" s="1" t="s">
        <v>12370</v>
      </c>
      <c r="T2225" s="1" t="s">
        <v>5281</v>
      </c>
      <c r="U2225" s="1" t="s">
        <v>12371</v>
      </c>
    </row>
    <row r="2226" customFormat="false" ht="13.8" hidden="false" customHeight="false" outlineLevel="0" collapsed="false">
      <c r="A2226" s="1" t="n">
        <v>2225</v>
      </c>
      <c r="B2226" s="2" t="s">
        <v>12372</v>
      </c>
      <c r="C2226" s="1" t="n">
        <v>1</v>
      </c>
      <c r="D2226" s="1" t="n">
        <v>32</v>
      </c>
      <c r="E2226" s="1" t="n">
        <v>37</v>
      </c>
      <c r="F2226" s="1" t="n">
        <v>44</v>
      </c>
      <c r="G2226" s="1" t="n">
        <v>46</v>
      </c>
      <c r="H2226" s="1" t="n">
        <v>47</v>
      </c>
      <c r="I2226" s="1" t="str">
        <f aca="false">RIGHT(("0"&amp;C2226),2)&amp;RIGHT(("0"&amp;D2226),2)&amp;RIGHT(("0"&amp;E2226),2)&amp;RIGHT(("0"&amp;F2226),2)&amp;RIGHT(("0"&amp;G2226),2)&amp;RIGHT(("0"&amp;H2226),2)</f>
        <v>013237444647</v>
      </c>
      <c r="J2226" s="1" t="n">
        <f aca="false">COUNTIF(I:I,I2226)</f>
        <v>1</v>
      </c>
      <c r="K2226" s="1" t="n">
        <v>0</v>
      </c>
      <c r="M2226" s="1" t="s">
        <v>23</v>
      </c>
      <c r="N2226" s="1" t="n">
        <v>34</v>
      </c>
      <c r="O2226" s="1" t="s">
        <v>12373</v>
      </c>
      <c r="P2226" s="1" t="n">
        <v>3100</v>
      </c>
      <c r="Q2226" s="1" t="s">
        <v>12374</v>
      </c>
      <c r="R2226" s="1" t="s">
        <v>12375</v>
      </c>
      <c r="S2226" s="1" t="s">
        <v>12376</v>
      </c>
      <c r="T2226" s="1" t="s">
        <v>4935</v>
      </c>
      <c r="U2226" s="1" t="s">
        <v>12377</v>
      </c>
    </row>
    <row r="2227" customFormat="false" ht="13.8" hidden="false" customHeight="false" outlineLevel="0" collapsed="false">
      <c r="A2227" s="1" t="n">
        <v>2226</v>
      </c>
      <c r="B2227" s="2" t="s">
        <v>12378</v>
      </c>
      <c r="C2227" s="1" t="n">
        <v>2</v>
      </c>
      <c r="D2227" s="1" t="n">
        <v>4</v>
      </c>
      <c r="E2227" s="1" t="n">
        <v>7</v>
      </c>
      <c r="F2227" s="1" t="n">
        <v>16</v>
      </c>
      <c r="G2227" s="1" t="n">
        <v>30</v>
      </c>
      <c r="H2227" s="1" t="n">
        <v>38</v>
      </c>
      <c r="I2227" s="1" t="str">
        <f aca="false">RIGHT(("0"&amp;C2227),2)&amp;RIGHT(("0"&amp;D2227),2)&amp;RIGHT(("0"&amp;E2227),2)&amp;RIGHT(("0"&amp;F2227),2)&amp;RIGHT(("0"&amp;G2227),2)&amp;RIGHT(("0"&amp;H2227),2)</f>
        <v>020407163038</v>
      </c>
      <c r="J2227" s="1" t="n">
        <f aca="false">COUNTIF(I:I,I2227)</f>
        <v>1</v>
      </c>
      <c r="K2227" s="1" t="n">
        <v>0</v>
      </c>
      <c r="M2227" s="1" t="s">
        <v>23</v>
      </c>
      <c r="N2227" s="1" t="n">
        <v>43</v>
      </c>
      <c r="O2227" s="1" t="s">
        <v>12379</v>
      </c>
      <c r="P2227" s="1" t="n">
        <v>3798</v>
      </c>
      <c r="Q2227" s="1" t="s">
        <v>12380</v>
      </c>
      <c r="R2227" s="1" t="s">
        <v>12381</v>
      </c>
      <c r="S2227" s="1" t="s">
        <v>12382</v>
      </c>
      <c r="T2227" s="1" t="s">
        <v>4968</v>
      </c>
      <c r="U2227" s="1" t="s">
        <v>12383</v>
      </c>
    </row>
    <row r="2228" customFormat="false" ht="13.8" hidden="false" customHeight="false" outlineLevel="0" collapsed="false">
      <c r="A2228" s="1" t="n">
        <v>2227</v>
      </c>
      <c r="B2228" s="2" t="s">
        <v>12384</v>
      </c>
      <c r="C2228" s="1" t="n">
        <v>6</v>
      </c>
      <c r="D2228" s="1" t="n">
        <v>9</v>
      </c>
      <c r="E2228" s="1" t="n">
        <v>12</v>
      </c>
      <c r="F2228" s="1" t="n">
        <v>27</v>
      </c>
      <c r="G2228" s="1" t="n">
        <v>32</v>
      </c>
      <c r="H2228" s="1" t="n">
        <v>57</v>
      </c>
      <c r="I2228" s="1" t="str">
        <f aca="false">RIGHT(("0"&amp;C2228),2)&amp;RIGHT(("0"&amp;D2228),2)&amp;RIGHT(("0"&amp;E2228),2)&amp;RIGHT(("0"&amp;F2228),2)&amp;RIGHT(("0"&amp;G2228),2)&amp;RIGHT(("0"&amp;H2228),2)</f>
        <v>060912273257</v>
      </c>
      <c r="J2228" s="1" t="n">
        <f aca="false">COUNTIF(I:I,I2228)</f>
        <v>1</v>
      </c>
      <c r="K2228" s="1" t="n">
        <v>0</v>
      </c>
      <c r="M2228" s="1" t="s">
        <v>23</v>
      </c>
      <c r="N2228" s="1" t="n">
        <v>92</v>
      </c>
      <c r="O2228" s="1" t="s">
        <v>12385</v>
      </c>
      <c r="P2228" s="1" t="n">
        <v>5732</v>
      </c>
      <c r="Q2228" s="1" t="s">
        <v>12386</v>
      </c>
      <c r="R2228" s="1" t="s">
        <v>12387</v>
      </c>
      <c r="S2228" s="1" t="s">
        <v>12388</v>
      </c>
      <c r="T2228" s="1" t="s">
        <v>4309</v>
      </c>
      <c r="U2228" s="1" t="s">
        <v>12389</v>
      </c>
    </row>
    <row r="2229" customFormat="false" ht="13.8" hidden="false" customHeight="false" outlineLevel="0" collapsed="false">
      <c r="A2229" s="1" t="n">
        <v>2228</v>
      </c>
      <c r="B2229" s="2" t="s">
        <v>12390</v>
      </c>
      <c r="C2229" s="1" t="n">
        <v>9</v>
      </c>
      <c r="D2229" s="1" t="n">
        <v>19</v>
      </c>
      <c r="E2229" s="1" t="n">
        <v>23</v>
      </c>
      <c r="F2229" s="1" t="n">
        <v>32</v>
      </c>
      <c r="G2229" s="1" t="n">
        <v>39</v>
      </c>
      <c r="H2229" s="1" t="n">
        <v>45</v>
      </c>
      <c r="I2229" s="1" t="str">
        <f aca="false">RIGHT(("0"&amp;C2229),2)&amp;RIGHT(("0"&amp;D2229),2)&amp;RIGHT(("0"&amp;E2229),2)&amp;RIGHT(("0"&amp;F2229),2)&amp;RIGHT(("0"&amp;G2229),2)&amp;RIGHT(("0"&amp;H2229),2)</f>
        <v>091923323945</v>
      </c>
      <c r="J2229" s="1" t="n">
        <f aca="false">COUNTIF(I:I,I2229)</f>
        <v>1</v>
      </c>
      <c r="K2229" s="1" t="n">
        <v>0</v>
      </c>
      <c r="M2229" s="1" t="s">
        <v>23</v>
      </c>
      <c r="N2229" s="1" t="n">
        <v>85</v>
      </c>
      <c r="O2229" s="1" t="s">
        <v>12391</v>
      </c>
      <c r="P2229" s="1" t="n">
        <v>5562</v>
      </c>
      <c r="Q2229" s="1" t="s">
        <v>12392</v>
      </c>
      <c r="R2229" s="1" t="s">
        <v>12393</v>
      </c>
      <c r="S2229" s="1" t="s">
        <v>12394</v>
      </c>
      <c r="T2229" s="1" t="s">
        <v>5782</v>
      </c>
      <c r="U2229" s="1" t="s">
        <v>12395</v>
      </c>
    </row>
    <row r="2230" customFormat="false" ht="13.8" hidden="false" customHeight="false" outlineLevel="0" collapsed="false">
      <c r="A2230" s="1" t="n">
        <v>2229</v>
      </c>
      <c r="B2230" s="2" t="s">
        <v>12396</v>
      </c>
      <c r="C2230" s="1" t="n">
        <v>6</v>
      </c>
      <c r="D2230" s="1" t="n">
        <v>11</v>
      </c>
      <c r="E2230" s="1" t="n">
        <v>29</v>
      </c>
      <c r="F2230" s="1" t="n">
        <v>40</v>
      </c>
      <c r="G2230" s="1" t="n">
        <v>41</v>
      </c>
      <c r="H2230" s="1" t="n">
        <v>58</v>
      </c>
      <c r="I2230" s="1" t="str">
        <f aca="false">RIGHT(("0"&amp;C2230),2)&amp;RIGHT(("0"&amp;D2230),2)&amp;RIGHT(("0"&amp;E2230),2)&amp;RIGHT(("0"&amp;F2230),2)&amp;RIGHT(("0"&amp;G2230),2)&amp;RIGHT(("0"&amp;H2230),2)</f>
        <v>061129404158</v>
      </c>
      <c r="J2230" s="1" t="n">
        <f aca="false">COUNTIF(I:I,I2230)</f>
        <v>1</v>
      </c>
      <c r="K2230" s="1" t="n">
        <v>0</v>
      </c>
      <c r="M2230" s="1" t="s">
        <v>23</v>
      </c>
      <c r="N2230" s="1" t="n">
        <v>64</v>
      </c>
      <c r="O2230" s="1" t="s">
        <v>12397</v>
      </c>
      <c r="P2230" s="1" t="n">
        <v>4315</v>
      </c>
      <c r="Q2230" s="1" t="s">
        <v>12398</v>
      </c>
      <c r="R2230" s="1" t="s">
        <v>12399</v>
      </c>
      <c r="S2230" s="1" t="s">
        <v>12400</v>
      </c>
      <c r="T2230" s="1" t="s">
        <v>5706</v>
      </c>
      <c r="U2230" s="1" t="s">
        <v>12401</v>
      </c>
    </row>
    <row r="2231" customFormat="false" ht="13.8" hidden="false" customHeight="false" outlineLevel="0" collapsed="false">
      <c r="A2231" s="1" t="n">
        <v>2230</v>
      </c>
      <c r="B2231" s="2" t="s">
        <v>12402</v>
      </c>
      <c r="C2231" s="1" t="n">
        <v>7</v>
      </c>
      <c r="D2231" s="1" t="n">
        <v>17</v>
      </c>
      <c r="E2231" s="1" t="n">
        <v>26</v>
      </c>
      <c r="F2231" s="1" t="n">
        <v>39</v>
      </c>
      <c r="G2231" s="1" t="n">
        <v>56</v>
      </c>
      <c r="H2231" s="1" t="n">
        <v>60</v>
      </c>
      <c r="I2231" s="1" t="str">
        <f aca="false">RIGHT(("0"&amp;C2231),2)&amp;RIGHT(("0"&amp;D2231),2)&amp;RIGHT(("0"&amp;E2231),2)&amp;RIGHT(("0"&amp;F2231),2)&amp;RIGHT(("0"&amp;G2231),2)&amp;RIGHT(("0"&amp;H2231),2)</f>
        <v>071726395660</v>
      </c>
      <c r="J2231" s="1" t="n">
        <f aca="false">COUNTIF(I:I,I2231)</f>
        <v>1</v>
      </c>
      <c r="K2231" s="1" t="n">
        <v>0</v>
      </c>
      <c r="M2231" s="1" t="s">
        <v>23</v>
      </c>
      <c r="N2231" s="1" t="n">
        <v>75</v>
      </c>
      <c r="O2231" s="1" t="s">
        <v>12403</v>
      </c>
      <c r="P2231" s="1" t="n">
        <v>6440</v>
      </c>
      <c r="Q2231" s="1" t="s">
        <v>12404</v>
      </c>
      <c r="R2231" s="1" t="s">
        <v>12405</v>
      </c>
      <c r="S2231" s="1" t="s">
        <v>12406</v>
      </c>
      <c r="T2231" s="1" t="s">
        <v>8842</v>
      </c>
      <c r="U2231" s="1" t="s">
        <v>12407</v>
      </c>
    </row>
    <row r="2232" customFormat="false" ht="13.8" hidden="false" customHeight="false" outlineLevel="0" collapsed="false">
      <c r="A2232" s="1" t="n">
        <v>2231</v>
      </c>
      <c r="B2232" s="2" t="s">
        <v>12408</v>
      </c>
      <c r="C2232" s="1" t="n">
        <v>4</v>
      </c>
      <c r="D2232" s="1" t="n">
        <v>13</v>
      </c>
      <c r="E2232" s="1" t="n">
        <v>25</v>
      </c>
      <c r="F2232" s="1" t="n">
        <v>40</v>
      </c>
      <c r="G2232" s="1" t="n">
        <v>53</v>
      </c>
      <c r="H2232" s="1" t="n">
        <v>57</v>
      </c>
      <c r="I2232" s="1" t="str">
        <f aca="false">RIGHT(("0"&amp;C2232),2)&amp;RIGHT(("0"&amp;D2232),2)&amp;RIGHT(("0"&amp;E2232),2)&amp;RIGHT(("0"&amp;F2232),2)&amp;RIGHT(("0"&amp;G2232),2)&amp;RIGHT(("0"&amp;H2232),2)</f>
        <v>041325405357</v>
      </c>
      <c r="J2232" s="1" t="n">
        <f aca="false">COUNTIF(I:I,I2232)</f>
        <v>1</v>
      </c>
      <c r="K2232" s="1" t="n">
        <v>0</v>
      </c>
      <c r="M2232" s="1" t="s">
        <v>23</v>
      </c>
      <c r="N2232" s="1" t="n">
        <v>127</v>
      </c>
      <c r="O2232" s="1" t="s">
        <v>12409</v>
      </c>
      <c r="P2232" s="1" t="n">
        <v>8326</v>
      </c>
      <c r="Q2232" s="1" t="s">
        <v>12410</v>
      </c>
      <c r="R2232" s="1" t="s">
        <v>12411</v>
      </c>
      <c r="S2232" s="1" t="s">
        <v>12412</v>
      </c>
      <c r="T2232" s="1" t="s">
        <v>9814</v>
      </c>
      <c r="U2232" s="1" t="s">
        <v>12413</v>
      </c>
    </row>
    <row r="2233" customFormat="false" ht="13.8" hidden="false" customHeight="false" outlineLevel="0" collapsed="false">
      <c r="A2233" s="1" t="n">
        <v>2232</v>
      </c>
      <c r="B2233" s="2" t="s">
        <v>12414</v>
      </c>
      <c r="C2233" s="1" t="n">
        <v>7</v>
      </c>
      <c r="D2233" s="1" t="n">
        <v>8</v>
      </c>
      <c r="E2233" s="1" t="n">
        <v>31</v>
      </c>
      <c r="F2233" s="1" t="n">
        <v>34</v>
      </c>
      <c r="G2233" s="1" t="n">
        <v>38</v>
      </c>
      <c r="H2233" s="1" t="n">
        <v>47</v>
      </c>
      <c r="I2233" s="1" t="str">
        <f aca="false">RIGHT(("0"&amp;C2233),2)&amp;RIGHT(("0"&amp;D2233),2)&amp;RIGHT(("0"&amp;E2233),2)&amp;RIGHT(("0"&amp;F2233),2)&amp;RIGHT(("0"&amp;G2233),2)&amp;RIGHT(("0"&amp;H2233),2)</f>
        <v>070831343847</v>
      </c>
      <c r="J2233" s="1" t="n">
        <f aca="false">COUNTIF(I:I,I2233)</f>
        <v>1</v>
      </c>
      <c r="K2233" s="1" t="n">
        <v>0</v>
      </c>
      <c r="M2233" s="1" t="s">
        <v>23</v>
      </c>
      <c r="N2233" s="1" t="n">
        <v>111</v>
      </c>
      <c r="O2233" s="1" t="s">
        <v>12415</v>
      </c>
      <c r="P2233" s="1" t="n">
        <v>8685</v>
      </c>
      <c r="Q2233" s="1" t="s">
        <v>12416</v>
      </c>
      <c r="R2233" s="1" t="s">
        <v>12417</v>
      </c>
      <c r="S2233" s="1" t="s">
        <v>12418</v>
      </c>
      <c r="T2233" s="1" t="s">
        <v>8343</v>
      </c>
      <c r="U2233" s="1" t="s">
        <v>12419</v>
      </c>
    </row>
    <row r="2234" customFormat="false" ht="13.8" hidden="false" customHeight="false" outlineLevel="0" collapsed="false">
      <c r="A2234" s="1" t="n">
        <v>2233</v>
      </c>
      <c r="B2234" s="2" t="s">
        <v>12420</v>
      </c>
      <c r="C2234" s="1" t="n">
        <v>4</v>
      </c>
      <c r="D2234" s="1" t="n">
        <v>6</v>
      </c>
      <c r="E2234" s="1" t="n">
        <v>32</v>
      </c>
      <c r="F2234" s="1" t="n">
        <v>35</v>
      </c>
      <c r="G2234" s="1" t="n">
        <v>41</v>
      </c>
      <c r="H2234" s="1" t="n">
        <v>45</v>
      </c>
      <c r="I2234" s="1" t="str">
        <f aca="false">RIGHT(("0"&amp;C2234),2)&amp;RIGHT(("0"&amp;D2234),2)&amp;RIGHT(("0"&amp;E2234),2)&amp;RIGHT(("0"&amp;F2234),2)&amp;RIGHT(("0"&amp;G2234),2)&amp;RIGHT(("0"&amp;H2234),2)</f>
        <v>040632354145</v>
      </c>
      <c r="J2234" s="1" t="n">
        <f aca="false">COUNTIF(I:I,I2234)</f>
        <v>1</v>
      </c>
      <c r="K2234" s="1" t="n">
        <v>0</v>
      </c>
      <c r="M2234" s="1" t="s">
        <v>23</v>
      </c>
      <c r="N2234" s="1" t="n">
        <v>89</v>
      </c>
      <c r="O2234" s="1" t="s">
        <v>12421</v>
      </c>
      <c r="P2234" s="1" t="n">
        <v>8107</v>
      </c>
      <c r="Q2234" s="1" t="s">
        <v>12422</v>
      </c>
      <c r="R2234" s="1" t="s">
        <v>12423</v>
      </c>
      <c r="S2234" s="1" t="s">
        <v>12424</v>
      </c>
      <c r="T2234" s="1" t="s">
        <v>5601</v>
      </c>
      <c r="U2234" s="1" t="s">
        <v>12425</v>
      </c>
    </row>
    <row r="2235" customFormat="false" ht="13.8" hidden="false" customHeight="false" outlineLevel="0" collapsed="false">
      <c r="A2235" s="1" t="n">
        <v>2234</v>
      </c>
      <c r="B2235" s="2" t="s">
        <v>12426</v>
      </c>
      <c r="C2235" s="1" t="n">
        <v>4</v>
      </c>
      <c r="D2235" s="1" t="n">
        <v>21</v>
      </c>
      <c r="E2235" s="1" t="n">
        <v>27</v>
      </c>
      <c r="F2235" s="1" t="n">
        <v>29</v>
      </c>
      <c r="G2235" s="1" t="n">
        <v>42</v>
      </c>
      <c r="H2235" s="1" t="n">
        <v>47</v>
      </c>
      <c r="I2235" s="1" t="str">
        <f aca="false">RIGHT(("0"&amp;C2235),2)&amp;RIGHT(("0"&amp;D2235),2)&amp;RIGHT(("0"&amp;E2235),2)&amp;RIGHT(("0"&amp;F2235),2)&amp;RIGHT(("0"&amp;G2235),2)&amp;RIGHT(("0"&amp;H2235),2)</f>
        <v>042127294247</v>
      </c>
      <c r="J2235" s="1" t="n">
        <f aca="false">COUNTIF(I:I,I2235)</f>
        <v>1</v>
      </c>
      <c r="K2235" s="1" t="n">
        <v>0</v>
      </c>
      <c r="M2235" s="1" t="s">
        <v>23</v>
      </c>
      <c r="N2235" s="1" t="n">
        <v>216</v>
      </c>
      <c r="O2235" s="1" t="s">
        <v>12427</v>
      </c>
      <c r="P2235" s="1" t="n">
        <v>13800</v>
      </c>
      <c r="Q2235" s="1" t="s">
        <v>12428</v>
      </c>
      <c r="R2235" s="1" t="s">
        <v>12429</v>
      </c>
      <c r="S2235" s="1" t="s">
        <v>12430</v>
      </c>
      <c r="T2235" s="1" t="s">
        <v>6916</v>
      </c>
      <c r="U2235" s="1" t="s">
        <v>12431</v>
      </c>
    </row>
    <row r="2236" customFormat="false" ht="13.8" hidden="false" customHeight="false" outlineLevel="0" collapsed="false">
      <c r="A2236" s="1" t="n">
        <v>2235</v>
      </c>
      <c r="B2236" s="2" t="s">
        <v>12432</v>
      </c>
      <c r="C2236" s="1" t="n">
        <v>14</v>
      </c>
      <c r="D2236" s="1" t="n">
        <v>18</v>
      </c>
      <c r="E2236" s="1" t="n">
        <v>30</v>
      </c>
      <c r="F2236" s="1" t="n">
        <v>35</v>
      </c>
      <c r="G2236" s="1" t="n">
        <v>55</v>
      </c>
      <c r="H2236" s="1" t="n">
        <v>57</v>
      </c>
      <c r="I2236" s="1" t="str">
        <f aca="false">RIGHT(("0"&amp;C2236),2)&amp;RIGHT(("0"&amp;D2236),2)&amp;RIGHT(("0"&amp;E2236),2)&amp;RIGHT(("0"&amp;F2236),2)&amp;RIGHT(("0"&amp;G2236),2)&amp;RIGHT(("0"&amp;H2236),2)</f>
        <v>141830355557</v>
      </c>
      <c r="J2236" s="1" t="n">
        <f aca="false">COUNTIF(I:I,I2236)</f>
        <v>1</v>
      </c>
      <c r="K2236" s="1" t="n">
        <v>0</v>
      </c>
      <c r="M2236" s="1" t="s">
        <v>23</v>
      </c>
      <c r="N2236" s="1" t="n">
        <v>133</v>
      </c>
      <c r="O2236" s="1" t="s">
        <v>12433</v>
      </c>
      <c r="P2236" s="1" t="n">
        <v>11895</v>
      </c>
      <c r="Q2236" s="1" t="s">
        <v>12434</v>
      </c>
      <c r="R2236" s="1" t="s">
        <v>12435</v>
      </c>
      <c r="S2236" s="1" t="s">
        <v>12436</v>
      </c>
      <c r="T2236" s="1" t="s">
        <v>12437</v>
      </c>
      <c r="U2236" s="1" t="s">
        <v>12438</v>
      </c>
    </row>
    <row r="2237" customFormat="false" ht="13.8" hidden="false" customHeight="false" outlineLevel="0" collapsed="false">
      <c r="A2237" s="1" t="n">
        <v>2236</v>
      </c>
      <c r="B2237" s="2" t="s">
        <v>12439</v>
      </c>
      <c r="C2237" s="1" t="n">
        <v>7</v>
      </c>
      <c r="D2237" s="1" t="n">
        <v>20</v>
      </c>
      <c r="E2237" s="1" t="n">
        <v>38</v>
      </c>
      <c r="F2237" s="1" t="n">
        <v>43</v>
      </c>
      <c r="G2237" s="1" t="n">
        <v>45</v>
      </c>
      <c r="H2237" s="1" t="n">
        <v>53</v>
      </c>
      <c r="I2237" s="1" t="str">
        <f aca="false">RIGHT(("0"&amp;C2237),2)&amp;RIGHT(("0"&amp;D2237),2)&amp;RIGHT(("0"&amp;E2237),2)&amp;RIGHT(("0"&amp;F2237),2)&amp;RIGHT(("0"&amp;G2237),2)&amp;RIGHT(("0"&amp;H2237),2)</f>
        <v>072038434553</v>
      </c>
      <c r="J2237" s="1" t="n">
        <f aca="false">COUNTIF(I:I,I2237)</f>
        <v>1</v>
      </c>
      <c r="K2237" s="1" t="n">
        <v>0</v>
      </c>
      <c r="M2237" s="1" t="s">
        <v>23</v>
      </c>
      <c r="N2237" s="1" t="n">
        <v>190</v>
      </c>
      <c r="O2237" s="1" t="s">
        <v>12440</v>
      </c>
      <c r="P2237" s="1" t="n">
        <v>14982</v>
      </c>
      <c r="Q2237" s="1" t="s">
        <v>12441</v>
      </c>
      <c r="R2237" s="1" t="s">
        <v>12442</v>
      </c>
      <c r="S2237" s="1" t="s">
        <v>12443</v>
      </c>
      <c r="T2237" s="1" t="s">
        <v>6260</v>
      </c>
      <c r="U2237" s="1" t="s">
        <v>12444</v>
      </c>
    </row>
    <row r="2238" customFormat="false" ht="13.8" hidden="false" customHeight="false" outlineLevel="0" collapsed="false">
      <c r="A2238" s="1" t="n">
        <v>2237</v>
      </c>
      <c r="B2238" s="2" t="s">
        <v>12445</v>
      </c>
      <c r="C2238" s="1" t="n">
        <v>11</v>
      </c>
      <c r="D2238" s="1" t="n">
        <v>20</v>
      </c>
      <c r="E2238" s="1" t="n">
        <v>27</v>
      </c>
      <c r="F2238" s="1" t="n">
        <v>28</v>
      </c>
      <c r="G2238" s="1" t="n">
        <v>53</v>
      </c>
      <c r="H2238" s="1" t="n">
        <v>60</v>
      </c>
      <c r="I2238" s="1" t="str">
        <f aca="false">RIGHT(("0"&amp;C2238),2)&amp;RIGHT(("0"&amp;D2238),2)&amp;RIGHT(("0"&amp;E2238),2)&amp;RIGHT(("0"&amp;F2238),2)&amp;RIGHT(("0"&amp;G2238),2)&amp;RIGHT(("0"&amp;H2238),2)</f>
        <v>112027285360</v>
      </c>
      <c r="J2238" s="1" t="n">
        <f aca="false">COUNTIF(I:I,I2238)</f>
        <v>1</v>
      </c>
      <c r="K2238" s="1" t="n">
        <v>2</v>
      </c>
      <c r="L2238" s="1" t="s">
        <v>12446</v>
      </c>
      <c r="M2238" s="1" t="s">
        <v>12447</v>
      </c>
      <c r="N2238" s="1" t="n">
        <v>263</v>
      </c>
      <c r="O2238" s="1" t="s">
        <v>12448</v>
      </c>
      <c r="P2238" s="1" t="n">
        <v>15054</v>
      </c>
      <c r="Q2238" s="1" t="s">
        <v>12449</v>
      </c>
      <c r="R2238" s="1" t="s">
        <v>23</v>
      </c>
      <c r="S2238" s="1" t="s">
        <v>12450</v>
      </c>
      <c r="T2238" s="1" t="s">
        <v>473</v>
      </c>
      <c r="U2238" s="1" t="s">
        <v>12451</v>
      </c>
    </row>
    <row r="2239" customFormat="false" ht="13.8" hidden="false" customHeight="false" outlineLevel="0" collapsed="false">
      <c r="A2239" s="1" t="n">
        <v>2238</v>
      </c>
      <c r="B2239" s="2" t="s">
        <v>12452</v>
      </c>
      <c r="C2239" s="1" t="n">
        <v>11</v>
      </c>
      <c r="D2239" s="1" t="n">
        <v>36</v>
      </c>
      <c r="E2239" s="1" t="n">
        <v>45</v>
      </c>
      <c r="F2239" s="1" t="n">
        <v>55</v>
      </c>
      <c r="G2239" s="1" t="n">
        <v>57</v>
      </c>
      <c r="H2239" s="1" t="n">
        <v>58</v>
      </c>
      <c r="I2239" s="1" t="str">
        <f aca="false">RIGHT(("0"&amp;C2239),2)&amp;RIGHT(("0"&amp;D2239),2)&amp;RIGHT(("0"&amp;E2239),2)&amp;RIGHT(("0"&amp;F2239),2)&amp;RIGHT(("0"&amp;G2239),2)&amp;RIGHT(("0"&amp;H2239),2)</f>
        <v>113645555758</v>
      </c>
      <c r="J2239" s="1" t="n">
        <f aca="false">COUNTIF(I:I,I2239)</f>
        <v>1</v>
      </c>
      <c r="K2239" s="1" t="n">
        <v>0</v>
      </c>
      <c r="M2239" s="1" t="s">
        <v>23</v>
      </c>
      <c r="N2239" s="1" t="n">
        <v>14</v>
      </c>
      <c r="O2239" s="1" t="s">
        <v>12453</v>
      </c>
      <c r="P2239" s="1" t="n">
        <v>1679</v>
      </c>
      <c r="Q2239" s="1" t="s">
        <v>12454</v>
      </c>
      <c r="R2239" s="1" t="s">
        <v>12455</v>
      </c>
      <c r="S2239" s="1" t="s">
        <v>12456</v>
      </c>
      <c r="T2239" s="1" t="s">
        <v>4232</v>
      </c>
      <c r="U2239" s="1" t="s">
        <v>12457</v>
      </c>
    </row>
    <row r="2240" customFormat="false" ht="13.8" hidden="false" customHeight="false" outlineLevel="0" collapsed="false">
      <c r="A2240" s="1" t="n">
        <v>2239</v>
      </c>
      <c r="B2240" s="2" t="s">
        <v>12458</v>
      </c>
      <c r="C2240" s="1" t="n">
        <v>7</v>
      </c>
      <c r="D2240" s="1" t="n">
        <v>27</v>
      </c>
      <c r="E2240" s="1" t="n">
        <v>31</v>
      </c>
      <c r="F2240" s="1" t="n">
        <v>39</v>
      </c>
      <c r="G2240" s="1" t="n">
        <v>45</v>
      </c>
      <c r="H2240" s="1" t="n">
        <v>46</v>
      </c>
      <c r="I2240" s="1" t="str">
        <f aca="false">RIGHT(("0"&amp;C2240),2)&amp;RIGHT(("0"&amp;D2240),2)&amp;RIGHT(("0"&amp;E2240),2)&amp;RIGHT(("0"&amp;F2240),2)&amp;RIGHT(("0"&amp;G2240),2)&amp;RIGHT(("0"&amp;H2240),2)</f>
        <v>072731394546</v>
      </c>
      <c r="J2240" s="1" t="n">
        <f aca="false">COUNTIF(I:I,I2240)</f>
        <v>1</v>
      </c>
      <c r="K2240" s="1" t="n">
        <v>0</v>
      </c>
      <c r="M2240" s="1" t="s">
        <v>23</v>
      </c>
      <c r="N2240" s="1" t="n">
        <v>29</v>
      </c>
      <c r="O2240" s="1" t="s">
        <v>12459</v>
      </c>
      <c r="P2240" s="1" t="n">
        <v>3057</v>
      </c>
      <c r="Q2240" s="1" t="s">
        <v>12460</v>
      </c>
      <c r="R2240" s="1" t="s">
        <v>12461</v>
      </c>
      <c r="S2240" s="1" t="s">
        <v>12462</v>
      </c>
      <c r="T2240" s="1" t="s">
        <v>5255</v>
      </c>
      <c r="U2240" s="1" t="s">
        <v>12463</v>
      </c>
    </row>
    <row r="2241" customFormat="false" ht="13.8" hidden="false" customHeight="false" outlineLevel="0" collapsed="false">
      <c r="A2241" s="1" t="n">
        <v>2240</v>
      </c>
      <c r="B2241" s="2" t="s">
        <v>12464</v>
      </c>
      <c r="C2241" s="1" t="n">
        <v>7</v>
      </c>
      <c r="D2241" s="1" t="n">
        <v>9</v>
      </c>
      <c r="E2241" s="1" t="n">
        <v>10</v>
      </c>
      <c r="F2241" s="1" t="n">
        <v>19</v>
      </c>
      <c r="G2241" s="1" t="n">
        <v>25</v>
      </c>
      <c r="H2241" s="1" t="n">
        <v>58</v>
      </c>
      <c r="I2241" s="1" t="str">
        <f aca="false">RIGHT(("0"&amp;C2241),2)&amp;RIGHT(("0"&amp;D2241),2)&amp;RIGHT(("0"&amp;E2241),2)&amp;RIGHT(("0"&amp;F2241),2)&amp;RIGHT(("0"&amp;G2241),2)&amp;RIGHT(("0"&amp;H2241),2)</f>
        <v>070910192558</v>
      </c>
      <c r="J2241" s="1" t="n">
        <f aca="false">COUNTIF(I:I,I2241)</f>
        <v>1</v>
      </c>
      <c r="K2241" s="1" t="n">
        <v>2</v>
      </c>
      <c r="L2241" s="1" t="s">
        <v>12465</v>
      </c>
      <c r="M2241" s="1" t="s">
        <v>12466</v>
      </c>
      <c r="N2241" s="1" t="n">
        <v>143</v>
      </c>
      <c r="O2241" s="1" t="s">
        <v>12467</v>
      </c>
      <c r="P2241" s="1" t="n">
        <v>10345</v>
      </c>
      <c r="Q2241" s="1" t="s">
        <v>12468</v>
      </c>
      <c r="R2241" s="1" t="s">
        <v>23</v>
      </c>
      <c r="S2241" s="1" t="s">
        <v>12469</v>
      </c>
      <c r="T2241" s="1" t="s">
        <v>4732</v>
      </c>
      <c r="U2241" s="1" t="s">
        <v>12470</v>
      </c>
    </row>
    <row r="2242" customFormat="false" ht="13.8" hidden="false" customHeight="false" outlineLevel="0" collapsed="false">
      <c r="A2242" s="1" t="n">
        <v>2241</v>
      </c>
      <c r="B2242" s="2" t="s">
        <v>12471</v>
      </c>
      <c r="C2242" s="1" t="n">
        <v>1</v>
      </c>
      <c r="D2242" s="1" t="n">
        <v>13</v>
      </c>
      <c r="E2242" s="1" t="n">
        <v>18</v>
      </c>
      <c r="F2242" s="1" t="n">
        <v>26</v>
      </c>
      <c r="G2242" s="1" t="n">
        <v>40</v>
      </c>
      <c r="H2242" s="1" t="n">
        <v>56</v>
      </c>
      <c r="I2242" s="1" t="str">
        <f aca="false">RIGHT(("0"&amp;C2242),2)&amp;RIGHT(("0"&amp;D2242),2)&amp;RIGHT(("0"&amp;E2242),2)&amp;RIGHT(("0"&amp;F2242),2)&amp;RIGHT(("0"&amp;G2242),2)&amp;RIGHT(("0"&amp;H2242),2)</f>
        <v>011318264056</v>
      </c>
      <c r="J2242" s="1" t="n">
        <f aca="false">COUNTIF(I:I,I2242)</f>
        <v>1</v>
      </c>
      <c r="K2242" s="1" t="n">
        <v>0</v>
      </c>
      <c r="M2242" s="1" t="s">
        <v>23</v>
      </c>
      <c r="N2242" s="1" t="n">
        <v>33</v>
      </c>
      <c r="O2242" s="1" t="s">
        <v>12472</v>
      </c>
      <c r="P2242" s="1" t="n">
        <v>1575</v>
      </c>
      <c r="Q2242" s="1" t="s">
        <v>12473</v>
      </c>
      <c r="R2242" s="1" t="s">
        <v>12474</v>
      </c>
      <c r="S2242" s="1" t="s">
        <v>12475</v>
      </c>
      <c r="T2242" s="1" t="s">
        <v>5013</v>
      </c>
      <c r="U2242" s="1" t="s">
        <v>12476</v>
      </c>
    </row>
    <row r="2243" customFormat="false" ht="13.8" hidden="false" customHeight="false" outlineLevel="0" collapsed="false">
      <c r="A2243" s="1" t="n">
        <v>2242</v>
      </c>
      <c r="B2243" s="2" t="s">
        <v>12477</v>
      </c>
      <c r="C2243" s="1" t="n">
        <v>5</v>
      </c>
      <c r="D2243" s="1" t="n">
        <v>9</v>
      </c>
      <c r="E2243" s="1" t="n">
        <v>18</v>
      </c>
      <c r="F2243" s="1" t="n">
        <v>24</v>
      </c>
      <c r="G2243" s="1" t="n">
        <v>25</v>
      </c>
      <c r="H2243" s="1" t="n">
        <v>42</v>
      </c>
      <c r="I2243" s="1" t="str">
        <f aca="false">RIGHT(("0"&amp;C2243),2)&amp;RIGHT(("0"&amp;D2243),2)&amp;RIGHT(("0"&amp;E2243),2)&amp;RIGHT(("0"&amp;F2243),2)&amp;RIGHT(("0"&amp;G2243),2)&amp;RIGHT(("0"&amp;H2243),2)</f>
        <v>050918242542</v>
      </c>
      <c r="J2243" s="1" t="n">
        <f aca="false">COUNTIF(I:I,I2243)</f>
        <v>1</v>
      </c>
      <c r="K2243" s="1" t="n">
        <v>0</v>
      </c>
      <c r="M2243" s="1" t="s">
        <v>23</v>
      </c>
      <c r="N2243" s="1" t="n">
        <v>89</v>
      </c>
      <c r="O2243" s="1" t="s">
        <v>12478</v>
      </c>
      <c r="P2243" s="1" t="n">
        <v>4514</v>
      </c>
      <c r="Q2243" s="1" t="s">
        <v>12479</v>
      </c>
      <c r="R2243" s="1" t="s">
        <v>12480</v>
      </c>
      <c r="S2243" s="1" t="s">
        <v>12481</v>
      </c>
      <c r="T2243" s="1" t="s">
        <v>4594</v>
      </c>
      <c r="U2243" s="1" t="s">
        <v>12482</v>
      </c>
    </row>
    <row r="2244" customFormat="false" ht="13.8" hidden="false" customHeight="false" outlineLevel="0" collapsed="false">
      <c r="A2244" s="1" t="n">
        <v>2243</v>
      </c>
      <c r="B2244" s="2" t="s">
        <v>12483</v>
      </c>
      <c r="C2244" s="1" t="n">
        <v>14</v>
      </c>
      <c r="D2244" s="1" t="n">
        <v>18</v>
      </c>
      <c r="E2244" s="1" t="n">
        <v>28</v>
      </c>
      <c r="F2244" s="1" t="n">
        <v>35</v>
      </c>
      <c r="G2244" s="1" t="n">
        <v>38</v>
      </c>
      <c r="H2244" s="1" t="n">
        <v>54</v>
      </c>
      <c r="I2244" s="1" t="str">
        <f aca="false">RIGHT(("0"&amp;C2244),2)&amp;RIGHT(("0"&amp;D2244),2)&amp;RIGHT(("0"&amp;E2244),2)&amp;RIGHT(("0"&amp;F2244),2)&amp;RIGHT(("0"&amp;G2244),2)&amp;RIGHT(("0"&amp;H2244),2)</f>
        <v>141828353854</v>
      </c>
      <c r="J2244" s="1" t="n">
        <f aca="false">COUNTIF(I:I,I2244)</f>
        <v>1</v>
      </c>
      <c r="K2244" s="1" t="n">
        <v>0</v>
      </c>
      <c r="M2244" s="1" t="s">
        <v>23</v>
      </c>
      <c r="N2244" s="1" t="n">
        <v>45</v>
      </c>
      <c r="O2244" s="1" t="s">
        <v>12484</v>
      </c>
      <c r="P2244" s="1" t="n">
        <v>3079</v>
      </c>
      <c r="Q2244" s="1" t="s">
        <v>12485</v>
      </c>
      <c r="R2244" s="1" t="s">
        <v>12486</v>
      </c>
      <c r="S2244" s="1" t="s">
        <v>12487</v>
      </c>
      <c r="T2244" s="1" t="s">
        <v>4846</v>
      </c>
      <c r="U2244" s="1" t="s">
        <v>12488</v>
      </c>
    </row>
    <row r="2245" customFormat="false" ht="13.8" hidden="false" customHeight="false" outlineLevel="0" collapsed="false">
      <c r="A2245" s="1" t="n">
        <v>2244</v>
      </c>
      <c r="B2245" s="2" t="s">
        <v>12489</v>
      </c>
      <c r="C2245" s="1" t="n">
        <v>3</v>
      </c>
      <c r="D2245" s="1" t="n">
        <v>5</v>
      </c>
      <c r="E2245" s="1" t="n">
        <v>11</v>
      </c>
      <c r="F2245" s="1" t="n">
        <v>34</v>
      </c>
      <c r="G2245" s="1" t="n">
        <v>37</v>
      </c>
      <c r="H2245" s="1" t="n">
        <v>42</v>
      </c>
      <c r="I2245" s="1" t="str">
        <f aca="false">RIGHT(("0"&amp;C2245),2)&amp;RIGHT(("0"&amp;D2245),2)&amp;RIGHT(("0"&amp;E2245),2)&amp;RIGHT(("0"&amp;F2245),2)&amp;RIGHT(("0"&amp;G2245),2)&amp;RIGHT(("0"&amp;H2245),2)</f>
        <v>030511343742</v>
      </c>
      <c r="J2245" s="1" t="n">
        <f aca="false">COUNTIF(I:I,I2245)</f>
        <v>1</v>
      </c>
      <c r="K2245" s="1" t="n">
        <v>1</v>
      </c>
      <c r="L2245" s="1" t="s">
        <v>12490</v>
      </c>
      <c r="M2245" s="1" t="s">
        <v>12491</v>
      </c>
      <c r="N2245" s="1" t="n">
        <v>77</v>
      </c>
      <c r="O2245" s="1" t="s">
        <v>12492</v>
      </c>
      <c r="P2245" s="1" t="n">
        <v>4706</v>
      </c>
      <c r="Q2245" s="1" t="s">
        <v>12493</v>
      </c>
      <c r="R2245" s="1" t="s">
        <v>12494</v>
      </c>
      <c r="S2245" s="1" t="s">
        <v>12495</v>
      </c>
      <c r="T2245" s="1" t="s">
        <v>3928</v>
      </c>
      <c r="U2245" s="1" t="s">
        <v>12496</v>
      </c>
    </row>
    <row r="2246" customFormat="false" ht="13.8" hidden="false" customHeight="false" outlineLevel="0" collapsed="false">
      <c r="A2246" s="1" t="n">
        <v>2245</v>
      </c>
      <c r="B2246" s="2" t="s">
        <v>12497</v>
      </c>
      <c r="C2246" s="1" t="n">
        <v>11</v>
      </c>
      <c r="D2246" s="1" t="n">
        <v>14</v>
      </c>
      <c r="E2246" s="1" t="n">
        <v>15</v>
      </c>
      <c r="F2246" s="1" t="n">
        <v>18</v>
      </c>
      <c r="G2246" s="1" t="n">
        <v>33</v>
      </c>
      <c r="H2246" s="1" t="n">
        <v>34</v>
      </c>
      <c r="I2246" s="1" t="str">
        <f aca="false">RIGHT(("0"&amp;C2246),2)&amp;RIGHT(("0"&amp;D2246),2)&amp;RIGHT(("0"&amp;E2246),2)&amp;RIGHT(("0"&amp;F2246),2)&amp;RIGHT(("0"&amp;G2246),2)&amp;RIGHT(("0"&amp;H2246),2)</f>
        <v>111415183334</v>
      </c>
      <c r="J2246" s="1" t="n">
        <f aca="false">COUNTIF(I:I,I2246)</f>
        <v>1</v>
      </c>
      <c r="K2246" s="1" t="n">
        <v>1</v>
      </c>
      <c r="L2246" s="1" t="s">
        <v>12498</v>
      </c>
      <c r="M2246" s="1" t="s">
        <v>12499</v>
      </c>
      <c r="N2246" s="1" t="n">
        <v>51</v>
      </c>
      <c r="O2246" s="1" t="s">
        <v>12500</v>
      </c>
      <c r="P2246" s="1" t="n">
        <v>3048</v>
      </c>
      <c r="Q2246" s="1" t="s">
        <v>12501</v>
      </c>
      <c r="R2246" s="1" t="s">
        <v>23</v>
      </c>
      <c r="S2246" s="1" t="s">
        <v>12502</v>
      </c>
      <c r="T2246" s="1" t="s">
        <v>4278</v>
      </c>
      <c r="U2246" s="1" t="s">
        <v>12503</v>
      </c>
    </row>
    <row r="2247" customFormat="false" ht="13.8" hidden="false" customHeight="false" outlineLevel="0" collapsed="false">
      <c r="A2247" s="1" t="n">
        <v>2246</v>
      </c>
      <c r="B2247" s="2" t="s">
        <v>12504</v>
      </c>
      <c r="C2247" s="1" t="n">
        <v>5</v>
      </c>
      <c r="D2247" s="1" t="n">
        <v>9</v>
      </c>
      <c r="E2247" s="1" t="n">
        <v>24</v>
      </c>
      <c r="F2247" s="1" t="n">
        <v>27</v>
      </c>
      <c r="G2247" s="1" t="n">
        <v>33</v>
      </c>
      <c r="H2247" s="1" t="n">
        <v>46</v>
      </c>
      <c r="I2247" s="1" t="str">
        <f aca="false">RIGHT(("0"&amp;C2247),2)&amp;RIGHT(("0"&amp;D2247),2)&amp;RIGHT(("0"&amp;E2247),2)&amp;RIGHT(("0"&amp;F2247),2)&amp;RIGHT(("0"&amp;G2247),2)&amp;RIGHT(("0"&amp;H2247),2)</f>
        <v>050924273346</v>
      </c>
      <c r="J2247" s="1" t="n">
        <f aca="false">COUNTIF(I:I,I2247)</f>
        <v>1</v>
      </c>
      <c r="K2247" s="1" t="n">
        <v>0</v>
      </c>
      <c r="M2247" s="1" t="s">
        <v>23</v>
      </c>
      <c r="N2247" s="1" t="n">
        <v>51</v>
      </c>
      <c r="O2247" s="1" t="s">
        <v>12505</v>
      </c>
      <c r="P2247" s="1" t="n">
        <v>2227</v>
      </c>
      <c r="Q2247" s="1" t="s">
        <v>12506</v>
      </c>
      <c r="R2247" s="1" t="s">
        <v>12507</v>
      </c>
      <c r="S2247" s="1" t="s">
        <v>12508</v>
      </c>
      <c r="T2247" s="1" t="s">
        <v>4256</v>
      </c>
      <c r="U2247" s="1" t="s">
        <v>12509</v>
      </c>
    </row>
    <row r="2248" customFormat="false" ht="13.8" hidden="false" customHeight="false" outlineLevel="0" collapsed="false">
      <c r="A2248" s="1" t="n">
        <v>2247</v>
      </c>
      <c r="B2248" s="2" t="s">
        <v>12510</v>
      </c>
      <c r="C2248" s="1" t="n">
        <v>1</v>
      </c>
      <c r="D2248" s="1" t="n">
        <v>42</v>
      </c>
      <c r="E2248" s="1" t="n">
        <v>44</v>
      </c>
      <c r="F2248" s="1" t="n">
        <v>47</v>
      </c>
      <c r="G2248" s="1" t="n">
        <v>48</v>
      </c>
      <c r="H2248" s="1" t="n">
        <v>53</v>
      </c>
      <c r="I2248" s="1" t="str">
        <f aca="false">RIGHT(("0"&amp;C2248),2)&amp;RIGHT(("0"&amp;D2248),2)&amp;RIGHT(("0"&amp;E2248),2)&amp;RIGHT(("0"&amp;F2248),2)&amp;RIGHT(("0"&amp;G2248),2)&amp;RIGHT(("0"&amp;H2248),2)</f>
        <v>014244474853</v>
      </c>
      <c r="J2248" s="1" t="n">
        <f aca="false">COUNTIF(I:I,I2248)</f>
        <v>1</v>
      </c>
      <c r="K2248" s="1" t="n">
        <v>0</v>
      </c>
      <c r="M2248" s="1" t="s">
        <v>23</v>
      </c>
      <c r="N2248" s="1" t="n">
        <v>10</v>
      </c>
      <c r="O2248" s="1" t="s">
        <v>12511</v>
      </c>
      <c r="P2248" s="1" t="n">
        <v>908</v>
      </c>
      <c r="Q2248" s="1" t="s">
        <v>12512</v>
      </c>
      <c r="R2248" s="1" t="s">
        <v>12513</v>
      </c>
      <c r="S2248" s="1" t="s">
        <v>12514</v>
      </c>
      <c r="T2248" s="1" t="s">
        <v>12515</v>
      </c>
      <c r="U2248" s="1" t="s">
        <v>12516</v>
      </c>
    </row>
    <row r="2249" customFormat="false" ht="13.8" hidden="false" customHeight="false" outlineLevel="0" collapsed="false">
      <c r="A2249" s="1" t="n">
        <v>2248</v>
      </c>
      <c r="B2249" s="2" t="s">
        <v>12517</v>
      </c>
      <c r="C2249" s="1" t="n">
        <v>9</v>
      </c>
      <c r="D2249" s="1" t="n">
        <v>15</v>
      </c>
      <c r="E2249" s="1" t="n">
        <v>20</v>
      </c>
      <c r="F2249" s="1" t="n">
        <v>29</v>
      </c>
      <c r="G2249" s="1" t="n">
        <v>30</v>
      </c>
      <c r="H2249" s="1" t="n">
        <v>42</v>
      </c>
      <c r="I2249" s="1" t="str">
        <f aca="false">RIGHT(("0"&amp;C2249),2)&amp;RIGHT(("0"&amp;D2249),2)&amp;RIGHT(("0"&amp;E2249),2)&amp;RIGHT(("0"&amp;F2249),2)&amp;RIGHT(("0"&amp;G2249),2)&amp;RIGHT(("0"&amp;H2249),2)</f>
        <v>091520293042</v>
      </c>
      <c r="J2249" s="1" t="n">
        <f aca="false">COUNTIF(I:I,I2249)</f>
        <v>1</v>
      </c>
      <c r="K2249" s="1" t="n">
        <v>1</v>
      </c>
      <c r="L2249" s="1" t="s">
        <v>12490</v>
      </c>
      <c r="M2249" s="1" t="s">
        <v>12518</v>
      </c>
      <c r="N2249" s="1" t="n">
        <v>29</v>
      </c>
      <c r="O2249" s="1" t="s">
        <v>12519</v>
      </c>
      <c r="P2249" s="1" t="n">
        <v>1618</v>
      </c>
      <c r="Q2249" s="1" t="s">
        <v>12520</v>
      </c>
      <c r="R2249" s="1" t="s">
        <v>23</v>
      </c>
      <c r="S2249" s="1" t="s">
        <v>12521</v>
      </c>
      <c r="T2249" s="1" t="s">
        <v>5101</v>
      </c>
      <c r="U2249" s="1" t="s">
        <v>12522</v>
      </c>
    </row>
    <row r="2250" customFormat="false" ht="13.8" hidden="false" customHeight="false" outlineLevel="0" collapsed="false">
      <c r="A2250" s="1" t="n">
        <v>2249</v>
      </c>
      <c r="B2250" s="2" t="s">
        <v>12523</v>
      </c>
      <c r="C2250" s="1" t="n">
        <v>4</v>
      </c>
      <c r="D2250" s="1" t="n">
        <v>9</v>
      </c>
      <c r="E2250" s="1" t="n">
        <v>31</v>
      </c>
      <c r="F2250" s="1" t="n">
        <v>47</v>
      </c>
      <c r="G2250" s="1" t="n">
        <v>49</v>
      </c>
      <c r="H2250" s="1" t="n">
        <v>53</v>
      </c>
      <c r="I2250" s="1" t="str">
        <f aca="false">RIGHT(("0"&amp;C2250),2)&amp;RIGHT(("0"&amp;D2250),2)&amp;RIGHT(("0"&amp;E2250),2)&amp;RIGHT(("0"&amp;F2250),2)&amp;RIGHT(("0"&amp;G2250),2)&amp;RIGHT(("0"&amp;H2250),2)</f>
        <v>040931474953</v>
      </c>
      <c r="J2250" s="1" t="n">
        <f aca="false">COUNTIF(I:I,I2250)</f>
        <v>1</v>
      </c>
      <c r="K2250" s="1" t="n">
        <v>0</v>
      </c>
      <c r="M2250" s="1" t="s">
        <v>23</v>
      </c>
      <c r="N2250" s="1" t="n">
        <v>27</v>
      </c>
      <c r="O2250" s="1" t="s">
        <v>12524</v>
      </c>
      <c r="P2250" s="1" t="n">
        <v>1782</v>
      </c>
      <c r="Q2250" s="1" t="s">
        <v>12525</v>
      </c>
      <c r="R2250" s="1" t="s">
        <v>12526</v>
      </c>
      <c r="S2250" s="1" t="s">
        <v>12527</v>
      </c>
      <c r="T2250" s="1" t="s">
        <v>12264</v>
      </c>
      <c r="U2250" s="1" t="s">
        <v>12528</v>
      </c>
    </row>
    <row r="2251" customFormat="false" ht="13.8" hidden="false" customHeight="false" outlineLevel="0" collapsed="false">
      <c r="A2251" s="1" t="n">
        <v>2250</v>
      </c>
      <c r="B2251" s="2" t="s">
        <v>12529</v>
      </c>
      <c r="C2251" s="1" t="n">
        <v>27</v>
      </c>
      <c r="D2251" s="1" t="n">
        <v>33</v>
      </c>
      <c r="E2251" s="1" t="n">
        <v>39</v>
      </c>
      <c r="F2251" s="1" t="n">
        <v>52</v>
      </c>
      <c r="G2251" s="1" t="n">
        <v>57</v>
      </c>
      <c r="H2251" s="1" t="n">
        <v>58</v>
      </c>
      <c r="I2251" s="1" t="str">
        <f aca="false">RIGHT(("0"&amp;C2251),2)&amp;RIGHT(("0"&amp;D2251),2)&amp;RIGHT(("0"&amp;E2251),2)&amp;RIGHT(("0"&amp;F2251),2)&amp;RIGHT(("0"&amp;G2251),2)&amp;RIGHT(("0"&amp;H2251),2)</f>
        <v>273339525758</v>
      </c>
      <c r="J2251" s="1" t="n">
        <f aca="false">COUNTIF(I:I,I2251)</f>
        <v>1</v>
      </c>
      <c r="K2251" s="1" t="n">
        <v>0</v>
      </c>
      <c r="M2251" s="1" t="s">
        <v>23</v>
      </c>
      <c r="N2251" s="1" t="n">
        <v>27</v>
      </c>
      <c r="O2251" s="1" t="s">
        <v>12530</v>
      </c>
      <c r="P2251" s="1" t="n">
        <v>2385</v>
      </c>
      <c r="Q2251" s="1" t="s">
        <v>12531</v>
      </c>
      <c r="R2251" s="1" t="s">
        <v>12532</v>
      </c>
      <c r="S2251" s="1" t="s">
        <v>12533</v>
      </c>
      <c r="T2251" s="1" t="s">
        <v>4531</v>
      </c>
      <c r="U2251" s="1" t="s">
        <v>12534</v>
      </c>
    </row>
    <row r="2252" customFormat="false" ht="13.8" hidden="false" customHeight="false" outlineLevel="0" collapsed="false">
      <c r="A2252" s="1" t="n">
        <v>2251</v>
      </c>
      <c r="B2252" s="2" t="s">
        <v>12535</v>
      </c>
      <c r="C2252" s="1" t="n">
        <v>5</v>
      </c>
      <c r="D2252" s="1" t="n">
        <v>15</v>
      </c>
      <c r="E2252" s="1" t="n">
        <v>22</v>
      </c>
      <c r="F2252" s="1" t="n">
        <v>26</v>
      </c>
      <c r="G2252" s="1" t="n">
        <v>54</v>
      </c>
      <c r="H2252" s="1" t="n">
        <v>58</v>
      </c>
      <c r="I2252" s="1" t="str">
        <f aca="false">RIGHT(("0"&amp;C2252),2)&amp;RIGHT(("0"&amp;D2252),2)&amp;RIGHT(("0"&amp;E2252),2)&amp;RIGHT(("0"&amp;F2252),2)&amp;RIGHT(("0"&amp;G2252),2)&amp;RIGHT(("0"&amp;H2252),2)</f>
        <v>051522265458</v>
      </c>
      <c r="J2252" s="1" t="n">
        <f aca="false">COUNTIF(I:I,I2252)</f>
        <v>1</v>
      </c>
      <c r="K2252" s="1" t="n">
        <v>0</v>
      </c>
      <c r="M2252" s="1" t="s">
        <v>23</v>
      </c>
      <c r="N2252" s="1" t="n">
        <v>29</v>
      </c>
      <c r="O2252" s="1" t="s">
        <v>12536</v>
      </c>
      <c r="P2252" s="1" t="n">
        <v>2222</v>
      </c>
      <c r="Q2252" s="1" t="s">
        <v>12537</v>
      </c>
      <c r="R2252" s="1" t="s">
        <v>12538</v>
      </c>
      <c r="S2252" s="1" t="s">
        <v>12539</v>
      </c>
      <c r="T2252" s="1" t="s">
        <v>4208</v>
      </c>
      <c r="U2252" s="1" t="s">
        <v>12540</v>
      </c>
    </row>
    <row r="2253" customFormat="false" ht="13.8" hidden="false" customHeight="false" outlineLevel="0" collapsed="false">
      <c r="A2253" s="1" t="n">
        <v>2252</v>
      </c>
      <c r="B2253" s="2" t="s">
        <v>12541</v>
      </c>
      <c r="C2253" s="1" t="n">
        <v>1</v>
      </c>
      <c r="D2253" s="1" t="n">
        <v>17</v>
      </c>
      <c r="E2253" s="1" t="n">
        <v>30</v>
      </c>
      <c r="F2253" s="1" t="n">
        <v>37</v>
      </c>
      <c r="G2253" s="1" t="n">
        <v>46</v>
      </c>
      <c r="H2253" s="1" t="n">
        <v>50</v>
      </c>
      <c r="I2253" s="1" t="str">
        <f aca="false">RIGHT(("0"&amp;C2253),2)&amp;RIGHT(("0"&amp;D2253),2)&amp;RIGHT(("0"&amp;E2253),2)&amp;RIGHT(("0"&amp;F2253),2)&amp;RIGHT(("0"&amp;G2253),2)&amp;RIGHT(("0"&amp;H2253),2)</f>
        <v>011730374650</v>
      </c>
      <c r="J2253" s="1" t="n">
        <f aca="false">COUNTIF(I:I,I2253)</f>
        <v>1</v>
      </c>
      <c r="K2253" s="1" t="n">
        <v>0</v>
      </c>
      <c r="M2253" s="1" t="s">
        <v>23</v>
      </c>
      <c r="N2253" s="1" t="n">
        <v>20</v>
      </c>
      <c r="O2253" s="1" t="s">
        <v>12542</v>
      </c>
      <c r="P2253" s="1" t="n">
        <v>1723</v>
      </c>
      <c r="Q2253" s="1" t="s">
        <v>12543</v>
      </c>
      <c r="R2253" s="1" t="s">
        <v>12544</v>
      </c>
      <c r="S2253" s="1" t="s">
        <v>12545</v>
      </c>
      <c r="T2253" s="1" t="s">
        <v>4273</v>
      </c>
      <c r="U2253" s="1" t="s">
        <v>12546</v>
      </c>
    </row>
    <row r="2254" customFormat="false" ht="13.8" hidden="false" customHeight="false" outlineLevel="0" collapsed="false">
      <c r="A2254" s="1" t="n">
        <v>2253</v>
      </c>
      <c r="B2254" s="2" t="s">
        <v>12547</v>
      </c>
      <c r="C2254" s="1" t="n">
        <v>31</v>
      </c>
      <c r="D2254" s="1" t="n">
        <v>32</v>
      </c>
      <c r="E2254" s="1" t="n">
        <v>33</v>
      </c>
      <c r="F2254" s="1" t="n">
        <v>39</v>
      </c>
      <c r="G2254" s="1" t="n">
        <v>52</v>
      </c>
      <c r="H2254" s="1" t="n">
        <v>55</v>
      </c>
      <c r="I2254" s="1" t="str">
        <f aca="false">RIGHT(("0"&amp;C2254),2)&amp;RIGHT(("0"&amp;D2254),2)&amp;RIGHT(("0"&amp;E2254),2)&amp;RIGHT(("0"&amp;F2254),2)&amp;RIGHT(("0"&amp;G2254),2)&amp;RIGHT(("0"&amp;H2254),2)</f>
        <v>313233395255</v>
      </c>
      <c r="J2254" s="1" t="n">
        <f aca="false">COUNTIF(I:I,I2254)</f>
        <v>1</v>
      </c>
      <c r="K2254" s="1" t="n">
        <v>0</v>
      </c>
      <c r="M2254" s="1" t="s">
        <v>23</v>
      </c>
      <c r="N2254" s="1" t="n">
        <v>26</v>
      </c>
      <c r="O2254" s="1" t="s">
        <v>12548</v>
      </c>
      <c r="P2254" s="1" t="n">
        <v>2224</v>
      </c>
      <c r="Q2254" s="1" t="s">
        <v>12549</v>
      </c>
      <c r="R2254" s="1" t="s">
        <v>12550</v>
      </c>
      <c r="S2254" s="1" t="s">
        <v>12551</v>
      </c>
      <c r="T2254" s="1" t="s">
        <v>4328</v>
      </c>
      <c r="U2254" s="1" t="s">
        <v>12552</v>
      </c>
    </row>
    <row r="2255" customFormat="false" ht="13.8" hidden="false" customHeight="false" outlineLevel="0" collapsed="false">
      <c r="A2255" s="1" t="n">
        <v>2254</v>
      </c>
      <c r="B2255" s="2" t="s">
        <v>12553</v>
      </c>
      <c r="C2255" s="1" t="n">
        <v>4</v>
      </c>
      <c r="D2255" s="1" t="n">
        <v>9</v>
      </c>
      <c r="E2255" s="1" t="n">
        <v>24</v>
      </c>
      <c r="F2255" s="1" t="n">
        <v>44</v>
      </c>
      <c r="G2255" s="1" t="n">
        <v>47</v>
      </c>
      <c r="H2255" s="1" t="n">
        <v>56</v>
      </c>
      <c r="I2255" s="1" t="str">
        <f aca="false">RIGHT(("0"&amp;C2255),2)&amp;RIGHT(("0"&amp;D2255),2)&amp;RIGHT(("0"&amp;E2255),2)&amp;RIGHT(("0"&amp;F2255),2)&amp;RIGHT(("0"&amp;G2255),2)&amp;RIGHT(("0"&amp;H2255),2)</f>
        <v>040924444756</v>
      </c>
      <c r="J2255" s="1" t="n">
        <f aca="false">COUNTIF(I:I,I2255)</f>
        <v>1</v>
      </c>
      <c r="K2255" s="1" t="n">
        <v>0</v>
      </c>
      <c r="M2255" s="1" t="s">
        <v>23</v>
      </c>
      <c r="N2255" s="1" t="n">
        <v>55</v>
      </c>
      <c r="O2255" s="1" t="s">
        <v>12554</v>
      </c>
      <c r="P2255" s="1" t="n">
        <v>3561</v>
      </c>
      <c r="Q2255" s="1" t="s">
        <v>12555</v>
      </c>
      <c r="R2255" s="1" t="s">
        <v>12556</v>
      </c>
      <c r="S2255" s="1" t="s">
        <v>12557</v>
      </c>
      <c r="T2255" s="1" t="s">
        <v>5154</v>
      </c>
      <c r="U2255" s="1" t="s">
        <v>12558</v>
      </c>
    </row>
    <row r="2256" customFormat="false" ht="13.8" hidden="false" customHeight="false" outlineLevel="0" collapsed="false">
      <c r="A2256" s="1" t="n">
        <v>2255</v>
      </c>
      <c r="B2256" s="2" t="s">
        <v>12559</v>
      </c>
      <c r="C2256" s="1" t="n">
        <v>15</v>
      </c>
      <c r="D2256" s="1" t="n">
        <v>20</v>
      </c>
      <c r="E2256" s="1" t="n">
        <v>39</v>
      </c>
      <c r="F2256" s="1" t="n">
        <v>41</v>
      </c>
      <c r="G2256" s="1" t="n">
        <v>49</v>
      </c>
      <c r="H2256" s="1" t="n">
        <v>57</v>
      </c>
      <c r="I2256" s="1" t="str">
        <f aca="false">RIGHT(("0"&amp;C2256),2)&amp;RIGHT(("0"&amp;D2256),2)&amp;RIGHT(("0"&amp;E2256),2)&amp;RIGHT(("0"&amp;F2256),2)&amp;RIGHT(("0"&amp;G2256),2)&amp;RIGHT(("0"&amp;H2256),2)</f>
        <v>152039414957</v>
      </c>
      <c r="J2256" s="1" t="n">
        <f aca="false">COUNTIF(I:I,I2256)</f>
        <v>1</v>
      </c>
      <c r="K2256" s="1" t="n">
        <v>0</v>
      </c>
      <c r="M2256" s="1" t="s">
        <v>23</v>
      </c>
      <c r="N2256" s="1" t="n">
        <v>25</v>
      </c>
      <c r="O2256" s="1" t="s">
        <v>12560</v>
      </c>
      <c r="P2256" s="1" t="n">
        <v>2144</v>
      </c>
      <c r="Q2256" s="1" t="s">
        <v>12561</v>
      </c>
      <c r="R2256" s="1" t="s">
        <v>12562</v>
      </c>
      <c r="S2256" s="1" t="s">
        <v>12563</v>
      </c>
      <c r="T2256" s="1" t="s">
        <v>7301</v>
      </c>
      <c r="U2256" s="1" t="s">
        <v>12564</v>
      </c>
    </row>
    <row r="2257" customFormat="false" ht="13.8" hidden="false" customHeight="false" outlineLevel="0" collapsed="false">
      <c r="A2257" s="1" t="n">
        <v>2256</v>
      </c>
      <c r="B2257" s="2" t="s">
        <v>12565</v>
      </c>
      <c r="C2257" s="1" t="n">
        <v>9</v>
      </c>
      <c r="D2257" s="1" t="n">
        <v>10</v>
      </c>
      <c r="E2257" s="1" t="n">
        <v>30</v>
      </c>
      <c r="F2257" s="1" t="n">
        <v>37</v>
      </c>
      <c r="G2257" s="1" t="n">
        <v>47</v>
      </c>
      <c r="H2257" s="1" t="n">
        <v>54</v>
      </c>
      <c r="I2257" s="1" t="str">
        <f aca="false">RIGHT(("0"&amp;C2257),2)&amp;RIGHT(("0"&amp;D2257),2)&amp;RIGHT(("0"&amp;E2257),2)&amp;RIGHT(("0"&amp;F2257),2)&amp;RIGHT(("0"&amp;G2257),2)&amp;RIGHT(("0"&amp;H2257),2)</f>
        <v>091030374754</v>
      </c>
      <c r="J2257" s="1" t="n">
        <f aca="false">COUNTIF(I:I,I2257)</f>
        <v>1</v>
      </c>
      <c r="K2257" s="1" t="n">
        <v>0</v>
      </c>
      <c r="M2257" s="1" t="s">
        <v>23</v>
      </c>
      <c r="N2257" s="1" t="n">
        <v>45</v>
      </c>
      <c r="O2257" s="1" t="s">
        <v>12566</v>
      </c>
      <c r="P2257" s="1" t="n">
        <v>3334</v>
      </c>
      <c r="Q2257" s="1" t="s">
        <v>12567</v>
      </c>
      <c r="R2257" s="1" t="s">
        <v>12568</v>
      </c>
      <c r="S2257" s="1" t="s">
        <v>12569</v>
      </c>
      <c r="T2257" s="1" t="s">
        <v>5782</v>
      </c>
      <c r="U2257" s="1" t="s">
        <v>12570</v>
      </c>
    </row>
    <row r="2258" customFormat="false" ht="13.8" hidden="false" customHeight="false" outlineLevel="0" collapsed="false">
      <c r="A2258" s="1" t="n">
        <v>2257</v>
      </c>
      <c r="B2258" s="2" t="s">
        <v>12571</v>
      </c>
      <c r="C2258" s="1" t="n">
        <v>18</v>
      </c>
      <c r="D2258" s="1" t="n">
        <v>21</v>
      </c>
      <c r="E2258" s="1" t="n">
        <v>30</v>
      </c>
      <c r="F2258" s="1" t="n">
        <v>31</v>
      </c>
      <c r="G2258" s="1" t="n">
        <v>34</v>
      </c>
      <c r="H2258" s="1" t="n">
        <v>51</v>
      </c>
      <c r="I2258" s="1" t="str">
        <f aca="false">RIGHT(("0"&amp;C2258),2)&amp;RIGHT(("0"&amp;D2258),2)&amp;RIGHT(("0"&amp;E2258),2)&amp;RIGHT(("0"&amp;F2258),2)&amp;RIGHT(("0"&amp;G2258),2)&amp;RIGHT(("0"&amp;H2258),2)</f>
        <v>182130313451</v>
      </c>
      <c r="J2258" s="1" t="n">
        <f aca="false">COUNTIF(I:I,I2258)</f>
        <v>1</v>
      </c>
      <c r="K2258" s="1" t="n">
        <v>0</v>
      </c>
      <c r="M2258" s="1" t="s">
        <v>23</v>
      </c>
      <c r="N2258" s="1" t="n">
        <v>32</v>
      </c>
      <c r="O2258" s="1" t="s">
        <v>12572</v>
      </c>
      <c r="P2258" s="1" t="n">
        <v>2791</v>
      </c>
      <c r="Q2258" s="1" t="s">
        <v>12573</v>
      </c>
      <c r="R2258" s="1" t="s">
        <v>12574</v>
      </c>
      <c r="S2258" s="1" t="s">
        <v>12575</v>
      </c>
      <c r="T2258" s="1" t="s">
        <v>6559</v>
      </c>
      <c r="U2258" s="1" t="s">
        <v>12576</v>
      </c>
    </row>
    <row r="2259" customFormat="false" ht="13.8" hidden="false" customHeight="false" outlineLevel="0" collapsed="false">
      <c r="A2259" s="1" t="n">
        <v>2258</v>
      </c>
      <c r="B2259" s="2" t="s">
        <v>12577</v>
      </c>
      <c r="C2259" s="1" t="n">
        <v>1</v>
      </c>
      <c r="D2259" s="1" t="n">
        <v>5</v>
      </c>
      <c r="E2259" s="1" t="n">
        <v>7</v>
      </c>
      <c r="F2259" s="1" t="n">
        <v>14</v>
      </c>
      <c r="G2259" s="1" t="n">
        <v>23</v>
      </c>
      <c r="H2259" s="1" t="n">
        <v>26</v>
      </c>
      <c r="I2259" s="1" t="str">
        <f aca="false">RIGHT(("0"&amp;C2259),2)&amp;RIGHT(("0"&amp;D2259),2)&amp;RIGHT(("0"&amp;E2259),2)&amp;RIGHT(("0"&amp;F2259),2)&amp;RIGHT(("0"&amp;G2259),2)&amp;RIGHT(("0"&amp;H2259),2)</f>
        <v>010507142326</v>
      </c>
      <c r="J2259" s="1" t="n">
        <f aca="false">COUNTIF(I:I,I2259)</f>
        <v>1</v>
      </c>
      <c r="K2259" s="1" t="n">
        <v>0</v>
      </c>
      <c r="M2259" s="1" t="s">
        <v>23</v>
      </c>
      <c r="N2259" s="1" t="n">
        <v>113</v>
      </c>
      <c r="O2259" s="1" t="s">
        <v>12578</v>
      </c>
      <c r="P2259" s="1" t="n">
        <v>6772</v>
      </c>
      <c r="Q2259" s="1" t="s">
        <v>12579</v>
      </c>
      <c r="R2259" s="1" t="s">
        <v>12580</v>
      </c>
      <c r="S2259" s="1" t="s">
        <v>12581</v>
      </c>
      <c r="T2259" s="1" t="s">
        <v>5307</v>
      </c>
      <c r="U2259" s="1" t="s">
        <v>12582</v>
      </c>
    </row>
    <row r="2260" customFormat="false" ht="13.8" hidden="false" customHeight="false" outlineLevel="0" collapsed="false">
      <c r="A2260" s="1" t="n">
        <v>2259</v>
      </c>
      <c r="B2260" s="2" t="s">
        <v>12583</v>
      </c>
      <c r="C2260" s="1" t="n">
        <v>20</v>
      </c>
      <c r="D2260" s="1" t="n">
        <v>27</v>
      </c>
      <c r="E2260" s="1" t="n">
        <v>41</v>
      </c>
      <c r="F2260" s="1" t="n">
        <v>54</v>
      </c>
      <c r="G2260" s="1" t="n">
        <v>56</v>
      </c>
      <c r="H2260" s="1" t="n">
        <v>58</v>
      </c>
      <c r="I2260" s="1" t="str">
        <f aca="false">RIGHT(("0"&amp;C2260),2)&amp;RIGHT(("0"&amp;D2260),2)&amp;RIGHT(("0"&amp;E2260),2)&amp;RIGHT(("0"&amp;F2260),2)&amp;RIGHT(("0"&amp;G2260),2)&amp;RIGHT(("0"&amp;H2260),2)</f>
        <v>202741545658</v>
      </c>
      <c r="J2260" s="1" t="n">
        <f aca="false">COUNTIF(I:I,I2260)</f>
        <v>1</v>
      </c>
      <c r="K2260" s="1" t="n">
        <v>0</v>
      </c>
      <c r="M2260" s="1" t="s">
        <v>23</v>
      </c>
      <c r="N2260" s="1" t="n">
        <v>31</v>
      </c>
      <c r="O2260" s="1" t="s">
        <v>12584</v>
      </c>
      <c r="P2260" s="1" t="n">
        <v>3356</v>
      </c>
      <c r="Q2260" s="1" t="s">
        <v>12585</v>
      </c>
      <c r="R2260" s="1" t="s">
        <v>12586</v>
      </c>
      <c r="S2260" s="1" t="s">
        <v>12587</v>
      </c>
      <c r="T2260" s="1" t="s">
        <v>8842</v>
      </c>
      <c r="U2260" s="1" t="s">
        <v>12588</v>
      </c>
    </row>
    <row r="2261" customFormat="false" ht="13.8" hidden="false" customHeight="false" outlineLevel="0" collapsed="false">
      <c r="A2261" s="1" t="n">
        <v>2260</v>
      </c>
      <c r="B2261" s="2" t="s">
        <v>12589</v>
      </c>
      <c r="C2261" s="1" t="n">
        <v>12</v>
      </c>
      <c r="D2261" s="1" t="n">
        <v>14</v>
      </c>
      <c r="E2261" s="1" t="n">
        <v>34</v>
      </c>
      <c r="F2261" s="1" t="n">
        <v>35</v>
      </c>
      <c r="G2261" s="1" t="n">
        <v>37</v>
      </c>
      <c r="H2261" s="1" t="n">
        <v>47</v>
      </c>
      <c r="I2261" s="1" t="str">
        <f aca="false">RIGHT(("0"&amp;C2261),2)&amp;RIGHT(("0"&amp;D2261),2)&amp;RIGHT(("0"&amp;E2261),2)&amp;RIGHT(("0"&amp;F2261),2)&amp;RIGHT(("0"&amp;G2261),2)&amp;RIGHT(("0"&amp;H2261),2)</f>
        <v>121434353747</v>
      </c>
      <c r="J2261" s="1" t="n">
        <f aca="false">COUNTIF(I:I,I2261)</f>
        <v>1</v>
      </c>
      <c r="K2261" s="1" t="n">
        <v>0</v>
      </c>
      <c r="M2261" s="1" t="s">
        <v>23</v>
      </c>
      <c r="N2261" s="1" t="n">
        <v>91</v>
      </c>
      <c r="O2261" s="1" t="s">
        <v>12590</v>
      </c>
      <c r="P2261" s="1" t="n">
        <v>6688</v>
      </c>
      <c r="Q2261" s="1" t="s">
        <v>12591</v>
      </c>
      <c r="R2261" s="1" t="s">
        <v>12592</v>
      </c>
      <c r="S2261" s="1" t="s">
        <v>12593</v>
      </c>
      <c r="T2261" s="1" t="s">
        <v>9814</v>
      </c>
      <c r="U2261" s="1" t="s">
        <v>12594</v>
      </c>
    </row>
    <row r="2262" customFormat="false" ht="13.8" hidden="false" customHeight="false" outlineLevel="0" collapsed="false">
      <c r="A2262" s="1" t="n">
        <v>2261</v>
      </c>
      <c r="B2262" s="2" t="s">
        <v>12595</v>
      </c>
      <c r="C2262" s="1" t="n">
        <v>7</v>
      </c>
      <c r="D2262" s="1" t="n">
        <v>23</v>
      </c>
      <c r="E2262" s="1" t="n">
        <v>26</v>
      </c>
      <c r="F2262" s="1" t="n">
        <v>27</v>
      </c>
      <c r="G2262" s="1" t="n">
        <v>29</v>
      </c>
      <c r="H2262" s="1" t="n">
        <v>51</v>
      </c>
      <c r="I2262" s="1" t="str">
        <f aca="false">RIGHT(("0"&amp;C2262),2)&amp;RIGHT(("0"&amp;D2262),2)&amp;RIGHT(("0"&amp;E2262),2)&amp;RIGHT(("0"&amp;F2262),2)&amp;RIGHT(("0"&amp;G2262),2)&amp;RIGHT(("0"&amp;H2262),2)</f>
        <v>072326272951</v>
      </c>
      <c r="J2262" s="1" t="n">
        <f aca="false">COUNTIF(I:I,I2262)</f>
        <v>1</v>
      </c>
      <c r="K2262" s="1" t="n">
        <v>0</v>
      </c>
      <c r="M2262" s="1" t="s">
        <v>23</v>
      </c>
      <c r="N2262" s="1" t="n">
        <v>141</v>
      </c>
      <c r="O2262" s="1" t="s">
        <v>12596</v>
      </c>
      <c r="P2262" s="1" t="n">
        <v>10502</v>
      </c>
      <c r="Q2262" s="1" t="s">
        <v>12597</v>
      </c>
      <c r="R2262" s="1" t="s">
        <v>12598</v>
      </c>
      <c r="S2262" s="1" t="s">
        <v>12599</v>
      </c>
      <c r="T2262" s="1" t="s">
        <v>9535</v>
      </c>
      <c r="U2262" s="1" t="s">
        <v>12600</v>
      </c>
    </row>
    <row r="2263" customFormat="false" ht="13.8" hidden="false" customHeight="false" outlineLevel="0" collapsed="false">
      <c r="A2263" s="1" t="n">
        <v>2262</v>
      </c>
      <c r="B2263" s="2" t="s">
        <v>12601</v>
      </c>
      <c r="C2263" s="1" t="n">
        <v>7</v>
      </c>
      <c r="D2263" s="1" t="n">
        <v>8</v>
      </c>
      <c r="E2263" s="1" t="n">
        <v>14</v>
      </c>
      <c r="F2263" s="1" t="n">
        <v>23</v>
      </c>
      <c r="G2263" s="1" t="n">
        <v>30</v>
      </c>
      <c r="H2263" s="1" t="n">
        <v>46</v>
      </c>
      <c r="I2263" s="1" t="str">
        <f aca="false">RIGHT(("0"&amp;C2263),2)&amp;RIGHT(("0"&amp;D2263),2)&amp;RIGHT(("0"&amp;E2263),2)&amp;RIGHT(("0"&amp;F2263),2)&amp;RIGHT(("0"&amp;G2263),2)&amp;RIGHT(("0"&amp;H2263),2)</f>
        <v>070814233046</v>
      </c>
      <c r="J2263" s="1" t="n">
        <f aca="false">COUNTIF(I:I,I2263)</f>
        <v>1</v>
      </c>
      <c r="K2263" s="1" t="n">
        <v>1</v>
      </c>
      <c r="L2263" s="1" t="s">
        <v>6893</v>
      </c>
      <c r="M2263" s="1" t="s">
        <v>12602</v>
      </c>
      <c r="N2263" s="1" t="n">
        <v>198</v>
      </c>
      <c r="O2263" s="1" t="s">
        <v>12603</v>
      </c>
      <c r="P2263" s="1" t="n">
        <v>12850</v>
      </c>
      <c r="Q2263" s="1" t="s">
        <v>12604</v>
      </c>
      <c r="R2263" s="1" t="s">
        <v>23</v>
      </c>
      <c r="S2263" s="1" t="s">
        <v>12605</v>
      </c>
      <c r="T2263" s="1" t="s">
        <v>4732</v>
      </c>
      <c r="U2263" s="1" t="s">
        <v>12606</v>
      </c>
    </row>
    <row r="2264" customFormat="false" ht="13.8" hidden="false" customHeight="false" outlineLevel="0" collapsed="false">
      <c r="A2264" s="1" t="n">
        <v>2263</v>
      </c>
      <c r="B2264" s="2" t="s">
        <v>12607</v>
      </c>
      <c r="C2264" s="1" t="n">
        <v>9</v>
      </c>
      <c r="D2264" s="1" t="n">
        <v>24</v>
      </c>
      <c r="E2264" s="1" t="n">
        <v>33</v>
      </c>
      <c r="F2264" s="1" t="n">
        <v>43</v>
      </c>
      <c r="G2264" s="1" t="n">
        <v>49</v>
      </c>
      <c r="H2264" s="1" t="n">
        <v>57</v>
      </c>
      <c r="I2264" s="1" t="str">
        <f aca="false">RIGHT(("0"&amp;C2264),2)&amp;RIGHT(("0"&amp;D2264),2)&amp;RIGHT(("0"&amp;E2264),2)&amp;RIGHT(("0"&amp;F2264),2)&amp;RIGHT(("0"&amp;G2264),2)&amp;RIGHT(("0"&amp;H2264),2)</f>
        <v>092433434957</v>
      </c>
      <c r="J2264" s="1" t="n">
        <f aca="false">COUNTIF(I:I,I2264)</f>
        <v>1</v>
      </c>
      <c r="K2264" s="1" t="n">
        <v>0</v>
      </c>
      <c r="M2264" s="1" t="s">
        <v>23</v>
      </c>
      <c r="N2264" s="1" t="n">
        <v>36</v>
      </c>
      <c r="O2264" s="1" t="s">
        <v>12608</v>
      </c>
      <c r="P2264" s="1" t="n">
        <v>2492</v>
      </c>
      <c r="Q2264" s="1" t="s">
        <v>12609</v>
      </c>
      <c r="R2264" s="1" t="s">
        <v>12610</v>
      </c>
      <c r="S2264" s="1" t="s">
        <v>12611</v>
      </c>
      <c r="T2264" s="1" t="s">
        <v>7089</v>
      </c>
      <c r="U2264" s="1" t="s">
        <v>12612</v>
      </c>
    </row>
    <row r="2265" customFormat="false" ht="13.8" hidden="false" customHeight="false" outlineLevel="0" collapsed="false">
      <c r="A2265" s="1" t="n">
        <v>2264</v>
      </c>
      <c r="B2265" s="2" t="s">
        <v>12613</v>
      </c>
      <c r="C2265" s="1" t="n">
        <v>2</v>
      </c>
      <c r="D2265" s="1" t="n">
        <v>3</v>
      </c>
      <c r="E2265" s="1" t="n">
        <v>8</v>
      </c>
      <c r="F2265" s="1" t="n">
        <v>19</v>
      </c>
      <c r="G2265" s="1" t="n">
        <v>29</v>
      </c>
      <c r="H2265" s="1" t="n">
        <v>37</v>
      </c>
      <c r="I2265" s="1" t="str">
        <f aca="false">RIGHT(("0"&amp;C2265),2)&amp;RIGHT(("0"&amp;D2265),2)&amp;RIGHT(("0"&amp;E2265),2)&amp;RIGHT(("0"&amp;F2265),2)&amp;RIGHT(("0"&amp;G2265),2)&amp;RIGHT(("0"&amp;H2265),2)</f>
        <v>020308192937</v>
      </c>
      <c r="J2265" s="1" t="n">
        <f aca="false">COUNTIF(I:I,I2265)</f>
        <v>1</v>
      </c>
      <c r="K2265" s="1" t="n">
        <v>0</v>
      </c>
      <c r="M2265" s="1" t="s">
        <v>23</v>
      </c>
      <c r="N2265" s="1" t="n">
        <v>73</v>
      </c>
      <c r="O2265" s="1" t="s">
        <v>12614</v>
      </c>
      <c r="P2265" s="1" t="n">
        <v>4354</v>
      </c>
      <c r="Q2265" s="1" t="s">
        <v>12615</v>
      </c>
      <c r="R2265" s="1" t="s">
        <v>12616</v>
      </c>
      <c r="S2265" s="1" t="s">
        <v>12617</v>
      </c>
      <c r="T2265" s="1" t="s">
        <v>4304</v>
      </c>
      <c r="U2265" s="1" t="s">
        <v>12618</v>
      </c>
    </row>
    <row r="2266" customFormat="false" ht="13.8" hidden="false" customHeight="false" outlineLevel="0" collapsed="false">
      <c r="A2266" s="1" t="n">
        <v>2265</v>
      </c>
      <c r="B2266" s="2" t="s">
        <v>12619</v>
      </c>
      <c r="C2266" s="1" t="n">
        <v>14</v>
      </c>
      <c r="D2266" s="1" t="n">
        <v>20</v>
      </c>
      <c r="E2266" s="1" t="n">
        <v>23</v>
      </c>
      <c r="F2266" s="1" t="n">
        <v>39</v>
      </c>
      <c r="G2266" s="1" t="n">
        <v>46</v>
      </c>
      <c r="H2266" s="1" t="n">
        <v>50</v>
      </c>
      <c r="I2266" s="1" t="str">
        <f aca="false">RIGHT(("0"&amp;C2266),2)&amp;RIGHT(("0"&amp;D2266),2)&amp;RIGHT(("0"&amp;E2266),2)&amp;RIGHT(("0"&amp;F2266),2)&amp;RIGHT(("0"&amp;G2266),2)&amp;RIGHT(("0"&amp;H2266),2)</f>
        <v>142023394650</v>
      </c>
      <c r="J2266" s="1" t="n">
        <f aca="false">COUNTIF(I:I,I2266)</f>
        <v>1</v>
      </c>
      <c r="K2266" s="1" t="n">
        <v>0</v>
      </c>
      <c r="M2266" s="1" t="s">
        <v>23</v>
      </c>
      <c r="N2266" s="1" t="n">
        <v>50</v>
      </c>
      <c r="O2266" s="1" t="s">
        <v>12620</v>
      </c>
      <c r="P2266" s="1" t="n">
        <v>2926</v>
      </c>
      <c r="Q2266" s="1" t="s">
        <v>12621</v>
      </c>
      <c r="R2266" s="1" t="s">
        <v>12622</v>
      </c>
      <c r="S2266" s="1" t="s">
        <v>12623</v>
      </c>
      <c r="T2266" s="1" t="s">
        <v>5294</v>
      </c>
      <c r="U2266" s="1" t="s">
        <v>12624</v>
      </c>
    </row>
    <row r="2267" customFormat="false" ht="13.8" hidden="false" customHeight="false" outlineLevel="0" collapsed="false">
      <c r="A2267" s="1" t="n">
        <v>2266</v>
      </c>
      <c r="B2267" s="2" t="s">
        <v>12625</v>
      </c>
      <c r="C2267" s="1" t="n">
        <v>10</v>
      </c>
      <c r="D2267" s="1" t="n">
        <v>23</v>
      </c>
      <c r="E2267" s="1" t="n">
        <v>31</v>
      </c>
      <c r="F2267" s="1" t="n">
        <v>37</v>
      </c>
      <c r="G2267" s="1" t="n">
        <v>58</v>
      </c>
      <c r="H2267" s="1" t="n">
        <v>59</v>
      </c>
      <c r="I2267" s="1" t="str">
        <f aca="false">RIGHT(("0"&amp;C2267),2)&amp;RIGHT(("0"&amp;D2267),2)&amp;RIGHT(("0"&amp;E2267),2)&amp;RIGHT(("0"&amp;F2267),2)&amp;RIGHT(("0"&amp;G2267),2)&amp;RIGHT(("0"&amp;H2267),2)</f>
        <v>102331375859</v>
      </c>
      <c r="J2267" s="1" t="n">
        <f aca="false">COUNTIF(I:I,I2267)</f>
        <v>1</v>
      </c>
      <c r="K2267" s="1" t="n">
        <v>0</v>
      </c>
      <c r="M2267" s="1" t="s">
        <v>23</v>
      </c>
      <c r="N2267" s="1" t="n">
        <v>50</v>
      </c>
      <c r="O2267" s="1" t="s">
        <v>12626</v>
      </c>
      <c r="P2267" s="1" t="n">
        <v>4167</v>
      </c>
      <c r="Q2267" s="1" t="s">
        <v>12627</v>
      </c>
      <c r="R2267" s="1" t="s">
        <v>12628</v>
      </c>
      <c r="S2267" s="1" t="s">
        <v>12629</v>
      </c>
      <c r="T2267" s="1" t="s">
        <v>4314</v>
      </c>
      <c r="U2267" s="1" t="s">
        <v>12630</v>
      </c>
    </row>
    <row r="2268" customFormat="false" ht="13.8" hidden="false" customHeight="false" outlineLevel="0" collapsed="false">
      <c r="A2268" s="1" t="n">
        <v>2267</v>
      </c>
      <c r="B2268" s="2" t="s">
        <v>12631</v>
      </c>
      <c r="C2268" s="1" t="n">
        <v>20</v>
      </c>
      <c r="D2268" s="1" t="n">
        <v>32</v>
      </c>
      <c r="E2268" s="1" t="n">
        <v>33</v>
      </c>
      <c r="F2268" s="1" t="n">
        <v>48</v>
      </c>
      <c r="G2268" s="1" t="n">
        <v>49</v>
      </c>
      <c r="H2268" s="1" t="n">
        <v>53</v>
      </c>
      <c r="I2268" s="1" t="str">
        <f aca="false">RIGHT(("0"&amp;C2268),2)&amp;RIGHT(("0"&amp;D2268),2)&amp;RIGHT(("0"&amp;E2268),2)&amp;RIGHT(("0"&amp;F2268),2)&amp;RIGHT(("0"&amp;G2268),2)&amp;RIGHT(("0"&amp;H2268),2)</f>
        <v>203233484953</v>
      </c>
      <c r="J2268" s="1" t="n">
        <f aca="false">COUNTIF(I:I,I2268)</f>
        <v>1</v>
      </c>
      <c r="K2268" s="1" t="n">
        <v>1</v>
      </c>
      <c r="L2268" s="1" t="s">
        <v>12490</v>
      </c>
      <c r="M2268" s="1" t="s">
        <v>12632</v>
      </c>
      <c r="N2268" s="1" t="n">
        <v>33</v>
      </c>
      <c r="O2268" s="1" t="s">
        <v>12633</v>
      </c>
      <c r="P2268" s="1" t="n">
        <v>4064</v>
      </c>
      <c r="Q2268" s="1" t="s">
        <v>12634</v>
      </c>
      <c r="R2268" s="1" t="s">
        <v>23</v>
      </c>
      <c r="S2268" s="1" t="s">
        <v>12635</v>
      </c>
      <c r="T2268" s="1" t="s">
        <v>4256</v>
      </c>
      <c r="U2268" s="1" t="s">
        <v>12636</v>
      </c>
    </row>
    <row r="2269" customFormat="false" ht="13.8" hidden="false" customHeight="false" outlineLevel="0" collapsed="false">
      <c r="A2269" s="1" t="n">
        <v>2268</v>
      </c>
      <c r="B2269" s="2" t="s">
        <v>12637</v>
      </c>
      <c r="C2269" s="1" t="n">
        <v>4</v>
      </c>
      <c r="D2269" s="1" t="n">
        <v>13</v>
      </c>
      <c r="E2269" s="1" t="n">
        <v>23</v>
      </c>
      <c r="F2269" s="1" t="n">
        <v>28</v>
      </c>
      <c r="G2269" s="1" t="n">
        <v>30</v>
      </c>
      <c r="H2269" s="1" t="n">
        <v>52</v>
      </c>
      <c r="I2269" s="1" t="str">
        <f aca="false">RIGHT(("0"&amp;C2269),2)&amp;RIGHT(("0"&amp;D2269),2)&amp;RIGHT(("0"&amp;E2269),2)&amp;RIGHT(("0"&amp;F2269),2)&amp;RIGHT(("0"&amp;G2269),2)&amp;RIGHT(("0"&amp;H2269),2)</f>
        <v>041323283052</v>
      </c>
      <c r="J2269" s="1" t="n">
        <f aca="false">COUNTIF(I:I,I2269)</f>
        <v>1</v>
      </c>
      <c r="K2269" s="1" t="n">
        <v>0</v>
      </c>
      <c r="M2269" s="1" t="s">
        <v>23</v>
      </c>
      <c r="N2269" s="1" t="n">
        <v>48</v>
      </c>
      <c r="O2269" s="1" t="s">
        <v>12638</v>
      </c>
      <c r="P2269" s="1" t="n">
        <v>2953</v>
      </c>
      <c r="Q2269" s="1" t="s">
        <v>12639</v>
      </c>
      <c r="R2269" s="1" t="s">
        <v>12640</v>
      </c>
      <c r="S2269" s="1" t="s">
        <v>12641</v>
      </c>
      <c r="T2269" s="1" t="s">
        <v>4232</v>
      </c>
      <c r="U2269" s="1" t="s">
        <v>12642</v>
      </c>
    </row>
    <row r="2270" customFormat="false" ht="13.8" hidden="false" customHeight="false" outlineLevel="0" collapsed="false">
      <c r="A2270" s="1" t="n">
        <v>2269</v>
      </c>
      <c r="B2270" s="2" t="s">
        <v>12643</v>
      </c>
      <c r="C2270" s="1" t="n">
        <v>1</v>
      </c>
      <c r="D2270" s="1" t="n">
        <v>11</v>
      </c>
      <c r="E2270" s="1" t="n">
        <v>14</v>
      </c>
      <c r="F2270" s="1" t="n">
        <v>23</v>
      </c>
      <c r="G2270" s="1" t="n">
        <v>29</v>
      </c>
      <c r="H2270" s="1" t="n">
        <v>55</v>
      </c>
      <c r="I2270" s="1" t="str">
        <f aca="false">RIGHT(("0"&amp;C2270),2)&amp;RIGHT(("0"&amp;D2270),2)&amp;RIGHT(("0"&amp;E2270),2)&amp;RIGHT(("0"&amp;F2270),2)&amp;RIGHT(("0"&amp;G2270),2)&amp;RIGHT(("0"&amp;H2270),2)</f>
        <v>011114232955</v>
      </c>
      <c r="J2270" s="1" t="n">
        <f aca="false">COUNTIF(I:I,I2270)</f>
        <v>1</v>
      </c>
      <c r="K2270" s="1" t="n">
        <v>0</v>
      </c>
      <c r="M2270" s="1" t="s">
        <v>23</v>
      </c>
      <c r="N2270" s="1" t="n">
        <v>47</v>
      </c>
      <c r="O2270" s="1" t="s">
        <v>12644</v>
      </c>
      <c r="P2270" s="1" t="n">
        <v>3225</v>
      </c>
      <c r="Q2270" s="1" t="s">
        <v>12645</v>
      </c>
      <c r="R2270" s="1" t="s">
        <v>12646</v>
      </c>
      <c r="S2270" s="1" t="s">
        <v>12647</v>
      </c>
      <c r="T2270" s="1" t="s">
        <v>4213</v>
      </c>
      <c r="U2270" s="1" t="s">
        <v>12648</v>
      </c>
    </row>
    <row r="2271" customFormat="false" ht="13.8" hidden="false" customHeight="false" outlineLevel="0" collapsed="false">
      <c r="A2271" s="1" t="n">
        <v>2270</v>
      </c>
      <c r="B2271" s="2" t="s">
        <v>12649</v>
      </c>
      <c r="C2271" s="1" t="n">
        <v>14</v>
      </c>
      <c r="D2271" s="1" t="n">
        <v>16</v>
      </c>
      <c r="E2271" s="1" t="n">
        <v>38</v>
      </c>
      <c r="F2271" s="1" t="n">
        <v>39</v>
      </c>
      <c r="G2271" s="1" t="n">
        <v>41</v>
      </c>
      <c r="H2271" s="1" t="n">
        <v>48</v>
      </c>
      <c r="I2271" s="1" t="str">
        <f aca="false">RIGHT(("0"&amp;C2271),2)&amp;RIGHT(("0"&amp;D2271),2)&amp;RIGHT(("0"&amp;E2271),2)&amp;RIGHT(("0"&amp;F2271),2)&amp;RIGHT(("0"&amp;G2271),2)&amp;RIGHT(("0"&amp;H2271),2)</f>
        <v>141638394148</v>
      </c>
      <c r="J2271" s="1" t="n">
        <f aca="false">COUNTIF(I:I,I2271)</f>
        <v>1</v>
      </c>
      <c r="K2271" s="1" t="n">
        <v>0</v>
      </c>
      <c r="M2271" s="1" t="s">
        <v>23</v>
      </c>
      <c r="N2271" s="1" t="n">
        <v>53</v>
      </c>
      <c r="O2271" s="1" t="s">
        <v>12650</v>
      </c>
      <c r="P2271" s="1" t="n">
        <v>2707</v>
      </c>
      <c r="Q2271" s="1" t="s">
        <v>12651</v>
      </c>
      <c r="R2271" s="1" t="s">
        <v>12652</v>
      </c>
      <c r="S2271" s="1" t="s">
        <v>12653</v>
      </c>
      <c r="T2271" s="1" t="s">
        <v>4935</v>
      </c>
      <c r="U2271" s="1" t="s">
        <v>12654</v>
      </c>
    </row>
    <row r="2272" customFormat="false" ht="13.8" hidden="false" customHeight="false" outlineLevel="0" collapsed="false">
      <c r="A2272" s="1" t="n">
        <v>2271</v>
      </c>
      <c r="B2272" s="2" t="s">
        <v>12655</v>
      </c>
      <c r="C2272" s="1" t="n">
        <v>6</v>
      </c>
      <c r="D2272" s="1" t="n">
        <v>10</v>
      </c>
      <c r="E2272" s="1" t="n">
        <v>27</v>
      </c>
      <c r="F2272" s="1" t="n">
        <v>28</v>
      </c>
      <c r="G2272" s="1" t="n">
        <v>41</v>
      </c>
      <c r="H2272" s="1" t="n">
        <v>52</v>
      </c>
      <c r="I2272" s="1" t="str">
        <f aca="false">RIGHT(("0"&amp;C2272),2)&amp;RIGHT(("0"&amp;D2272),2)&amp;RIGHT(("0"&amp;E2272),2)&amp;RIGHT(("0"&amp;F2272),2)&amp;RIGHT(("0"&amp;G2272),2)&amp;RIGHT(("0"&amp;H2272),2)</f>
        <v>061027284152</v>
      </c>
      <c r="J2272" s="1" t="n">
        <f aca="false">COUNTIF(I:I,I2272)</f>
        <v>1</v>
      </c>
      <c r="K2272" s="1" t="n">
        <v>0</v>
      </c>
      <c r="M2272" s="1" t="s">
        <v>23</v>
      </c>
      <c r="N2272" s="1" t="n">
        <v>50</v>
      </c>
      <c r="O2272" s="1" t="s">
        <v>12656</v>
      </c>
      <c r="P2272" s="1" t="n">
        <v>4150</v>
      </c>
      <c r="Q2272" s="1" t="s">
        <v>12657</v>
      </c>
      <c r="R2272" s="1" t="s">
        <v>12658</v>
      </c>
      <c r="S2272" s="1" t="s">
        <v>12659</v>
      </c>
      <c r="T2272" s="1" t="s">
        <v>6025</v>
      </c>
      <c r="U2272" s="1" t="s">
        <v>12660</v>
      </c>
    </row>
    <row r="2273" customFormat="false" ht="13.8" hidden="false" customHeight="false" outlineLevel="0" collapsed="false">
      <c r="A2273" s="1" t="n">
        <v>2272</v>
      </c>
      <c r="B2273" s="2" t="s">
        <v>12661</v>
      </c>
      <c r="C2273" s="1" t="n">
        <v>2</v>
      </c>
      <c r="D2273" s="1" t="n">
        <v>5</v>
      </c>
      <c r="E2273" s="1" t="n">
        <v>11</v>
      </c>
      <c r="F2273" s="1" t="n">
        <v>24</v>
      </c>
      <c r="G2273" s="1" t="n">
        <v>41</v>
      </c>
      <c r="H2273" s="1" t="n">
        <v>49</v>
      </c>
      <c r="I2273" s="1" t="str">
        <f aca="false">RIGHT(("0"&amp;C2273),2)&amp;RIGHT(("0"&amp;D2273),2)&amp;RIGHT(("0"&amp;E2273),2)&amp;RIGHT(("0"&amp;F2273),2)&amp;RIGHT(("0"&amp;G2273),2)&amp;RIGHT(("0"&amp;H2273),2)</f>
        <v>020511244149</v>
      </c>
      <c r="J2273" s="1" t="n">
        <f aca="false">COUNTIF(I:I,I2273)</f>
        <v>1</v>
      </c>
      <c r="K2273" s="1" t="n">
        <v>0</v>
      </c>
      <c r="M2273" s="1" t="s">
        <v>23</v>
      </c>
      <c r="N2273" s="1" t="n">
        <v>71</v>
      </c>
      <c r="O2273" s="1" t="s">
        <v>12662</v>
      </c>
      <c r="P2273" s="1" t="n">
        <v>5667</v>
      </c>
      <c r="Q2273" s="1" t="s">
        <v>12663</v>
      </c>
      <c r="R2273" s="1" t="s">
        <v>12664</v>
      </c>
      <c r="S2273" s="1" t="s">
        <v>12665</v>
      </c>
      <c r="T2273" s="1" t="s">
        <v>4314</v>
      </c>
      <c r="U2273" s="1" t="s">
        <v>12666</v>
      </c>
    </row>
    <row r="2274" customFormat="false" ht="13.8" hidden="false" customHeight="false" outlineLevel="0" collapsed="false">
      <c r="A2274" s="1" t="n">
        <v>2273</v>
      </c>
      <c r="B2274" s="2" t="s">
        <v>12667</v>
      </c>
      <c r="C2274" s="1" t="n">
        <v>15</v>
      </c>
      <c r="D2274" s="1" t="n">
        <v>16</v>
      </c>
      <c r="E2274" s="1" t="n">
        <v>20</v>
      </c>
      <c r="F2274" s="1" t="n">
        <v>38</v>
      </c>
      <c r="G2274" s="1" t="n">
        <v>40</v>
      </c>
      <c r="H2274" s="1" t="n">
        <v>58</v>
      </c>
      <c r="I2274" s="1" t="str">
        <f aca="false">RIGHT(("0"&amp;C2274),2)&amp;RIGHT(("0"&amp;D2274),2)&amp;RIGHT(("0"&amp;E2274),2)&amp;RIGHT(("0"&amp;F2274),2)&amp;RIGHT(("0"&amp;G2274),2)&amp;RIGHT(("0"&amp;H2274),2)</f>
        <v>151620384058</v>
      </c>
      <c r="J2274" s="1" t="n">
        <f aca="false">COUNTIF(I:I,I2274)</f>
        <v>1</v>
      </c>
      <c r="K2274" s="1" t="n">
        <v>1</v>
      </c>
      <c r="L2274" s="1" t="s">
        <v>12668</v>
      </c>
      <c r="M2274" s="1" t="s">
        <v>12669</v>
      </c>
      <c r="N2274" s="1" t="n">
        <v>48</v>
      </c>
      <c r="O2274" s="1" t="s">
        <v>12670</v>
      </c>
      <c r="P2274" s="1" t="n">
        <v>3830</v>
      </c>
      <c r="Q2274" s="1" t="s">
        <v>12671</v>
      </c>
      <c r="R2274" s="1" t="s">
        <v>23</v>
      </c>
      <c r="S2274" s="1" t="s">
        <v>12672</v>
      </c>
      <c r="T2274" s="1" t="s">
        <v>4256</v>
      </c>
      <c r="U2274" s="1" t="s">
        <v>12673</v>
      </c>
    </row>
    <row r="2275" customFormat="false" ht="13.8" hidden="false" customHeight="false" outlineLevel="0" collapsed="false">
      <c r="A2275" s="1" t="n">
        <v>2274</v>
      </c>
      <c r="B2275" s="2" t="s">
        <v>12674</v>
      </c>
      <c r="C2275" s="1" t="n">
        <v>8</v>
      </c>
      <c r="D2275" s="1" t="n">
        <v>11</v>
      </c>
      <c r="E2275" s="1" t="n">
        <v>17</v>
      </c>
      <c r="F2275" s="1" t="n">
        <v>33</v>
      </c>
      <c r="G2275" s="1" t="n">
        <v>40</v>
      </c>
      <c r="H2275" s="1" t="n">
        <v>55</v>
      </c>
      <c r="I2275" s="1" t="str">
        <f aca="false">RIGHT(("0"&amp;C2275),2)&amp;RIGHT(("0"&amp;D2275),2)&amp;RIGHT(("0"&amp;E2275),2)&amp;RIGHT(("0"&amp;F2275),2)&amp;RIGHT(("0"&amp;G2275),2)&amp;RIGHT(("0"&amp;H2275),2)</f>
        <v>081117334055</v>
      </c>
      <c r="J2275" s="1" t="n">
        <f aca="false">COUNTIF(I:I,I2275)</f>
        <v>1</v>
      </c>
      <c r="K2275" s="1" t="n">
        <v>0</v>
      </c>
      <c r="M2275" s="1" t="s">
        <v>23</v>
      </c>
      <c r="N2275" s="1" t="n">
        <v>62</v>
      </c>
      <c r="O2275" s="1" t="s">
        <v>12675</v>
      </c>
      <c r="P2275" s="1" t="n">
        <v>2996</v>
      </c>
      <c r="Q2275" s="1" t="s">
        <v>12676</v>
      </c>
      <c r="R2275" s="1" t="s">
        <v>12677</v>
      </c>
      <c r="S2275" s="1" t="s">
        <v>12678</v>
      </c>
      <c r="T2275" s="1" t="s">
        <v>4696</v>
      </c>
      <c r="U2275" s="1" t="s">
        <v>12679</v>
      </c>
    </row>
    <row r="2276" customFormat="false" ht="13.8" hidden="false" customHeight="false" outlineLevel="0" collapsed="false">
      <c r="A2276" s="1" t="n">
        <v>2275</v>
      </c>
      <c r="B2276" s="2" t="s">
        <v>12680</v>
      </c>
      <c r="C2276" s="1" t="n">
        <v>2</v>
      </c>
      <c r="D2276" s="1" t="n">
        <v>4</v>
      </c>
      <c r="E2276" s="1" t="n">
        <v>25</v>
      </c>
      <c r="F2276" s="1" t="n">
        <v>36</v>
      </c>
      <c r="G2276" s="1" t="n">
        <v>50</v>
      </c>
      <c r="H2276" s="1" t="n">
        <v>53</v>
      </c>
      <c r="I2276" s="1" t="str">
        <f aca="false">RIGHT(("0"&amp;C2276),2)&amp;RIGHT(("0"&amp;D2276),2)&amp;RIGHT(("0"&amp;E2276),2)&amp;RIGHT(("0"&amp;F2276),2)&amp;RIGHT(("0"&amp;G2276),2)&amp;RIGHT(("0"&amp;H2276),2)</f>
        <v>020425365053</v>
      </c>
      <c r="J2276" s="1" t="n">
        <f aca="false">COUNTIF(I:I,I2276)</f>
        <v>1</v>
      </c>
      <c r="K2276" s="1" t="n">
        <v>0</v>
      </c>
      <c r="M2276" s="1" t="s">
        <v>23</v>
      </c>
      <c r="N2276" s="1" t="n">
        <v>51</v>
      </c>
      <c r="O2276" s="1" t="s">
        <v>12681</v>
      </c>
      <c r="P2276" s="1" t="n">
        <v>3212</v>
      </c>
      <c r="Q2276" s="1" t="s">
        <v>12682</v>
      </c>
      <c r="R2276" s="1" t="s">
        <v>12683</v>
      </c>
      <c r="S2276" s="1" t="s">
        <v>12684</v>
      </c>
      <c r="T2276" s="1" t="s">
        <v>5281</v>
      </c>
      <c r="U2276" s="1" t="s">
        <v>12685</v>
      </c>
    </row>
    <row r="2277" customFormat="false" ht="13.8" hidden="false" customHeight="false" outlineLevel="0" collapsed="false">
      <c r="A2277" s="1" t="n">
        <v>2276</v>
      </c>
      <c r="B2277" s="2" t="s">
        <v>12686</v>
      </c>
      <c r="C2277" s="1" t="n">
        <v>5</v>
      </c>
      <c r="D2277" s="1" t="n">
        <v>15</v>
      </c>
      <c r="E2277" s="1" t="n">
        <v>18</v>
      </c>
      <c r="F2277" s="1" t="n">
        <v>27</v>
      </c>
      <c r="G2277" s="1" t="n">
        <v>49</v>
      </c>
      <c r="H2277" s="1" t="n">
        <v>57</v>
      </c>
      <c r="I2277" s="1" t="str">
        <f aca="false">RIGHT(("0"&amp;C2277),2)&amp;RIGHT(("0"&amp;D2277),2)&amp;RIGHT(("0"&amp;E2277),2)&amp;RIGHT(("0"&amp;F2277),2)&amp;RIGHT(("0"&amp;G2277),2)&amp;RIGHT(("0"&amp;H2277),2)</f>
        <v>051518274957</v>
      </c>
      <c r="J2277" s="1" t="n">
        <f aca="false">COUNTIF(I:I,I2277)</f>
        <v>1</v>
      </c>
      <c r="K2277" s="1" t="n">
        <v>0</v>
      </c>
      <c r="M2277" s="1" t="s">
        <v>23</v>
      </c>
      <c r="N2277" s="1" t="n">
        <v>75</v>
      </c>
      <c r="O2277" s="1" t="s">
        <v>12687</v>
      </c>
      <c r="P2277" s="1" t="n">
        <v>5403</v>
      </c>
      <c r="Q2277" s="1" t="s">
        <v>12688</v>
      </c>
      <c r="R2277" s="1" t="s">
        <v>12689</v>
      </c>
      <c r="S2277" s="1" t="s">
        <v>12690</v>
      </c>
      <c r="T2277" s="1" t="s">
        <v>4304</v>
      </c>
      <c r="U2277" s="1" t="s">
        <v>12691</v>
      </c>
    </row>
    <row r="2278" customFormat="false" ht="13.8" hidden="false" customHeight="false" outlineLevel="0" collapsed="false">
      <c r="A2278" s="1" t="n">
        <v>2277</v>
      </c>
      <c r="B2278" s="2" t="s">
        <v>12692</v>
      </c>
      <c r="C2278" s="1" t="n">
        <v>10</v>
      </c>
      <c r="D2278" s="1" t="n">
        <v>22</v>
      </c>
      <c r="E2278" s="1" t="n">
        <v>23</v>
      </c>
      <c r="F2278" s="1" t="n">
        <v>37</v>
      </c>
      <c r="G2278" s="1" t="n">
        <v>53</v>
      </c>
      <c r="H2278" s="1" t="n">
        <v>60</v>
      </c>
      <c r="I2278" s="1" t="str">
        <f aca="false">RIGHT(("0"&amp;C2278),2)&amp;RIGHT(("0"&amp;D2278),2)&amp;RIGHT(("0"&amp;E2278),2)&amp;RIGHT(("0"&amp;F2278),2)&amp;RIGHT(("0"&amp;G2278),2)&amp;RIGHT(("0"&amp;H2278),2)</f>
        <v>102223375360</v>
      </c>
      <c r="J2278" s="1" t="n">
        <f aca="false">COUNTIF(I:I,I2278)</f>
        <v>1</v>
      </c>
      <c r="K2278" s="1" t="n">
        <v>0</v>
      </c>
      <c r="M2278" s="1" t="s">
        <v>23</v>
      </c>
      <c r="N2278" s="1" t="n">
        <v>89</v>
      </c>
      <c r="O2278" s="1" t="s">
        <v>12693</v>
      </c>
      <c r="P2278" s="1" t="n">
        <v>5597</v>
      </c>
      <c r="Q2278" s="1" t="s">
        <v>12694</v>
      </c>
      <c r="R2278" s="1" t="s">
        <v>12695</v>
      </c>
      <c r="S2278" s="1" t="s">
        <v>12696</v>
      </c>
      <c r="T2278" s="1" t="s">
        <v>4309</v>
      </c>
      <c r="U2278" s="1" t="s">
        <v>12697</v>
      </c>
    </row>
    <row r="2279" customFormat="false" ht="13.8" hidden="false" customHeight="false" outlineLevel="0" collapsed="false">
      <c r="A2279" s="1" t="n">
        <v>2278</v>
      </c>
      <c r="B2279" s="2" t="s">
        <v>12698</v>
      </c>
      <c r="C2279" s="1" t="n">
        <v>8</v>
      </c>
      <c r="D2279" s="1" t="n">
        <v>17</v>
      </c>
      <c r="E2279" s="1" t="n">
        <v>34</v>
      </c>
      <c r="F2279" s="1" t="n">
        <v>37</v>
      </c>
      <c r="G2279" s="1" t="n">
        <v>43</v>
      </c>
      <c r="H2279" s="1" t="n">
        <v>45</v>
      </c>
      <c r="I2279" s="1" t="str">
        <f aca="false">RIGHT(("0"&amp;C2279),2)&amp;RIGHT(("0"&amp;D2279),2)&amp;RIGHT(("0"&amp;E2279),2)&amp;RIGHT(("0"&amp;F2279),2)&amp;RIGHT(("0"&amp;G2279),2)&amp;RIGHT(("0"&amp;H2279),2)</f>
        <v>081734374345</v>
      </c>
      <c r="J2279" s="1" t="n">
        <f aca="false">COUNTIF(I:I,I2279)</f>
        <v>1</v>
      </c>
      <c r="K2279" s="1" t="n">
        <v>0</v>
      </c>
      <c r="M2279" s="1" t="s">
        <v>23</v>
      </c>
      <c r="N2279" s="1" t="n">
        <v>98</v>
      </c>
      <c r="O2279" s="1" t="s">
        <v>12699</v>
      </c>
      <c r="P2279" s="1" t="n">
        <v>6533</v>
      </c>
      <c r="Q2279" s="1" t="s">
        <v>12700</v>
      </c>
      <c r="R2279" s="1" t="s">
        <v>12701</v>
      </c>
      <c r="S2279" s="1" t="s">
        <v>12702</v>
      </c>
      <c r="T2279" s="1" t="s">
        <v>8236</v>
      </c>
      <c r="U2279" s="1" t="s">
        <v>12703</v>
      </c>
    </row>
    <row r="2280" customFormat="false" ht="13.8" hidden="false" customHeight="false" outlineLevel="0" collapsed="false">
      <c r="A2280" s="1" t="n">
        <v>2279</v>
      </c>
      <c r="B2280" s="2" t="s">
        <v>12704</v>
      </c>
      <c r="C2280" s="1" t="n">
        <v>5</v>
      </c>
      <c r="D2280" s="1" t="n">
        <v>12</v>
      </c>
      <c r="E2280" s="1" t="n">
        <v>14</v>
      </c>
      <c r="F2280" s="1" t="n">
        <v>20</v>
      </c>
      <c r="G2280" s="1" t="n">
        <v>27</v>
      </c>
      <c r="H2280" s="1" t="n">
        <v>28</v>
      </c>
      <c r="I2280" s="1" t="str">
        <f aca="false">RIGHT(("0"&amp;C2280),2)&amp;RIGHT(("0"&amp;D2280),2)&amp;RIGHT(("0"&amp;E2280),2)&amp;RIGHT(("0"&amp;F2280),2)&amp;RIGHT(("0"&amp;G2280),2)&amp;RIGHT(("0"&amp;H2280),2)</f>
        <v>051214202728</v>
      </c>
      <c r="J2280" s="1" t="n">
        <f aca="false">COUNTIF(I:I,I2280)</f>
        <v>1</v>
      </c>
      <c r="K2280" s="1" t="n">
        <v>1</v>
      </c>
      <c r="L2280" s="1" t="s">
        <v>12247</v>
      </c>
      <c r="M2280" s="1" t="s">
        <v>12705</v>
      </c>
      <c r="N2280" s="1" t="n">
        <v>120</v>
      </c>
      <c r="O2280" s="1" t="s">
        <v>12706</v>
      </c>
      <c r="P2280" s="1" t="n">
        <v>6212</v>
      </c>
      <c r="Q2280" s="1" t="s">
        <v>12707</v>
      </c>
      <c r="R2280" s="1" t="s">
        <v>12708</v>
      </c>
      <c r="S2280" s="1" t="s">
        <v>12709</v>
      </c>
      <c r="T2280" s="1" t="s">
        <v>4273</v>
      </c>
      <c r="U2280" s="1" t="s">
        <v>12710</v>
      </c>
    </row>
    <row r="2281" customFormat="false" ht="13.8" hidden="false" customHeight="false" outlineLevel="0" collapsed="false">
      <c r="A2281" s="1" t="n">
        <v>2280</v>
      </c>
      <c r="B2281" s="2" t="s">
        <v>12711</v>
      </c>
      <c r="C2281" s="1" t="n">
        <v>28</v>
      </c>
      <c r="D2281" s="1" t="n">
        <v>29</v>
      </c>
      <c r="E2281" s="1" t="n">
        <v>31</v>
      </c>
      <c r="F2281" s="1" t="n">
        <v>50</v>
      </c>
      <c r="G2281" s="1" t="n">
        <v>58</v>
      </c>
      <c r="H2281" s="1" t="n">
        <v>59</v>
      </c>
      <c r="I2281" s="1" t="str">
        <f aca="false">RIGHT(("0"&amp;C2281),2)&amp;RIGHT(("0"&amp;D2281),2)&amp;RIGHT(("0"&amp;E2281),2)&amp;RIGHT(("0"&amp;F2281),2)&amp;RIGHT(("0"&amp;G2281),2)&amp;RIGHT(("0"&amp;H2281),2)</f>
        <v>282931505859</v>
      </c>
      <c r="J2281" s="1" t="n">
        <f aca="false">COUNTIF(I:I,I2281)</f>
        <v>1</v>
      </c>
      <c r="K2281" s="1" t="n">
        <v>0</v>
      </c>
      <c r="M2281" s="1" t="s">
        <v>23</v>
      </c>
      <c r="N2281" s="1" t="n">
        <v>20</v>
      </c>
      <c r="O2281" s="1" t="s">
        <v>12712</v>
      </c>
      <c r="P2281" s="1" t="n">
        <v>1639</v>
      </c>
      <c r="Q2281" s="1" t="s">
        <v>12713</v>
      </c>
      <c r="R2281" s="1" t="s">
        <v>12714</v>
      </c>
      <c r="S2281" s="1" t="s">
        <v>12715</v>
      </c>
      <c r="T2281" s="1" t="s">
        <v>4328</v>
      </c>
      <c r="U2281" s="1" t="s">
        <v>12716</v>
      </c>
    </row>
    <row r="2282" customFormat="false" ht="13.8" hidden="false" customHeight="false" outlineLevel="0" collapsed="false">
      <c r="A2282" s="1" t="n">
        <v>2281</v>
      </c>
      <c r="B2282" s="2" t="s">
        <v>12717</v>
      </c>
      <c r="C2282" s="1" t="n">
        <v>14</v>
      </c>
      <c r="D2282" s="1" t="n">
        <v>27</v>
      </c>
      <c r="E2282" s="1" t="n">
        <v>35</v>
      </c>
      <c r="F2282" s="1" t="n">
        <v>40</v>
      </c>
      <c r="G2282" s="1" t="n">
        <v>50</v>
      </c>
      <c r="H2282" s="1" t="n">
        <v>55</v>
      </c>
      <c r="I2282" s="1" t="str">
        <f aca="false">RIGHT(("0"&amp;C2282),2)&amp;RIGHT(("0"&amp;D2282),2)&amp;RIGHT(("0"&amp;E2282),2)&amp;RIGHT(("0"&amp;F2282),2)&amp;RIGHT(("0"&amp;G2282),2)&amp;RIGHT(("0"&amp;H2282),2)</f>
        <v>142735405055</v>
      </c>
      <c r="J2282" s="1" t="n">
        <f aca="false">COUNTIF(I:I,I2282)</f>
        <v>1</v>
      </c>
      <c r="K2282" s="1" t="n">
        <v>0</v>
      </c>
      <c r="M2282" s="1" t="s">
        <v>23</v>
      </c>
      <c r="N2282" s="1" t="n">
        <v>43</v>
      </c>
      <c r="O2282" s="1" t="s">
        <v>12718</v>
      </c>
      <c r="P2282" s="1" t="n">
        <v>2462</v>
      </c>
      <c r="Q2282" s="1" t="s">
        <v>12719</v>
      </c>
      <c r="R2282" s="1" t="s">
        <v>12720</v>
      </c>
      <c r="S2282" s="1" t="s">
        <v>12721</v>
      </c>
      <c r="T2282" s="1" t="s">
        <v>5321</v>
      </c>
      <c r="U2282" s="1" t="s">
        <v>12722</v>
      </c>
    </row>
    <row r="2283" customFormat="false" ht="13.8" hidden="false" customHeight="false" outlineLevel="0" collapsed="false">
      <c r="A2283" s="1" t="n">
        <v>2282</v>
      </c>
      <c r="B2283" s="2" t="s">
        <v>12723</v>
      </c>
      <c r="C2283" s="1" t="n">
        <v>12</v>
      </c>
      <c r="D2283" s="1" t="n">
        <v>27</v>
      </c>
      <c r="E2283" s="1" t="n">
        <v>30</v>
      </c>
      <c r="F2283" s="1" t="n">
        <v>36</v>
      </c>
      <c r="G2283" s="1" t="n">
        <v>45</v>
      </c>
      <c r="H2283" s="1" t="n">
        <v>52</v>
      </c>
      <c r="I2283" s="1" t="str">
        <f aca="false">RIGHT(("0"&amp;C2283),2)&amp;RIGHT(("0"&amp;D2283),2)&amp;RIGHT(("0"&amp;E2283),2)&amp;RIGHT(("0"&amp;F2283),2)&amp;RIGHT(("0"&amp;G2283),2)&amp;RIGHT(("0"&amp;H2283),2)</f>
        <v>122730364552</v>
      </c>
      <c r="J2283" s="1" t="n">
        <f aca="false">COUNTIF(I:I,I2283)</f>
        <v>1</v>
      </c>
      <c r="K2283" s="1" t="n">
        <v>1</v>
      </c>
      <c r="L2283" s="1" t="s">
        <v>12724</v>
      </c>
      <c r="M2283" s="1" t="s">
        <v>12725</v>
      </c>
      <c r="N2283" s="1" t="n">
        <v>44</v>
      </c>
      <c r="O2283" s="1" t="s">
        <v>12726</v>
      </c>
      <c r="P2283" s="1" t="n">
        <v>3467</v>
      </c>
      <c r="Q2283" s="1" t="s">
        <v>12727</v>
      </c>
      <c r="R2283" s="1" t="s">
        <v>23</v>
      </c>
      <c r="S2283" s="1" t="s">
        <v>12728</v>
      </c>
      <c r="T2283" s="1" t="s">
        <v>4256</v>
      </c>
      <c r="U2283" s="1" t="s">
        <v>12729</v>
      </c>
    </row>
    <row r="2284" customFormat="false" ht="13.8" hidden="false" customHeight="false" outlineLevel="0" collapsed="false">
      <c r="A2284" s="1" t="n">
        <v>2283</v>
      </c>
      <c r="B2284" s="2" t="s">
        <v>12730</v>
      </c>
      <c r="C2284" s="1" t="n">
        <v>4</v>
      </c>
      <c r="D2284" s="1" t="n">
        <v>24</v>
      </c>
      <c r="E2284" s="1" t="n">
        <v>37</v>
      </c>
      <c r="F2284" s="1" t="n">
        <v>43</v>
      </c>
      <c r="G2284" s="1" t="n">
        <v>59</v>
      </c>
      <c r="H2284" s="1" t="n">
        <v>60</v>
      </c>
      <c r="I2284" s="1" t="str">
        <f aca="false">RIGHT(("0"&amp;C2284),2)&amp;RIGHT(("0"&amp;D2284),2)&amp;RIGHT(("0"&amp;E2284),2)&amp;RIGHT(("0"&amp;F2284),2)&amp;RIGHT(("0"&amp;G2284),2)&amp;RIGHT(("0"&amp;H2284),2)</f>
        <v>042437435960</v>
      </c>
      <c r="J2284" s="1" t="n">
        <f aca="false">COUNTIF(I:I,I2284)</f>
        <v>1</v>
      </c>
      <c r="K2284" s="1" t="n">
        <v>0</v>
      </c>
      <c r="M2284" s="1" t="s">
        <v>23</v>
      </c>
      <c r="N2284" s="1" t="n">
        <v>41</v>
      </c>
      <c r="O2284" s="1" t="s">
        <v>12731</v>
      </c>
      <c r="P2284" s="1" t="n">
        <v>2615</v>
      </c>
      <c r="Q2284" s="1" t="s">
        <v>12732</v>
      </c>
      <c r="R2284" s="1" t="s">
        <v>12733</v>
      </c>
      <c r="S2284" s="1" t="s">
        <v>12734</v>
      </c>
      <c r="T2284" s="1" t="s">
        <v>8685</v>
      </c>
      <c r="U2284" s="1" t="s">
        <v>12735</v>
      </c>
    </row>
    <row r="2285" customFormat="false" ht="13.8" hidden="false" customHeight="false" outlineLevel="0" collapsed="false">
      <c r="A2285" s="1" t="n">
        <v>2284</v>
      </c>
      <c r="B2285" s="2" t="s">
        <v>12736</v>
      </c>
      <c r="C2285" s="1" t="n">
        <v>4</v>
      </c>
      <c r="D2285" s="1" t="n">
        <v>10</v>
      </c>
      <c r="E2285" s="1" t="n">
        <v>12</v>
      </c>
      <c r="F2285" s="1" t="n">
        <v>14</v>
      </c>
      <c r="G2285" s="1" t="n">
        <v>36</v>
      </c>
      <c r="H2285" s="1" t="n">
        <v>46</v>
      </c>
      <c r="I2285" s="1" t="str">
        <f aca="false">RIGHT(("0"&amp;C2285),2)&amp;RIGHT(("0"&amp;D2285),2)&amp;RIGHT(("0"&amp;E2285),2)&amp;RIGHT(("0"&amp;F2285),2)&amp;RIGHT(("0"&amp;G2285),2)&amp;RIGHT(("0"&amp;H2285),2)</f>
        <v>041012143646</v>
      </c>
      <c r="J2285" s="1" t="n">
        <f aca="false">COUNTIF(I:I,I2285)</f>
        <v>1</v>
      </c>
      <c r="K2285" s="1" t="n">
        <v>0</v>
      </c>
      <c r="M2285" s="1" t="s">
        <v>23</v>
      </c>
      <c r="N2285" s="1" t="n">
        <v>43</v>
      </c>
      <c r="O2285" s="1" t="s">
        <v>12737</v>
      </c>
      <c r="P2285" s="1" t="n">
        <v>3278</v>
      </c>
      <c r="Q2285" s="1" t="s">
        <v>12738</v>
      </c>
      <c r="R2285" s="1" t="s">
        <v>12739</v>
      </c>
      <c r="S2285" s="1" t="s">
        <v>12740</v>
      </c>
      <c r="T2285" s="1" t="s">
        <v>4696</v>
      </c>
      <c r="U2285" s="1" t="s">
        <v>12741</v>
      </c>
    </row>
    <row r="2286" customFormat="false" ht="13.8" hidden="false" customHeight="false" outlineLevel="0" collapsed="false">
      <c r="A2286" s="1" t="n">
        <v>2285</v>
      </c>
      <c r="B2286" s="2" t="s">
        <v>12742</v>
      </c>
      <c r="C2286" s="1" t="n">
        <v>1</v>
      </c>
      <c r="D2286" s="1" t="n">
        <v>7</v>
      </c>
      <c r="E2286" s="1" t="n">
        <v>10</v>
      </c>
      <c r="F2286" s="1" t="n">
        <v>12</v>
      </c>
      <c r="G2286" s="1" t="n">
        <v>33</v>
      </c>
      <c r="H2286" s="1" t="n">
        <v>42</v>
      </c>
      <c r="I2286" s="1" t="str">
        <f aca="false">RIGHT(("0"&amp;C2286),2)&amp;RIGHT(("0"&amp;D2286),2)&amp;RIGHT(("0"&amp;E2286),2)&amp;RIGHT(("0"&amp;F2286),2)&amp;RIGHT(("0"&amp;G2286),2)&amp;RIGHT(("0"&amp;H2286),2)</f>
        <v>010710123342</v>
      </c>
      <c r="J2286" s="1" t="n">
        <f aca="false">COUNTIF(I:I,I2286)</f>
        <v>1</v>
      </c>
      <c r="K2286" s="1" t="n">
        <v>2</v>
      </c>
      <c r="L2286" s="1" t="s">
        <v>12743</v>
      </c>
      <c r="M2286" s="1" t="s">
        <v>12744</v>
      </c>
      <c r="N2286" s="1" t="n">
        <v>160</v>
      </c>
      <c r="O2286" s="1" t="s">
        <v>12745</v>
      </c>
      <c r="P2286" s="1" t="n">
        <v>7967</v>
      </c>
      <c r="Q2286" s="1" t="s">
        <v>12746</v>
      </c>
      <c r="R2286" s="1" t="s">
        <v>23</v>
      </c>
      <c r="S2286" s="1" t="s">
        <v>12747</v>
      </c>
      <c r="T2286" s="1" t="s">
        <v>473</v>
      </c>
      <c r="U2286" s="1" t="s">
        <v>12748</v>
      </c>
    </row>
    <row r="2287" customFormat="false" ht="13.8" hidden="false" customHeight="false" outlineLevel="0" collapsed="false">
      <c r="A2287" s="1" t="n">
        <v>2286</v>
      </c>
      <c r="B2287" s="2" t="s">
        <v>12749</v>
      </c>
      <c r="C2287" s="1" t="n">
        <v>9</v>
      </c>
      <c r="D2287" s="1" t="n">
        <v>21</v>
      </c>
      <c r="E2287" s="1" t="n">
        <v>30</v>
      </c>
      <c r="F2287" s="1" t="n">
        <v>41</v>
      </c>
      <c r="G2287" s="1" t="n">
        <v>42</v>
      </c>
      <c r="H2287" s="1" t="n">
        <v>43</v>
      </c>
      <c r="I2287" s="1" t="str">
        <f aca="false">RIGHT(("0"&amp;C2287),2)&amp;RIGHT(("0"&amp;D2287),2)&amp;RIGHT(("0"&amp;E2287),2)&amp;RIGHT(("0"&amp;F2287),2)&amp;RIGHT(("0"&amp;G2287),2)&amp;RIGHT(("0"&amp;H2287),2)</f>
        <v>092130414243</v>
      </c>
      <c r="J2287" s="1" t="n">
        <f aca="false">COUNTIF(I:I,I2287)</f>
        <v>1</v>
      </c>
      <c r="K2287" s="1" t="n">
        <v>0</v>
      </c>
      <c r="M2287" s="1" t="s">
        <v>23</v>
      </c>
      <c r="N2287" s="1" t="n">
        <v>28</v>
      </c>
      <c r="O2287" s="1" t="s">
        <v>12750</v>
      </c>
      <c r="P2287" s="1" t="n">
        <v>1649</v>
      </c>
      <c r="Q2287" s="1" t="s">
        <v>12751</v>
      </c>
      <c r="R2287" s="1" t="s">
        <v>12752</v>
      </c>
      <c r="S2287" s="1" t="s">
        <v>12753</v>
      </c>
      <c r="T2287" s="1" t="s">
        <v>5931</v>
      </c>
      <c r="U2287" s="1" t="s">
        <v>12754</v>
      </c>
    </row>
    <row r="2288" customFormat="false" ht="13.8" hidden="false" customHeight="false" outlineLevel="0" collapsed="false">
      <c r="A2288" s="1" t="n">
        <v>2287</v>
      </c>
      <c r="B2288" s="2" t="s">
        <v>12755</v>
      </c>
      <c r="C2288" s="1" t="n">
        <v>2</v>
      </c>
      <c r="D2288" s="1" t="n">
        <v>4</v>
      </c>
      <c r="E2288" s="1" t="n">
        <v>6</v>
      </c>
      <c r="F2288" s="1" t="n">
        <v>29</v>
      </c>
      <c r="G2288" s="1" t="n">
        <v>41</v>
      </c>
      <c r="H2288" s="1" t="n">
        <v>56</v>
      </c>
      <c r="I2288" s="1" t="str">
        <f aca="false">RIGHT(("0"&amp;C2288),2)&amp;RIGHT(("0"&amp;D2288),2)&amp;RIGHT(("0"&amp;E2288),2)&amp;RIGHT(("0"&amp;F2288),2)&amp;RIGHT(("0"&amp;G2288),2)&amp;RIGHT(("0"&amp;H2288),2)</f>
        <v>020406294156</v>
      </c>
      <c r="J2288" s="1" t="n">
        <f aca="false">COUNTIF(I:I,I2288)</f>
        <v>1</v>
      </c>
      <c r="K2288" s="1" t="n">
        <v>0</v>
      </c>
      <c r="M2288" s="1" t="s">
        <v>23</v>
      </c>
      <c r="N2288" s="1" t="n">
        <v>45</v>
      </c>
      <c r="O2288" s="1" t="s">
        <v>12756</v>
      </c>
      <c r="P2288" s="1" t="n">
        <v>3261</v>
      </c>
      <c r="Q2288" s="1" t="s">
        <v>12757</v>
      </c>
      <c r="R2288" s="1" t="s">
        <v>12758</v>
      </c>
      <c r="S2288" s="1" t="s">
        <v>12759</v>
      </c>
      <c r="T2288" s="1" t="s">
        <v>4461</v>
      </c>
      <c r="U2288" s="1" t="s">
        <v>12760</v>
      </c>
    </row>
    <row r="2289" customFormat="false" ht="13.8" hidden="false" customHeight="false" outlineLevel="0" collapsed="false">
      <c r="A2289" s="1" t="n">
        <v>2288</v>
      </c>
      <c r="B2289" s="2" t="s">
        <v>12761</v>
      </c>
      <c r="C2289" s="1" t="n">
        <v>2</v>
      </c>
      <c r="D2289" s="1" t="n">
        <v>26</v>
      </c>
      <c r="E2289" s="1" t="n">
        <v>35</v>
      </c>
      <c r="F2289" s="1" t="n">
        <v>39</v>
      </c>
      <c r="G2289" s="1" t="n">
        <v>40</v>
      </c>
      <c r="H2289" s="1" t="n">
        <v>56</v>
      </c>
      <c r="I2289" s="1" t="str">
        <f aca="false">RIGHT(("0"&amp;C2289),2)&amp;RIGHT(("0"&amp;D2289),2)&amp;RIGHT(("0"&amp;E2289),2)&amp;RIGHT(("0"&amp;F2289),2)&amp;RIGHT(("0"&amp;G2289),2)&amp;RIGHT(("0"&amp;H2289),2)</f>
        <v>022635394056</v>
      </c>
      <c r="J2289" s="1" t="n">
        <f aca="false">COUNTIF(I:I,I2289)</f>
        <v>1</v>
      </c>
      <c r="K2289" s="1" t="n">
        <v>0</v>
      </c>
      <c r="M2289" s="1" t="s">
        <v>23</v>
      </c>
      <c r="N2289" s="1" t="n">
        <v>16</v>
      </c>
      <c r="O2289" s="1" t="s">
        <v>12762</v>
      </c>
      <c r="P2289" s="1" t="n">
        <v>1545</v>
      </c>
      <c r="Q2289" s="1" t="s">
        <v>12763</v>
      </c>
      <c r="R2289" s="1" t="s">
        <v>12764</v>
      </c>
      <c r="S2289" s="1" t="s">
        <v>12765</v>
      </c>
      <c r="T2289" s="1" t="s">
        <v>4846</v>
      </c>
      <c r="U2289" s="1" t="s">
        <v>12766</v>
      </c>
    </row>
    <row r="2290" customFormat="false" ht="13.8" hidden="false" customHeight="false" outlineLevel="0" collapsed="false">
      <c r="A2290" s="1" t="n">
        <v>2289</v>
      </c>
      <c r="B2290" s="2" t="s">
        <v>12767</v>
      </c>
      <c r="C2290" s="1" t="n">
        <v>6</v>
      </c>
      <c r="D2290" s="1" t="n">
        <v>9</v>
      </c>
      <c r="E2290" s="1" t="n">
        <v>34</v>
      </c>
      <c r="F2290" s="1" t="n">
        <v>37</v>
      </c>
      <c r="G2290" s="1" t="n">
        <v>38</v>
      </c>
      <c r="H2290" s="1" t="n">
        <v>45</v>
      </c>
      <c r="I2290" s="1" t="str">
        <f aca="false">RIGHT(("0"&amp;C2290),2)&amp;RIGHT(("0"&amp;D2290),2)&amp;RIGHT(("0"&amp;E2290),2)&amp;RIGHT(("0"&amp;F2290),2)&amp;RIGHT(("0"&amp;G2290),2)&amp;RIGHT(("0"&amp;H2290),2)</f>
        <v>060934373845</v>
      </c>
      <c r="J2290" s="1" t="n">
        <f aca="false">COUNTIF(I:I,I2290)</f>
        <v>1</v>
      </c>
      <c r="K2290" s="1" t="n">
        <v>0</v>
      </c>
      <c r="M2290" s="1" t="s">
        <v>23</v>
      </c>
      <c r="N2290" s="1" t="n">
        <v>33</v>
      </c>
      <c r="O2290" s="1" t="s">
        <v>12768</v>
      </c>
      <c r="P2290" s="1" t="n">
        <v>2808</v>
      </c>
      <c r="Q2290" s="1" t="s">
        <v>12769</v>
      </c>
      <c r="R2290" s="1" t="s">
        <v>12770</v>
      </c>
      <c r="S2290" s="1" t="s">
        <v>12771</v>
      </c>
      <c r="T2290" s="1" t="s">
        <v>5281</v>
      </c>
      <c r="U2290" s="1" t="s">
        <v>12772</v>
      </c>
    </row>
    <row r="2291" customFormat="false" ht="13.8" hidden="false" customHeight="false" outlineLevel="0" collapsed="false">
      <c r="A2291" s="1" t="n">
        <v>2290</v>
      </c>
      <c r="B2291" s="2" t="s">
        <v>12773</v>
      </c>
      <c r="C2291" s="1" t="n">
        <v>5</v>
      </c>
      <c r="D2291" s="1" t="n">
        <v>18</v>
      </c>
      <c r="E2291" s="1" t="n">
        <v>36</v>
      </c>
      <c r="F2291" s="1" t="n">
        <v>44</v>
      </c>
      <c r="G2291" s="1" t="n">
        <v>57</v>
      </c>
      <c r="H2291" s="1" t="n">
        <v>60</v>
      </c>
      <c r="I2291" s="1" t="str">
        <f aca="false">RIGHT(("0"&amp;C2291),2)&amp;RIGHT(("0"&amp;D2291),2)&amp;RIGHT(("0"&amp;E2291),2)&amp;RIGHT(("0"&amp;F2291),2)&amp;RIGHT(("0"&amp;G2291),2)&amp;RIGHT(("0"&amp;H2291),2)</f>
        <v>051836445760</v>
      </c>
      <c r="J2291" s="1" t="n">
        <f aca="false">COUNTIF(I:I,I2291)</f>
        <v>1</v>
      </c>
      <c r="K2291" s="1" t="n">
        <v>0</v>
      </c>
      <c r="M2291" s="1" t="s">
        <v>23</v>
      </c>
      <c r="N2291" s="1" t="n">
        <v>96</v>
      </c>
      <c r="O2291" s="1" t="s">
        <v>12774</v>
      </c>
      <c r="P2291" s="1" t="n">
        <v>4532</v>
      </c>
      <c r="Q2291" s="1" t="s">
        <v>12775</v>
      </c>
      <c r="R2291" s="1" t="s">
        <v>12776</v>
      </c>
      <c r="S2291" s="1" t="s">
        <v>12777</v>
      </c>
      <c r="T2291" s="1" t="s">
        <v>4304</v>
      </c>
      <c r="U2291" s="1" t="s">
        <v>12778</v>
      </c>
    </row>
    <row r="2292" customFormat="false" ht="13.8" hidden="false" customHeight="false" outlineLevel="0" collapsed="false">
      <c r="A2292" s="1" t="n">
        <v>2291</v>
      </c>
      <c r="B2292" s="2" t="s">
        <v>12779</v>
      </c>
      <c r="C2292" s="1" t="n">
        <v>12</v>
      </c>
      <c r="D2292" s="1" t="n">
        <v>26</v>
      </c>
      <c r="E2292" s="1" t="n">
        <v>31</v>
      </c>
      <c r="F2292" s="1" t="n">
        <v>36</v>
      </c>
      <c r="G2292" s="1" t="n">
        <v>37</v>
      </c>
      <c r="H2292" s="1" t="n">
        <v>49</v>
      </c>
      <c r="I2292" s="1" t="str">
        <f aca="false">RIGHT(("0"&amp;C2292),2)&amp;RIGHT(("0"&amp;D2292),2)&amp;RIGHT(("0"&amp;E2292),2)&amp;RIGHT(("0"&amp;F2292),2)&amp;RIGHT(("0"&amp;G2292),2)&amp;RIGHT(("0"&amp;H2292),2)</f>
        <v>122631363749</v>
      </c>
      <c r="J2292" s="1" t="n">
        <f aca="false">COUNTIF(I:I,I2292)</f>
        <v>1</v>
      </c>
      <c r="K2292" s="1" t="n">
        <v>0</v>
      </c>
      <c r="M2292" s="1" t="s">
        <v>23</v>
      </c>
      <c r="N2292" s="1" t="n">
        <v>37</v>
      </c>
      <c r="O2292" s="1" t="s">
        <v>12780</v>
      </c>
      <c r="P2292" s="1" t="n">
        <v>3269</v>
      </c>
      <c r="Q2292" s="1" t="s">
        <v>12781</v>
      </c>
      <c r="R2292" s="1" t="s">
        <v>12782</v>
      </c>
      <c r="S2292" s="1" t="s">
        <v>12783</v>
      </c>
      <c r="T2292" s="1" t="s">
        <v>4309</v>
      </c>
      <c r="U2292" s="1" t="s">
        <v>12784</v>
      </c>
    </row>
    <row r="2293" customFormat="false" ht="13.8" hidden="false" customHeight="false" outlineLevel="0" collapsed="false">
      <c r="A2293" s="1" t="n">
        <v>2292</v>
      </c>
      <c r="B2293" s="2" t="s">
        <v>12785</v>
      </c>
      <c r="C2293" s="1" t="n">
        <v>6</v>
      </c>
      <c r="D2293" s="1" t="n">
        <v>16</v>
      </c>
      <c r="E2293" s="1" t="n">
        <v>18</v>
      </c>
      <c r="F2293" s="1" t="n">
        <v>33</v>
      </c>
      <c r="G2293" s="1" t="n">
        <v>42</v>
      </c>
      <c r="H2293" s="1" t="n">
        <v>57</v>
      </c>
      <c r="I2293" s="1" t="str">
        <f aca="false">RIGHT(("0"&amp;C2293),2)&amp;RIGHT(("0"&amp;D2293),2)&amp;RIGHT(("0"&amp;E2293),2)&amp;RIGHT(("0"&amp;F2293),2)&amp;RIGHT(("0"&amp;G2293),2)&amp;RIGHT(("0"&amp;H2293),2)</f>
        <v>061618334257</v>
      </c>
      <c r="J2293" s="1" t="n">
        <f aca="false">COUNTIF(I:I,I2293)</f>
        <v>1</v>
      </c>
      <c r="K2293" s="1" t="n">
        <v>0</v>
      </c>
      <c r="M2293" s="1" t="s">
        <v>23</v>
      </c>
      <c r="N2293" s="1" t="n">
        <v>94</v>
      </c>
      <c r="O2293" s="1" t="s">
        <v>12786</v>
      </c>
      <c r="P2293" s="1" t="n">
        <v>5865</v>
      </c>
      <c r="Q2293" s="1" t="s">
        <v>12787</v>
      </c>
      <c r="R2293" s="1" t="s">
        <v>12788</v>
      </c>
      <c r="S2293" s="1" t="s">
        <v>12789</v>
      </c>
      <c r="T2293" s="1" t="s">
        <v>5782</v>
      </c>
      <c r="U2293" s="1" t="s">
        <v>12790</v>
      </c>
    </row>
    <row r="2294" customFormat="false" ht="13.8" hidden="false" customHeight="false" outlineLevel="0" collapsed="false">
      <c r="A2294" s="1" t="n">
        <v>2293</v>
      </c>
      <c r="B2294" s="2" t="s">
        <v>12791</v>
      </c>
      <c r="C2294" s="1" t="n">
        <v>1</v>
      </c>
      <c r="D2294" s="1" t="n">
        <v>2</v>
      </c>
      <c r="E2294" s="1" t="n">
        <v>10</v>
      </c>
      <c r="F2294" s="1" t="n">
        <v>37</v>
      </c>
      <c r="G2294" s="1" t="n">
        <v>42</v>
      </c>
      <c r="H2294" s="1" t="n">
        <v>48</v>
      </c>
      <c r="I2294" s="1" t="str">
        <f aca="false">RIGHT(("0"&amp;C2294),2)&amp;RIGHT(("0"&amp;D2294),2)&amp;RIGHT(("0"&amp;E2294),2)&amp;RIGHT(("0"&amp;F2294),2)&amp;RIGHT(("0"&amp;G2294),2)&amp;RIGHT(("0"&amp;H2294),2)</f>
        <v>010210374248</v>
      </c>
      <c r="J2294" s="1" t="n">
        <f aca="false">COUNTIF(I:I,I2294)</f>
        <v>1</v>
      </c>
      <c r="K2294" s="1" t="n">
        <v>0</v>
      </c>
      <c r="M2294" s="1" t="s">
        <v>23</v>
      </c>
      <c r="N2294" s="1" t="n">
        <v>69</v>
      </c>
      <c r="O2294" s="1" t="s">
        <v>12792</v>
      </c>
      <c r="P2294" s="1" t="n">
        <v>5498</v>
      </c>
      <c r="Q2294" s="1" t="s">
        <v>12793</v>
      </c>
      <c r="R2294" s="1" t="s">
        <v>12794</v>
      </c>
      <c r="S2294" s="1" t="s">
        <v>12795</v>
      </c>
      <c r="T2294" s="1" t="s">
        <v>4727</v>
      </c>
      <c r="U2294" s="1" t="s">
        <v>12796</v>
      </c>
    </row>
    <row r="2295" customFormat="false" ht="13.8" hidden="false" customHeight="false" outlineLevel="0" collapsed="false">
      <c r="A2295" s="1" t="n">
        <v>2294</v>
      </c>
      <c r="B2295" s="2" t="s">
        <v>12797</v>
      </c>
      <c r="C2295" s="1" t="n">
        <v>9</v>
      </c>
      <c r="D2295" s="1" t="n">
        <v>15</v>
      </c>
      <c r="E2295" s="1" t="n">
        <v>20</v>
      </c>
      <c r="F2295" s="1" t="n">
        <v>33</v>
      </c>
      <c r="G2295" s="1" t="n">
        <v>41</v>
      </c>
      <c r="H2295" s="1" t="n">
        <v>43</v>
      </c>
      <c r="I2295" s="1" t="str">
        <f aca="false">RIGHT(("0"&amp;C2295),2)&amp;RIGHT(("0"&amp;D2295),2)&amp;RIGHT(("0"&amp;E2295),2)&amp;RIGHT(("0"&amp;F2295),2)&amp;RIGHT(("0"&amp;G2295),2)&amp;RIGHT(("0"&amp;H2295),2)</f>
        <v>091520334143</v>
      </c>
      <c r="J2295" s="1" t="n">
        <f aca="false">COUNTIF(I:I,I2295)</f>
        <v>1</v>
      </c>
      <c r="K2295" s="1" t="n">
        <v>0</v>
      </c>
      <c r="M2295" s="1" t="s">
        <v>23</v>
      </c>
      <c r="N2295" s="1" t="n">
        <v>49</v>
      </c>
      <c r="O2295" s="1" t="s">
        <v>12798</v>
      </c>
      <c r="P2295" s="1" t="n">
        <v>5779</v>
      </c>
      <c r="Q2295" s="1" t="s">
        <v>12799</v>
      </c>
      <c r="R2295" s="1" t="s">
        <v>12800</v>
      </c>
      <c r="S2295" s="1" t="s">
        <v>12801</v>
      </c>
      <c r="T2295" s="1" t="s">
        <v>12802</v>
      </c>
      <c r="U2295" s="1" t="s">
        <v>12803</v>
      </c>
    </row>
    <row r="2296" customFormat="false" ht="13.8" hidden="false" customHeight="false" outlineLevel="0" collapsed="false">
      <c r="A2296" s="1" t="n">
        <v>2295</v>
      </c>
      <c r="B2296" s="2" t="s">
        <v>12804</v>
      </c>
      <c r="C2296" s="1" t="n">
        <v>6</v>
      </c>
      <c r="D2296" s="1" t="n">
        <v>13</v>
      </c>
      <c r="E2296" s="1" t="n">
        <v>26</v>
      </c>
      <c r="F2296" s="1" t="n">
        <v>28</v>
      </c>
      <c r="G2296" s="1" t="n">
        <v>35</v>
      </c>
      <c r="H2296" s="1" t="n">
        <v>41</v>
      </c>
      <c r="I2296" s="1" t="str">
        <f aca="false">RIGHT(("0"&amp;C2296),2)&amp;RIGHT(("0"&amp;D2296),2)&amp;RIGHT(("0"&amp;E2296),2)&amp;RIGHT(("0"&amp;F2296),2)&amp;RIGHT(("0"&amp;G2296),2)&amp;RIGHT(("0"&amp;H2296),2)</f>
        <v>061326283541</v>
      </c>
      <c r="J2296" s="1" t="n">
        <f aca="false">COUNTIF(I:I,I2296)</f>
        <v>1</v>
      </c>
      <c r="K2296" s="1" t="n">
        <v>0</v>
      </c>
      <c r="M2296" s="1" t="s">
        <v>23</v>
      </c>
      <c r="N2296" s="1" t="n">
        <v>162</v>
      </c>
      <c r="O2296" s="1" t="s">
        <v>12805</v>
      </c>
      <c r="P2296" s="1" t="n">
        <v>9693</v>
      </c>
      <c r="Q2296" s="1" t="s">
        <v>12806</v>
      </c>
      <c r="R2296" s="1" t="s">
        <v>12807</v>
      </c>
      <c r="S2296" s="1" t="s">
        <v>12808</v>
      </c>
      <c r="T2296" s="1" t="s">
        <v>12809</v>
      </c>
      <c r="U2296" s="1" t="s">
        <v>12810</v>
      </c>
    </row>
    <row r="2297" customFormat="false" ht="13.8" hidden="false" customHeight="false" outlineLevel="0" collapsed="false">
      <c r="A2297" s="1" t="n">
        <v>2296</v>
      </c>
      <c r="B2297" s="2" t="s">
        <v>12811</v>
      </c>
      <c r="C2297" s="1" t="n">
        <v>1</v>
      </c>
      <c r="D2297" s="1" t="n">
        <v>6</v>
      </c>
      <c r="E2297" s="1" t="n">
        <v>21</v>
      </c>
      <c r="F2297" s="1" t="n">
        <v>29</v>
      </c>
      <c r="G2297" s="1" t="n">
        <v>36</v>
      </c>
      <c r="H2297" s="1" t="n">
        <v>59</v>
      </c>
      <c r="I2297" s="1" t="str">
        <f aca="false">RIGHT(("0"&amp;C2297),2)&amp;RIGHT(("0"&amp;D2297),2)&amp;RIGHT(("0"&amp;E2297),2)&amp;RIGHT(("0"&amp;F2297),2)&amp;RIGHT(("0"&amp;G2297),2)&amp;RIGHT(("0"&amp;H2297),2)</f>
        <v>010621293659</v>
      </c>
      <c r="J2297" s="1" t="n">
        <f aca="false">COUNTIF(I:I,I2297)</f>
        <v>1</v>
      </c>
      <c r="K2297" s="1" t="n">
        <v>2</v>
      </c>
      <c r="L2297" s="1" t="s">
        <v>12812</v>
      </c>
      <c r="M2297" s="1" t="s">
        <v>12813</v>
      </c>
      <c r="N2297" s="1" t="n">
        <v>166</v>
      </c>
      <c r="O2297" s="1" t="s">
        <v>12814</v>
      </c>
      <c r="P2297" s="1" t="n">
        <v>8642</v>
      </c>
      <c r="Q2297" s="1" t="s">
        <v>12815</v>
      </c>
      <c r="R2297" s="1" t="s">
        <v>23</v>
      </c>
      <c r="S2297" s="1" t="s">
        <v>12816</v>
      </c>
      <c r="T2297" s="1" t="s">
        <v>4256</v>
      </c>
      <c r="U2297" s="1" t="s">
        <v>12817</v>
      </c>
    </row>
    <row r="2298" customFormat="false" ht="13.8" hidden="false" customHeight="false" outlineLevel="0" collapsed="false">
      <c r="A2298" s="1" t="n">
        <v>2297</v>
      </c>
      <c r="B2298" s="2" t="s">
        <v>12818</v>
      </c>
      <c r="C2298" s="1" t="n">
        <v>20</v>
      </c>
      <c r="D2298" s="1" t="n">
        <v>22</v>
      </c>
      <c r="E2298" s="1" t="n">
        <v>35</v>
      </c>
      <c r="F2298" s="1" t="n">
        <v>40</v>
      </c>
      <c r="G2298" s="1" t="n">
        <v>41</v>
      </c>
      <c r="H2298" s="1" t="n">
        <v>59</v>
      </c>
      <c r="I2298" s="1" t="str">
        <f aca="false">RIGHT(("0"&amp;C2298),2)&amp;RIGHT(("0"&amp;D2298),2)&amp;RIGHT(("0"&amp;E2298),2)&amp;RIGHT(("0"&amp;F2298),2)&amp;RIGHT(("0"&amp;G2298),2)&amp;RIGHT(("0"&amp;H2298),2)</f>
        <v>202235404159</v>
      </c>
      <c r="J2298" s="1" t="n">
        <f aca="false">COUNTIF(I:I,I2298)</f>
        <v>1</v>
      </c>
      <c r="K2298" s="1" t="n">
        <v>0</v>
      </c>
      <c r="M2298" s="1" t="s">
        <v>23</v>
      </c>
      <c r="N2298" s="1" t="n">
        <v>14</v>
      </c>
      <c r="O2298" s="1" t="s">
        <v>12819</v>
      </c>
      <c r="P2298" s="1" t="n">
        <v>1200</v>
      </c>
      <c r="Q2298" s="1" t="s">
        <v>12820</v>
      </c>
      <c r="R2298" s="1" t="s">
        <v>12821</v>
      </c>
      <c r="S2298" s="1" t="s">
        <v>12822</v>
      </c>
      <c r="T2298" s="1" t="s">
        <v>4342</v>
      </c>
      <c r="U2298" s="1" t="s">
        <v>12823</v>
      </c>
    </row>
    <row r="2299" customFormat="false" ht="13.8" hidden="false" customHeight="false" outlineLevel="0" collapsed="false">
      <c r="A2299" s="1" t="n">
        <v>2298</v>
      </c>
      <c r="B2299" s="2" t="s">
        <v>12824</v>
      </c>
      <c r="C2299" s="1" t="n">
        <v>13</v>
      </c>
      <c r="D2299" s="1" t="n">
        <v>17</v>
      </c>
      <c r="E2299" s="1" t="n">
        <v>21</v>
      </c>
      <c r="F2299" s="1" t="n">
        <v>31</v>
      </c>
      <c r="G2299" s="1" t="n">
        <v>41</v>
      </c>
      <c r="H2299" s="1" t="n">
        <v>49</v>
      </c>
      <c r="I2299" s="1" t="str">
        <f aca="false">RIGHT(("0"&amp;C2299),2)&amp;RIGHT(("0"&amp;D2299),2)&amp;RIGHT(("0"&amp;E2299),2)&amp;RIGHT(("0"&amp;F2299),2)&amp;RIGHT(("0"&amp;G2299),2)&amp;RIGHT(("0"&amp;H2299),2)</f>
        <v>131721314149</v>
      </c>
      <c r="J2299" s="1" t="n">
        <f aca="false">COUNTIF(I:I,I2299)</f>
        <v>1</v>
      </c>
      <c r="K2299" s="1" t="n">
        <v>0</v>
      </c>
      <c r="M2299" s="1" t="s">
        <v>23</v>
      </c>
      <c r="N2299" s="1" t="n">
        <v>46</v>
      </c>
      <c r="O2299" s="1" t="s">
        <v>12825</v>
      </c>
      <c r="P2299" s="1" t="n">
        <v>3133</v>
      </c>
      <c r="Q2299" s="1" t="s">
        <v>12826</v>
      </c>
      <c r="R2299" s="1" t="s">
        <v>12827</v>
      </c>
      <c r="S2299" s="1" t="s">
        <v>12828</v>
      </c>
      <c r="T2299" s="1" t="s">
        <v>4190</v>
      </c>
      <c r="U2299" s="1" t="s">
        <v>12829</v>
      </c>
    </row>
    <row r="2300" customFormat="false" ht="13.8" hidden="false" customHeight="false" outlineLevel="0" collapsed="false">
      <c r="A2300" s="1" t="n">
        <v>2299</v>
      </c>
      <c r="B2300" s="2" t="s">
        <v>12830</v>
      </c>
      <c r="C2300" s="1" t="n">
        <v>2</v>
      </c>
      <c r="D2300" s="1" t="n">
        <v>3</v>
      </c>
      <c r="E2300" s="1" t="n">
        <v>19</v>
      </c>
      <c r="F2300" s="1" t="n">
        <v>40</v>
      </c>
      <c r="G2300" s="1" t="n">
        <v>44</v>
      </c>
      <c r="H2300" s="1" t="n">
        <v>60</v>
      </c>
      <c r="I2300" s="1" t="str">
        <f aca="false">RIGHT(("0"&amp;C2300),2)&amp;RIGHT(("0"&amp;D2300),2)&amp;RIGHT(("0"&amp;E2300),2)&amp;RIGHT(("0"&amp;F2300),2)&amp;RIGHT(("0"&amp;G2300),2)&amp;RIGHT(("0"&amp;H2300),2)</f>
        <v>020319404460</v>
      </c>
      <c r="J2300" s="1" t="n">
        <f aca="false">COUNTIF(I:I,I2300)</f>
        <v>1</v>
      </c>
      <c r="K2300" s="1" t="n">
        <v>0</v>
      </c>
      <c r="M2300" s="1" t="s">
        <v>23</v>
      </c>
      <c r="N2300" s="1" t="n">
        <v>22</v>
      </c>
      <c r="O2300" s="1" t="s">
        <v>12831</v>
      </c>
      <c r="P2300" s="1" t="n">
        <v>1903</v>
      </c>
      <c r="Q2300" s="1" t="s">
        <v>12832</v>
      </c>
      <c r="R2300" s="1" t="s">
        <v>12833</v>
      </c>
      <c r="S2300" s="1" t="s">
        <v>12834</v>
      </c>
      <c r="T2300" s="1" t="s">
        <v>4935</v>
      </c>
      <c r="U2300" s="1" t="s">
        <v>12835</v>
      </c>
    </row>
    <row r="2301" customFormat="false" ht="13.8" hidden="false" customHeight="false" outlineLevel="0" collapsed="false">
      <c r="A2301" s="1" t="n">
        <v>2300</v>
      </c>
      <c r="B2301" s="2" t="s">
        <v>12836</v>
      </c>
      <c r="C2301" s="1" t="n">
        <v>9</v>
      </c>
      <c r="D2301" s="1" t="n">
        <v>21</v>
      </c>
      <c r="E2301" s="1" t="n">
        <v>37</v>
      </c>
      <c r="F2301" s="1" t="n">
        <v>39</v>
      </c>
      <c r="G2301" s="1" t="n">
        <v>43</v>
      </c>
      <c r="H2301" s="1" t="n">
        <v>54</v>
      </c>
      <c r="I2301" s="1" t="str">
        <f aca="false">RIGHT(("0"&amp;C2301),2)&amp;RIGHT(("0"&amp;D2301),2)&amp;RIGHT(("0"&amp;E2301),2)&amp;RIGHT(("0"&amp;F2301),2)&amp;RIGHT(("0"&amp;G2301),2)&amp;RIGHT(("0"&amp;H2301),2)</f>
        <v>092137394354</v>
      </c>
      <c r="J2301" s="1" t="n">
        <f aca="false">COUNTIF(I:I,I2301)</f>
        <v>1</v>
      </c>
      <c r="K2301" s="1" t="n">
        <v>0</v>
      </c>
      <c r="M2301" s="1" t="s">
        <v>23</v>
      </c>
      <c r="N2301" s="1" t="n">
        <v>76</v>
      </c>
      <c r="O2301" s="1" t="s">
        <v>12837</v>
      </c>
      <c r="P2301" s="1" t="n">
        <v>3877</v>
      </c>
      <c r="Q2301" s="1" t="s">
        <v>12838</v>
      </c>
      <c r="R2301" s="1" t="s">
        <v>12839</v>
      </c>
      <c r="S2301" s="1" t="s">
        <v>12840</v>
      </c>
      <c r="T2301" s="1" t="s">
        <v>5154</v>
      </c>
      <c r="U2301" s="1" t="s">
        <v>12841</v>
      </c>
    </row>
    <row r="2302" customFormat="false" ht="13.8" hidden="false" customHeight="false" outlineLevel="0" collapsed="false">
      <c r="A2302" s="1" t="n">
        <v>2301</v>
      </c>
      <c r="B2302" s="2" t="s">
        <v>12842</v>
      </c>
      <c r="C2302" s="1" t="n">
        <v>17</v>
      </c>
      <c r="D2302" s="1" t="n">
        <v>18</v>
      </c>
      <c r="E2302" s="1" t="n">
        <v>35</v>
      </c>
      <c r="F2302" s="1" t="n">
        <v>36</v>
      </c>
      <c r="G2302" s="1" t="n">
        <v>47</v>
      </c>
      <c r="H2302" s="1" t="n">
        <v>52</v>
      </c>
      <c r="I2302" s="1" t="str">
        <f aca="false">RIGHT(("0"&amp;C2302),2)&amp;RIGHT(("0"&amp;D2302),2)&amp;RIGHT(("0"&amp;E2302),2)&amp;RIGHT(("0"&amp;F2302),2)&amp;RIGHT(("0"&amp;G2302),2)&amp;RIGHT(("0"&amp;H2302),2)</f>
        <v>171835364752</v>
      </c>
      <c r="J2302" s="1" t="n">
        <f aca="false">COUNTIF(I:I,I2302)</f>
        <v>1</v>
      </c>
      <c r="K2302" s="1" t="n">
        <v>0</v>
      </c>
      <c r="M2302" s="1" t="s">
        <v>23</v>
      </c>
      <c r="N2302" s="1" t="n">
        <v>66</v>
      </c>
      <c r="O2302" s="1" t="s">
        <v>12843</v>
      </c>
      <c r="P2302" s="1" t="n">
        <v>4333</v>
      </c>
      <c r="Q2302" s="1" t="s">
        <v>12844</v>
      </c>
      <c r="R2302" s="1" t="s">
        <v>12845</v>
      </c>
      <c r="S2302" s="1" t="s">
        <v>12846</v>
      </c>
      <c r="T2302" s="1" t="s">
        <v>6032</v>
      </c>
      <c r="U2302" s="1" t="s">
        <v>12847</v>
      </c>
    </row>
    <row r="2303" customFormat="false" ht="13.8" hidden="false" customHeight="false" outlineLevel="0" collapsed="false">
      <c r="A2303" s="1" t="n">
        <v>2302</v>
      </c>
      <c r="B2303" s="2" t="s">
        <v>12848</v>
      </c>
      <c r="C2303" s="1" t="n">
        <v>18</v>
      </c>
      <c r="D2303" s="1" t="n">
        <v>22</v>
      </c>
      <c r="E2303" s="1" t="n">
        <v>25</v>
      </c>
      <c r="F2303" s="1" t="n">
        <v>27</v>
      </c>
      <c r="G2303" s="1" t="n">
        <v>43</v>
      </c>
      <c r="H2303" s="1" t="n">
        <v>44</v>
      </c>
      <c r="I2303" s="1" t="str">
        <f aca="false">RIGHT(("0"&amp;C2303),2)&amp;RIGHT(("0"&amp;D2303),2)&amp;RIGHT(("0"&amp;E2303),2)&amp;RIGHT(("0"&amp;F2303),2)&amp;RIGHT(("0"&amp;G2303),2)&amp;RIGHT(("0"&amp;H2303),2)</f>
        <v>182225274344</v>
      </c>
      <c r="J2303" s="1" t="n">
        <f aca="false">COUNTIF(I:I,I2303)</f>
        <v>1</v>
      </c>
      <c r="K2303" s="1" t="n">
        <v>0</v>
      </c>
      <c r="M2303" s="1" t="s">
        <v>23</v>
      </c>
      <c r="N2303" s="1" t="n">
        <v>126</v>
      </c>
      <c r="O2303" s="1" t="s">
        <v>12849</v>
      </c>
      <c r="P2303" s="1" t="n">
        <v>6684</v>
      </c>
      <c r="Q2303" s="1" t="s">
        <v>12850</v>
      </c>
      <c r="R2303" s="1" t="s">
        <v>12851</v>
      </c>
      <c r="S2303" s="1" t="s">
        <v>12852</v>
      </c>
      <c r="T2303" s="1" t="s">
        <v>6559</v>
      </c>
      <c r="U2303" s="1" t="s">
        <v>12853</v>
      </c>
    </row>
    <row r="2304" customFormat="false" ht="13.8" hidden="false" customHeight="false" outlineLevel="0" collapsed="false">
      <c r="A2304" s="1" t="n">
        <v>2303</v>
      </c>
      <c r="B2304" s="2" t="s">
        <v>12854</v>
      </c>
      <c r="C2304" s="1" t="n">
        <v>3</v>
      </c>
      <c r="D2304" s="1" t="n">
        <v>7</v>
      </c>
      <c r="E2304" s="1" t="n">
        <v>17</v>
      </c>
      <c r="F2304" s="1" t="n">
        <v>20</v>
      </c>
      <c r="G2304" s="1" t="n">
        <v>48</v>
      </c>
      <c r="H2304" s="1" t="n">
        <v>50</v>
      </c>
      <c r="I2304" s="1" t="str">
        <f aca="false">RIGHT(("0"&amp;C2304),2)&amp;RIGHT(("0"&amp;D2304),2)&amp;RIGHT(("0"&amp;E2304),2)&amp;RIGHT(("0"&amp;F2304),2)&amp;RIGHT(("0"&amp;G2304),2)&amp;RIGHT(("0"&amp;H2304),2)</f>
        <v>030717204850</v>
      </c>
      <c r="J2304" s="1" t="n">
        <f aca="false">COUNTIF(I:I,I2304)</f>
        <v>1</v>
      </c>
      <c r="K2304" s="1" t="n">
        <v>0</v>
      </c>
      <c r="M2304" s="1" t="s">
        <v>23</v>
      </c>
      <c r="N2304" s="1" t="n">
        <v>145</v>
      </c>
      <c r="O2304" s="1" t="s">
        <v>12855</v>
      </c>
      <c r="P2304" s="1" t="n">
        <v>8431</v>
      </c>
      <c r="Q2304" s="1" t="s">
        <v>12856</v>
      </c>
      <c r="R2304" s="1" t="s">
        <v>12857</v>
      </c>
      <c r="S2304" s="1" t="s">
        <v>12858</v>
      </c>
      <c r="T2304" s="1" t="s">
        <v>8797</v>
      </c>
      <c r="U2304" s="1" t="s">
        <v>12859</v>
      </c>
    </row>
    <row r="2305" customFormat="false" ht="13.8" hidden="false" customHeight="false" outlineLevel="0" collapsed="false">
      <c r="A2305" s="1" t="n">
        <v>2304</v>
      </c>
      <c r="B2305" s="2" t="s">
        <v>12860</v>
      </c>
      <c r="C2305" s="1" t="n">
        <v>12</v>
      </c>
      <c r="D2305" s="1" t="n">
        <v>21</v>
      </c>
      <c r="E2305" s="1" t="n">
        <v>29</v>
      </c>
      <c r="F2305" s="1" t="n">
        <v>54</v>
      </c>
      <c r="G2305" s="1" t="n">
        <v>56</v>
      </c>
      <c r="H2305" s="1" t="n">
        <v>57</v>
      </c>
      <c r="I2305" s="1" t="str">
        <f aca="false">RIGHT(("0"&amp;C2305),2)&amp;RIGHT(("0"&amp;D2305),2)&amp;RIGHT(("0"&amp;E2305),2)&amp;RIGHT(("0"&amp;F2305),2)&amp;RIGHT(("0"&amp;G2305),2)&amp;RIGHT(("0"&amp;H2305),2)</f>
        <v>122129545657</v>
      </c>
      <c r="J2305" s="1" t="n">
        <f aca="false">COUNTIF(I:I,I2305)</f>
        <v>1</v>
      </c>
      <c r="K2305" s="1" t="n">
        <v>0</v>
      </c>
      <c r="M2305" s="1" t="s">
        <v>23</v>
      </c>
      <c r="N2305" s="1" t="n">
        <v>90</v>
      </c>
      <c r="O2305" s="1" t="s">
        <v>12861</v>
      </c>
      <c r="P2305" s="1" t="n">
        <v>5934</v>
      </c>
      <c r="Q2305" s="1" t="s">
        <v>12862</v>
      </c>
      <c r="R2305" s="1" t="s">
        <v>12863</v>
      </c>
      <c r="S2305" s="1" t="s">
        <v>12864</v>
      </c>
      <c r="T2305" s="1" t="s">
        <v>9814</v>
      </c>
      <c r="U2305" s="1" t="s">
        <v>12865</v>
      </c>
    </row>
    <row r="2306" customFormat="false" ht="13.8" hidden="false" customHeight="false" outlineLevel="0" collapsed="false">
      <c r="A2306" s="1" t="n">
        <v>2305</v>
      </c>
      <c r="B2306" s="2" t="s">
        <v>12866</v>
      </c>
      <c r="C2306" s="1" t="n">
        <v>7</v>
      </c>
      <c r="D2306" s="1" t="n">
        <v>16</v>
      </c>
      <c r="E2306" s="1" t="n">
        <v>22</v>
      </c>
      <c r="F2306" s="1" t="n">
        <v>38</v>
      </c>
      <c r="G2306" s="1" t="n">
        <v>55</v>
      </c>
      <c r="H2306" s="1" t="n">
        <v>57</v>
      </c>
      <c r="I2306" s="1" t="str">
        <f aca="false">RIGHT(("0"&amp;C2306),2)&amp;RIGHT(("0"&amp;D2306),2)&amp;RIGHT(("0"&amp;E2306),2)&amp;RIGHT(("0"&amp;F2306),2)&amp;RIGHT(("0"&amp;G2306),2)&amp;RIGHT(("0"&amp;H2306),2)</f>
        <v>071622385557</v>
      </c>
      <c r="J2306" s="1" t="n">
        <f aca="false">COUNTIF(I:I,I2306)</f>
        <v>1</v>
      </c>
      <c r="K2306" s="1" t="n">
        <v>0</v>
      </c>
      <c r="M2306" s="1" t="s">
        <v>23</v>
      </c>
      <c r="N2306" s="1" t="n">
        <v>124</v>
      </c>
      <c r="O2306" s="1" t="s">
        <v>12867</v>
      </c>
      <c r="P2306" s="1" t="n">
        <v>9225</v>
      </c>
      <c r="Q2306" s="1" t="s">
        <v>12868</v>
      </c>
      <c r="R2306" s="1" t="s">
        <v>12869</v>
      </c>
      <c r="S2306" s="1" t="s">
        <v>12870</v>
      </c>
      <c r="T2306" s="1" t="s">
        <v>9535</v>
      </c>
      <c r="U2306" s="1" t="s">
        <v>12871</v>
      </c>
    </row>
    <row r="2307" customFormat="false" ht="13.8" hidden="false" customHeight="false" outlineLevel="0" collapsed="false">
      <c r="A2307" s="1" t="n">
        <v>2306</v>
      </c>
      <c r="B2307" s="2" t="s">
        <v>12872</v>
      </c>
      <c r="C2307" s="1" t="n">
        <v>3</v>
      </c>
      <c r="D2307" s="1" t="n">
        <v>19</v>
      </c>
      <c r="E2307" s="1" t="n">
        <v>28</v>
      </c>
      <c r="F2307" s="1" t="n">
        <v>33</v>
      </c>
      <c r="G2307" s="1" t="n">
        <v>57</v>
      </c>
      <c r="H2307" s="1" t="n">
        <v>58</v>
      </c>
      <c r="I2307" s="1" t="str">
        <f aca="false">RIGHT(("0"&amp;C2307),2)&amp;RIGHT(("0"&amp;D2307),2)&amp;RIGHT(("0"&amp;E2307),2)&amp;RIGHT(("0"&amp;F2307),2)&amp;RIGHT(("0"&amp;G2307),2)&amp;RIGHT(("0"&amp;H2307),2)</f>
        <v>031928335758</v>
      </c>
      <c r="J2307" s="1" t="n">
        <f aca="false">COUNTIF(I:I,I2307)</f>
        <v>1</v>
      </c>
      <c r="K2307" s="1" t="n">
        <v>1</v>
      </c>
      <c r="L2307" s="1" t="s">
        <v>12873</v>
      </c>
      <c r="M2307" s="1" t="s">
        <v>12874</v>
      </c>
      <c r="N2307" s="1" t="n">
        <v>258</v>
      </c>
      <c r="O2307" s="1" t="s">
        <v>12875</v>
      </c>
      <c r="P2307" s="1" t="n">
        <v>15713</v>
      </c>
      <c r="Q2307" s="1" t="s">
        <v>12876</v>
      </c>
      <c r="R2307" s="1" t="s">
        <v>23</v>
      </c>
      <c r="S2307" s="1" t="s">
        <v>12877</v>
      </c>
      <c r="T2307" s="1" t="s">
        <v>473</v>
      </c>
      <c r="U2307" s="1" t="s">
        <v>12878</v>
      </c>
    </row>
    <row r="2308" customFormat="false" ht="13.8" hidden="false" customHeight="false" outlineLevel="0" collapsed="false">
      <c r="A2308" s="1" t="n">
        <v>2307</v>
      </c>
      <c r="B2308" s="2" t="s">
        <v>12879</v>
      </c>
      <c r="C2308" s="1" t="n">
        <v>16</v>
      </c>
      <c r="D2308" s="1" t="n">
        <v>33</v>
      </c>
      <c r="E2308" s="1" t="n">
        <v>38</v>
      </c>
      <c r="F2308" s="1" t="n">
        <v>46</v>
      </c>
      <c r="G2308" s="1" t="n">
        <v>53</v>
      </c>
      <c r="H2308" s="1" t="n">
        <v>55</v>
      </c>
      <c r="I2308" s="1" t="str">
        <f aca="false">RIGHT(("0"&amp;C2308),2)&amp;RIGHT(("0"&amp;D2308),2)&amp;RIGHT(("0"&amp;E2308),2)&amp;RIGHT(("0"&amp;F2308),2)&amp;RIGHT(("0"&amp;G2308),2)&amp;RIGHT(("0"&amp;H2308),2)</f>
        <v>163338465355</v>
      </c>
      <c r="J2308" s="1" t="n">
        <f aca="false">COUNTIF(I:I,I2308)</f>
        <v>1</v>
      </c>
      <c r="K2308" s="1" t="n">
        <v>0</v>
      </c>
      <c r="M2308" s="1" t="s">
        <v>23</v>
      </c>
      <c r="N2308" s="1" t="n">
        <v>45</v>
      </c>
      <c r="O2308" s="1" t="s">
        <v>12880</v>
      </c>
      <c r="P2308" s="1" t="n">
        <v>2828</v>
      </c>
      <c r="Q2308" s="1" t="s">
        <v>12881</v>
      </c>
      <c r="R2308" s="1" t="s">
        <v>12882</v>
      </c>
      <c r="S2308" s="1" t="s">
        <v>12883</v>
      </c>
      <c r="T2308" s="1" t="s">
        <v>5931</v>
      </c>
      <c r="U2308" s="1" t="s">
        <v>12884</v>
      </c>
    </row>
    <row r="2309" customFormat="false" ht="13.8" hidden="false" customHeight="false" outlineLevel="0" collapsed="false">
      <c r="A2309" s="1" t="n">
        <v>2308</v>
      </c>
      <c r="B2309" s="2" t="s">
        <v>12885</v>
      </c>
      <c r="C2309" s="1" t="n">
        <v>9</v>
      </c>
      <c r="D2309" s="1" t="n">
        <v>13</v>
      </c>
      <c r="E2309" s="1" t="n">
        <v>26</v>
      </c>
      <c r="F2309" s="1" t="n">
        <v>38</v>
      </c>
      <c r="G2309" s="1" t="n">
        <v>58</v>
      </c>
      <c r="H2309" s="1" t="n">
        <v>60</v>
      </c>
      <c r="I2309" s="1" t="str">
        <f aca="false">RIGHT(("0"&amp;C2309),2)&amp;RIGHT(("0"&amp;D2309),2)&amp;RIGHT(("0"&amp;E2309),2)&amp;RIGHT(("0"&amp;F2309),2)&amp;RIGHT(("0"&amp;G2309),2)&amp;RIGHT(("0"&amp;H2309),2)</f>
        <v>091326385860</v>
      </c>
      <c r="J2309" s="1" t="n">
        <f aca="false">COUNTIF(I:I,I2309)</f>
        <v>1</v>
      </c>
      <c r="K2309" s="1" t="n">
        <v>1</v>
      </c>
      <c r="L2309" s="1" t="s">
        <v>5330</v>
      </c>
      <c r="M2309" s="1" t="s">
        <v>12886</v>
      </c>
      <c r="N2309" s="1" t="n">
        <v>57</v>
      </c>
      <c r="O2309" s="1" t="s">
        <v>12887</v>
      </c>
      <c r="P2309" s="1" t="n">
        <v>3408</v>
      </c>
      <c r="Q2309" s="1" t="s">
        <v>12888</v>
      </c>
      <c r="R2309" s="1" t="s">
        <v>23</v>
      </c>
      <c r="S2309" s="1" t="s">
        <v>12889</v>
      </c>
      <c r="T2309" s="1" t="s">
        <v>4256</v>
      </c>
      <c r="U2309" s="1" t="s">
        <v>12890</v>
      </c>
    </row>
    <row r="2310" customFormat="false" ht="13.8" hidden="false" customHeight="false" outlineLevel="0" collapsed="false">
      <c r="A2310" s="1" t="n">
        <v>2309</v>
      </c>
      <c r="B2310" s="2" t="s">
        <v>12891</v>
      </c>
      <c r="C2310" s="1" t="n">
        <v>9</v>
      </c>
      <c r="D2310" s="1" t="n">
        <v>11</v>
      </c>
      <c r="E2310" s="1" t="n">
        <v>29</v>
      </c>
      <c r="F2310" s="1" t="n">
        <v>30</v>
      </c>
      <c r="G2310" s="1" t="n">
        <v>33</v>
      </c>
      <c r="H2310" s="1" t="n">
        <v>60</v>
      </c>
      <c r="I2310" s="1" t="str">
        <f aca="false">RIGHT(("0"&amp;C2310),2)&amp;RIGHT(("0"&amp;D2310),2)&amp;RIGHT(("0"&amp;E2310),2)&amp;RIGHT(("0"&amp;F2310),2)&amp;RIGHT(("0"&amp;G2310),2)&amp;RIGHT(("0"&amp;H2310),2)</f>
        <v>091129303360</v>
      </c>
      <c r="J2310" s="1" t="n">
        <f aca="false">COUNTIF(I:I,I2310)</f>
        <v>1</v>
      </c>
      <c r="K2310" s="1" t="n">
        <v>0</v>
      </c>
      <c r="M2310" s="1" t="s">
        <v>23</v>
      </c>
      <c r="N2310" s="1" t="n">
        <v>38</v>
      </c>
      <c r="O2310" s="1" t="s">
        <v>12892</v>
      </c>
      <c r="P2310" s="1" t="n">
        <v>3092</v>
      </c>
      <c r="Q2310" s="1" t="s">
        <v>12893</v>
      </c>
      <c r="R2310" s="1" t="s">
        <v>12894</v>
      </c>
      <c r="S2310" s="1" t="s">
        <v>12895</v>
      </c>
      <c r="T2310" s="1" t="s">
        <v>5321</v>
      </c>
      <c r="U2310" s="1" t="s">
        <v>12896</v>
      </c>
    </row>
    <row r="2311" customFormat="false" ht="13.8" hidden="false" customHeight="false" outlineLevel="0" collapsed="false">
      <c r="A2311" s="1" t="n">
        <v>2310</v>
      </c>
      <c r="B2311" s="2" t="s">
        <v>12897</v>
      </c>
      <c r="C2311" s="1" t="n">
        <v>13</v>
      </c>
      <c r="D2311" s="1" t="n">
        <v>17</v>
      </c>
      <c r="E2311" s="1" t="n">
        <v>28</v>
      </c>
      <c r="F2311" s="1" t="n">
        <v>29</v>
      </c>
      <c r="G2311" s="1" t="n">
        <v>42</v>
      </c>
      <c r="H2311" s="1" t="n">
        <v>53</v>
      </c>
      <c r="I2311" s="1" t="str">
        <f aca="false">RIGHT(("0"&amp;C2311),2)&amp;RIGHT(("0"&amp;D2311),2)&amp;RIGHT(("0"&amp;E2311),2)&amp;RIGHT(("0"&amp;F2311),2)&amp;RIGHT(("0"&amp;G2311),2)&amp;RIGHT(("0"&amp;H2311),2)</f>
        <v>131728294253</v>
      </c>
      <c r="J2311" s="1" t="n">
        <f aca="false">COUNTIF(I:I,I2311)</f>
        <v>1</v>
      </c>
      <c r="K2311" s="1" t="n">
        <v>0</v>
      </c>
      <c r="M2311" s="1" t="s">
        <v>23</v>
      </c>
      <c r="N2311" s="1" t="n">
        <v>52</v>
      </c>
      <c r="O2311" s="1" t="s">
        <v>12898</v>
      </c>
      <c r="P2311" s="1" t="n">
        <v>3573</v>
      </c>
      <c r="Q2311" s="1" t="s">
        <v>12899</v>
      </c>
      <c r="R2311" s="1" t="s">
        <v>12900</v>
      </c>
      <c r="S2311" s="1" t="s">
        <v>12901</v>
      </c>
      <c r="T2311" s="1" t="s">
        <v>4935</v>
      </c>
      <c r="U2311" s="1" t="s">
        <v>12902</v>
      </c>
    </row>
    <row r="2312" customFormat="false" ht="13.8" hidden="false" customHeight="false" outlineLevel="0" collapsed="false">
      <c r="A2312" s="1" t="n">
        <v>2311</v>
      </c>
      <c r="B2312" s="2" t="s">
        <v>12903</v>
      </c>
      <c r="C2312" s="1" t="n">
        <v>3</v>
      </c>
      <c r="D2312" s="1" t="n">
        <v>5</v>
      </c>
      <c r="E2312" s="1" t="n">
        <v>9</v>
      </c>
      <c r="F2312" s="1" t="n">
        <v>35</v>
      </c>
      <c r="G2312" s="1" t="n">
        <v>43</v>
      </c>
      <c r="H2312" s="1" t="n">
        <v>60</v>
      </c>
      <c r="I2312" s="1" t="str">
        <f aca="false">RIGHT(("0"&amp;C2312),2)&amp;RIGHT(("0"&amp;D2312),2)&amp;RIGHT(("0"&amp;E2312),2)&amp;RIGHT(("0"&amp;F2312),2)&amp;RIGHT(("0"&amp;G2312),2)&amp;RIGHT(("0"&amp;H2312),2)</f>
        <v>030509354360</v>
      </c>
      <c r="J2312" s="1" t="n">
        <f aca="false">COUNTIF(I:I,I2312)</f>
        <v>1</v>
      </c>
      <c r="K2312" s="1" t="n">
        <v>0</v>
      </c>
      <c r="M2312" s="1" t="s">
        <v>23</v>
      </c>
      <c r="N2312" s="1" t="n">
        <v>58</v>
      </c>
      <c r="O2312" s="1" t="s">
        <v>12904</v>
      </c>
      <c r="P2312" s="1" t="n">
        <v>5162</v>
      </c>
      <c r="Q2312" s="1" t="s">
        <v>12905</v>
      </c>
      <c r="R2312" s="1" t="s">
        <v>12906</v>
      </c>
      <c r="S2312" s="1" t="s">
        <v>12907</v>
      </c>
      <c r="T2312" s="1" t="s">
        <v>5294</v>
      </c>
      <c r="U2312" s="1" t="s">
        <v>12908</v>
      </c>
    </row>
    <row r="2313" customFormat="false" ht="13.8" hidden="false" customHeight="false" outlineLevel="0" collapsed="false">
      <c r="A2313" s="1" t="n">
        <v>2312</v>
      </c>
      <c r="B2313" s="2" t="s">
        <v>12909</v>
      </c>
      <c r="C2313" s="1" t="n">
        <v>3</v>
      </c>
      <c r="D2313" s="1" t="n">
        <v>27</v>
      </c>
      <c r="E2313" s="1" t="n">
        <v>39</v>
      </c>
      <c r="F2313" s="1" t="n">
        <v>46</v>
      </c>
      <c r="G2313" s="1" t="n">
        <v>47</v>
      </c>
      <c r="H2313" s="1" t="n">
        <v>60</v>
      </c>
      <c r="I2313" s="1" t="str">
        <f aca="false">RIGHT(("0"&amp;C2313),2)&amp;RIGHT(("0"&amp;D2313),2)&amp;RIGHT(("0"&amp;E2313),2)&amp;RIGHT(("0"&amp;F2313),2)&amp;RIGHT(("0"&amp;G2313),2)&amp;RIGHT(("0"&amp;H2313),2)</f>
        <v>032739464760</v>
      </c>
      <c r="J2313" s="1" t="n">
        <f aca="false">COUNTIF(I:I,I2313)</f>
        <v>1</v>
      </c>
      <c r="K2313" s="1" t="n">
        <v>0</v>
      </c>
      <c r="M2313" s="1" t="s">
        <v>23</v>
      </c>
      <c r="N2313" s="1" t="n">
        <v>43</v>
      </c>
      <c r="O2313" s="1" t="s">
        <v>12910</v>
      </c>
      <c r="P2313" s="1" t="n">
        <v>3773</v>
      </c>
      <c r="Q2313" s="1" t="s">
        <v>12911</v>
      </c>
      <c r="R2313" s="1" t="s">
        <v>12912</v>
      </c>
      <c r="S2313" s="1" t="s">
        <v>12913</v>
      </c>
      <c r="T2313" s="1" t="s">
        <v>4314</v>
      </c>
      <c r="U2313" s="1" t="s">
        <v>12914</v>
      </c>
    </row>
    <row r="2314" customFormat="false" ht="13.8" hidden="false" customHeight="false" outlineLevel="0" collapsed="false">
      <c r="A2314" s="1" t="n">
        <v>2313</v>
      </c>
      <c r="B2314" s="2" t="s">
        <v>12915</v>
      </c>
      <c r="C2314" s="1" t="n">
        <v>3</v>
      </c>
      <c r="D2314" s="1" t="n">
        <v>20</v>
      </c>
      <c r="E2314" s="1" t="n">
        <v>26</v>
      </c>
      <c r="F2314" s="1" t="n">
        <v>45</v>
      </c>
      <c r="G2314" s="1" t="n">
        <v>49</v>
      </c>
      <c r="H2314" s="1" t="n">
        <v>58</v>
      </c>
      <c r="I2314" s="1" t="str">
        <f aca="false">RIGHT(("0"&amp;C2314),2)&amp;RIGHT(("0"&amp;D2314),2)&amp;RIGHT(("0"&amp;E2314),2)&amp;RIGHT(("0"&amp;F2314),2)&amp;RIGHT(("0"&amp;G2314),2)&amp;RIGHT(("0"&amp;H2314),2)</f>
        <v>032026454958</v>
      </c>
      <c r="J2314" s="1" t="n">
        <f aca="false">COUNTIF(I:I,I2314)</f>
        <v>1</v>
      </c>
      <c r="K2314" s="1" t="n">
        <v>0</v>
      </c>
      <c r="M2314" s="1" t="s">
        <v>23</v>
      </c>
      <c r="N2314" s="1" t="n">
        <v>66</v>
      </c>
      <c r="O2314" s="1" t="s">
        <v>12916</v>
      </c>
      <c r="P2314" s="1" t="n">
        <v>5055</v>
      </c>
      <c r="Q2314" s="1" t="s">
        <v>12917</v>
      </c>
      <c r="R2314" s="1" t="s">
        <v>12918</v>
      </c>
      <c r="S2314" s="1" t="s">
        <v>12919</v>
      </c>
      <c r="T2314" s="1" t="s">
        <v>4727</v>
      </c>
      <c r="U2314" s="1" t="s">
        <v>12920</v>
      </c>
    </row>
    <row r="2315" customFormat="false" ht="13.8" hidden="false" customHeight="false" outlineLevel="0" collapsed="false">
      <c r="A2315" s="1" t="n">
        <v>2314</v>
      </c>
      <c r="B2315" s="2" t="s">
        <v>12921</v>
      </c>
      <c r="C2315" s="1" t="n">
        <v>6</v>
      </c>
      <c r="D2315" s="1" t="n">
        <v>7</v>
      </c>
      <c r="E2315" s="1" t="n">
        <v>28</v>
      </c>
      <c r="F2315" s="1" t="n">
        <v>42</v>
      </c>
      <c r="G2315" s="1" t="n">
        <v>45</v>
      </c>
      <c r="H2315" s="1" t="n">
        <v>49</v>
      </c>
      <c r="I2315" s="1" t="str">
        <f aca="false">RIGHT(("0"&amp;C2315),2)&amp;RIGHT(("0"&amp;D2315),2)&amp;RIGHT(("0"&amp;E2315),2)&amp;RIGHT(("0"&amp;F2315),2)&amp;RIGHT(("0"&amp;G2315),2)&amp;RIGHT(("0"&amp;H2315),2)</f>
        <v>060728424549</v>
      </c>
      <c r="J2315" s="1" t="n">
        <f aca="false">COUNTIF(I:I,I2315)</f>
        <v>1</v>
      </c>
      <c r="K2315" s="1" t="n">
        <v>1</v>
      </c>
      <c r="L2315" s="1" t="s">
        <v>12490</v>
      </c>
      <c r="M2315" s="1" t="s">
        <v>12922</v>
      </c>
      <c r="N2315" s="1" t="n">
        <v>105</v>
      </c>
      <c r="O2315" s="1" t="s">
        <v>12923</v>
      </c>
      <c r="P2315" s="1" t="n">
        <v>7551</v>
      </c>
      <c r="Q2315" s="1" t="s">
        <v>12924</v>
      </c>
      <c r="R2315" s="1" t="s">
        <v>12925</v>
      </c>
      <c r="S2315" s="1" t="s">
        <v>12926</v>
      </c>
      <c r="T2315" s="1" t="s">
        <v>4246</v>
      </c>
      <c r="U2315" s="1" t="s">
        <v>12927</v>
      </c>
      <c r="V2315" s="1" t="s">
        <v>12928</v>
      </c>
    </row>
    <row r="2316" customFormat="false" ht="13.8" hidden="false" customHeight="false" outlineLevel="0" collapsed="false">
      <c r="A2316" s="1" t="n">
        <v>2315</v>
      </c>
      <c r="B2316" s="2" t="s">
        <v>12929</v>
      </c>
      <c r="C2316" s="1" t="n">
        <v>1</v>
      </c>
      <c r="D2316" s="1" t="n">
        <v>10</v>
      </c>
      <c r="E2316" s="1" t="n">
        <v>17</v>
      </c>
      <c r="F2316" s="1" t="n">
        <v>26</v>
      </c>
      <c r="G2316" s="1" t="n">
        <v>30</v>
      </c>
      <c r="H2316" s="1" t="n">
        <v>53</v>
      </c>
      <c r="I2316" s="1" t="str">
        <f aca="false">RIGHT(("0"&amp;C2316),2)&amp;RIGHT(("0"&amp;D2316),2)&amp;RIGHT(("0"&amp;E2316),2)&amp;RIGHT(("0"&amp;F2316),2)&amp;RIGHT(("0"&amp;G2316),2)&amp;RIGHT(("0"&amp;H2316),2)</f>
        <v>011017263053</v>
      </c>
      <c r="J2316" s="1" t="n">
        <f aca="false">COUNTIF(I:I,I2316)</f>
        <v>1</v>
      </c>
      <c r="K2316" s="1" t="n">
        <v>0</v>
      </c>
      <c r="M2316" s="1" t="s">
        <v>23</v>
      </c>
      <c r="N2316" s="1" t="n">
        <v>55</v>
      </c>
      <c r="O2316" s="1" t="s">
        <v>12930</v>
      </c>
      <c r="P2316" s="1" t="n">
        <v>3898</v>
      </c>
      <c r="Q2316" s="1" t="s">
        <v>12931</v>
      </c>
      <c r="R2316" s="1" t="s">
        <v>12932</v>
      </c>
      <c r="S2316" s="1" t="s">
        <v>12933</v>
      </c>
      <c r="T2316" s="1" t="s">
        <v>5281</v>
      </c>
      <c r="U2316" s="1" t="s">
        <v>12934</v>
      </c>
    </row>
    <row r="2317" customFormat="false" ht="13.8" hidden="false" customHeight="false" outlineLevel="0" collapsed="false">
      <c r="A2317" s="1" t="n">
        <v>2316</v>
      </c>
      <c r="B2317" s="2" t="s">
        <v>12935</v>
      </c>
      <c r="C2317" s="1" t="n">
        <v>2</v>
      </c>
      <c r="D2317" s="1" t="n">
        <v>11</v>
      </c>
      <c r="E2317" s="1" t="n">
        <v>43</v>
      </c>
      <c r="F2317" s="1" t="n">
        <v>49</v>
      </c>
      <c r="G2317" s="1" t="n">
        <v>52</v>
      </c>
      <c r="H2317" s="1" t="n">
        <v>56</v>
      </c>
      <c r="I2317" s="1" t="str">
        <f aca="false">RIGHT(("0"&amp;C2317),2)&amp;RIGHT(("0"&amp;D2317),2)&amp;RIGHT(("0"&amp;E2317),2)&amp;RIGHT(("0"&amp;F2317),2)&amp;RIGHT(("0"&amp;G2317),2)&amp;RIGHT(("0"&amp;H2317),2)</f>
        <v>021143495256</v>
      </c>
      <c r="J2317" s="1" t="n">
        <f aca="false">COUNTIF(I:I,I2317)</f>
        <v>1</v>
      </c>
      <c r="K2317" s="1" t="n">
        <v>0</v>
      </c>
      <c r="M2317" s="1" t="s">
        <v>23</v>
      </c>
      <c r="N2317" s="1" t="n">
        <v>56</v>
      </c>
      <c r="O2317" s="1" t="s">
        <v>12936</v>
      </c>
      <c r="P2317" s="1" t="n">
        <v>3984</v>
      </c>
      <c r="Q2317" s="1" t="s">
        <v>12937</v>
      </c>
      <c r="R2317" s="1" t="s">
        <v>12938</v>
      </c>
      <c r="S2317" s="1" t="s">
        <v>12939</v>
      </c>
      <c r="T2317" s="1" t="s">
        <v>5686</v>
      </c>
      <c r="U2317" s="1" t="s">
        <v>12940</v>
      </c>
    </row>
    <row r="2318" customFormat="false" ht="13.8" hidden="false" customHeight="false" outlineLevel="0" collapsed="false">
      <c r="A2318" s="1" t="n">
        <v>2317</v>
      </c>
      <c r="B2318" s="2" t="s">
        <v>12941</v>
      </c>
      <c r="C2318" s="1" t="n">
        <v>3</v>
      </c>
      <c r="D2318" s="1" t="n">
        <v>8</v>
      </c>
      <c r="E2318" s="1" t="n">
        <v>30</v>
      </c>
      <c r="F2318" s="1" t="n">
        <v>33</v>
      </c>
      <c r="G2318" s="1" t="n">
        <v>35</v>
      </c>
      <c r="H2318" s="1" t="n">
        <v>48</v>
      </c>
      <c r="I2318" s="1" t="str">
        <f aca="false">RIGHT(("0"&amp;C2318),2)&amp;RIGHT(("0"&amp;D2318),2)&amp;RIGHT(("0"&amp;E2318),2)&amp;RIGHT(("0"&amp;F2318),2)&amp;RIGHT(("0"&amp;G2318),2)&amp;RIGHT(("0"&amp;H2318),2)</f>
        <v>030830333548</v>
      </c>
      <c r="J2318" s="1" t="n">
        <f aca="false">COUNTIF(I:I,I2318)</f>
        <v>1</v>
      </c>
      <c r="K2318" s="1" t="n">
        <v>0</v>
      </c>
      <c r="M2318" s="1" t="s">
        <v>23</v>
      </c>
      <c r="N2318" s="1" t="n">
        <v>132</v>
      </c>
      <c r="O2318" s="1" t="s">
        <v>12942</v>
      </c>
      <c r="P2318" s="1" t="n">
        <v>7472</v>
      </c>
      <c r="Q2318" s="1" t="s">
        <v>12943</v>
      </c>
      <c r="R2318" s="1" t="s">
        <v>12944</v>
      </c>
      <c r="S2318" s="1" t="s">
        <v>12945</v>
      </c>
      <c r="T2318" s="1" t="s">
        <v>4309</v>
      </c>
      <c r="U2318" s="1" t="s">
        <v>12946</v>
      </c>
    </row>
    <row r="2319" customFormat="false" ht="13.8" hidden="false" customHeight="false" outlineLevel="0" collapsed="false">
      <c r="A2319" s="1" t="n">
        <v>2318</v>
      </c>
      <c r="B2319" s="2" t="s">
        <v>12947</v>
      </c>
      <c r="C2319" s="1" t="n">
        <v>28</v>
      </c>
      <c r="D2319" s="1" t="n">
        <v>44</v>
      </c>
      <c r="E2319" s="1" t="n">
        <v>52</v>
      </c>
      <c r="F2319" s="1" t="n">
        <v>54</v>
      </c>
      <c r="G2319" s="1" t="n">
        <v>58</v>
      </c>
      <c r="H2319" s="1" t="n">
        <v>60</v>
      </c>
      <c r="I2319" s="1" t="str">
        <f aca="false">RIGHT(("0"&amp;C2319),2)&amp;RIGHT(("0"&amp;D2319),2)&amp;RIGHT(("0"&amp;E2319),2)&amp;RIGHT(("0"&amp;F2319),2)&amp;RIGHT(("0"&amp;G2319),2)&amp;RIGHT(("0"&amp;H2319),2)</f>
        <v>284452545860</v>
      </c>
      <c r="J2319" s="1" t="n">
        <f aca="false">COUNTIF(I:I,I2319)</f>
        <v>1</v>
      </c>
      <c r="K2319" s="1" t="n">
        <v>0</v>
      </c>
      <c r="M2319" s="1" t="s">
        <v>23</v>
      </c>
      <c r="N2319" s="1" t="n">
        <v>59</v>
      </c>
      <c r="O2319" s="1" t="s">
        <v>12948</v>
      </c>
      <c r="P2319" s="1" t="n">
        <v>5014</v>
      </c>
      <c r="Q2319" s="1" t="s">
        <v>12949</v>
      </c>
      <c r="R2319" s="1" t="s">
        <v>12950</v>
      </c>
      <c r="S2319" s="1" t="s">
        <v>12951</v>
      </c>
      <c r="T2319" s="1" t="s">
        <v>6559</v>
      </c>
      <c r="U2319" s="1" t="s">
        <v>12952</v>
      </c>
    </row>
    <row r="2320" customFormat="false" ht="13.8" hidden="false" customHeight="false" outlineLevel="0" collapsed="false">
      <c r="A2320" s="1" t="n">
        <v>2319</v>
      </c>
      <c r="B2320" s="2" t="s">
        <v>12953</v>
      </c>
      <c r="C2320" s="1" t="n">
        <v>6</v>
      </c>
      <c r="D2320" s="1" t="n">
        <v>17</v>
      </c>
      <c r="E2320" s="1" t="n">
        <v>25</v>
      </c>
      <c r="F2320" s="1" t="n">
        <v>35</v>
      </c>
      <c r="G2320" s="1" t="n">
        <v>40</v>
      </c>
      <c r="H2320" s="1" t="n">
        <v>49</v>
      </c>
      <c r="I2320" s="1" t="str">
        <f aca="false">RIGHT(("0"&amp;C2320),2)&amp;RIGHT(("0"&amp;D2320),2)&amp;RIGHT(("0"&amp;E2320),2)&amp;RIGHT(("0"&amp;F2320),2)&amp;RIGHT(("0"&amp;G2320),2)&amp;RIGHT(("0"&amp;H2320),2)</f>
        <v>061725354049</v>
      </c>
      <c r="J2320" s="1" t="n">
        <f aca="false">COUNTIF(I:I,I2320)</f>
        <v>1</v>
      </c>
      <c r="K2320" s="1" t="n">
        <v>0</v>
      </c>
      <c r="M2320" s="1" t="s">
        <v>23</v>
      </c>
      <c r="N2320" s="1" t="n">
        <v>51</v>
      </c>
      <c r="O2320" s="1" t="s">
        <v>12954</v>
      </c>
      <c r="P2320" s="1" t="n">
        <v>5009</v>
      </c>
      <c r="Q2320" s="1" t="s">
        <v>12955</v>
      </c>
      <c r="R2320" s="1" t="s">
        <v>12956</v>
      </c>
      <c r="S2320" s="1" t="s">
        <v>12957</v>
      </c>
      <c r="T2320" s="1" t="s">
        <v>6097</v>
      </c>
      <c r="U2320" s="1" t="s">
        <v>12958</v>
      </c>
    </row>
    <row r="2321" customFormat="false" ht="13.8" hidden="false" customHeight="false" outlineLevel="0" collapsed="false">
      <c r="A2321" s="1" t="n">
        <v>2320</v>
      </c>
      <c r="B2321" s="2" t="s">
        <v>12959</v>
      </c>
      <c r="C2321" s="1" t="n">
        <v>6</v>
      </c>
      <c r="D2321" s="1" t="n">
        <v>30</v>
      </c>
      <c r="E2321" s="1" t="n">
        <v>35</v>
      </c>
      <c r="F2321" s="1" t="n">
        <v>39</v>
      </c>
      <c r="G2321" s="1" t="n">
        <v>42</v>
      </c>
      <c r="H2321" s="1" t="n">
        <v>48</v>
      </c>
      <c r="I2321" s="1" t="str">
        <f aca="false">RIGHT(("0"&amp;C2321),2)&amp;RIGHT(("0"&amp;D2321),2)&amp;RIGHT(("0"&amp;E2321),2)&amp;RIGHT(("0"&amp;F2321),2)&amp;RIGHT(("0"&amp;G2321),2)&amp;RIGHT(("0"&amp;H2321),2)</f>
        <v>063035394248</v>
      </c>
      <c r="J2321" s="1" t="n">
        <f aca="false">COUNTIF(I:I,I2321)</f>
        <v>1</v>
      </c>
      <c r="K2321" s="1" t="n">
        <v>1</v>
      </c>
      <c r="L2321" s="1" t="s">
        <v>12960</v>
      </c>
      <c r="M2321" s="1" t="s">
        <v>12961</v>
      </c>
      <c r="N2321" s="1" t="n">
        <v>92</v>
      </c>
      <c r="O2321" s="1" t="s">
        <v>12962</v>
      </c>
      <c r="P2321" s="1" t="n">
        <v>6334</v>
      </c>
      <c r="Q2321" s="1" t="s">
        <v>12963</v>
      </c>
      <c r="R2321" s="1" t="s">
        <v>23</v>
      </c>
      <c r="S2321" s="1" t="s">
        <v>12964</v>
      </c>
      <c r="T2321" s="1" t="s">
        <v>473</v>
      </c>
      <c r="U2321" s="1" t="s">
        <v>12965</v>
      </c>
    </row>
    <row r="2322" customFormat="false" ht="13.8" hidden="false" customHeight="false" outlineLevel="0" collapsed="false">
      <c r="A2322" s="1" t="n">
        <v>2321</v>
      </c>
      <c r="B2322" s="2" t="s">
        <v>12966</v>
      </c>
      <c r="C2322" s="1" t="n">
        <v>14</v>
      </c>
      <c r="D2322" s="1" t="n">
        <v>25</v>
      </c>
      <c r="E2322" s="1" t="n">
        <v>28</v>
      </c>
      <c r="F2322" s="1" t="n">
        <v>41</v>
      </c>
      <c r="G2322" s="1" t="n">
        <v>43</v>
      </c>
      <c r="H2322" s="1" t="n">
        <v>46</v>
      </c>
      <c r="I2322" s="1" t="str">
        <f aca="false">RIGHT(("0"&amp;C2322),2)&amp;RIGHT(("0"&amp;D2322),2)&amp;RIGHT(("0"&amp;E2322),2)&amp;RIGHT(("0"&amp;F2322),2)&amp;RIGHT(("0"&amp;G2322),2)&amp;RIGHT(("0"&amp;H2322),2)</f>
        <v>142528414346</v>
      </c>
      <c r="J2322" s="1" t="n">
        <f aca="false">COUNTIF(I:I,I2322)</f>
        <v>1</v>
      </c>
      <c r="K2322" s="1" t="n">
        <v>1</v>
      </c>
      <c r="L2322" s="1" t="s">
        <v>12967</v>
      </c>
      <c r="M2322" s="1" t="s">
        <v>12968</v>
      </c>
      <c r="N2322" s="1" t="n">
        <v>40</v>
      </c>
      <c r="O2322" s="1" t="s">
        <v>12969</v>
      </c>
      <c r="P2322" s="1" t="n">
        <v>2494</v>
      </c>
      <c r="Q2322" s="1" t="s">
        <v>12970</v>
      </c>
      <c r="R2322" s="1" t="s">
        <v>23</v>
      </c>
      <c r="S2322" s="1" t="s">
        <v>12971</v>
      </c>
      <c r="T2322" s="1" t="s">
        <v>473</v>
      </c>
      <c r="U2322" s="1" t="s">
        <v>12972</v>
      </c>
    </row>
    <row r="2323" customFormat="false" ht="13.8" hidden="false" customHeight="false" outlineLevel="0" collapsed="false">
      <c r="A2323" s="1" t="n">
        <v>2322</v>
      </c>
      <c r="B2323" s="2" t="s">
        <v>12973</v>
      </c>
      <c r="C2323" s="1" t="n">
        <v>2</v>
      </c>
      <c r="D2323" s="1" t="n">
        <v>5</v>
      </c>
      <c r="E2323" s="1" t="n">
        <v>10</v>
      </c>
      <c r="F2323" s="1" t="n">
        <v>29</v>
      </c>
      <c r="G2323" s="1" t="n">
        <v>34</v>
      </c>
      <c r="H2323" s="1" t="n">
        <v>41</v>
      </c>
      <c r="I2323" s="1" t="str">
        <f aca="false">RIGHT(("0"&amp;C2323),2)&amp;RIGHT(("0"&amp;D2323),2)&amp;RIGHT(("0"&amp;E2323),2)&amp;RIGHT(("0"&amp;F2323),2)&amp;RIGHT(("0"&amp;G2323),2)&amp;RIGHT(("0"&amp;H2323),2)</f>
        <v>020510293441</v>
      </c>
      <c r="J2323" s="1" t="n">
        <f aca="false">COUNTIF(I:I,I2323)</f>
        <v>1</v>
      </c>
      <c r="K2323" s="1" t="n">
        <v>0</v>
      </c>
      <c r="M2323" s="1" t="s">
        <v>23</v>
      </c>
      <c r="N2323" s="1" t="n">
        <v>65</v>
      </c>
      <c r="O2323" s="1" t="s">
        <v>12974</v>
      </c>
      <c r="P2323" s="1" t="n">
        <v>3753</v>
      </c>
      <c r="Q2323" s="1" t="s">
        <v>12975</v>
      </c>
      <c r="R2323" s="1" t="s">
        <v>12976</v>
      </c>
      <c r="S2323" s="1" t="s">
        <v>12977</v>
      </c>
      <c r="T2323" s="1" t="s">
        <v>4232</v>
      </c>
      <c r="U2323" s="1" t="s">
        <v>12978</v>
      </c>
    </row>
    <row r="2324" customFormat="false" ht="13.8" hidden="false" customHeight="false" outlineLevel="0" collapsed="false">
      <c r="A2324" s="1" t="n">
        <v>2323</v>
      </c>
      <c r="B2324" s="2" t="s">
        <v>12979</v>
      </c>
      <c r="C2324" s="1" t="n">
        <v>20</v>
      </c>
      <c r="D2324" s="1" t="n">
        <v>27</v>
      </c>
      <c r="E2324" s="1" t="n">
        <v>35</v>
      </c>
      <c r="F2324" s="1" t="n">
        <v>39</v>
      </c>
      <c r="G2324" s="1" t="n">
        <v>50</v>
      </c>
      <c r="H2324" s="1" t="n">
        <v>59</v>
      </c>
      <c r="I2324" s="1" t="str">
        <f aca="false">RIGHT(("0"&amp;C2324),2)&amp;RIGHT(("0"&amp;D2324),2)&amp;RIGHT(("0"&amp;E2324),2)&amp;RIGHT(("0"&amp;F2324),2)&amp;RIGHT(("0"&amp;G2324),2)&amp;RIGHT(("0"&amp;H2324),2)</f>
        <v>202735395059</v>
      </c>
      <c r="J2324" s="1" t="n">
        <f aca="false">COUNTIF(I:I,I2324)</f>
        <v>1</v>
      </c>
      <c r="K2324" s="1" t="n">
        <v>0</v>
      </c>
      <c r="M2324" s="1" t="s">
        <v>23</v>
      </c>
      <c r="N2324" s="1" t="n">
        <v>29</v>
      </c>
      <c r="O2324" s="1" t="s">
        <v>12980</v>
      </c>
      <c r="P2324" s="1" t="n">
        <v>1825</v>
      </c>
      <c r="Q2324" s="1" t="s">
        <v>12981</v>
      </c>
      <c r="R2324" s="1" t="s">
        <v>12982</v>
      </c>
      <c r="S2324" s="1" t="s">
        <v>12983</v>
      </c>
      <c r="T2324" s="1" t="s">
        <v>4461</v>
      </c>
      <c r="U2324" s="1" t="s">
        <v>12984</v>
      </c>
    </row>
    <row r="2325" customFormat="false" ht="13.8" hidden="false" customHeight="false" outlineLevel="0" collapsed="false">
      <c r="A2325" s="1" t="n">
        <v>2324</v>
      </c>
      <c r="B2325" s="2" t="s">
        <v>12985</v>
      </c>
      <c r="C2325" s="1" t="n">
        <v>2</v>
      </c>
      <c r="D2325" s="1" t="n">
        <v>16</v>
      </c>
      <c r="E2325" s="1" t="n">
        <v>19</v>
      </c>
      <c r="F2325" s="1" t="n">
        <v>31</v>
      </c>
      <c r="G2325" s="1" t="n">
        <v>43</v>
      </c>
      <c r="H2325" s="1" t="n">
        <v>60</v>
      </c>
      <c r="I2325" s="1" t="str">
        <f aca="false">RIGHT(("0"&amp;C2325),2)&amp;RIGHT(("0"&amp;D2325),2)&amp;RIGHT(("0"&amp;E2325),2)&amp;RIGHT(("0"&amp;F2325),2)&amp;RIGHT(("0"&amp;G2325),2)&amp;RIGHT(("0"&amp;H2325),2)</f>
        <v>021619314360</v>
      </c>
      <c r="J2325" s="1" t="n">
        <f aca="false">COUNTIF(I:I,I2325)</f>
        <v>1</v>
      </c>
      <c r="K2325" s="1" t="n">
        <v>0</v>
      </c>
      <c r="M2325" s="1" t="s">
        <v>23</v>
      </c>
      <c r="N2325" s="1" t="n">
        <v>43</v>
      </c>
      <c r="O2325" s="1" t="s">
        <v>12986</v>
      </c>
      <c r="P2325" s="1" t="n">
        <v>3451</v>
      </c>
      <c r="Q2325" s="1" t="s">
        <v>12987</v>
      </c>
      <c r="R2325" s="1" t="s">
        <v>12988</v>
      </c>
      <c r="S2325" s="1" t="s">
        <v>12989</v>
      </c>
      <c r="T2325" s="1" t="s">
        <v>4935</v>
      </c>
      <c r="U2325" s="1" t="s">
        <v>12990</v>
      </c>
    </row>
    <row r="2326" customFormat="false" ht="13.8" hidden="false" customHeight="false" outlineLevel="0" collapsed="false">
      <c r="A2326" s="1" t="n">
        <v>2325</v>
      </c>
      <c r="B2326" s="2" t="s">
        <v>12991</v>
      </c>
      <c r="C2326" s="1" t="n">
        <v>33</v>
      </c>
      <c r="D2326" s="1" t="n">
        <v>34</v>
      </c>
      <c r="E2326" s="1" t="n">
        <v>37</v>
      </c>
      <c r="F2326" s="1" t="n">
        <v>46</v>
      </c>
      <c r="G2326" s="1" t="n">
        <v>52</v>
      </c>
      <c r="H2326" s="1" t="n">
        <v>60</v>
      </c>
      <c r="I2326" s="1" t="str">
        <f aca="false">RIGHT(("0"&amp;C2326),2)&amp;RIGHT(("0"&amp;D2326),2)&amp;RIGHT(("0"&amp;E2326),2)&amp;RIGHT(("0"&amp;F2326),2)&amp;RIGHT(("0"&amp;G2326),2)&amp;RIGHT(("0"&amp;H2326),2)</f>
        <v>333437465260</v>
      </c>
      <c r="J2326" s="1" t="n">
        <f aca="false">COUNTIF(I:I,I2326)</f>
        <v>1</v>
      </c>
      <c r="K2326" s="1" t="n">
        <v>0</v>
      </c>
      <c r="M2326" s="1" t="s">
        <v>23</v>
      </c>
      <c r="N2326" s="1" t="n">
        <v>27</v>
      </c>
      <c r="O2326" s="1" t="s">
        <v>12992</v>
      </c>
      <c r="P2326" s="1" t="n">
        <v>2233</v>
      </c>
      <c r="Q2326" s="1" t="s">
        <v>12993</v>
      </c>
      <c r="R2326" s="1" t="s">
        <v>12994</v>
      </c>
      <c r="S2326" s="1" t="s">
        <v>12995</v>
      </c>
      <c r="T2326" s="1" t="s">
        <v>5686</v>
      </c>
      <c r="U2326" s="1" t="s">
        <v>12996</v>
      </c>
    </row>
    <row r="2327" customFormat="false" ht="13.8" hidden="false" customHeight="false" outlineLevel="0" collapsed="false">
      <c r="A2327" s="1" t="n">
        <v>2326</v>
      </c>
      <c r="B2327" s="2" t="s">
        <v>12997</v>
      </c>
      <c r="C2327" s="1" t="n">
        <v>10</v>
      </c>
      <c r="D2327" s="1" t="n">
        <v>16</v>
      </c>
      <c r="E2327" s="1" t="n">
        <v>27</v>
      </c>
      <c r="F2327" s="1" t="n">
        <v>34</v>
      </c>
      <c r="G2327" s="1" t="n">
        <v>36</v>
      </c>
      <c r="H2327" s="1" t="n">
        <v>57</v>
      </c>
      <c r="I2327" s="1" t="str">
        <f aca="false">RIGHT(("0"&amp;C2327),2)&amp;RIGHT(("0"&amp;D2327),2)&amp;RIGHT(("0"&amp;E2327),2)&amp;RIGHT(("0"&amp;F2327),2)&amp;RIGHT(("0"&amp;G2327),2)&amp;RIGHT(("0"&amp;H2327),2)</f>
        <v>101627343657</v>
      </c>
      <c r="J2327" s="1" t="n">
        <f aca="false">COUNTIF(I:I,I2327)</f>
        <v>1</v>
      </c>
      <c r="K2327" s="1" t="n">
        <v>0</v>
      </c>
      <c r="M2327" s="1" t="s">
        <v>23</v>
      </c>
      <c r="N2327" s="1" t="n">
        <v>55</v>
      </c>
      <c r="O2327" s="1" t="s">
        <v>12998</v>
      </c>
      <c r="P2327" s="1" t="n">
        <v>3883</v>
      </c>
      <c r="Q2327" s="1" t="s">
        <v>12999</v>
      </c>
      <c r="R2327" s="1" t="s">
        <v>13000</v>
      </c>
      <c r="S2327" s="1" t="s">
        <v>13001</v>
      </c>
      <c r="T2327" s="1" t="s">
        <v>4309</v>
      </c>
      <c r="U2327" s="1" t="s">
        <v>13002</v>
      </c>
    </row>
    <row r="2328" customFormat="false" ht="13.8" hidden="false" customHeight="false" outlineLevel="0" collapsed="false">
      <c r="A2328" s="1" t="n">
        <v>2327</v>
      </c>
      <c r="B2328" s="2" t="s">
        <v>13003</v>
      </c>
      <c r="C2328" s="1" t="n">
        <v>30</v>
      </c>
      <c r="D2328" s="1" t="n">
        <v>37</v>
      </c>
      <c r="E2328" s="1" t="n">
        <v>45</v>
      </c>
      <c r="F2328" s="1" t="n">
        <v>54</v>
      </c>
      <c r="G2328" s="1" t="n">
        <v>57</v>
      </c>
      <c r="H2328" s="1" t="n">
        <v>58</v>
      </c>
      <c r="I2328" s="1" t="str">
        <f aca="false">RIGHT(("0"&amp;C2328),2)&amp;RIGHT(("0"&amp;D2328),2)&amp;RIGHT(("0"&amp;E2328),2)&amp;RIGHT(("0"&amp;F2328),2)&amp;RIGHT(("0"&amp;G2328),2)&amp;RIGHT(("0"&amp;H2328),2)</f>
        <v>303745545758</v>
      </c>
      <c r="J2328" s="1" t="n">
        <f aca="false">COUNTIF(I:I,I2328)</f>
        <v>1</v>
      </c>
      <c r="K2328" s="1" t="n">
        <v>0</v>
      </c>
      <c r="M2328" s="1" t="s">
        <v>23</v>
      </c>
      <c r="N2328" s="1" t="n">
        <v>47</v>
      </c>
      <c r="O2328" s="1" t="s">
        <v>13004</v>
      </c>
      <c r="P2328" s="1" t="n">
        <v>3521</v>
      </c>
      <c r="Q2328" s="1" t="s">
        <v>13005</v>
      </c>
      <c r="R2328" s="1" t="s">
        <v>13006</v>
      </c>
      <c r="S2328" s="1" t="s">
        <v>13007</v>
      </c>
      <c r="T2328" s="1" t="s">
        <v>6077</v>
      </c>
      <c r="U2328" s="1" t="s">
        <v>13008</v>
      </c>
    </row>
    <row r="2329" customFormat="false" ht="13.8" hidden="false" customHeight="false" outlineLevel="0" collapsed="false">
      <c r="A2329" s="1" t="n">
        <v>2328</v>
      </c>
      <c r="B2329" s="2" t="s">
        <v>13009</v>
      </c>
      <c r="C2329" s="1" t="n">
        <v>8</v>
      </c>
      <c r="D2329" s="1" t="n">
        <v>11</v>
      </c>
      <c r="E2329" s="1" t="n">
        <v>14</v>
      </c>
      <c r="F2329" s="1" t="n">
        <v>39</v>
      </c>
      <c r="G2329" s="1" t="n">
        <v>48</v>
      </c>
      <c r="H2329" s="1" t="n">
        <v>53</v>
      </c>
      <c r="I2329" s="1" t="str">
        <f aca="false">RIGHT(("0"&amp;C2329),2)&amp;RIGHT(("0"&amp;D2329),2)&amp;RIGHT(("0"&amp;E2329),2)&amp;RIGHT(("0"&amp;F2329),2)&amp;RIGHT(("0"&amp;G2329),2)&amp;RIGHT(("0"&amp;H2329),2)</f>
        <v>081114394853</v>
      </c>
      <c r="J2329" s="1" t="n">
        <f aca="false">COUNTIF(I:I,I2329)</f>
        <v>1</v>
      </c>
      <c r="K2329" s="1" t="n">
        <v>0</v>
      </c>
      <c r="M2329" s="1" t="s">
        <v>23</v>
      </c>
      <c r="N2329" s="1" t="n">
        <v>67</v>
      </c>
      <c r="O2329" s="1" t="s">
        <v>13010</v>
      </c>
      <c r="P2329" s="1" t="n">
        <v>5059</v>
      </c>
      <c r="Q2329" s="1" t="s">
        <v>13011</v>
      </c>
      <c r="R2329" s="1" t="s">
        <v>13012</v>
      </c>
      <c r="S2329" s="1" t="s">
        <v>13013</v>
      </c>
      <c r="T2329" s="1" t="s">
        <v>4727</v>
      </c>
      <c r="U2329" s="1" t="s">
        <v>13014</v>
      </c>
    </row>
    <row r="2330" customFormat="false" ht="13.8" hidden="false" customHeight="false" outlineLevel="0" collapsed="false">
      <c r="A2330" s="1" t="n">
        <v>2329</v>
      </c>
      <c r="B2330" s="2" t="s">
        <v>13015</v>
      </c>
      <c r="C2330" s="1" t="n">
        <v>12</v>
      </c>
      <c r="D2330" s="1" t="n">
        <v>14</v>
      </c>
      <c r="E2330" s="1" t="n">
        <v>28</v>
      </c>
      <c r="F2330" s="1" t="n">
        <v>42</v>
      </c>
      <c r="G2330" s="1" t="n">
        <v>45</v>
      </c>
      <c r="H2330" s="1" t="n">
        <v>55</v>
      </c>
      <c r="I2330" s="1" t="str">
        <f aca="false">RIGHT(("0"&amp;C2330),2)&amp;RIGHT(("0"&amp;D2330),2)&amp;RIGHT(("0"&amp;E2330),2)&amp;RIGHT(("0"&amp;F2330),2)&amp;RIGHT(("0"&amp;G2330),2)&amp;RIGHT(("0"&amp;H2330),2)</f>
        <v>121428424555</v>
      </c>
      <c r="J2330" s="1" t="n">
        <f aca="false">COUNTIF(I:I,I2330)</f>
        <v>1</v>
      </c>
      <c r="K2330" s="1" t="n">
        <v>2</v>
      </c>
      <c r="L2330" s="1" t="s">
        <v>13016</v>
      </c>
      <c r="M2330" s="1" t="s">
        <v>13017</v>
      </c>
      <c r="N2330" s="1" t="n">
        <v>93</v>
      </c>
      <c r="O2330" s="1" t="s">
        <v>13018</v>
      </c>
      <c r="P2330" s="1" t="n">
        <v>6837</v>
      </c>
      <c r="Q2330" s="1" t="s">
        <v>13019</v>
      </c>
      <c r="R2330" s="1" t="s">
        <v>13020</v>
      </c>
      <c r="S2330" s="1" t="s">
        <v>13021</v>
      </c>
      <c r="T2330" s="1" t="s">
        <v>12340</v>
      </c>
      <c r="U2330" s="1" t="s">
        <v>13020</v>
      </c>
    </row>
    <row r="2331" customFormat="false" ht="13.8" hidden="false" customHeight="false" outlineLevel="0" collapsed="false">
      <c r="A2331" s="1" t="n">
        <v>2330</v>
      </c>
      <c r="B2331" s="2" t="s">
        <v>13022</v>
      </c>
      <c r="C2331" s="1" t="n">
        <v>17</v>
      </c>
      <c r="D2331" s="1" t="n">
        <v>20</v>
      </c>
      <c r="E2331" s="1" t="n">
        <v>22</v>
      </c>
      <c r="F2331" s="1" t="n">
        <v>35</v>
      </c>
      <c r="G2331" s="1" t="n">
        <v>41</v>
      </c>
      <c r="H2331" s="1" t="n">
        <v>42</v>
      </c>
      <c r="I2331" s="1" t="str">
        <f aca="false">RIGHT(("0"&amp;C2331),2)&amp;RIGHT(("0"&amp;D2331),2)&amp;RIGHT(("0"&amp;E2331),2)&amp;RIGHT(("0"&amp;F2331),2)&amp;RIGHT(("0"&amp;G2331),2)&amp;RIGHT(("0"&amp;H2331),2)</f>
        <v>172022354142</v>
      </c>
      <c r="J2331" s="1" t="n">
        <f aca="false">COUNTIF(I:I,I2331)</f>
        <v>1</v>
      </c>
      <c r="K2331" s="1" t="n">
        <v>2</v>
      </c>
      <c r="L2331" s="1" t="s">
        <v>13023</v>
      </c>
      <c r="M2331" s="1" t="s">
        <v>13024</v>
      </c>
      <c r="N2331" s="1" t="n">
        <v>1384</v>
      </c>
      <c r="O2331" s="1" t="s">
        <v>13025</v>
      </c>
      <c r="P2331" s="1" t="n">
        <v>105342</v>
      </c>
      <c r="Q2331" s="1" t="s">
        <v>13026</v>
      </c>
      <c r="R2331" s="1" t="s">
        <v>23</v>
      </c>
      <c r="S2331" s="1" t="s">
        <v>13027</v>
      </c>
      <c r="T2331" s="1" t="s">
        <v>4218</v>
      </c>
      <c r="U2331" s="1" t="s">
        <v>23</v>
      </c>
    </row>
    <row r="2332" customFormat="false" ht="13.8" hidden="false" customHeight="false" outlineLevel="0" collapsed="false">
      <c r="A2332" s="1" t="n">
        <v>2331</v>
      </c>
      <c r="B2332" s="2" t="s">
        <v>13028</v>
      </c>
      <c r="C2332" s="1" t="n">
        <v>11</v>
      </c>
      <c r="D2332" s="1" t="n">
        <v>13</v>
      </c>
      <c r="E2332" s="1" t="n">
        <v>16</v>
      </c>
      <c r="F2332" s="1" t="n">
        <v>36</v>
      </c>
      <c r="G2332" s="1" t="n">
        <v>53</v>
      </c>
      <c r="H2332" s="1" t="n">
        <v>57</v>
      </c>
      <c r="I2332" s="1" t="str">
        <f aca="false">RIGHT(("0"&amp;C2332),2)&amp;RIGHT(("0"&amp;D2332),2)&amp;RIGHT(("0"&amp;E2332),2)&amp;RIGHT(("0"&amp;F2332),2)&amp;RIGHT(("0"&amp;G2332),2)&amp;RIGHT(("0"&amp;H2332),2)</f>
        <v>111316365357</v>
      </c>
      <c r="J2332" s="1" t="n">
        <f aca="false">COUNTIF(I:I,I2332)</f>
        <v>1</v>
      </c>
      <c r="K2332" s="1" t="n">
        <v>0</v>
      </c>
      <c r="M2332" s="1" t="s">
        <v>23</v>
      </c>
      <c r="N2332" s="1" t="n">
        <v>10</v>
      </c>
      <c r="O2332" s="1" t="s">
        <v>13029</v>
      </c>
      <c r="P2332" s="1" t="n">
        <v>808</v>
      </c>
      <c r="Q2332" s="1" t="s">
        <v>13030</v>
      </c>
      <c r="R2332" s="1" t="s">
        <v>13031</v>
      </c>
      <c r="S2332" s="1" t="s">
        <v>13032</v>
      </c>
      <c r="T2332" s="1" t="s">
        <v>4409</v>
      </c>
      <c r="U2332" s="1" t="s">
        <v>13033</v>
      </c>
    </row>
    <row r="2333" customFormat="false" ht="13.8" hidden="false" customHeight="false" outlineLevel="0" collapsed="false">
      <c r="A2333" s="1" t="n">
        <v>2332</v>
      </c>
      <c r="B2333" s="2" t="s">
        <v>13034</v>
      </c>
      <c r="C2333" s="1" t="n">
        <v>12</v>
      </c>
      <c r="D2333" s="1" t="n">
        <v>33</v>
      </c>
      <c r="E2333" s="1" t="n">
        <v>35</v>
      </c>
      <c r="F2333" s="1" t="n">
        <v>36</v>
      </c>
      <c r="G2333" s="1" t="n">
        <v>44</v>
      </c>
      <c r="H2333" s="1" t="n">
        <v>52</v>
      </c>
      <c r="I2333" s="1" t="str">
        <f aca="false">RIGHT(("0"&amp;C2333),2)&amp;RIGHT(("0"&amp;D2333),2)&amp;RIGHT(("0"&amp;E2333),2)&amp;RIGHT(("0"&amp;F2333),2)&amp;RIGHT(("0"&amp;G2333),2)&amp;RIGHT(("0"&amp;H2333),2)</f>
        <v>123335364452</v>
      </c>
      <c r="J2333" s="1" t="n">
        <f aca="false">COUNTIF(I:I,I2333)</f>
        <v>1</v>
      </c>
      <c r="K2333" s="1" t="n">
        <v>0</v>
      </c>
      <c r="M2333" s="1" t="s">
        <v>23</v>
      </c>
      <c r="N2333" s="1" t="n">
        <v>32</v>
      </c>
      <c r="O2333" s="1" t="s">
        <v>13035</v>
      </c>
      <c r="P2333" s="1" t="n">
        <v>2688</v>
      </c>
      <c r="Q2333" s="1" t="s">
        <v>13036</v>
      </c>
      <c r="R2333" s="1" t="s">
        <v>13037</v>
      </c>
      <c r="S2333" s="1" t="s">
        <v>13038</v>
      </c>
      <c r="T2333" s="1" t="s">
        <v>4347</v>
      </c>
      <c r="U2333" s="1" t="s">
        <v>13039</v>
      </c>
    </row>
    <row r="2334" customFormat="false" ht="13.8" hidden="false" customHeight="false" outlineLevel="0" collapsed="false">
      <c r="A2334" s="1" t="n">
        <v>2333</v>
      </c>
      <c r="B2334" s="2" t="s">
        <v>13040</v>
      </c>
      <c r="C2334" s="1" t="n">
        <v>9</v>
      </c>
      <c r="D2334" s="1" t="n">
        <v>16</v>
      </c>
      <c r="E2334" s="1" t="n">
        <v>31</v>
      </c>
      <c r="F2334" s="1" t="n">
        <v>41</v>
      </c>
      <c r="G2334" s="1" t="n">
        <v>53</v>
      </c>
      <c r="H2334" s="1" t="n">
        <v>55</v>
      </c>
      <c r="I2334" s="1" t="str">
        <f aca="false">RIGHT(("0"&amp;C2334),2)&amp;RIGHT(("0"&amp;D2334),2)&amp;RIGHT(("0"&amp;E2334),2)&amp;RIGHT(("0"&amp;F2334),2)&amp;RIGHT(("0"&amp;G2334),2)&amp;RIGHT(("0"&amp;H2334),2)</f>
        <v>091631415355</v>
      </c>
      <c r="J2334" s="1" t="n">
        <f aca="false">COUNTIF(I:I,I2334)</f>
        <v>1</v>
      </c>
      <c r="K2334" s="1" t="n">
        <v>0</v>
      </c>
      <c r="M2334" s="1" t="s">
        <v>23</v>
      </c>
      <c r="N2334" s="1" t="n">
        <v>16</v>
      </c>
      <c r="O2334" s="1" t="s">
        <v>13041</v>
      </c>
      <c r="P2334" s="1" t="n">
        <v>1994</v>
      </c>
      <c r="Q2334" s="1" t="s">
        <v>13042</v>
      </c>
      <c r="R2334" s="1" t="s">
        <v>13043</v>
      </c>
      <c r="S2334" s="1" t="s">
        <v>13044</v>
      </c>
      <c r="T2334" s="1" t="s">
        <v>3727</v>
      </c>
      <c r="U2334" s="1" t="s">
        <v>13045</v>
      </c>
    </row>
    <row r="2335" customFormat="false" ht="13.8" hidden="false" customHeight="false" outlineLevel="0" collapsed="false">
      <c r="A2335" s="1" t="n">
        <v>2334</v>
      </c>
      <c r="B2335" s="2" t="s">
        <v>13046</v>
      </c>
      <c r="C2335" s="1" t="n">
        <v>4</v>
      </c>
      <c r="D2335" s="1" t="n">
        <v>13</v>
      </c>
      <c r="E2335" s="1" t="n">
        <v>20</v>
      </c>
      <c r="F2335" s="1" t="n">
        <v>22</v>
      </c>
      <c r="G2335" s="1" t="n">
        <v>25</v>
      </c>
      <c r="H2335" s="1" t="n">
        <v>60</v>
      </c>
      <c r="I2335" s="1" t="str">
        <f aca="false">RIGHT(("0"&amp;C2335),2)&amp;RIGHT(("0"&amp;D2335),2)&amp;RIGHT(("0"&amp;E2335),2)&amp;RIGHT(("0"&amp;F2335),2)&amp;RIGHT(("0"&amp;G2335),2)&amp;RIGHT(("0"&amp;H2335),2)</f>
        <v>041320222560</v>
      </c>
      <c r="J2335" s="1" t="n">
        <f aca="false">COUNTIF(I:I,I2335)</f>
        <v>1</v>
      </c>
      <c r="K2335" s="1" t="n">
        <v>1</v>
      </c>
      <c r="L2335" s="1" t="s">
        <v>13047</v>
      </c>
      <c r="M2335" s="1" t="s">
        <v>13048</v>
      </c>
      <c r="N2335" s="1" t="n">
        <v>66</v>
      </c>
      <c r="O2335" s="1" t="s">
        <v>13049</v>
      </c>
      <c r="P2335" s="1" t="n">
        <v>4609</v>
      </c>
      <c r="Q2335" s="1" t="s">
        <v>13050</v>
      </c>
      <c r="R2335" s="1" t="s">
        <v>13051</v>
      </c>
      <c r="S2335" s="1" t="s">
        <v>13052</v>
      </c>
      <c r="T2335" s="1" t="s">
        <v>4531</v>
      </c>
      <c r="U2335" s="1" t="s">
        <v>13053</v>
      </c>
    </row>
    <row r="2336" customFormat="false" ht="13.8" hidden="false" customHeight="false" outlineLevel="0" collapsed="false">
      <c r="A2336" s="1" t="n">
        <v>2335</v>
      </c>
      <c r="B2336" s="2" t="s">
        <v>13054</v>
      </c>
      <c r="C2336" s="1" t="n">
        <v>9</v>
      </c>
      <c r="D2336" s="1" t="n">
        <v>18</v>
      </c>
      <c r="E2336" s="1" t="n">
        <v>23</v>
      </c>
      <c r="F2336" s="1" t="n">
        <v>42</v>
      </c>
      <c r="G2336" s="1" t="n">
        <v>47</v>
      </c>
      <c r="H2336" s="1" t="n">
        <v>49</v>
      </c>
      <c r="I2336" s="1" t="str">
        <f aca="false">RIGHT(("0"&amp;C2336),2)&amp;RIGHT(("0"&amp;D2336),2)&amp;RIGHT(("0"&amp;E2336),2)&amp;RIGHT(("0"&amp;F2336),2)&amp;RIGHT(("0"&amp;G2336),2)&amp;RIGHT(("0"&amp;H2336),2)</f>
        <v>091823424749</v>
      </c>
      <c r="J2336" s="1" t="n">
        <f aca="false">COUNTIF(I:I,I2336)</f>
        <v>1</v>
      </c>
      <c r="K2336" s="1" t="n">
        <v>0</v>
      </c>
      <c r="M2336" s="1" t="s">
        <v>23</v>
      </c>
      <c r="N2336" s="1" t="n">
        <v>91</v>
      </c>
      <c r="O2336" s="1" t="s">
        <v>13055</v>
      </c>
      <c r="P2336" s="1" t="n">
        <v>5286</v>
      </c>
      <c r="Q2336" s="1" t="s">
        <v>13056</v>
      </c>
      <c r="R2336" s="1" t="s">
        <v>13057</v>
      </c>
      <c r="S2336" s="1" t="s">
        <v>13058</v>
      </c>
      <c r="T2336" s="1" t="s">
        <v>4208</v>
      </c>
      <c r="U2336" s="1" t="s">
        <v>13059</v>
      </c>
    </row>
    <row r="2337" customFormat="false" ht="13.8" hidden="false" customHeight="false" outlineLevel="0" collapsed="false">
      <c r="A2337" s="1" t="n">
        <v>2336</v>
      </c>
      <c r="B2337" s="2" t="s">
        <v>13060</v>
      </c>
      <c r="C2337" s="1" t="n">
        <v>8</v>
      </c>
      <c r="D2337" s="1" t="n">
        <v>10</v>
      </c>
      <c r="E2337" s="1" t="n">
        <v>20</v>
      </c>
      <c r="F2337" s="1" t="n">
        <v>27</v>
      </c>
      <c r="G2337" s="1" t="n">
        <v>28</v>
      </c>
      <c r="H2337" s="1" t="n">
        <v>50</v>
      </c>
      <c r="I2337" s="1" t="str">
        <f aca="false">RIGHT(("0"&amp;C2337),2)&amp;RIGHT(("0"&amp;D2337),2)&amp;RIGHT(("0"&amp;E2337),2)&amp;RIGHT(("0"&amp;F2337),2)&amp;RIGHT(("0"&amp;G2337),2)&amp;RIGHT(("0"&amp;H2337),2)</f>
        <v>081020272850</v>
      </c>
      <c r="J2337" s="1" t="n">
        <f aca="false">COUNTIF(I:I,I2337)</f>
        <v>1</v>
      </c>
      <c r="K2337" s="1" t="n">
        <v>0</v>
      </c>
      <c r="M2337" s="1" t="s">
        <v>23</v>
      </c>
      <c r="N2337" s="1" t="n">
        <v>75</v>
      </c>
      <c r="O2337" s="1" t="s">
        <v>13061</v>
      </c>
      <c r="P2337" s="1" t="n">
        <v>4701</v>
      </c>
      <c r="Q2337" s="1" t="s">
        <v>13062</v>
      </c>
      <c r="R2337" s="1" t="s">
        <v>13063</v>
      </c>
      <c r="S2337" s="1" t="s">
        <v>13064</v>
      </c>
      <c r="T2337" s="1" t="s">
        <v>4246</v>
      </c>
      <c r="U2337" s="1" t="s">
        <v>13065</v>
      </c>
    </row>
    <row r="2338" customFormat="false" ht="13.8" hidden="false" customHeight="false" outlineLevel="0" collapsed="false">
      <c r="A2338" s="1" t="n">
        <v>2337</v>
      </c>
      <c r="B2338" s="2" t="s">
        <v>13066</v>
      </c>
      <c r="C2338" s="1" t="n">
        <v>2</v>
      </c>
      <c r="D2338" s="1" t="n">
        <v>9</v>
      </c>
      <c r="E2338" s="1" t="n">
        <v>34</v>
      </c>
      <c r="F2338" s="1" t="n">
        <v>49</v>
      </c>
      <c r="G2338" s="1" t="n">
        <v>51</v>
      </c>
      <c r="H2338" s="1" t="n">
        <v>55</v>
      </c>
      <c r="I2338" s="1" t="str">
        <f aca="false">RIGHT(("0"&amp;C2338),2)&amp;RIGHT(("0"&amp;D2338),2)&amp;RIGHT(("0"&amp;E2338),2)&amp;RIGHT(("0"&amp;F2338),2)&amp;RIGHT(("0"&amp;G2338),2)&amp;RIGHT(("0"&amp;H2338),2)</f>
        <v>020934495155</v>
      </c>
      <c r="J2338" s="1" t="n">
        <f aca="false">COUNTIF(I:I,I2338)</f>
        <v>1</v>
      </c>
      <c r="K2338" s="1" t="n">
        <v>1</v>
      </c>
      <c r="L2338" s="1" t="s">
        <v>6152</v>
      </c>
      <c r="M2338" s="1" t="s">
        <v>13067</v>
      </c>
      <c r="N2338" s="1" t="n">
        <v>84</v>
      </c>
      <c r="O2338" s="1" t="s">
        <v>13068</v>
      </c>
      <c r="P2338" s="1" t="n">
        <v>4321</v>
      </c>
      <c r="Q2338" s="1" t="s">
        <v>13069</v>
      </c>
      <c r="R2338" s="1" t="s">
        <v>23</v>
      </c>
      <c r="S2338" s="1" t="s">
        <v>13070</v>
      </c>
      <c r="T2338" s="1" t="s">
        <v>4732</v>
      </c>
      <c r="U2338" s="1" t="s">
        <v>13071</v>
      </c>
    </row>
    <row r="2339" customFormat="false" ht="13.8" hidden="false" customHeight="false" outlineLevel="0" collapsed="false">
      <c r="A2339" s="1" t="n">
        <v>2338</v>
      </c>
      <c r="B2339" s="2" t="s">
        <v>13072</v>
      </c>
      <c r="C2339" s="1" t="n">
        <v>8</v>
      </c>
      <c r="D2339" s="1" t="n">
        <v>21</v>
      </c>
      <c r="E2339" s="1" t="n">
        <v>23</v>
      </c>
      <c r="F2339" s="1" t="n">
        <v>34</v>
      </c>
      <c r="G2339" s="1" t="n">
        <v>42</v>
      </c>
      <c r="H2339" s="1" t="n">
        <v>47</v>
      </c>
      <c r="I2339" s="1" t="str">
        <f aca="false">RIGHT(("0"&amp;C2339),2)&amp;RIGHT(("0"&amp;D2339),2)&amp;RIGHT(("0"&amp;E2339),2)&amp;RIGHT(("0"&amp;F2339),2)&amp;RIGHT(("0"&amp;G2339),2)&amp;RIGHT(("0"&amp;H2339),2)</f>
        <v>082123344247</v>
      </c>
      <c r="J2339" s="1" t="n">
        <f aca="false">COUNTIF(I:I,I2339)</f>
        <v>1</v>
      </c>
      <c r="K2339" s="1" t="n">
        <v>0</v>
      </c>
      <c r="M2339" s="1" t="s">
        <v>23</v>
      </c>
      <c r="N2339" s="1" t="n">
        <v>22</v>
      </c>
      <c r="O2339" s="1" t="s">
        <v>13073</v>
      </c>
      <c r="P2339" s="1" t="n">
        <v>1692</v>
      </c>
      <c r="Q2339" s="1" t="s">
        <v>13074</v>
      </c>
      <c r="R2339" s="1" t="s">
        <v>13075</v>
      </c>
      <c r="S2339" s="1" t="s">
        <v>13076</v>
      </c>
      <c r="T2339" s="1" t="s">
        <v>4409</v>
      </c>
      <c r="U2339" s="1" t="s">
        <v>13077</v>
      </c>
    </row>
    <row r="2340" customFormat="false" ht="13.8" hidden="false" customHeight="false" outlineLevel="0" collapsed="false">
      <c r="A2340" s="1" t="n">
        <v>2339</v>
      </c>
      <c r="B2340" s="2" t="s">
        <v>13078</v>
      </c>
      <c r="C2340" s="1" t="n">
        <v>4</v>
      </c>
      <c r="D2340" s="1" t="n">
        <v>18</v>
      </c>
      <c r="E2340" s="1" t="n">
        <v>29</v>
      </c>
      <c r="F2340" s="1" t="n">
        <v>47</v>
      </c>
      <c r="G2340" s="1" t="n">
        <v>48</v>
      </c>
      <c r="H2340" s="1" t="n">
        <v>59</v>
      </c>
      <c r="I2340" s="1" t="str">
        <f aca="false">RIGHT(("0"&amp;C2340),2)&amp;RIGHT(("0"&amp;D2340),2)&amp;RIGHT(("0"&amp;E2340),2)&amp;RIGHT(("0"&amp;F2340),2)&amp;RIGHT(("0"&amp;G2340),2)&amp;RIGHT(("0"&amp;H2340),2)</f>
        <v>041829474859</v>
      </c>
      <c r="J2340" s="1" t="n">
        <f aca="false">COUNTIF(I:I,I2340)</f>
        <v>1</v>
      </c>
      <c r="K2340" s="1" t="n">
        <v>0</v>
      </c>
      <c r="M2340" s="1" t="s">
        <v>23</v>
      </c>
      <c r="N2340" s="1" t="n">
        <v>19</v>
      </c>
      <c r="O2340" s="1" t="s">
        <v>13079</v>
      </c>
      <c r="P2340" s="1" t="n">
        <v>1746</v>
      </c>
      <c r="Q2340" s="1" t="s">
        <v>13080</v>
      </c>
      <c r="R2340" s="1" t="s">
        <v>13081</v>
      </c>
      <c r="S2340" s="1" t="s">
        <v>13082</v>
      </c>
      <c r="T2340" s="1" t="s">
        <v>4691</v>
      </c>
      <c r="U2340" s="1" t="s">
        <v>13083</v>
      </c>
    </row>
    <row r="2341" customFormat="false" ht="13.8" hidden="false" customHeight="false" outlineLevel="0" collapsed="false">
      <c r="A2341" s="1" t="n">
        <v>2340</v>
      </c>
      <c r="B2341" s="2" t="s">
        <v>13084</v>
      </c>
      <c r="C2341" s="1" t="n">
        <v>16</v>
      </c>
      <c r="D2341" s="1" t="n">
        <v>21</v>
      </c>
      <c r="E2341" s="1" t="n">
        <v>28</v>
      </c>
      <c r="F2341" s="1" t="n">
        <v>41</v>
      </c>
      <c r="G2341" s="1" t="n">
        <v>49</v>
      </c>
      <c r="H2341" s="1" t="n">
        <v>51</v>
      </c>
      <c r="I2341" s="1" t="str">
        <f aca="false">RIGHT(("0"&amp;C2341),2)&amp;RIGHT(("0"&amp;D2341),2)&amp;RIGHT(("0"&amp;E2341),2)&amp;RIGHT(("0"&amp;F2341),2)&amp;RIGHT(("0"&amp;G2341),2)&amp;RIGHT(("0"&amp;H2341),2)</f>
        <v>162128414951</v>
      </c>
      <c r="J2341" s="1" t="n">
        <f aca="false">COUNTIF(I:I,I2341)</f>
        <v>1</v>
      </c>
      <c r="K2341" s="1" t="n">
        <v>0</v>
      </c>
      <c r="M2341" s="1" t="s">
        <v>23</v>
      </c>
      <c r="N2341" s="1" t="n">
        <v>24</v>
      </c>
      <c r="O2341" s="1" t="s">
        <v>13085</v>
      </c>
      <c r="P2341" s="1" t="n">
        <v>2408</v>
      </c>
      <c r="Q2341" s="1" t="s">
        <v>13086</v>
      </c>
      <c r="R2341" s="1" t="s">
        <v>13087</v>
      </c>
      <c r="S2341" s="1" t="s">
        <v>13088</v>
      </c>
      <c r="T2341" s="1" t="s">
        <v>4718</v>
      </c>
      <c r="U2341" s="1" t="s">
        <v>13089</v>
      </c>
    </row>
    <row r="2342" customFormat="false" ht="13.8" hidden="false" customHeight="false" outlineLevel="0" collapsed="false">
      <c r="A2342" s="1" t="n">
        <v>2341</v>
      </c>
      <c r="B2342" s="2" t="s">
        <v>13090</v>
      </c>
      <c r="C2342" s="1" t="n">
        <v>4</v>
      </c>
      <c r="D2342" s="1" t="n">
        <v>9</v>
      </c>
      <c r="E2342" s="1" t="n">
        <v>31</v>
      </c>
      <c r="F2342" s="1" t="n">
        <v>32</v>
      </c>
      <c r="G2342" s="1" t="n">
        <v>42</v>
      </c>
      <c r="H2342" s="1" t="n">
        <v>46</v>
      </c>
      <c r="I2342" s="1" t="str">
        <f aca="false">RIGHT(("0"&amp;C2342),2)&amp;RIGHT(("0"&amp;D2342),2)&amp;RIGHT(("0"&amp;E2342),2)&amp;RIGHT(("0"&amp;F2342),2)&amp;RIGHT(("0"&amp;G2342),2)&amp;RIGHT(("0"&amp;H2342),2)</f>
        <v>040931324246</v>
      </c>
      <c r="J2342" s="1" t="n">
        <f aca="false">COUNTIF(I:I,I2342)</f>
        <v>1</v>
      </c>
      <c r="K2342" s="1" t="n">
        <v>1</v>
      </c>
      <c r="L2342" s="1" t="s">
        <v>13091</v>
      </c>
      <c r="M2342" s="1" t="s">
        <v>13092</v>
      </c>
      <c r="N2342" s="1" t="n">
        <v>59</v>
      </c>
      <c r="O2342" s="1" t="s">
        <v>13093</v>
      </c>
      <c r="P2342" s="1" t="n">
        <v>3548</v>
      </c>
      <c r="Q2342" s="1" t="s">
        <v>13094</v>
      </c>
      <c r="R2342" s="1" t="s">
        <v>23</v>
      </c>
      <c r="S2342" s="1" t="s">
        <v>13095</v>
      </c>
      <c r="T2342" s="1" t="s">
        <v>4256</v>
      </c>
      <c r="U2342" s="1" t="s">
        <v>13096</v>
      </c>
    </row>
    <row r="2343" customFormat="false" ht="13.8" hidden="false" customHeight="false" outlineLevel="0" collapsed="false">
      <c r="A2343" s="1" t="n">
        <v>2342</v>
      </c>
      <c r="B2343" s="2" t="s">
        <v>13097</v>
      </c>
      <c r="C2343" s="1" t="n">
        <v>17</v>
      </c>
      <c r="D2343" s="1" t="n">
        <v>20</v>
      </c>
      <c r="E2343" s="1" t="n">
        <v>24</v>
      </c>
      <c r="F2343" s="1" t="n">
        <v>27</v>
      </c>
      <c r="G2343" s="1" t="n">
        <v>40</v>
      </c>
      <c r="H2343" s="1" t="n">
        <v>60</v>
      </c>
      <c r="I2343" s="1" t="str">
        <f aca="false">RIGHT(("0"&amp;C2343),2)&amp;RIGHT(("0"&amp;D2343),2)&amp;RIGHT(("0"&amp;E2343),2)&amp;RIGHT(("0"&amp;F2343),2)&amp;RIGHT(("0"&amp;G2343),2)&amp;RIGHT(("0"&amp;H2343),2)</f>
        <v>172024274060</v>
      </c>
      <c r="J2343" s="1" t="n">
        <f aca="false">COUNTIF(I:I,I2343)</f>
        <v>1</v>
      </c>
      <c r="K2343" s="1" t="n">
        <v>0</v>
      </c>
      <c r="M2343" s="1" t="s">
        <v>23</v>
      </c>
      <c r="N2343" s="1" t="n">
        <v>35</v>
      </c>
      <c r="O2343" s="1" t="s">
        <v>13098</v>
      </c>
      <c r="P2343" s="1" t="n">
        <v>2233</v>
      </c>
      <c r="Q2343" s="1" t="s">
        <v>13099</v>
      </c>
      <c r="R2343" s="1" t="s">
        <v>13100</v>
      </c>
      <c r="S2343" s="1" t="s">
        <v>13101</v>
      </c>
      <c r="T2343" s="1" t="s">
        <v>4991</v>
      </c>
      <c r="U2343" s="1" t="s">
        <v>13102</v>
      </c>
    </row>
    <row r="2344" customFormat="false" ht="13.8" hidden="false" customHeight="false" outlineLevel="0" collapsed="false">
      <c r="A2344" s="1" t="n">
        <v>2343</v>
      </c>
      <c r="B2344" s="2" t="s">
        <v>13103</v>
      </c>
      <c r="C2344" s="1" t="n">
        <v>4</v>
      </c>
      <c r="D2344" s="1" t="n">
        <v>31</v>
      </c>
      <c r="E2344" s="1" t="n">
        <v>42</v>
      </c>
      <c r="F2344" s="1" t="n">
        <v>45</v>
      </c>
      <c r="G2344" s="1" t="n">
        <v>49</v>
      </c>
      <c r="H2344" s="1" t="n">
        <v>56</v>
      </c>
      <c r="I2344" s="1" t="str">
        <f aca="false">RIGHT(("0"&amp;C2344),2)&amp;RIGHT(("0"&amp;D2344),2)&amp;RIGHT(("0"&amp;E2344),2)&amp;RIGHT(("0"&amp;F2344),2)&amp;RIGHT(("0"&amp;G2344),2)&amp;RIGHT(("0"&amp;H2344),2)</f>
        <v>043142454956</v>
      </c>
      <c r="J2344" s="1" t="n">
        <f aca="false">COUNTIF(I:I,I2344)</f>
        <v>1</v>
      </c>
      <c r="K2344" s="1" t="n">
        <v>0</v>
      </c>
      <c r="M2344" s="1" t="s">
        <v>23</v>
      </c>
      <c r="N2344" s="1" t="n">
        <v>24</v>
      </c>
      <c r="O2344" s="1" t="s">
        <v>13104</v>
      </c>
      <c r="P2344" s="1" t="n">
        <v>2507</v>
      </c>
      <c r="Q2344" s="1" t="s">
        <v>13105</v>
      </c>
      <c r="R2344" s="1" t="s">
        <v>13106</v>
      </c>
      <c r="S2344" s="1" t="s">
        <v>13107</v>
      </c>
      <c r="T2344" s="1" t="s">
        <v>4461</v>
      </c>
      <c r="U2344" s="1" t="s">
        <v>13108</v>
      </c>
    </row>
    <row r="2345" customFormat="false" ht="13.8" hidden="false" customHeight="false" outlineLevel="0" collapsed="false">
      <c r="A2345" s="1" t="n">
        <v>2344</v>
      </c>
      <c r="B2345" s="2" t="s">
        <v>13109</v>
      </c>
      <c r="C2345" s="1" t="n">
        <v>11</v>
      </c>
      <c r="D2345" s="1" t="n">
        <v>17</v>
      </c>
      <c r="E2345" s="1" t="n">
        <v>25</v>
      </c>
      <c r="F2345" s="1" t="n">
        <v>38</v>
      </c>
      <c r="G2345" s="1" t="n">
        <v>52</v>
      </c>
      <c r="H2345" s="1" t="n">
        <v>57</v>
      </c>
      <c r="I2345" s="1" t="str">
        <f aca="false">RIGHT(("0"&amp;C2345),2)&amp;RIGHT(("0"&amp;D2345),2)&amp;RIGHT(("0"&amp;E2345),2)&amp;RIGHT(("0"&amp;F2345),2)&amp;RIGHT(("0"&amp;G2345),2)&amp;RIGHT(("0"&amp;H2345),2)</f>
        <v>111725385257</v>
      </c>
      <c r="J2345" s="1" t="n">
        <f aca="false">COUNTIF(I:I,I2345)</f>
        <v>1</v>
      </c>
      <c r="K2345" s="1" t="n">
        <v>0</v>
      </c>
      <c r="M2345" s="1" t="s">
        <v>23</v>
      </c>
      <c r="N2345" s="1" t="n">
        <v>59</v>
      </c>
      <c r="O2345" s="1" t="s">
        <v>13110</v>
      </c>
      <c r="P2345" s="1" t="n">
        <v>4548</v>
      </c>
      <c r="Q2345" s="1" t="s">
        <v>13111</v>
      </c>
      <c r="R2345" s="1" t="s">
        <v>13112</v>
      </c>
      <c r="S2345" s="1" t="s">
        <v>13113</v>
      </c>
      <c r="T2345" s="1" t="s">
        <v>5321</v>
      </c>
      <c r="U2345" s="1" t="s">
        <v>13114</v>
      </c>
    </row>
    <row r="2346" customFormat="false" ht="13.8" hidden="false" customHeight="false" outlineLevel="0" collapsed="false">
      <c r="A2346" s="1" t="n">
        <v>2345</v>
      </c>
      <c r="B2346" s="2" t="s">
        <v>13115</v>
      </c>
      <c r="C2346" s="1" t="n">
        <v>7</v>
      </c>
      <c r="D2346" s="1" t="n">
        <v>16</v>
      </c>
      <c r="E2346" s="1" t="n">
        <v>19</v>
      </c>
      <c r="F2346" s="1" t="n">
        <v>22</v>
      </c>
      <c r="G2346" s="1" t="n">
        <v>28</v>
      </c>
      <c r="H2346" s="1" t="n">
        <v>55</v>
      </c>
      <c r="I2346" s="1" t="str">
        <f aca="false">RIGHT(("0"&amp;C2346),2)&amp;RIGHT(("0"&amp;D2346),2)&amp;RIGHT(("0"&amp;E2346),2)&amp;RIGHT(("0"&amp;F2346),2)&amp;RIGHT(("0"&amp;G2346),2)&amp;RIGHT(("0"&amp;H2346),2)</f>
        <v>071619222855</v>
      </c>
      <c r="J2346" s="1" t="n">
        <f aca="false">COUNTIF(I:I,I2346)</f>
        <v>1</v>
      </c>
      <c r="K2346" s="1" t="n">
        <v>0</v>
      </c>
      <c r="M2346" s="1" t="s">
        <v>23</v>
      </c>
      <c r="N2346" s="1" t="n">
        <v>75</v>
      </c>
      <c r="O2346" s="1" t="s">
        <v>13116</v>
      </c>
      <c r="P2346" s="1" t="n">
        <v>4970</v>
      </c>
      <c r="Q2346" s="1" t="s">
        <v>13117</v>
      </c>
      <c r="R2346" s="1" t="s">
        <v>13118</v>
      </c>
      <c r="S2346" s="1" t="s">
        <v>13119</v>
      </c>
      <c r="T2346" s="1" t="s">
        <v>5686</v>
      </c>
      <c r="U2346" s="1" t="s">
        <v>13120</v>
      </c>
    </row>
    <row r="2347" customFormat="false" ht="13.8" hidden="false" customHeight="false" outlineLevel="0" collapsed="false">
      <c r="A2347" s="1" t="n">
        <v>2346</v>
      </c>
      <c r="B2347" s="2" t="s">
        <v>13121</v>
      </c>
      <c r="C2347" s="1" t="n">
        <v>3</v>
      </c>
      <c r="D2347" s="1" t="n">
        <v>4</v>
      </c>
      <c r="E2347" s="1" t="n">
        <v>11</v>
      </c>
      <c r="F2347" s="1" t="n">
        <v>40</v>
      </c>
      <c r="G2347" s="1" t="n">
        <v>42</v>
      </c>
      <c r="H2347" s="1" t="n">
        <v>58</v>
      </c>
      <c r="I2347" s="1" t="str">
        <f aca="false">RIGHT(("0"&amp;C2347),2)&amp;RIGHT(("0"&amp;D2347),2)&amp;RIGHT(("0"&amp;E2347),2)&amp;RIGHT(("0"&amp;F2347),2)&amp;RIGHT(("0"&amp;G2347),2)&amp;RIGHT(("0"&amp;H2347),2)</f>
        <v>030411404258</v>
      </c>
      <c r="J2347" s="1" t="n">
        <f aca="false">COUNTIF(I:I,I2347)</f>
        <v>1</v>
      </c>
      <c r="K2347" s="1" t="n">
        <v>0</v>
      </c>
      <c r="M2347" s="1" t="s">
        <v>23</v>
      </c>
      <c r="N2347" s="1" t="n">
        <v>53</v>
      </c>
      <c r="O2347" s="1" t="s">
        <v>13122</v>
      </c>
      <c r="P2347" s="1" t="n">
        <v>4812</v>
      </c>
      <c r="Q2347" s="1" t="s">
        <v>13123</v>
      </c>
      <c r="R2347" s="1" t="s">
        <v>13124</v>
      </c>
      <c r="S2347" s="1" t="s">
        <v>13125</v>
      </c>
      <c r="T2347" s="1" t="s">
        <v>7301</v>
      </c>
      <c r="U2347" s="1" t="s">
        <v>13126</v>
      </c>
    </row>
    <row r="2348" customFormat="false" ht="13.8" hidden="false" customHeight="false" outlineLevel="0" collapsed="false">
      <c r="A2348" s="1" t="n">
        <v>2347</v>
      </c>
      <c r="B2348" s="2" t="s">
        <v>13127</v>
      </c>
      <c r="C2348" s="1" t="n">
        <v>8</v>
      </c>
      <c r="D2348" s="1" t="n">
        <v>9</v>
      </c>
      <c r="E2348" s="1" t="n">
        <v>17</v>
      </c>
      <c r="F2348" s="1" t="n">
        <v>30</v>
      </c>
      <c r="G2348" s="1" t="n">
        <v>58</v>
      </c>
      <c r="H2348" s="1" t="n">
        <v>60</v>
      </c>
      <c r="I2348" s="1" t="str">
        <f aca="false">RIGHT(("0"&amp;C2348),2)&amp;RIGHT(("0"&amp;D2348),2)&amp;RIGHT(("0"&amp;E2348),2)&amp;RIGHT(("0"&amp;F2348),2)&amp;RIGHT(("0"&amp;G2348),2)&amp;RIGHT(("0"&amp;H2348),2)</f>
        <v>080917305860</v>
      </c>
      <c r="J2348" s="1" t="n">
        <f aca="false">COUNTIF(I:I,I2348)</f>
        <v>1</v>
      </c>
      <c r="K2348" s="1" t="n">
        <v>0</v>
      </c>
      <c r="M2348" s="1" t="s">
        <v>23</v>
      </c>
      <c r="N2348" s="1" t="n">
        <v>74</v>
      </c>
      <c r="O2348" s="1" t="s">
        <v>13128</v>
      </c>
      <c r="P2348" s="1" t="n">
        <v>5504</v>
      </c>
      <c r="Q2348" s="1" t="s">
        <v>13129</v>
      </c>
      <c r="R2348" s="1" t="s">
        <v>13130</v>
      </c>
      <c r="S2348" s="1" t="s">
        <v>13131</v>
      </c>
      <c r="T2348" s="1" t="s">
        <v>6559</v>
      </c>
      <c r="U2348" s="1" t="s">
        <v>13132</v>
      </c>
    </row>
    <row r="2349" customFormat="false" ht="13.8" hidden="false" customHeight="false" outlineLevel="0" collapsed="false">
      <c r="A2349" s="1" t="n">
        <v>2348</v>
      </c>
      <c r="B2349" s="2" t="s">
        <v>13133</v>
      </c>
      <c r="C2349" s="1" t="n">
        <v>2</v>
      </c>
      <c r="D2349" s="1" t="n">
        <v>3</v>
      </c>
      <c r="E2349" s="1" t="n">
        <v>7</v>
      </c>
      <c r="F2349" s="1" t="n">
        <v>48</v>
      </c>
      <c r="G2349" s="1" t="n">
        <v>51</v>
      </c>
      <c r="H2349" s="1" t="n">
        <v>54</v>
      </c>
      <c r="I2349" s="1" t="str">
        <f aca="false">RIGHT(("0"&amp;C2349),2)&amp;RIGHT(("0"&amp;D2349),2)&amp;RIGHT(("0"&amp;E2349),2)&amp;RIGHT(("0"&amp;F2349),2)&amp;RIGHT(("0"&amp;G2349),2)&amp;RIGHT(("0"&amp;H2349),2)</f>
        <v>020307485154</v>
      </c>
      <c r="J2349" s="1" t="n">
        <f aca="false">COUNTIF(I:I,I2349)</f>
        <v>1</v>
      </c>
      <c r="K2349" s="1" t="n">
        <v>1</v>
      </c>
      <c r="L2349" s="1" t="s">
        <v>5310</v>
      </c>
      <c r="M2349" s="1" t="s">
        <v>13134</v>
      </c>
      <c r="N2349" s="1" t="n">
        <v>107</v>
      </c>
      <c r="O2349" s="1" t="s">
        <v>13135</v>
      </c>
      <c r="P2349" s="1" t="n">
        <v>6601</v>
      </c>
      <c r="Q2349" s="1" t="s">
        <v>13136</v>
      </c>
      <c r="R2349" s="1" t="s">
        <v>23</v>
      </c>
      <c r="S2349" s="1" t="s">
        <v>13137</v>
      </c>
      <c r="T2349" s="1" t="s">
        <v>4256</v>
      </c>
      <c r="U2349" s="1" t="s">
        <v>13138</v>
      </c>
    </row>
    <row r="2350" customFormat="false" ht="13.8" hidden="false" customHeight="false" outlineLevel="0" collapsed="false">
      <c r="A2350" s="1" t="n">
        <v>2349</v>
      </c>
      <c r="B2350" s="2" t="s">
        <v>13139</v>
      </c>
      <c r="C2350" s="1" t="n">
        <v>5</v>
      </c>
      <c r="D2350" s="1" t="n">
        <v>10</v>
      </c>
      <c r="E2350" s="1" t="n">
        <v>25</v>
      </c>
      <c r="F2350" s="1" t="n">
        <v>32</v>
      </c>
      <c r="G2350" s="1" t="n">
        <v>49</v>
      </c>
      <c r="H2350" s="1" t="n">
        <v>54</v>
      </c>
      <c r="I2350" s="1" t="str">
        <f aca="false">RIGHT(("0"&amp;C2350),2)&amp;RIGHT(("0"&amp;D2350),2)&amp;RIGHT(("0"&amp;E2350),2)&amp;RIGHT(("0"&amp;F2350),2)&amp;RIGHT(("0"&amp;G2350),2)&amp;RIGHT(("0"&amp;H2350),2)</f>
        <v>051025324954</v>
      </c>
      <c r="J2350" s="1" t="n">
        <f aca="false">COUNTIF(I:I,I2350)</f>
        <v>1</v>
      </c>
      <c r="K2350" s="1" t="n">
        <v>1</v>
      </c>
      <c r="L2350" s="1" t="s">
        <v>6893</v>
      </c>
      <c r="M2350" s="1" t="s">
        <v>13140</v>
      </c>
      <c r="N2350" s="1" t="n">
        <v>59</v>
      </c>
      <c r="O2350" s="1" t="s">
        <v>13141</v>
      </c>
      <c r="P2350" s="1" t="n">
        <v>3150</v>
      </c>
      <c r="Q2350" s="1" t="s">
        <v>13142</v>
      </c>
      <c r="R2350" s="1" t="s">
        <v>13143</v>
      </c>
      <c r="S2350" s="1" t="s">
        <v>13144</v>
      </c>
      <c r="T2350" s="1" t="s">
        <v>4246</v>
      </c>
      <c r="U2350" s="1" t="s">
        <v>13145</v>
      </c>
    </row>
    <row r="2351" customFormat="false" ht="13.8" hidden="false" customHeight="false" outlineLevel="0" collapsed="false">
      <c r="A2351" s="1" t="n">
        <v>2350</v>
      </c>
      <c r="B2351" s="2" t="s">
        <v>13146</v>
      </c>
      <c r="C2351" s="1" t="n">
        <v>25</v>
      </c>
      <c r="D2351" s="1" t="n">
        <v>28</v>
      </c>
      <c r="E2351" s="1" t="n">
        <v>29</v>
      </c>
      <c r="F2351" s="1" t="n">
        <v>34</v>
      </c>
      <c r="G2351" s="1" t="n">
        <v>41</v>
      </c>
      <c r="H2351" s="1" t="n">
        <v>45</v>
      </c>
      <c r="I2351" s="1" t="str">
        <f aca="false">RIGHT(("0"&amp;C2351),2)&amp;RIGHT(("0"&amp;D2351),2)&amp;RIGHT(("0"&amp;E2351),2)&amp;RIGHT(("0"&amp;F2351),2)&amp;RIGHT(("0"&amp;G2351),2)&amp;RIGHT(("0"&amp;H2351),2)</f>
        <v>252829344145</v>
      </c>
      <c r="J2351" s="1" t="n">
        <f aca="false">COUNTIF(I:I,I2351)</f>
        <v>1</v>
      </c>
      <c r="K2351" s="1" t="n">
        <v>0</v>
      </c>
      <c r="M2351" s="1" t="s">
        <v>23</v>
      </c>
      <c r="N2351" s="1" t="n">
        <v>40</v>
      </c>
      <c r="O2351" s="1" t="s">
        <v>13147</v>
      </c>
      <c r="P2351" s="1" t="n">
        <v>2828</v>
      </c>
      <c r="Q2351" s="1" t="s">
        <v>13148</v>
      </c>
      <c r="R2351" s="1" t="s">
        <v>13149</v>
      </c>
      <c r="S2351" s="1" t="s">
        <v>13150</v>
      </c>
      <c r="T2351" s="1" t="s">
        <v>5281</v>
      </c>
      <c r="U2351" s="1" t="s">
        <v>13151</v>
      </c>
    </row>
    <row r="2352" customFormat="false" ht="13.8" hidden="false" customHeight="false" outlineLevel="0" collapsed="false">
      <c r="A2352" s="1" t="n">
        <v>2351</v>
      </c>
      <c r="B2352" s="2" t="s">
        <v>13152</v>
      </c>
      <c r="C2352" s="1" t="n">
        <v>19</v>
      </c>
      <c r="D2352" s="1" t="n">
        <v>22</v>
      </c>
      <c r="E2352" s="1" t="n">
        <v>35</v>
      </c>
      <c r="F2352" s="1" t="n">
        <v>41</v>
      </c>
      <c r="G2352" s="1" t="n">
        <v>47</v>
      </c>
      <c r="H2352" s="1" t="n">
        <v>49</v>
      </c>
      <c r="I2352" s="1" t="str">
        <f aca="false">RIGHT(("0"&amp;C2352),2)&amp;RIGHT(("0"&amp;D2352),2)&amp;RIGHT(("0"&amp;E2352),2)&amp;RIGHT(("0"&amp;F2352),2)&amp;RIGHT(("0"&amp;G2352),2)&amp;RIGHT(("0"&amp;H2352),2)</f>
        <v>192235414749</v>
      </c>
      <c r="J2352" s="1" t="n">
        <f aca="false">COUNTIF(I:I,I2352)</f>
        <v>1</v>
      </c>
      <c r="K2352" s="1" t="n">
        <v>0</v>
      </c>
      <c r="M2352" s="1" t="s">
        <v>23</v>
      </c>
      <c r="N2352" s="1" t="n">
        <v>72</v>
      </c>
      <c r="O2352" s="1" t="s">
        <v>13153</v>
      </c>
      <c r="P2352" s="1" t="n">
        <v>4604</v>
      </c>
      <c r="Q2352" s="1" t="s">
        <v>13154</v>
      </c>
      <c r="R2352" s="1" t="s">
        <v>13155</v>
      </c>
      <c r="S2352" s="1" t="s">
        <v>13156</v>
      </c>
      <c r="T2352" s="1" t="s">
        <v>4935</v>
      </c>
      <c r="U2352" s="1" t="s">
        <v>13157</v>
      </c>
    </row>
    <row r="2353" customFormat="false" ht="13.8" hidden="false" customHeight="false" outlineLevel="0" collapsed="false">
      <c r="A2353" s="1" t="n">
        <v>2352</v>
      </c>
      <c r="B2353" s="2" t="s">
        <v>13158</v>
      </c>
      <c r="C2353" s="1" t="n">
        <v>9</v>
      </c>
      <c r="D2353" s="1" t="n">
        <v>17</v>
      </c>
      <c r="E2353" s="1" t="n">
        <v>38</v>
      </c>
      <c r="F2353" s="1" t="n">
        <v>41</v>
      </c>
      <c r="G2353" s="1" t="n">
        <v>49</v>
      </c>
      <c r="H2353" s="1" t="n">
        <v>55</v>
      </c>
      <c r="I2353" s="1" t="str">
        <f aca="false">RIGHT(("0"&amp;C2353),2)&amp;RIGHT(("0"&amp;D2353),2)&amp;RIGHT(("0"&amp;E2353),2)&amp;RIGHT(("0"&amp;F2353),2)&amp;RIGHT(("0"&amp;G2353),2)&amp;RIGHT(("0"&amp;H2353),2)</f>
        <v>091738414955</v>
      </c>
      <c r="J2353" s="1" t="n">
        <f aca="false">COUNTIF(I:I,I2353)</f>
        <v>1</v>
      </c>
      <c r="K2353" s="1" t="n">
        <v>0</v>
      </c>
      <c r="M2353" s="1" t="s">
        <v>23</v>
      </c>
      <c r="N2353" s="1" t="n">
        <v>102</v>
      </c>
      <c r="O2353" s="1" t="s">
        <v>13159</v>
      </c>
      <c r="P2353" s="1" t="n">
        <v>5124</v>
      </c>
      <c r="Q2353" s="1" t="s">
        <v>13160</v>
      </c>
      <c r="R2353" s="1" t="s">
        <v>13161</v>
      </c>
      <c r="S2353" s="1" t="s">
        <v>13162</v>
      </c>
      <c r="T2353" s="1" t="s">
        <v>4309</v>
      </c>
      <c r="U2353" s="1" t="s">
        <v>13163</v>
      </c>
    </row>
    <row r="2354" customFormat="false" ht="13.8" hidden="false" customHeight="false" outlineLevel="0" collapsed="false">
      <c r="A2354" s="1" t="n">
        <v>2353</v>
      </c>
      <c r="B2354" s="2" t="s">
        <v>13164</v>
      </c>
      <c r="C2354" s="1" t="n">
        <v>3</v>
      </c>
      <c r="D2354" s="1" t="n">
        <v>19</v>
      </c>
      <c r="E2354" s="1" t="n">
        <v>34</v>
      </c>
      <c r="F2354" s="1" t="n">
        <v>41</v>
      </c>
      <c r="G2354" s="1" t="n">
        <v>48</v>
      </c>
      <c r="H2354" s="1" t="n">
        <v>53</v>
      </c>
      <c r="I2354" s="1" t="str">
        <f aca="false">RIGHT(("0"&amp;C2354),2)&amp;RIGHT(("0"&amp;D2354),2)&amp;RIGHT(("0"&amp;E2354),2)&amp;RIGHT(("0"&amp;F2354),2)&amp;RIGHT(("0"&amp;G2354),2)&amp;RIGHT(("0"&amp;H2354),2)</f>
        <v>031934414853</v>
      </c>
      <c r="J2354" s="1" t="n">
        <f aca="false">COUNTIF(I:I,I2354)</f>
        <v>1</v>
      </c>
      <c r="K2354" s="1" t="n">
        <v>0</v>
      </c>
      <c r="M2354" s="1" t="s">
        <v>23</v>
      </c>
      <c r="N2354" s="1" t="n">
        <v>71</v>
      </c>
      <c r="O2354" s="1" t="s">
        <v>13165</v>
      </c>
      <c r="P2354" s="1" t="n">
        <v>5457</v>
      </c>
      <c r="Q2354" s="1" t="s">
        <v>13166</v>
      </c>
      <c r="R2354" s="1" t="s">
        <v>13167</v>
      </c>
      <c r="S2354" s="1" t="s">
        <v>13168</v>
      </c>
      <c r="T2354" s="1" t="s">
        <v>4314</v>
      </c>
      <c r="U2354" s="1" t="s">
        <v>13169</v>
      </c>
    </row>
    <row r="2355" customFormat="false" ht="13.8" hidden="false" customHeight="false" outlineLevel="0" collapsed="false">
      <c r="A2355" s="1" t="n">
        <v>2354</v>
      </c>
      <c r="B2355" s="2" t="s">
        <v>13170</v>
      </c>
      <c r="C2355" s="1" t="n">
        <v>6</v>
      </c>
      <c r="D2355" s="1" t="n">
        <v>18</v>
      </c>
      <c r="E2355" s="1" t="n">
        <v>25</v>
      </c>
      <c r="F2355" s="1" t="n">
        <v>30</v>
      </c>
      <c r="G2355" s="1" t="n">
        <v>42</v>
      </c>
      <c r="H2355" s="1" t="n">
        <v>54</v>
      </c>
      <c r="I2355" s="1" t="str">
        <f aca="false">RIGHT(("0"&amp;C2355),2)&amp;RIGHT(("0"&amp;D2355),2)&amp;RIGHT(("0"&amp;E2355),2)&amp;RIGHT(("0"&amp;F2355),2)&amp;RIGHT(("0"&amp;G2355),2)&amp;RIGHT(("0"&amp;H2355),2)</f>
        <v>061825304254</v>
      </c>
      <c r="J2355" s="1" t="n">
        <f aca="false">COUNTIF(I:I,I2355)</f>
        <v>1</v>
      </c>
      <c r="K2355" s="1" t="n">
        <v>2</v>
      </c>
      <c r="L2355" s="1" t="s">
        <v>12490</v>
      </c>
      <c r="M2355" s="1" t="s">
        <v>13171</v>
      </c>
      <c r="N2355" s="1" t="n">
        <v>169</v>
      </c>
      <c r="O2355" s="1" t="s">
        <v>13172</v>
      </c>
      <c r="P2355" s="1" t="n">
        <v>6593</v>
      </c>
      <c r="Q2355" s="1" t="s">
        <v>13173</v>
      </c>
      <c r="R2355" s="1" t="s">
        <v>13174</v>
      </c>
      <c r="S2355" s="1" t="s">
        <v>13175</v>
      </c>
      <c r="T2355" s="1" t="s">
        <v>4246</v>
      </c>
      <c r="U2355" s="1" t="s">
        <v>13176</v>
      </c>
    </row>
    <row r="2356" customFormat="false" ht="13.8" hidden="false" customHeight="false" outlineLevel="0" collapsed="false">
      <c r="A2356" s="1" t="n">
        <v>2355</v>
      </c>
      <c r="B2356" s="2" t="s">
        <v>13177</v>
      </c>
      <c r="C2356" s="1" t="n">
        <v>7</v>
      </c>
      <c r="D2356" s="1" t="n">
        <v>30</v>
      </c>
      <c r="E2356" s="1" t="n">
        <v>31</v>
      </c>
      <c r="F2356" s="1" t="n">
        <v>41</v>
      </c>
      <c r="G2356" s="1" t="n">
        <v>50</v>
      </c>
      <c r="H2356" s="1" t="n">
        <v>56</v>
      </c>
      <c r="I2356" s="1" t="str">
        <f aca="false">RIGHT(("0"&amp;C2356),2)&amp;RIGHT(("0"&amp;D2356),2)&amp;RIGHT(("0"&amp;E2356),2)&amp;RIGHT(("0"&amp;F2356),2)&amp;RIGHT(("0"&amp;G2356),2)&amp;RIGHT(("0"&amp;H2356),2)</f>
        <v>073031415056</v>
      </c>
      <c r="J2356" s="1" t="n">
        <f aca="false">COUNTIF(I:I,I2356)</f>
        <v>1</v>
      </c>
      <c r="K2356" s="1" t="n">
        <v>0</v>
      </c>
      <c r="M2356" s="1" t="s">
        <v>23</v>
      </c>
      <c r="N2356" s="1" t="n">
        <v>29</v>
      </c>
      <c r="O2356" s="1" t="s">
        <v>13178</v>
      </c>
      <c r="P2356" s="1" t="n">
        <v>2014</v>
      </c>
      <c r="Q2356" s="1" t="s">
        <v>13179</v>
      </c>
      <c r="R2356" s="1" t="s">
        <v>13180</v>
      </c>
      <c r="S2356" s="1" t="s">
        <v>13181</v>
      </c>
      <c r="T2356" s="1" t="s">
        <v>5281</v>
      </c>
      <c r="U2356" s="1" t="s">
        <v>13182</v>
      </c>
    </row>
    <row r="2357" customFormat="false" ht="13.8" hidden="false" customHeight="false" outlineLevel="0" collapsed="false">
      <c r="A2357" s="1" t="n">
        <v>2356</v>
      </c>
      <c r="B2357" s="2" t="s">
        <v>13183</v>
      </c>
      <c r="C2357" s="1" t="n">
        <v>3</v>
      </c>
      <c r="D2357" s="1" t="n">
        <v>10</v>
      </c>
      <c r="E2357" s="1" t="n">
        <v>25</v>
      </c>
      <c r="F2357" s="1" t="n">
        <v>36</v>
      </c>
      <c r="G2357" s="1" t="n">
        <v>51</v>
      </c>
      <c r="H2357" s="1" t="n">
        <v>58</v>
      </c>
      <c r="I2357" s="1" t="str">
        <f aca="false">RIGHT(("0"&amp;C2357),2)&amp;RIGHT(("0"&amp;D2357),2)&amp;RIGHT(("0"&amp;E2357),2)&amp;RIGHT(("0"&amp;F2357),2)&amp;RIGHT(("0"&amp;G2357),2)&amp;RIGHT(("0"&amp;H2357),2)</f>
        <v>031025365158</v>
      </c>
      <c r="J2357" s="1" t="n">
        <f aca="false">COUNTIF(I:I,I2357)</f>
        <v>1</v>
      </c>
      <c r="K2357" s="1" t="n">
        <v>1</v>
      </c>
      <c r="L2357" s="1" t="s">
        <v>12490</v>
      </c>
      <c r="M2357" s="1" t="s">
        <v>13184</v>
      </c>
      <c r="N2357" s="1" t="n">
        <v>100</v>
      </c>
      <c r="O2357" s="1" t="s">
        <v>13185</v>
      </c>
      <c r="P2357" s="1" t="n">
        <v>5821</v>
      </c>
      <c r="Q2357" s="1" t="s">
        <v>13186</v>
      </c>
      <c r="R2357" s="1" t="s">
        <v>23</v>
      </c>
      <c r="S2357" s="1" t="s">
        <v>13187</v>
      </c>
      <c r="T2357" s="1" t="s">
        <v>4256</v>
      </c>
      <c r="U2357" s="1" t="s">
        <v>13188</v>
      </c>
    </row>
    <row r="2358" customFormat="false" ht="13.8" hidden="false" customHeight="false" outlineLevel="0" collapsed="false">
      <c r="A2358" s="1" t="n">
        <v>2357</v>
      </c>
      <c r="B2358" s="2" t="s">
        <v>13189</v>
      </c>
      <c r="C2358" s="1" t="n">
        <v>19</v>
      </c>
      <c r="D2358" s="1" t="n">
        <v>28</v>
      </c>
      <c r="E2358" s="1" t="n">
        <v>30</v>
      </c>
      <c r="F2358" s="1" t="n">
        <v>34</v>
      </c>
      <c r="G2358" s="1" t="n">
        <v>40</v>
      </c>
      <c r="H2358" s="1" t="n">
        <v>51</v>
      </c>
      <c r="I2358" s="1" t="str">
        <f aca="false">RIGHT(("0"&amp;C2358),2)&amp;RIGHT(("0"&amp;D2358),2)&amp;RIGHT(("0"&amp;E2358),2)&amp;RIGHT(("0"&amp;F2358),2)&amp;RIGHT(("0"&amp;G2358),2)&amp;RIGHT(("0"&amp;H2358),2)</f>
        <v>192830344051</v>
      </c>
      <c r="J2358" s="1" t="n">
        <f aca="false">COUNTIF(I:I,I2358)</f>
        <v>1</v>
      </c>
      <c r="K2358" s="1" t="n">
        <v>0</v>
      </c>
      <c r="M2358" s="1" t="s">
        <v>23</v>
      </c>
      <c r="N2358" s="1" t="n">
        <v>18</v>
      </c>
      <c r="O2358" s="1" t="s">
        <v>13190</v>
      </c>
      <c r="P2358" s="1" t="n">
        <v>1287</v>
      </c>
      <c r="Q2358" s="1" t="s">
        <v>13191</v>
      </c>
      <c r="R2358" s="1" t="s">
        <v>13192</v>
      </c>
      <c r="S2358" s="1" t="s">
        <v>13193</v>
      </c>
      <c r="T2358" s="1" t="s">
        <v>4342</v>
      </c>
      <c r="U2358" s="1" t="s">
        <v>13194</v>
      </c>
    </row>
    <row r="2359" customFormat="false" ht="13.8" hidden="false" customHeight="false" outlineLevel="0" collapsed="false">
      <c r="A2359" s="1" t="n">
        <v>2358</v>
      </c>
      <c r="B2359" s="2" t="s">
        <v>13195</v>
      </c>
      <c r="C2359" s="1" t="n">
        <v>5</v>
      </c>
      <c r="D2359" s="1" t="n">
        <v>9</v>
      </c>
      <c r="E2359" s="1" t="n">
        <v>11</v>
      </c>
      <c r="F2359" s="1" t="n">
        <v>16</v>
      </c>
      <c r="G2359" s="1" t="n">
        <v>43</v>
      </c>
      <c r="H2359" s="1" t="n">
        <v>57</v>
      </c>
      <c r="I2359" s="1" t="str">
        <f aca="false">RIGHT(("0"&amp;C2359),2)&amp;RIGHT(("0"&amp;D2359),2)&amp;RIGHT(("0"&amp;E2359),2)&amp;RIGHT(("0"&amp;F2359),2)&amp;RIGHT(("0"&amp;G2359),2)&amp;RIGHT(("0"&amp;H2359),2)</f>
        <v>050911164357</v>
      </c>
      <c r="J2359" s="1" t="n">
        <f aca="false">COUNTIF(I:I,I2359)</f>
        <v>1</v>
      </c>
      <c r="K2359" s="1" t="n">
        <v>0</v>
      </c>
      <c r="M2359" s="1" t="s">
        <v>23</v>
      </c>
      <c r="N2359" s="1" t="n">
        <v>66</v>
      </c>
      <c r="O2359" s="1" t="s">
        <v>13196</v>
      </c>
      <c r="P2359" s="1" t="n">
        <v>3627</v>
      </c>
      <c r="Q2359" s="1" t="s">
        <v>13197</v>
      </c>
      <c r="R2359" s="1" t="s">
        <v>13198</v>
      </c>
      <c r="S2359" s="1" t="s">
        <v>13199</v>
      </c>
      <c r="T2359" s="1" t="s">
        <v>4347</v>
      </c>
      <c r="U2359" s="1" t="s">
        <v>13200</v>
      </c>
    </row>
    <row r="2360" customFormat="false" ht="13.8" hidden="false" customHeight="false" outlineLevel="0" collapsed="false">
      <c r="A2360" s="1" t="n">
        <v>2359</v>
      </c>
      <c r="B2360" s="2" t="s">
        <v>13201</v>
      </c>
      <c r="C2360" s="1" t="n">
        <v>31</v>
      </c>
      <c r="D2360" s="1" t="n">
        <v>32</v>
      </c>
      <c r="E2360" s="1" t="n">
        <v>39</v>
      </c>
      <c r="F2360" s="1" t="n">
        <v>42</v>
      </c>
      <c r="G2360" s="1" t="n">
        <v>43</v>
      </c>
      <c r="H2360" s="1" t="n">
        <v>51</v>
      </c>
      <c r="I2360" s="1" t="str">
        <f aca="false">RIGHT(("0"&amp;C2360),2)&amp;RIGHT(("0"&amp;D2360),2)&amp;RIGHT(("0"&amp;E2360),2)&amp;RIGHT(("0"&amp;F2360),2)&amp;RIGHT(("0"&amp;G2360),2)&amp;RIGHT(("0"&amp;H2360),2)</f>
        <v>313239424351</v>
      </c>
      <c r="J2360" s="1" t="n">
        <f aca="false">COUNTIF(I:I,I2360)</f>
        <v>1</v>
      </c>
      <c r="K2360" s="1" t="n">
        <v>0</v>
      </c>
      <c r="M2360" s="1" t="s">
        <v>23</v>
      </c>
      <c r="N2360" s="1" t="n">
        <v>17</v>
      </c>
      <c r="O2360" s="1" t="s">
        <v>13202</v>
      </c>
      <c r="P2360" s="1" t="n">
        <v>1053</v>
      </c>
      <c r="Q2360" s="1" t="s">
        <v>13203</v>
      </c>
      <c r="R2360" s="1" t="s">
        <v>13204</v>
      </c>
      <c r="S2360" s="1" t="s">
        <v>13205</v>
      </c>
      <c r="T2360" s="1" t="s">
        <v>4246</v>
      </c>
      <c r="U2360" s="1" t="s">
        <v>13206</v>
      </c>
    </row>
    <row r="2361" customFormat="false" ht="13.8" hidden="false" customHeight="false" outlineLevel="0" collapsed="false">
      <c r="A2361" s="1" t="n">
        <v>2360</v>
      </c>
      <c r="B2361" s="2" t="s">
        <v>13207</v>
      </c>
      <c r="C2361" s="1" t="n">
        <v>10</v>
      </c>
      <c r="D2361" s="1" t="n">
        <v>15</v>
      </c>
      <c r="E2361" s="1" t="n">
        <v>21</v>
      </c>
      <c r="F2361" s="1" t="n">
        <v>24</v>
      </c>
      <c r="G2361" s="1" t="n">
        <v>29</v>
      </c>
      <c r="H2361" s="1" t="n">
        <v>45</v>
      </c>
      <c r="I2361" s="1" t="str">
        <f aca="false">RIGHT(("0"&amp;C2361),2)&amp;RIGHT(("0"&amp;D2361),2)&amp;RIGHT(("0"&amp;E2361),2)&amp;RIGHT(("0"&amp;F2361),2)&amp;RIGHT(("0"&amp;G2361),2)&amp;RIGHT(("0"&amp;H2361),2)</f>
        <v>101521242945</v>
      </c>
      <c r="J2361" s="1" t="n">
        <f aca="false">COUNTIF(I:I,I2361)</f>
        <v>1</v>
      </c>
      <c r="K2361" s="1" t="n">
        <v>0</v>
      </c>
      <c r="M2361" s="1" t="s">
        <v>23</v>
      </c>
      <c r="N2361" s="1" t="n">
        <v>36</v>
      </c>
      <c r="O2361" s="1" t="s">
        <v>13208</v>
      </c>
      <c r="P2361" s="1" t="n">
        <v>3646</v>
      </c>
      <c r="Q2361" s="1" t="s">
        <v>13209</v>
      </c>
      <c r="R2361" s="1" t="s">
        <v>13210</v>
      </c>
      <c r="S2361" s="1" t="s">
        <v>13211</v>
      </c>
      <c r="T2361" s="1" t="s">
        <v>5281</v>
      </c>
      <c r="U2361" s="1" t="s">
        <v>13212</v>
      </c>
    </row>
    <row r="2362" customFormat="false" ht="13.8" hidden="false" customHeight="false" outlineLevel="0" collapsed="false">
      <c r="A2362" s="1" t="n">
        <v>2361</v>
      </c>
      <c r="B2362" s="2" t="s">
        <v>13213</v>
      </c>
      <c r="C2362" s="1" t="n">
        <v>14</v>
      </c>
      <c r="D2362" s="1" t="n">
        <v>21</v>
      </c>
      <c r="E2362" s="1" t="n">
        <v>22</v>
      </c>
      <c r="F2362" s="1" t="n">
        <v>29</v>
      </c>
      <c r="G2362" s="1" t="n">
        <v>35</v>
      </c>
      <c r="H2362" s="1" t="n">
        <v>46</v>
      </c>
      <c r="I2362" s="1" t="str">
        <f aca="false">RIGHT(("0"&amp;C2362),2)&amp;RIGHT(("0"&amp;D2362),2)&amp;RIGHT(("0"&amp;E2362),2)&amp;RIGHT(("0"&amp;F2362),2)&amp;RIGHT(("0"&amp;G2362),2)&amp;RIGHT(("0"&amp;H2362),2)</f>
        <v>142122293546</v>
      </c>
      <c r="J2362" s="1" t="n">
        <f aca="false">COUNTIF(I:I,I2362)</f>
        <v>1</v>
      </c>
      <c r="K2362" s="1" t="n">
        <v>0</v>
      </c>
      <c r="M2362" s="1" t="s">
        <v>23</v>
      </c>
      <c r="N2362" s="1" t="n">
        <v>61</v>
      </c>
      <c r="O2362" s="1" t="s">
        <v>13214</v>
      </c>
      <c r="P2362" s="1" t="n">
        <v>3782</v>
      </c>
      <c r="Q2362" s="1" t="s">
        <v>13215</v>
      </c>
      <c r="R2362" s="1" t="s">
        <v>13216</v>
      </c>
      <c r="S2362" s="1" t="s">
        <v>13217</v>
      </c>
      <c r="T2362" s="1" t="s">
        <v>4304</v>
      </c>
      <c r="U2362" s="1" t="s">
        <v>13218</v>
      </c>
    </row>
    <row r="2363" customFormat="false" ht="13.8" hidden="false" customHeight="false" outlineLevel="0" collapsed="false">
      <c r="A2363" s="1" t="n">
        <v>2362</v>
      </c>
      <c r="B2363" s="2" t="s">
        <v>13219</v>
      </c>
      <c r="C2363" s="1" t="n">
        <v>3</v>
      </c>
      <c r="D2363" s="1" t="n">
        <v>20</v>
      </c>
      <c r="E2363" s="1" t="n">
        <v>22</v>
      </c>
      <c r="F2363" s="1" t="n">
        <v>32</v>
      </c>
      <c r="G2363" s="1" t="n">
        <v>35</v>
      </c>
      <c r="H2363" s="1" t="n">
        <v>50</v>
      </c>
      <c r="I2363" s="1" t="str">
        <f aca="false">RIGHT(("0"&amp;C2363),2)&amp;RIGHT(("0"&amp;D2363),2)&amp;RIGHT(("0"&amp;E2363),2)&amp;RIGHT(("0"&amp;F2363),2)&amp;RIGHT(("0"&amp;G2363),2)&amp;RIGHT(("0"&amp;H2363),2)</f>
        <v>032022323550</v>
      </c>
      <c r="J2363" s="1" t="n">
        <f aca="false">COUNTIF(I:I,I2363)</f>
        <v>1</v>
      </c>
      <c r="K2363" s="1" t="n">
        <v>0</v>
      </c>
      <c r="M2363" s="1" t="s">
        <v>23</v>
      </c>
      <c r="N2363" s="1" t="n">
        <v>41</v>
      </c>
      <c r="O2363" s="1" t="s">
        <v>13220</v>
      </c>
      <c r="P2363" s="1" t="n">
        <v>3883</v>
      </c>
      <c r="Q2363" s="1" t="s">
        <v>13221</v>
      </c>
      <c r="R2363" s="1" t="s">
        <v>13222</v>
      </c>
      <c r="S2363" s="1" t="s">
        <v>13223</v>
      </c>
      <c r="T2363" s="1" t="s">
        <v>4309</v>
      </c>
      <c r="U2363" s="1" t="s">
        <v>13224</v>
      </c>
    </row>
    <row r="2364" customFormat="false" ht="13.8" hidden="false" customHeight="false" outlineLevel="0" collapsed="false">
      <c r="A2364" s="1" t="n">
        <v>2363</v>
      </c>
      <c r="B2364" s="2" t="s">
        <v>13225</v>
      </c>
      <c r="C2364" s="1" t="n">
        <v>6</v>
      </c>
      <c r="D2364" s="1" t="n">
        <v>14</v>
      </c>
      <c r="E2364" s="1" t="n">
        <v>24</v>
      </c>
      <c r="F2364" s="1" t="n">
        <v>34</v>
      </c>
      <c r="G2364" s="1" t="n">
        <v>39</v>
      </c>
      <c r="H2364" s="1" t="n">
        <v>58</v>
      </c>
      <c r="I2364" s="1" t="str">
        <f aca="false">RIGHT(("0"&amp;C2364),2)&amp;RIGHT(("0"&amp;D2364),2)&amp;RIGHT(("0"&amp;E2364),2)&amp;RIGHT(("0"&amp;F2364),2)&amp;RIGHT(("0"&amp;G2364),2)&amp;RIGHT(("0"&amp;H2364),2)</f>
        <v>061424343958</v>
      </c>
      <c r="J2364" s="1" t="n">
        <f aca="false">COUNTIF(I:I,I2364)</f>
        <v>1</v>
      </c>
      <c r="K2364" s="1" t="n">
        <v>1</v>
      </c>
      <c r="L2364" s="1" t="s">
        <v>12247</v>
      </c>
      <c r="M2364" s="1" t="s">
        <v>13226</v>
      </c>
      <c r="N2364" s="1" t="n">
        <v>77</v>
      </c>
      <c r="O2364" s="1" t="s">
        <v>13227</v>
      </c>
      <c r="P2364" s="1" t="n">
        <v>5169</v>
      </c>
      <c r="Q2364" s="1" t="s">
        <v>13228</v>
      </c>
      <c r="R2364" s="1" t="s">
        <v>23</v>
      </c>
      <c r="S2364" s="1" t="s">
        <v>13229</v>
      </c>
      <c r="T2364" s="1" t="s">
        <v>4256</v>
      </c>
      <c r="U2364" s="1" t="s">
        <v>13230</v>
      </c>
    </row>
    <row r="2365" customFormat="false" ht="13.8" hidden="false" customHeight="false" outlineLevel="0" collapsed="false">
      <c r="A2365" s="1" t="n">
        <v>2364</v>
      </c>
      <c r="B2365" s="2" t="s">
        <v>13231</v>
      </c>
      <c r="C2365" s="1" t="n">
        <v>20</v>
      </c>
      <c r="D2365" s="1" t="n">
        <v>33</v>
      </c>
      <c r="E2365" s="1" t="n">
        <v>42</v>
      </c>
      <c r="F2365" s="1" t="n">
        <v>44</v>
      </c>
      <c r="G2365" s="1" t="n">
        <v>51</v>
      </c>
      <c r="H2365" s="1" t="n">
        <v>56</v>
      </c>
      <c r="I2365" s="1" t="str">
        <f aca="false">RIGHT(("0"&amp;C2365),2)&amp;RIGHT(("0"&amp;D2365),2)&amp;RIGHT(("0"&amp;E2365),2)&amp;RIGHT(("0"&amp;F2365),2)&amp;RIGHT(("0"&amp;G2365),2)&amp;RIGHT(("0"&amp;H2365),2)</f>
        <v>203342445156</v>
      </c>
      <c r="J2365" s="1" t="n">
        <f aca="false">COUNTIF(I:I,I2365)</f>
        <v>1</v>
      </c>
      <c r="K2365" s="1" t="n">
        <v>0</v>
      </c>
      <c r="M2365" s="1" t="s">
        <v>23</v>
      </c>
      <c r="N2365" s="1" t="n">
        <v>180</v>
      </c>
      <c r="O2365" s="1" t="s">
        <v>13232</v>
      </c>
      <c r="P2365" s="1" t="n">
        <v>1719</v>
      </c>
      <c r="Q2365" s="1" t="s">
        <v>13233</v>
      </c>
      <c r="R2365" s="1" t="s">
        <v>13234</v>
      </c>
      <c r="S2365" s="1" t="s">
        <v>13235</v>
      </c>
      <c r="T2365" s="1" t="s">
        <v>4246</v>
      </c>
      <c r="U2365" s="1" t="s">
        <v>13236</v>
      </c>
    </row>
    <row r="2366" customFormat="false" ht="13.8" hidden="false" customHeight="false" outlineLevel="0" collapsed="false">
      <c r="A2366" s="1" t="n">
        <v>2365</v>
      </c>
      <c r="B2366" s="2" t="s">
        <v>13237</v>
      </c>
      <c r="C2366" s="1" t="n">
        <v>1</v>
      </c>
      <c r="D2366" s="1" t="n">
        <v>17</v>
      </c>
      <c r="E2366" s="1" t="n">
        <v>28</v>
      </c>
      <c r="F2366" s="1" t="n">
        <v>37</v>
      </c>
      <c r="G2366" s="1" t="n">
        <v>44</v>
      </c>
      <c r="H2366" s="1" t="n">
        <v>50</v>
      </c>
      <c r="I2366" s="1" t="str">
        <f aca="false">RIGHT(("0"&amp;C2366),2)&amp;RIGHT(("0"&amp;D2366),2)&amp;RIGHT(("0"&amp;E2366),2)&amp;RIGHT(("0"&amp;F2366),2)&amp;RIGHT(("0"&amp;G2366),2)&amp;RIGHT(("0"&amp;H2366),2)</f>
        <v>011728374450</v>
      </c>
      <c r="J2366" s="1" t="n">
        <f aca="false">COUNTIF(I:I,I2366)</f>
        <v>1</v>
      </c>
      <c r="K2366" s="1" t="n">
        <v>0</v>
      </c>
      <c r="M2366" s="1" t="s">
        <v>23</v>
      </c>
      <c r="N2366" s="1" t="n">
        <v>40</v>
      </c>
      <c r="O2366" s="1" t="s">
        <v>13238</v>
      </c>
      <c r="P2366" s="1" t="n">
        <v>2940</v>
      </c>
      <c r="Q2366" s="1" t="s">
        <v>13239</v>
      </c>
      <c r="R2366" s="1" t="s">
        <v>13240</v>
      </c>
      <c r="S2366" s="1" t="s">
        <v>13241</v>
      </c>
      <c r="T2366" s="1" t="s">
        <v>5242</v>
      </c>
      <c r="U2366" s="1" t="s">
        <v>13242</v>
      </c>
    </row>
    <row r="2367" customFormat="false" ht="13.8" hidden="false" customHeight="false" outlineLevel="0" collapsed="false">
      <c r="A2367" s="1" t="n">
        <v>2366</v>
      </c>
      <c r="B2367" s="2" t="s">
        <v>13243</v>
      </c>
      <c r="C2367" s="1" t="n">
        <v>4</v>
      </c>
      <c r="D2367" s="1" t="n">
        <v>27</v>
      </c>
      <c r="E2367" s="1" t="n">
        <v>33</v>
      </c>
      <c r="F2367" s="1" t="n">
        <v>35</v>
      </c>
      <c r="G2367" s="1" t="n">
        <v>38</v>
      </c>
      <c r="H2367" s="1" t="n">
        <v>41</v>
      </c>
      <c r="I2367" s="1" t="str">
        <f aca="false">RIGHT(("0"&amp;C2367),2)&amp;RIGHT(("0"&amp;D2367),2)&amp;RIGHT(("0"&amp;E2367),2)&amp;RIGHT(("0"&amp;F2367),2)&amp;RIGHT(("0"&amp;G2367),2)&amp;RIGHT(("0"&amp;H2367),2)</f>
        <v>042733353841</v>
      </c>
      <c r="J2367" s="1" t="n">
        <f aca="false">COUNTIF(I:I,I2367)</f>
        <v>1</v>
      </c>
      <c r="K2367" s="1" t="n">
        <v>0</v>
      </c>
      <c r="M2367" s="1" t="s">
        <v>23</v>
      </c>
      <c r="N2367" s="1" t="n">
        <v>76</v>
      </c>
      <c r="O2367" s="1" t="s">
        <v>13244</v>
      </c>
      <c r="P2367" s="1" t="n">
        <v>4869</v>
      </c>
      <c r="Q2367" s="1" t="s">
        <v>13245</v>
      </c>
      <c r="R2367" s="1" t="s">
        <v>13246</v>
      </c>
      <c r="S2367" s="1" t="s">
        <v>13247</v>
      </c>
      <c r="T2367" s="1" t="s">
        <v>5686</v>
      </c>
      <c r="U2367" s="1" t="s">
        <v>13248</v>
      </c>
    </row>
    <row r="2368" customFormat="false" ht="13.8" hidden="false" customHeight="false" outlineLevel="0" collapsed="false">
      <c r="A2368" s="1" t="n">
        <v>2367</v>
      </c>
      <c r="B2368" s="2" t="s">
        <v>13249</v>
      </c>
      <c r="C2368" s="1" t="n">
        <v>5</v>
      </c>
      <c r="D2368" s="1" t="n">
        <v>23</v>
      </c>
      <c r="E2368" s="1" t="n">
        <v>29</v>
      </c>
      <c r="F2368" s="1" t="n">
        <v>34</v>
      </c>
      <c r="G2368" s="1" t="n">
        <v>53</v>
      </c>
      <c r="H2368" s="1" t="n">
        <v>60</v>
      </c>
      <c r="I2368" s="1" t="str">
        <f aca="false">RIGHT(("0"&amp;C2368),2)&amp;RIGHT(("0"&amp;D2368),2)&amp;RIGHT(("0"&amp;E2368),2)&amp;RIGHT(("0"&amp;F2368),2)&amp;RIGHT(("0"&amp;G2368),2)&amp;RIGHT(("0"&amp;H2368),2)</f>
        <v>052329345360</v>
      </c>
      <c r="J2368" s="1" t="n">
        <f aca="false">COUNTIF(I:I,I2368)</f>
        <v>1</v>
      </c>
      <c r="K2368" s="1" t="n">
        <v>0</v>
      </c>
      <c r="M2368" s="1" t="s">
        <v>23</v>
      </c>
      <c r="N2368" s="1" t="n">
        <v>63</v>
      </c>
      <c r="O2368" s="1" t="s">
        <v>13250</v>
      </c>
      <c r="P2368" s="1" t="n">
        <v>4551</v>
      </c>
      <c r="Q2368" s="1" t="s">
        <v>13251</v>
      </c>
      <c r="R2368" s="1" t="s">
        <v>13252</v>
      </c>
      <c r="S2368" s="1" t="s">
        <v>13253</v>
      </c>
      <c r="T2368" s="1" t="s">
        <v>5294</v>
      </c>
      <c r="U2368" s="1" t="s">
        <v>13254</v>
      </c>
    </row>
    <row r="2369" customFormat="false" ht="13.8" hidden="false" customHeight="false" outlineLevel="0" collapsed="false">
      <c r="A2369" s="1" t="n">
        <v>2368</v>
      </c>
      <c r="B2369" s="2" t="s">
        <v>13255</v>
      </c>
      <c r="C2369" s="1" t="n">
        <v>4</v>
      </c>
      <c r="D2369" s="1" t="n">
        <v>7</v>
      </c>
      <c r="E2369" s="1" t="n">
        <v>13</v>
      </c>
      <c r="F2369" s="1" t="n">
        <v>25</v>
      </c>
      <c r="G2369" s="1" t="n">
        <v>36</v>
      </c>
      <c r="H2369" s="1" t="n">
        <v>58</v>
      </c>
      <c r="I2369" s="1" t="str">
        <f aca="false">RIGHT(("0"&amp;C2369),2)&amp;RIGHT(("0"&amp;D2369),2)&amp;RIGHT(("0"&amp;E2369),2)&amp;RIGHT(("0"&amp;F2369),2)&amp;RIGHT(("0"&amp;G2369),2)&amp;RIGHT(("0"&amp;H2369),2)</f>
        <v>040713253658</v>
      </c>
      <c r="J2369" s="1" t="n">
        <f aca="false">COUNTIF(I:I,I2369)</f>
        <v>1</v>
      </c>
      <c r="K2369" s="1" t="n">
        <v>1</v>
      </c>
      <c r="L2369" s="1" t="s">
        <v>13256</v>
      </c>
      <c r="M2369" s="1" t="s">
        <v>13257</v>
      </c>
      <c r="N2369" s="1" t="n">
        <v>152</v>
      </c>
      <c r="O2369" s="1" t="s">
        <v>13258</v>
      </c>
      <c r="P2369" s="1" t="n">
        <v>7476</v>
      </c>
      <c r="Q2369" s="1" t="s">
        <v>13259</v>
      </c>
      <c r="R2369" s="1" t="s">
        <v>23</v>
      </c>
      <c r="S2369" s="1" t="s">
        <v>13260</v>
      </c>
      <c r="T2369" s="1" t="s">
        <v>4732</v>
      </c>
      <c r="U2369" s="1" t="s">
        <v>13261</v>
      </c>
    </row>
    <row r="2370" customFormat="false" ht="13.8" hidden="false" customHeight="false" outlineLevel="0" collapsed="false">
      <c r="A2370" s="1" t="n">
        <v>2369</v>
      </c>
      <c r="B2370" s="2" t="s">
        <v>13262</v>
      </c>
      <c r="C2370" s="1" t="n">
        <v>4</v>
      </c>
      <c r="D2370" s="1" t="n">
        <v>9</v>
      </c>
      <c r="E2370" s="1" t="n">
        <v>17</v>
      </c>
      <c r="F2370" s="1" t="n">
        <v>19</v>
      </c>
      <c r="G2370" s="1" t="n">
        <v>37</v>
      </c>
      <c r="H2370" s="1" t="n">
        <v>60</v>
      </c>
      <c r="I2370" s="1" t="str">
        <f aca="false">RIGHT(("0"&amp;C2370),2)&amp;RIGHT(("0"&amp;D2370),2)&amp;RIGHT(("0"&amp;E2370),2)&amp;RIGHT(("0"&amp;F2370),2)&amp;RIGHT(("0"&amp;G2370),2)&amp;RIGHT(("0"&amp;H2370),2)</f>
        <v>040917193760</v>
      </c>
      <c r="J2370" s="1" t="n">
        <f aca="false">COUNTIF(I:I,I2370)</f>
        <v>1</v>
      </c>
      <c r="K2370" s="1" t="n">
        <v>0</v>
      </c>
      <c r="M2370" s="1" t="s">
        <v>23</v>
      </c>
      <c r="N2370" s="1" t="n">
        <v>47</v>
      </c>
      <c r="O2370" s="1" t="s">
        <v>13263</v>
      </c>
      <c r="P2370" s="1" t="n">
        <v>3447</v>
      </c>
      <c r="Q2370" s="1" t="s">
        <v>13264</v>
      </c>
      <c r="R2370" s="1" t="s">
        <v>13265</v>
      </c>
      <c r="S2370" s="1" t="s">
        <v>13266</v>
      </c>
      <c r="T2370" s="1" t="s">
        <v>4273</v>
      </c>
      <c r="U2370" s="1" t="s">
        <v>13267</v>
      </c>
    </row>
    <row r="2371" customFormat="false" ht="13.8" hidden="false" customHeight="false" outlineLevel="0" collapsed="false">
      <c r="A2371" s="1" t="n">
        <v>2370</v>
      </c>
      <c r="B2371" s="2" t="s">
        <v>13268</v>
      </c>
      <c r="C2371" s="1" t="n">
        <v>7</v>
      </c>
      <c r="D2371" s="1" t="n">
        <v>31</v>
      </c>
      <c r="E2371" s="1" t="n">
        <v>37</v>
      </c>
      <c r="F2371" s="1" t="n">
        <v>42</v>
      </c>
      <c r="G2371" s="1" t="n">
        <v>44</v>
      </c>
      <c r="H2371" s="1" t="n">
        <v>56</v>
      </c>
      <c r="I2371" s="1" t="str">
        <f aca="false">RIGHT(("0"&amp;C2371),2)&amp;RIGHT(("0"&amp;D2371),2)&amp;RIGHT(("0"&amp;E2371),2)&amp;RIGHT(("0"&amp;F2371),2)&amp;RIGHT(("0"&amp;G2371),2)&amp;RIGHT(("0"&amp;H2371),2)</f>
        <v>073137424456</v>
      </c>
      <c r="J2371" s="1" t="n">
        <f aca="false">COUNTIF(I:I,I2371)</f>
        <v>1</v>
      </c>
      <c r="K2371" s="1" t="n">
        <v>0</v>
      </c>
      <c r="M2371" s="1" t="s">
        <v>23</v>
      </c>
      <c r="N2371" s="1" t="n">
        <v>29</v>
      </c>
      <c r="O2371" s="1" t="s">
        <v>13269</v>
      </c>
      <c r="P2371" s="1" t="n">
        <v>3835</v>
      </c>
      <c r="Q2371" s="1" t="s">
        <v>13270</v>
      </c>
      <c r="R2371" s="1" t="s">
        <v>13271</v>
      </c>
      <c r="S2371" s="1" t="s">
        <v>13272</v>
      </c>
      <c r="T2371" s="1" t="s">
        <v>5281</v>
      </c>
      <c r="U2371" s="1" t="s">
        <v>13273</v>
      </c>
    </row>
    <row r="2372" customFormat="false" ht="13.8" hidden="false" customHeight="false" outlineLevel="0" collapsed="false">
      <c r="A2372" s="1" t="n">
        <v>2371</v>
      </c>
      <c r="B2372" s="2" t="s">
        <v>13274</v>
      </c>
      <c r="C2372" s="1" t="n">
        <v>4</v>
      </c>
      <c r="D2372" s="1" t="n">
        <v>15</v>
      </c>
      <c r="E2372" s="1" t="n">
        <v>30</v>
      </c>
      <c r="F2372" s="1" t="n">
        <v>36</v>
      </c>
      <c r="G2372" s="1" t="n">
        <v>39</v>
      </c>
      <c r="H2372" s="1" t="n">
        <v>48</v>
      </c>
      <c r="I2372" s="1" t="str">
        <f aca="false">RIGHT(("0"&amp;C2372),2)&amp;RIGHT(("0"&amp;D2372),2)&amp;RIGHT(("0"&amp;E2372),2)&amp;RIGHT(("0"&amp;F2372),2)&amp;RIGHT(("0"&amp;G2372),2)&amp;RIGHT(("0"&amp;H2372),2)</f>
        <v>041530363948</v>
      </c>
      <c r="J2372" s="1" t="n">
        <f aca="false">COUNTIF(I:I,I2372)</f>
        <v>1</v>
      </c>
      <c r="K2372" s="1" t="n">
        <v>0</v>
      </c>
      <c r="M2372" s="1" t="s">
        <v>23</v>
      </c>
      <c r="N2372" s="1" t="n">
        <v>53</v>
      </c>
      <c r="O2372" s="1" t="s">
        <v>13275</v>
      </c>
      <c r="P2372" s="1" t="n">
        <v>3480</v>
      </c>
      <c r="Q2372" s="1" t="s">
        <v>13276</v>
      </c>
      <c r="R2372" s="1" t="s">
        <v>13277</v>
      </c>
      <c r="S2372" s="1" t="s">
        <v>13278</v>
      </c>
      <c r="T2372" s="1" t="s">
        <v>4304</v>
      </c>
      <c r="U2372" s="1" t="s">
        <v>13279</v>
      </c>
    </row>
    <row r="2373" customFormat="false" ht="13.8" hidden="false" customHeight="false" outlineLevel="0" collapsed="false">
      <c r="A2373" s="1" t="n">
        <v>2372</v>
      </c>
      <c r="B2373" s="2" t="s">
        <v>13280</v>
      </c>
      <c r="C2373" s="1" t="n">
        <v>3</v>
      </c>
      <c r="D2373" s="1" t="n">
        <v>19</v>
      </c>
      <c r="E2373" s="1" t="n">
        <v>25</v>
      </c>
      <c r="F2373" s="1" t="n">
        <v>44</v>
      </c>
      <c r="G2373" s="1" t="n">
        <v>46</v>
      </c>
      <c r="H2373" s="1" t="n">
        <v>57</v>
      </c>
      <c r="I2373" s="1" t="str">
        <f aca="false">RIGHT(("0"&amp;C2373),2)&amp;RIGHT(("0"&amp;D2373),2)&amp;RIGHT(("0"&amp;E2373),2)&amp;RIGHT(("0"&amp;F2373),2)&amp;RIGHT(("0"&amp;G2373),2)&amp;RIGHT(("0"&amp;H2373),2)</f>
        <v>031925444657</v>
      </c>
      <c r="J2373" s="1" t="n">
        <f aca="false">COUNTIF(I:I,I2373)</f>
        <v>1</v>
      </c>
      <c r="K2373" s="1" t="n">
        <v>0</v>
      </c>
      <c r="M2373" s="1" t="s">
        <v>23</v>
      </c>
      <c r="N2373" s="1" t="n">
        <v>128</v>
      </c>
      <c r="O2373" s="1" t="s">
        <v>13281</v>
      </c>
      <c r="P2373" s="1" t="n">
        <v>7636</v>
      </c>
      <c r="Q2373" s="1" t="s">
        <v>13282</v>
      </c>
      <c r="R2373" s="1" t="s">
        <v>13283</v>
      </c>
      <c r="S2373" s="1" t="s">
        <v>13284</v>
      </c>
      <c r="T2373" s="1" t="s">
        <v>4309</v>
      </c>
      <c r="U2373" s="1" t="s">
        <v>13285</v>
      </c>
    </row>
    <row r="2374" customFormat="false" ht="13.8" hidden="false" customHeight="false" outlineLevel="0" collapsed="false">
      <c r="A2374" s="1" t="n">
        <v>2373</v>
      </c>
      <c r="B2374" s="2" t="s">
        <v>13286</v>
      </c>
      <c r="C2374" s="1" t="n">
        <v>23</v>
      </c>
      <c r="D2374" s="1" t="n">
        <v>24</v>
      </c>
      <c r="E2374" s="1" t="n">
        <v>26</v>
      </c>
      <c r="F2374" s="1" t="n">
        <v>44</v>
      </c>
      <c r="G2374" s="1" t="n">
        <v>49</v>
      </c>
      <c r="H2374" s="1" t="n">
        <v>60</v>
      </c>
      <c r="I2374" s="1" t="str">
        <f aca="false">RIGHT(("0"&amp;C2374),2)&amp;RIGHT(("0"&amp;D2374),2)&amp;RIGHT(("0"&amp;E2374),2)&amp;RIGHT(("0"&amp;F2374),2)&amp;RIGHT(("0"&amp;G2374),2)&amp;RIGHT(("0"&amp;H2374),2)</f>
        <v>232426444960</v>
      </c>
      <c r="J2374" s="1" t="n">
        <f aca="false">COUNTIF(I:I,I2374)</f>
        <v>1</v>
      </c>
      <c r="K2374" s="1" t="n">
        <v>0</v>
      </c>
      <c r="M2374" s="1" t="s">
        <v>23</v>
      </c>
      <c r="N2374" s="1" t="n">
        <v>72</v>
      </c>
      <c r="O2374" s="1" t="s">
        <v>13287</v>
      </c>
      <c r="P2374" s="1" t="n">
        <v>5432</v>
      </c>
      <c r="Q2374" s="1" t="s">
        <v>13288</v>
      </c>
      <c r="R2374" s="1" t="s">
        <v>13289</v>
      </c>
      <c r="S2374" s="1" t="s">
        <v>13290</v>
      </c>
      <c r="T2374" s="1" t="s">
        <v>7574</v>
      </c>
      <c r="U2374" s="1" t="s">
        <v>13291</v>
      </c>
    </row>
    <row r="2375" customFormat="false" ht="13.8" hidden="false" customHeight="false" outlineLevel="0" collapsed="false">
      <c r="A2375" s="1" t="n">
        <v>2374</v>
      </c>
      <c r="B2375" s="2" t="s">
        <v>13292</v>
      </c>
      <c r="C2375" s="1" t="n">
        <v>12</v>
      </c>
      <c r="D2375" s="1" t="n">
        <v>13</v>
      </c>
      <c r="E2375" s="1" t="n">
        <v>25</v>
      </c>
      <c r="F2375" s="1" t="n">
        <v>37</v>
      </c>
      <c r="G2375" s="1" t="n">
        <v>39</v>
      </c>
      <c r="H2375" s="1" t="n">
        <v>41</v>
      </c>
      <c r="I2375" s="1" t="str">
        <f aca="false">RIGHT(("0"&amp;C2375),2)&amp;RIGHT(("0"&amp;D2375),2)&amp;RIGHT(("0"&amp;E2375),2)&amp;RIGHT(("0"&amp;F2375),2)&amp;RIGHT(("0"&amp;G2375),2)&amp;RIGHT(("0"&amp;H2375),2)</f>
        <v>121325373941</v>
      </c>
      <c r="J2375" s="1" t="n">
        <f aca="false">COUNTIF(I:I,I2375)</f>
        <v>1</v>
      </c>
      <c r="K2375" s="1" t="n">
        <v>0</v>
      </c>
      <c r="M2375" s="1" t="s">
        <v>23</v>
      </c>
      <c r="N2375" s="1" t="n">
        <v>125</v>
      </c>
      <c r="O2375" s="1" t="s">
        <v>13293</v>
      </c>
      <c r="P2375" s="1" t="n">
        <v>8177</v>
      </c>
      <c r="Q2375" s="1" t="s">
        <v>13294</v>
      </c>
      <c r="R2375" s="1" t="s">
        <v>13295</v>
      </c>
      <c r="S2375" s="1" t="s">
        <v>13296</v>
      </c>
      <c r="T2375" s="1" t="s">
        <v>8842</v>
      </c>
      <c r="U2375" s="1" t="s">
        <v>13297</v>
      </c>
    </row>
    <row r="2376" customFormat="false" ht="13.8" hidden="false" customHeight="false" outlineLevel="0" collapsed="false">
      <c r="A2376" s="1" t="n">
        <v>2375</v>
      </c>
      <c r="B2376" s="2" t="s">
        <v>13298</v>
      </c>
      <c r="C2376" s="1" t="n">
        <v>2</v>
      </c>
      <c r="D2376" s="1" t="n">
        <v>6</v>
      </c>
      <c r="E2376" s="1" t="n">
        <v>44</v>
      </c>
      <c r="F2376" s="1" t="n">
        <v>46</v>
      </c>
      <c r="G2376" s="1" t="n">
        <v>53</v>
      </c>
      <c r="H2376" s="1" t="n">
        <v>58</v>
      </c>
      <c r="I2376" s="1" t="str">
        <f aca="false">RIGHT(("0"&amp;C2376),2)&amp;RIGHT(("0"&amp;D2376),2)&amp;RIGHT(("0"&amp;E2376),2)&amp;RIGHT(("0"&amp;F2376),2)&amp;RIGHT(("0"&amp;G2376),2)&amp;RIGHT(("0"&amp;H2376),2)</f>
        <v>020644465358</v>
      </c>
      <c r="J2376" s="1" t="n">
        <f aca="false">COUNTIF(I:I,I2376)</f>
        <v>1</v>
      </c>
      <c r="K2376" s="1" t="n">
        <v>0</v>
      </c>
      <c r="M2376" s="1" t="s">
        <v>23</v>
      </c>
      <c r="N2376" s="1" t="n">
        <v>144</v>
      </c>
      <c r="O2376" s="1" t="s">
        <v>13299</v>
      </c>
      <c r="P2376" s="1" t="n">
        <v>8909</v>
      </c>
      <c r="Q2376" s="1" t="s">
        <v>13300</v>
      </c>
      <c r="R2376" s="1" t="s">
        <v>13301</v>
      </c>
      <c r="S2376" s="1" t="s">
        <v>13302</v>
      </c>
      <c r="T2376" s="1" t="s">
        <v>9535</v>
      </c>
      <c r="U2376" s="1" t="s">
        <v>13303</v>
      </c>
    </row>
    <row r="2377" customFormat="false" ht="13.8" hidden="false" customHeight="false" outlineLevel="0" collapsed="false">
      <c r="A2377" s="1" t="n">
        <v>2376</v>
      </c>
      <c r="B2377" s="2" t="s">
        <v>13304</v>
      </c>
      <c r="C2377" s="1" t="n">
        <v>12</v>
      </c>
      <c r="D2377" s="1" t="n">
        <v>14</v>
      </c>
      <c r="E2377" s="1" t="n">
        <v>17</v>
      </c>
      <c r="F2377" s="1" t="n">
        <v>18</v>
      </c>
      <c r="G2377" s="1" t="n">
        <v>19</v>
      </c>
      <c r="H2377" s="1" t="n">
        <v>22</v>
      </c>
      <c r="I2377" s="1" t="str">
        <f aca="false">RIGHT(("0"&amp;C2377),2)&amp;RIGHT(("0"&amp;D2377),2)&amp;RIGHT(("0"&amp;E2377),2)&amp;RIGHT(("0"&amp;F2377),2)&amp;RIGHT(("0"&amp;G2377),2)&amp;RIGHT(("0"&amp;H2377),2)</f>
        <v>121417181922</v>
      </c>
      <c r="J2377" s="1" t="n">
        <f aca="false">COUNTIF(I:I,I2377)</f>
        <v>1</v>
      </c>
      <c r="K2377" s="1" t="n">
        <v>2</v>
      </c>
      <c r="L2377" s="1" t="s">
        <v>13305</v>
      </c>
      <c r="M2377" s="1" t="s">
        <v>13306</v>
      </c>
      <c r="N2377" s="1" t="n">
        <v>433</v>
      </c>
      <c r="O2377" s="1" t="s">
        <v>13307</v>
      </c>
      <c r="P2377" s="1" t="n">
        <v>19908</v>
      </c>
      <c r="Q2377" s="1" t="s">
        <v>13308</v>
      </c>
      <c r="R2377" s="1" t="s">
        <v>23</v>
      </c>
      <c r="S2377" s="1" t="s">
        <v>13309</v>
      </c>
      <c r="T2377" s="1" t="s">
        <v>4256</v>
      </c>
      <c r="U2377" s="1" t="s">
        <v>13310</v>
      </c>
    </row>
    <row r="2378" customFormat="false" ht="13.8" hidden="false" customHeight="false" outlineLevel="0" collapsed="false">
      <c r="A2378" s="1" t="n">
        <v>2377</v>
      </c>
      <c r="B2378" s="2" t="s">
        <v>13311</v>
      </c>
      <c r="C2378" s="1" t="n">
        <v>5</v>
      </c>
      <c r="D2378" s="1" t="n">
        <v>18</v>
      </c>
      <c r="E2378" s="1" t="n">
        <v>29</v>
      </c>
      <c r="F2378" s="1" t="n">
        <v>35</v>
      </c>
      <c r="G2378" s="1" t="n">
        <v>43</v>
      </c>
      <c r="H2378" s="1" t="n">
        <v>44</v>
      </c>
      <c r="I2378" s="1" t="str">
        <f aca="false">RIGHT(("0"&amp;C2378),2)&amp;RIGHT(("0"&amp;D2378),2)&amp;RIGHT(("0"&amp;E2378),2)&amp;RIGHT(("0"&amp;F2378),2)&amp;RIGHT(("0"&amp;G2378),2)&amp;RIGHT(("0"&amp;H2378),2)</f>
        <v>051829354344</v>
      </c>
      <c r="J2378" s="1" t="n">
        <f aca="false">COUNTIF(I:I,I2378)</f>
        <v>1</v>
      </c>
      <c r="K2378" s="1" t="n">
        <v>0</v>
      </c>
      <c r="M2378" s="1" t="s">
        <v>23</v>
      </c>
      <c r="N2378" s="1" t="n">
        <v>35</v>
      </c>
      <c r="O2378" s="1" t="s">
        <v>13312</v>
      </c>
      <c r="P2378" s="1" t="n">
        <v>2890</v>
      </c>
      <c r="Q2378" s="1" t="s">
        <v>13313</v>
      </c>
      <c r="R2378" s="1" t="s">
        <v>13314</v>
      </c>
      <c r="S2378" s="1" t="s">
        <v>13315</v>
      </c>
      <c r="T2378" s="1" t="s">
        <v>13316</v>
      </c>
      <c r="U2378" s="1" t="s">
        <v>13317</v>
      </c>
    </row>
    <row r="2379" customFormat="false" ht="13.8" hidden="false" customHeight="false" outlineLevel="0" collapsed="false">
      <c r="A2379" s="1" t="n">
        <v>2378</v>
      </c>
      <c r="B2379" s="2" t="s">
        <v>13318</v>
      </c>
      <c r="C2379" s="1" t="n">
        <v>11</v>
      </c>
      <c r="D2379" s="1" t="n">
        <v>37</v>
      </c>
      <c r="E2379" s="1" t="n">
        <v>38</v>
      </c>
      <c r="F2379" s="1" t="n">
        <v>41</v>
      </c>
      <c r="G2379" s="1" t="n">
        <v>49</v>
      </c>
      <c r="H2379" s="1" t="n">
        <v>54</v>
      </c>
      <c r="I2379" s="1" t="str">
        <f aca="false">RIGHT(("0"&amp;C2379),2)&amp;RIGHT(("0"&amp;D2379),2)&amp;RIGHT(("0"&amp;E2379),2)&amp;RIGHT(("0"&amp;F2379),2)&amp;RIGHT(("0"&amp;G2379),2)&amp;RIGHT(("0"&amp;H2379),2)</f>
        <v>113738414954</v>
      </c>
      <c r="J2379" s="1" t="n">
        <f aca="false">COUNTIF(I:I,I2379)</f>
        <v>1</v>
      </c>
      <c r="K2379" s="1" t="n">
        <v>0</v>
      </c>
      <c r="M2379" s="1" t="s">
        <v>23</v>
      </c>
      <c r="N2379" s="1" t="n">
        <v>33</v>
      </c>
      <c r="O2379" s="1" t="s">
        <v>13319</v>
      </c>
      <c r="P2379" s="1" t="n">
        <v>2518</v>
      </c>
      <c r="Q2379" s="1" t="s">
        <v>13320</v>
      </c>
      <c r="R2379" s="1" t="s">
        <v>13321</v>
      </c>
      <c r="S2379" s="1" t="s">
        <v>13322</v>
      </c>
      <c r="T2379" s="1" t="s">
        <v>3727</v>
      </c>
      <c r="U2379" s="1" t="s">
        <v>13323</v>
      </c>
    </row>
    <row r="2380" customFormat="false" ht="13.8" hidden="false" customHeight="false" outlineLevel="0" collapsed="false">
      <c r="A2380" s="1" t="n">
        <v>2379</v>
      </c>
      <c r="B2380" s="2" t="s">
        <v>13324</v>
      </c>
      <c r="C2380" s="1" t="n">
        <v>2</v>
      </c>
      <c r="D2380" s="1" t="n">
        <v>8</v>
      </c>
      <c r="E2380" s="1" t="n">
        <v>26</v>
      </c>
      <c r="F2380" s="1" t="n">
        <v>32</v>
      </c>
      <c r="G2380" s="1" t="n">
        <v>46</v>
      </c>
      <c r="H2380" s="1" t="n">
        <v>56</v>
      </c>
      <c r="I2380" s="1" t="str">
        <f aca="false">RIGHT(("0"&amp;C2380),2)&amp;RIGHT(("0"&amp;D2380),2)&amp;RIGHT(("0"&amp;E2380),2)&amp;RIGHT(("0"&amp;F2380),2)&amp;RIGHT(("0"&amp;G2380),2)&amp;RIGHT(("0"&amp;H2380),2)</f>
        <v>020826324656</v>
      </c>
      <c r="J2380" s="1" t="n">
        <f aca="false">COUNTIF(I:I,I2380)</f>
        <v>1</v>
      </c>
      <c r="K2380" s="1" t="n">
        <v>0</v>
      </c>
      <c r="M2380" s="1" t="s">
        <v>23</v>
      </c>
      <c r="N2380" s="1" t="n">
        <v>72</v>
      </c>
      <c r="O2380" s="1" t="s">
        <v>13325</v>
      </c>
      <c r="P2380" s="1" t="n">
        <v>4222</v>
      </c>
      <c r="Q2380" s="1" t="s">
        <v>13326</v>
      </c>
      <c r="R2380" s="1" t="s">
        <v>13327</v>
      </c>
      <c r="S2380" s="1" t="s">
        <v>13328</v>
      </c>
      <c r="T2380" s="1" t="s">
        <v>7301</v>
      </c>
      <c r="U2380" s="1" t="s">
        <v>13329</v>
      </c>
    </row>
    <row r="2381" customFormat="false" ht="13.8" hidden="false" customHeight="false" outlineLevel="0" collapsed="false">
      <c r="A2381" s="1" t="n">
        <v>2380</v>
      </c>
      <c r="B2381" s="2" t="s">
        <v>13330</v>
      </c>
      <c r="C2381" s="1" t="n">
        <v>11</v>
      </c>
      <c r="D2381" s="1" t="n">
        <v>16</v>
      </c>
      <c r="E2381" s="1" t="n">
        <v>20</v>
      </c>
      <c r="F2381" s="1" t="n">
        <v>24</v>
      </c>
      <c r="G2381" s="1" t="n">
        <v>39</v>
      </c>
      <c r="H2381" s="1" t="n">
        <v>53</v>
      </c>
      <c r="I2381" s="1" t="str">
        <f aca="false">RIGHT(("0"&amp;C2381),2)&amp;RIGHT(("0"&amp;D2381),2)&amp;RIGHT(("0"&amp;E2381),2)&amp;RIGHT(("0"&amp;F2381),2)&amp;RIGHT(("0"&amp;G2381),2)&amp;RIGHT(("0"&amp;H2381),2)</f>
        <v>111620243953</v>
      </c>
      <c r="J2381" s="1" t="n">
        <f aca="false">COUNTIF(I:I,I2381)</f>
        <v>1</v>
      </c>
      <c r="K2381" s="1" t="n">
        <v>1</v>
      </c>
      <c r="L2381" s="1" t="s">
        <v>13331</v>
      </c>
      <c r="M2381" s="1" t="s">
        <v>13332</v>
      </c>
      <c r="N2381" s="1" t="n">
        <v>59</v>
      </c>
      <c r="O2381" s="1" t="s">
        <v>13333</v>
      </c>
      <c r="P2381" s="1" t="n">
        <v>5566</v>
      </c>
      <c r="Q2381" s="1" t="s">
        <v>13334</v>
      </c>
      <c r="R2381" s="1" t="s">
        <v>23</v>
      </c>
      <c r="S2381" s="1" t="s">
        <v>13335</v>
      </c>
      <c r="T2381" s="1" t="s">
        <v>473</v>
      </c>
      <c r="U2381" s="1" t="s">
        <v>13336</v>
      </c>
    </row>
    <row r="2382" customFormat="false" ht="13.8" hidden="false" customHeight="false" outlineLevel="0" collapsed="false">
      <c r="A2382" s="1" t="n">
        <v>2381</v>
      </c>
      <c r="B2382" s="2" t="s">
        <v>13337</v>
      </c>
      <c r="C2382" s="1" t="n">
        <v>7</v>
      </c>
      <c r="D2382" s="1" t="n">
        <v>23</v>
      </c>
      <c r="E2382" s="1" t="n">
        <v>32</v>
      </c>
      <c r="F2382" s="1" t="n">
        <v>41</v>
      </c>
      <c r="G2382" s="1" t="n">
        <v>42</v>
      </c>
      <c r="H2382" s="1" t="n">
        <v>47</v>
      </c>
      <c r="I2382" s="1" t="str">
        <f aca="false">RIGHT(("0"&amp;C2382),2)&amp;RIGHT(("0"&amp;D2382),2)&amp;RIGHT(("0"&amp;E2382),2)&amp;RIGHT(("0"&amp;F2382),2)&amp;RIGHT(("0"&amp;G2382),2)&amp;RIGHT(("0"&amp;H2382),2)</f>
        <v>072332414247</v>
      </c>
      <c r="J2382" s="1" t="n">
        <f aca="false">COUNTIF(I:I,I2382)</f>
        <v>1</v>
      </c>
      <c r="K2382" s="1" t="n">
        <v>0</v>
      </c>
      <c r="M2382" s="1" t="s">
        <v>23</v>
      </c>
      <c r="N2382" s="1" t="n">
        <v>37</v>
      </c>
      <c r="O2382" s="1" t="s">
        <v>13338</v>
      </c>
      <c r="P2382" s="1" t="n">
        <v>2458</v>
      </c>
      <c r="Q2382" s="1" t="s">
        <v>13339</v>
      </c>
      <c r="R2382" s="1" t="s">
        <v>13340</v>
      </c>
      <c r="S2382" s="1" t="s">
        <v>13341</v>
      </c>
      <c r="T2382" s="1" t="s">
        <v>4232</v>
      </c>
      <c r="U2382" s="1" t="s">
        <v>13342</v>
      </c>
    </row>
    <row r="2383" customFormat="false" ht="13.8" hidden="false" customHeight="false" outlineLevel="0" collapsed="false">
      <c r="A2383" s="1" t="n">
        <v>2382</v>
      </c>
      <c r="B2383" s="2" t="s">
        <v>13343</v>
      </c>
      <c r="C2383" s="1" t="n">
        <v>6</v>
      </c>
      <c r="D2383" s="1" t="n">
        <v>9</v>
      </c>
      <c r="E2383" s="1" t="n">
        <v>19</v>
      </c>
      <c r="F2383" s="1" t="n">
        <v>38</v>
      </c>
      <c r="G2383" s="1" t="n">
        <v>53</v>
      </c>
      <c r="H2383" s="1" t="n">
        <v>55</v>
      </c>
      <c r="I2383" s="1" t="str">
        <f aca="false">RIGHT(("0"&amp;C2383),2)&amp;RIGHT(("0"&amp;D2383),2)&amp;RIGHT(("0"&amp;E2383),2)&amp;RIGHT(("0"&amp;F2383),2)&amp;RIGHT(("0"&amp;G2383),2)&amp;RIGHT(("0"&amp;H2383),2)</f>
        <v>060919385355</v>
      </c>
      <c r="J2383" s="1" t="n">
        <f aca="false">COUNTIF(I:I,I2383)</f>
        <v>1</v>
      </c>
      <c r="K2383" s="1" t="n">
        <v>1</v>
      </c>
      <c r="L2383" s="1" t="s">
        <v>12490</v>
      </c>
      <c r="M2383" s="1" t="s">
        <v>13344</v>
      </c>
      <c r="N2383" s="1" t="n">
        <v>52</v>
      </c>
      <c r="O2383" s="1" t="s">
        <v>13345</v>
      </c>
      <c r="P2383" s="1" t="n">
        <v>4044</v>
      </c>
      <c r="Q2383" s="1" t="s">
        <v>13346</v>
      </c>
      <c r="R2383" s="1" t="s">
        <v>23</v>
      </c>
      <c r="S2383" s="1" t="s">
        <v>13347</v>
      </c>
      <c r="T2383" s="1" t="s">
        <v>4256</v>
      </c>
      <c r="U2383" s="1" t="s">
        <v>13348</v>
      </c>
    </row>
    <row r="2384" customFormat="false" ht="13.8" hidden="false" customHeight="false" outlineLevel="0" collapsed="false">
      <c r="A2384" s="1" t="n">
        <v>2383</v>
      </c>
      <c r="B2384" s="2" t="s">
        <v>13349</v>
      </c>
      <c r="C2384" s="1" t="n">
        <v>13</v>
      </c>
      <c r="D2384" s="1" t="n">
        <v>15</v>
      </c>
      <c r="E2384" s="1" t="n">
        <v>16</v>
      </c>
      <c r="F2384" s="1" t="n">
        <v>20</v>
      </c>
      <c r="G2384" s="1" t="n">
        <v>40</v>
      </c>
      <c r="H2384" s="1" t="n">
        <v>41</v>
      </c>
      <c r="I2384" s="1" t="str">
        <f aca="false">RIGHT(("0"&amp;C2384),2)&amp;RIGHT(("0"&amp;D2384),2)&amp;RIGHT(("0"&amp;E2384),2)&amp;RIGHT(("0"&amp;F2384),2)&amp;RIGHT(("0"&amp;G2384),2)&amp;RIGHT(("0"&amp;H2384),2)</f>
        <v>131516204041</v>
      </c>
      <c r="J2384" s="1" t="n">
        <f aca="false">COUNTIF(I:I,I2384)</f>
        <v>1</v>
      </c>
      <c r="K2384" s="1" t="n">
        <v>1</v>
      </c>
      <c r="L2384" s="1" t="s">
        <v>12247</v>
      </c>
      <c r="M2384" s="1" t="s">
        <v>13350</v>
      </c>
      <c r="N2384" s="1" t="n">
        <v>47</v>
      </c>
      <c r="O2384" s="1" t="s">
        <v>13351</v>
      </c>
      <c r="P2384" s="1" t="n">
        <v>2151</v>
      </c>
      <c r="Q2384" s="1" t="s">
        <v>13352</v>
      </c>
      <c r="R2384" s="1" t="s">
        <v>23</v>
      </c>
      <c r="S2384" s="1" t="s">
        <v>13353</v>
      </c>
      <c r="T2384" s="1" t="s">
        <v>4256</v>
      </c>
      <c r="U2384" s="1" t="s">
        <v>13354</v>
      </c>
    </row>
    <row r="2385" customFormat="false" ht="13.8" hidden="false" customHeight="false" outlineLevel="0" collapsed="false">
      <c r="A2385" s="1" t="n">
        <v>2384</v>
      </c>
      <c r="B2385" s="2" t="s">
        <v>13355</v>
      </c>
      <c r="C2385" s="1" t="n">
        <v>9</v>
      </c>
      <c r="D2385" s="1" t="n">
        <v>13</v>
      </c>
      <c r="E2385" s="1" t="n">
        <v>22</v>
      </c>
      <c r="F2385" s="1" t="n">
        <v>25</v>
      </c>
      <c r="G2385" s="1" t="n">
        <v>26</v>
      </c>
      <c r="H2385" s="1" t="n">
        <v>31</v>
      </c>
      <c r="I2385" s="1" t="str">
        <f aca="false">RIGHT(("0"&amp;C2385),2)&amp;RIGHT(("0"&amp;D2385),2)&amp;RIGHT(("0"&amp;E2385),2)&amp;RIGHT(("0"&amp;F2385),2)&amp;RIGHT(("0"&amp;G2385),2)&amp;RIGHT(("0"&amp;H2385),2)</f>
        <v>091322252631</v>
      </c>
      <c r="J2385" s="1" t="n">
        <f aca="false">COUNTIF(I:I,I2385)</f>
        <v>1</v>
      </c>
      <c r="K2385" s="1" t="n">
        <v>0</v>
      </c>
      <c r="M2385" s="1" t="s">
        <v>23</v>
      </c>
      <c r="N2385" s="1" t="n">
        <v>57</v>
      </c>
      <c r="O2385" s="1" t="s">
        <v>13356</v>
      </c>
      <c r="P2385" s="1" t="n">
        <v>3781</v>
      </c>
      <c r="Q2385" s="1" t="s">
        <v>13357</v>
      </c>
      <c r="R2385" s="1" t="s">
        <v>13358</v>
      </c>
      <c r="S2385" s="1" t="s">
        <v>13359</v>
      </c>
      <c r="T2385" s="1" t="s">
        <v>4273</v>
      </c>
      <c r="U2385" s="1" t="s">
        <v>13360</v>
      </c>
    </row>
    <row r="2386" customFormat="false" ht="13.8" hidden="false" customHeight="false" outlineLevel="0" collapsed="false">
      <c r="A2386" s="1" t="n">
        <v>2385</v>
      </c>
      <c r="B2386" s="2" t="s">
        <v>13361</v>
      </c>
      <c r="C2386" s="1" t="n">
        <v>12</v>
      </c>
      <c r="D2386" s="1" t="n">
        <v>24</v>
      </c>
      <c r="E2386" s="1" t="n">
        <v>32</v>
      </c>
      <c r="F2386" s="1" t="n">
        <v>37</v>
      </c>
      <c r="G2386" s="1" t="n">
        <v>43</v>
      </c>
      <c r="H2386" s="1" t="n">
        <v>60</v>
      </c>
      <c r="I2386" s="1" t="str">
        <f aca="false">RIGHT(("0"&amp;C2386),2)&amp;RIGHT(("0"&amp;D2386),2)&amp;RIGHT(("0"&amp;E2386),2)&amp;RIGHT(("0"&amp;F2386),2)&amp;RIGHT(("0"&amp;G2386),2)&amp;RIGHT(("0"&amp;H2386),2)</f>
        <v>122432374360</v>
      </c>
      <c r="J2386" s="1" t="n">
        <f aca="false">COUNTIF(I:I,I2386)</f>
        <v>1</v>
      </c>
      <c r="K2386" s="1" t="n">
        <v>0</v>
      </c>
      <c r="M2386" s="1" t="s">
        <v>23</v>
      </c>
      <c r="N2386" s="1" t="n">
        <v>32</v>
      </c>
      <c r="O2386" s="1" t="s">
        <v>13362</v>
      </c>
      <c r="P2386" s="1" t="n">
        <v>2340</v>
      </c>
      <c r="Q2386" s="1" t="s">
        <v>13363</v>
      </c>
      <c r="R2386" s="1" t="s">
        <v>13364</v>
      </c>
      <c r="S2386" s="1" t="s">
        <v>13365</v>
      </c>
      <c r="T2386" s="1" t="s">
        <v>4246</v>
      </c>
      <c r="U2386" s="1" t="s">
        <v>13366</v>
      </c>
    </row>
    <row r="2387" customFormat="false" ht="13.8" hidden="false" customHeight="false" outlineLevel="0" collapsed="false">
      <c r="A2387" s="1" t="n">
        <v>2386</v>
      </c>
      <c r="B2387" s="2" t="s">
        <v>13367</v>
      </c>
      <c r="C2387" s="1" t="n">
        <v>11</v>
      </c>
      <c r="D2387" s="1" t="n">
        <v>13</v>
      </c>
      <c r="E2387" s="1" t="n">
        <v>16</v>
      </c>
      <c r="F2387" s="1" t="n">
        <v>35</v>
      </c>
      <c r="G2387" s="1" t="n">
        <v>49</v>
      </c>
      <c r="H2387" s="1" t="n">
        <v>50</v>
      </c>
      <c r="I2387" s="1" t="str">
        <f aca="false">RIGHT(("0"&amp;C2387),2)&amp;RIGHT(("0"&amp;D2387),2)&amp;RIGHT(("0"&amp;E2387),2)&amp;RIGHT(("0"&amp;F2387),2)&amp;RIGHT(("0"&amp;G2387),2)&amp;RIGHT(("0"&amp;H2387),2)</f>
        <v>111316354950</v>
      </c>
      <c r="J2387" s="1" t="n">
        <f aca="false">COUNTIF(I:I,I2387)</f>
        <v>1</v>
      </c>
      <c r="K2387" s="1" t="n">
        <v>0</v>
      </c>
      <c r="M2387" s="1" t="s">
        <v>23</v>
      </c>
      <c r="N2387" s="1" t="n">
        <v>44</v>
      </c>
      <c r="O2387" s="1" t="s">
        <v>13368</v>
      </c>
      <c r="P2387" s="1" t="n">
        <v>3087</v>
      </c>
      <c r="Q2387" s="1" t="s">
        <v>13369</v>
      </c>
      <c r="R2387" s="1" t="s">
        <v>13370</v>
      </c>
      <c r="S2387" s="1" t="s">
        <v>13371</v>
      </c>
      <c r="T2387" s="1" t="s">
        <v>5281</v>
      </c>
      <c r="U2387" s="1" t="s">
        <v>13372</v>
      </c>
    </row>
    <row r="2388" customFormat="false" ht="13.8" hidden="false" customHeight="false" outlineLevel="0" collapsed="false">
      <c r="A2388" s="1" t="n">
        <v>2387</v>
      </c>
      <c r="B2388" s="2" t="s">
        <v>13373</v>
      </c>
      <c r="C2388" s="1" t="n">
        <v>8</v>
      </c>
      <c r="D2388" s="1" t="n">
        <v>26</v>
      </c>
      <c r="E2388" s="1" t="n">
        <v>30</v>
      </c>
      <c r="F2388" s="1" t="n">
        <v>31</v>
      </c>
      <c r="G2388" s="1" t="n">
        <v>38</v>
      </c>
      <c r="H2388" s="1" t="n">
        <v>48</v>
      </c>
      <c r="I2388" s="1" t="str">
        <f aca="false">RIGHT(("0"&amp;C2388),2)&amp;RIGHT(("0"&amp;D2388),2)&amp;RIGHT(("0"&amp;E2388),2)&amp;RIGHT(("0"&amp;F2388),2)&amp;RIGHT(("0"&amp;G2388),2)&amp;RIGHT(("0"&amp;H2388),2)</f>
        <v>082630313848</v>
      </c>
      <c r="J2388" s="1" t="n">
        <f aca="false">COUNTIF(I:I,I2388)</f>
        <v>1</v>
      </c>
      <c r="K2388" s="1" t="n">
        <v>0</v>
      </c>
      <c r="M2388" s="1" t="s">
        <v>23</v>
      </c>
      <c r="N2388" s="1" t="n">
        <v>30</v>
      </c>
      <c r="O2388" s="1" t="s">
        <v>13374</v>
      </c>
      <c r="P2388" s="1" t="n">
        <v>3038</v>
      </c>
      <c r="Q2388" s="1" t="s">
        <v>13375</v>
      </c>
      <c r="R2388" s="1" t="s">
        <v>13376</v>
      </c>
      <c r="S2388" s="1" t="s">
        <v>13377</v>
      </c>
      <c r="T2388" s="1" t="s">
        <v>4935</v>
      </c>
      <c r="U2388" s="1" t="s">
        <v>13378</v>
      </c>
    </row>
    <row r="2389" customFormat="false" ht="13.8" hidden="false" customHeight="false" outlineLevel="0" collapsed="false">
      <c r="A2389" s="1" t="n">
        <v>2388</v>
      </c>
      <c r="B2389" s="2" t="s">
        <v>13379</v>
      </c>
      <c r="C2389" s="1" t="n">
        <v>8</v>
      </c>
      <c r="D2389" s="1" t="n">
        <v>30</v>
      </c>
      <c r="E2389" s="1" t="n">
        <v>33</v>
      </c>
      <c r="F2389" s="1" t="n">
        <v>37</v>
      </c>
      <c r="G2389" s="1" t="n">
        <v>45</v>
      </c>
      <c r="H2389" s="1" t="n">
        <v>48</v>
      </c>
      <c r="I2389" s="1" t="str">
        <f aca="false">RIGHT(("0"&amp;C2389),2)&amp;RIGHT(("0"&amp;D2389),2)&amp;RIGHT(("0"&amp;E2389),2)&amp;RIGHT(("0"&amp;F2389),2)&amp;RIGHT(("0"&amp;G2389),2)&amp;RIGHT(("0"&amp;H2389),2)</f>
        <v>083033374548</v>
      </c>
      <c r="J2389" s="1" t="n">
        <f aca="false">COUNTIF(I:I,I2389)</f>
        <v>1</v>
      </c>
      <c r="K2389" s="1" t="n">
        <v>0</v>
      </c>
      <c r="M2389" s="1" t="s">
        <v>23</v>
      </c>
      <c r="N2389" s="1" t="n">
        <v>83</v>
      </c>
      <c r="O2389" s="1" t="s">
        <v>13380</v>
      </c>
      <c r="P2389" s="1" t="n">
        <v>5329</v>
      </c>
      <c r="Q2389" s="1" t="s">
        <v>13381</v>
      </c>
      <c r="R2389" s="1" t="s">
        <v>13382</v>
      </c>
      <c r="S2389" s="1" t="s">
        <v>13383</v>
      </c>
      <c r="T2389" s="1" t="s">
        <v>4309</v>
      </c>
      <c r="U2389" s="1" t="s">
        <v>13384</v>
      </c>
    </row>
    <row r="2390" customFormat="false" ht="13.8" hidden="false" customHeight="false" outlineLevel="0" collapsed="false">
      <c r="A2390" s="1" t="n">
        <v>2389</v>
      </c>
      <c r="B2390" s="2" t="s">
        <v>13385</v>
      </c>
      <c r="C2390" s="1" t="n">
        <v>16</v>
      </c>
      <c r="D2390" s="1" t="n">
        <v>30</v>
      </c>
      <c r="E2390" s="1" t="n">
        <v>37</v>
      </c>
      <c r="F2390" s="1" t="n">
        <v>39</v>
      </c>
      <c r="G2390" s="1" t="n">
        <v>40</v>
      </c>
      <c r="H2390" s="1" t="n">
        <v>51</v>
      </c>
      <c r="I2390" s="1" t="str">
        <f aca="false">RIGHT(("0"&amp;C2390),2)&amp;RIGHT(("0"&amp;D2390),2)&amp;RIGHT(("0"&amp;E2390),2)&amp;RIGHT(("0"&amp;F2390),2)&amp;RIGHT(("0"&amp;G2390),2)&amp;RIGHT(("0"&amp;H2390),2)</f>
        <v>163037394051</v>
      </c>
      <c r="J2390" s="1" t="n">
        <f aca="false">COUNTIF(I:I,I2390)</f>
        <v>1</v>
      </c>
      <c r="K2390" s="1" t="n">
        <v>0</v>
      </c>
      <c r="M2390" s="1" t="s">
        <v>23</v>
      </c>
      <c r="N2390" s="1" t="n">
        <v>57</v>
      </c>
      <c r="O2390" s="1" t="s">
        <v>13386</v>
      </c>
      <c r="P2390" s="1" t="n">
        <v>3887</v>
      </c>
      <c r="Q2390" s="1" t="s">
        <v>13387</v>
      </c>
      <c r="R2390" s="1" t="s">
        <v>13388</v>
      </c>
      <c r="S2390" s="1" t="s">
        <v>13389</v>
      </c>
      <c r="T2390" s="1" t="s">
        <v>9211</v>
      </c>
      <c r="U2390" s="1" t="s">
        <v>13390</v>
      </c>
    </row>
    <row r="2391" customFormat="false" ht="13.8" hidden="false" customHeight="false" outlineLevel="0" collapsed="false">
      <c r="A2391" s="1" t="n">
        <v>2390</v>
      </c>
      <c r="B2391" s="2" t="s">
        <v>13391</v>
      </c>
      <c r="C2391" s="1" t="n">
        <v>9</v>
      </c>
      <c r="D2391" s="1" t="n">
        <v>13</v>
      </c>
      <c r="E2391" s="1" t="n">
        <v>20</v>
      </c>
      <c r="F2391" s="1" t="n">
        <v>22</v>
      </c>
      <c r="G2391" s="1" t="n">
        <v>32</v>
      </c>
      <c r="H2391" s="1" t="n">
        <v>56</v>
      </c>
      <c r="I2391" s="1" t="str">
        <f aca="false">RIGHT(("0"&amp;C2391),2)&amp;RIGHT(("0"&amp;D2391),2)&amp;RIGHT(("0"&amp;E2391),2)&amp;RIGHT(("0"&amp;F2391),2)&amp;RIGHT(("0"&amp;G2391),2)&amp;RIGHT(("0"&amp;H2391),2)</f>
        <v>091320223256</v>
      </c>
      <c r="J2391" s="1" t="n">
        <f aca="false">COUNTIF(I:I,I2391)</f>
        <v>1</v>
      </c>
      <c r="K2391" s="1" t="n">
        <v>0</v>
      </c>
      <c r="M2391" s="1" t="s">
        <v>23</v>
      </c>
      <c r="N2391" s="1" t="n">
        <v>102</v>
      </c>
      <c r="O2391" s="1" t="s">
        <v>13392</v>
      </c>
      <c r="P2391" s="1" t="n">
        <v>7787</v>
      </c>
      <c r="Q2391" s="1" t="s">
        <v>13393</v>
      </c>
      <c r="R2391" s="1" t="s">
        <v>13394</v>
      </c>
      <c r="S2391" s="1" t="s">
        <v>13395</v>
      </c>
      <c r="T2391" s="1" t="s">
        <v>6097</v>
      </c>
      <c r="U2391" s="1" t="s">
        <v>13396</v>
      </c>
    </row>
    <row r="2392" customFormat="false" ht="13.8" hidden="false" customHeight="false" outlineLevel="0" collapsed="false">
      <c r="A2392" s="1" t="n">
        <v>2391</v>
      </c>
      <c r="B2392" s="2" t="s">
        <v>13397</v>
      </c>
      <c r="C2392" s="1" t="n">
        <v>5</v>
      </c>
      <c r="D2392" s="1" t="n">
        <v>8</v>
      </c>
      <c r="E2392" s="1" t="n">
        <v>13</v>
      </c>
      <c r="F2392" s="1" t="n">
        <v>27</v>
      </c>
      <c r="G2392" s="1" t="n">
        <v>36</v>
      </c>
      <c r="H2392" s="1" t="n">
        <v>50</v>
      </c>
      <c r="I2392" s="1" t="str">
        <f aca="false">RIGHT(("0"&amp;C2392),2)&amp;RIGHT(("0"&amp;D2392),2)&amp;RIGHT(("0"&amp;E2392),2)&amp;RIGHT(("0"&amp;F2392),2)&amp;RIGHT(("0"&amp;G2392),2)&amp;RIGHT(("0"&amp;H2392),2)</f>
        <v>050813273650</v>
      </c>
      <c r="J2392" s="1" t="n">
        <f aca="false">COUNTIF(I:I,I2392)</f>
        <v>1</v>
      </c>
      <c r="K2392" s="1" t="n">
        <v>1</v>
      </c>
      <c r="L2392" s="1" t="s">
        <v>7311</v>
      </c>
      <c r="M2392" s="1" t="s">
        <v>13398</v>
      </c>
      <c r="N2392" s="1" t="n">
        <v>192</v>
      </c>
      <c r="O2392" s="1" t="s">
        <v>13399</v>
      </c>
      <c r="P2392" s="1" t="n">
        <v>13379</v>
      </c>
      <c r="Q2392" s="1" t="s">
        <v>13400</v>
      </c>
      <c r="R2392" s="1" t="s">
        <v>23</v>
      </c>
      <c r="S2392" s="1" t="s">
        <v>13401</v>
      </c>
      <c r="T2392" s="1" t="s">
        <v>4256</v>
      </c>
      <c r="U2392" s="1" t="s">
        <v>13402</v>
      </c>
    </row>
    <row r="2393" customFormat="false" ht="13.8" hidden="false" customHeight="false" outlineLevel="0" collapsed="false">
      <c r="A2393" s="1" t="n">
        <v>2392</v>
      </c>
      <c r="B2393" s="2" t="s">
        <v>13403</v>
      </c>
      <c r="C2393" s="1" t="n">
        <v>11</v>
      </c>
      <c r="D2393" s="1" t="n">
        <v>15</v>
      </c>
      <c r="E2393" s="1" t="n">
        <v>23</v>
      </c>
      <c r="F2393" s="1" t="n">
        <v>25</v>
      </c>
      <c r="G2393" s="1" t="n">
        <v>34</v>
      </c>
      <c r="H2393" s="1" t="n">
        <v>53</v>
      </c>
      <c r="I2393" s="1" t="str">
        <f aca="false">RIGHT(("0"&amp;C2393),2)&amp;RIGHT(("0"&amp;D2393),2)&amp;RIGHT(("0"&amp;E2393),2)&amp;RIGHT(("0"&amp;F2393),2)&amp;RIGHT(("0"&amp;G2393),2)&amp;RIGHT(("0"&amp;H2393),2)</f>
        <v>111523253453</v>
      </c>
      <c r="J2393" s="1" t="n">
        <f aca="false">COUNTIF(I:I,I2393)</f>
        <v>1</v>
      </c>
      <c r="K2393" s="1" t="n">
        <v>0</v>
      </c>
      <c r="M2393" s="1" t="s">
        <v>23</v>
      </c>
      <c r="N2393" s="1" t="n">
        <v>31</v>
      </c>
      <c r="O2393" s="1" t="s">
        <v>13404</v>
      </c>
      <c r="P2393" s="1" t="n">
        <v>2525</v>
      </c>
      <c r="Q2393" s="1" t="s">
        <v>13405</v>
      </c>
      <c r="R2393" s="1" t="s">
        <v>13406</v>
      </c>
      <c r="S2393" s="1" t="s">
        <v>13407</v>
      </c>
      <c r="T2393" s="1" t="s">
        <v>4232</v>
      </c>
      <c r="U2393" s="1" t="s">
        <v>13408</v>
      </c>
    </row>
    <row r="2394" customFormat="false" ht="13.8" hidden="false" customHeight="false" outlineLevel="0" collapsed="false">
      <c r="A2394" s="1" t="n">
        <v>2393</v>
      </c>
      <c r="B2394" s="2" t="s">
        <v>13409</v>
      </c>
      <c r="C2394" s="1" t="n">
        <v>26</v>
      </c>
      <c r="D2394" s="1" t="n">
        <v>27</v>
      </c>
      <c r="E2394" s="1" t="n">
        <v>28</v>
      </c>
      <c r="F2394" s="1" t="n">
        <v>32</v>
      </c>
      <c r="G2394" s="1" t="n">
        <v>38</v>
      </c>
      <c r="H2394" s="1" t="n">
        <v>51</v>
      </c>
      <c r="I2394" s="1" t="str">
        <f aca="false">RIGHT(("0"&amp;C2394),2)&amp;RIGHT(("0"&amp;D2394),2)&amp;RIGHT(("0"&amp;E2394),2)&amp;RIGHT(("0"&amp;F2394),2)&amp;RIGHT(("0"&amp;G2394),2)&amp;RIGHT(("0"&amp;H2394),2)</f>
        <v>262728323851</v>
      </c>
      <c r="J2394" s="1" t="n">
        <f aca="false">COUNTIF(I:I,I2394)</f>
        <v>1</v>
      </c>
      <c r="K2394" s="1" t="n">
        <v>0</v>
      </c>
      <c r="M2394" s="1" t="s">
        <v>23</v>
      </c>
      <c r="N2394" s="1" t="n">
        <v>28</v>
      </c>
      <c r="O2394" s="1" t="s">
        <v>13410</v>
      </c>
      <c r="P2394" s="1" t="n">
        <v>2368</v>
      </c>
      <c r="Q2394" s="1" t="s">
        <v>13411</v>
      </c>
      <c r="R2394" s="1" t="s">
        <v>13412</v>
      </c>
      <c r="S2394" s="1" t="s">
        <v>13413</v>
      </c>
      <c r="T2394" s="1" t="s">
        <v>3727</v>
      </c>
      <c r="U2394" s="1" t="s">
        <v>13414</v>
      </c>
    </row>
    <row r="2395" customFormat="false" ht="13.8" hidden="false" customHeight="false" outlineLevel="0" collapsed="false">
      <c r="A2395" s="1" t="n">
        <v>2394</v>
      </c>
      <c r="B2395" s="2" t="s">
        <v>13415</v>
      </c>
      <c r="C2395" s="1" t="n">
        <v>5</v>
      </c>
      <c r="D2395" s="1" t="n">
        <v>16</v>
      </c>
      <c r="E2395" s="1" t="n">
        <v>25</v>
      </c>
      <c r="F2395" s="1" t="n">
        <v>36</v>
      </c>
      <c r="G2395" s="1" t="n">
        <v>42</v>
      </c>
      <c r="H2395" s="1" t="n">
        <v>44</v>
      </c>
      <c r="I2395" s="1" t="str">
        <f aca="false">RIGHT(("0"&amp;C2395),2)&amp;RIGHT(("0"&amp;D2395),2)&amp;RIGHT(("0"&amp;E2395),2)&amp;RIGHT(("0"&amp;F2395),2)&amp;RIGHT(("0"&amp;G2395),2)&amp;RIGHT(("0"&amp;H2395),2)</f>
        <v>051625364244</v>
      </c>
      <c r="J2395" s="1" t="n">
        <f aca="false">COUNTIF(I:I,I2395)</f>
        <v>1</v>
      </c>
      <c r="K2395" s="1" t="n">
        <v>0</v>
      </c>
      <c r="M2395" s="1" t="s">
        <v>23</v>
      </c>
      <c r="N2395" s="1" t="n">
        <v>48</v>
      </c>
      <c r="O2395" s="1" t="s">
        <v>13416</v>
      </c>
      <c r="P2395" s="1" t="n">
        <v>4144</v>
      </c>
      <c r="Q2395" s="1" t="s">
        <v>13417</v>
      </c>
      <c r="R2395" s="1" t="s">
        <v>13418</v>
      </c>
      <c r="S2395" s="1" t="s">
        <v>13419</v>
      </c>
      <c r="T2395" s="1" t="s">
        <v>5294</v>
      </c>
      <c r="U2395" s="1" t="s">
        <v>13420</v>
      </c>
    </row>
    <row r="2396" customFormat="false" ht="13.8" hidden="false" customHeight="false" outlineLevel="0" collapsed="false">
      <c r="A2396" s="1" t="n">
        <v>2395</v>
      </c>
      <c r="B2396" s="2" t="s">
        <v>13421</v>
      </c>
      <c r="C2396" s="1" t="n">
        <v>4</v>
      </c>
      <c r="D2396" s="1" t="n">
        <v>11</v>
      </c>
      <c r="E2396" s="1" t="n">
        <v>12</v>
      </c>
      <c r="F2396" s="1" t="n">
        <v>44</v>
      </c>
      <c r="G2396" s="1" t="n">
        <v>45</v>
      </c>
      <c r="H2396" s="1" t="n">
        <v>57</v>
      </c>
      <c r="I2396" s="1" t="str">
        <f aca="false">RIGHT(("0"&amp;C2396),2)&amp;RIGHT(("0"&amp;D2396),2)&amp;RIGHT(("0"&amp;E2396),2)&amp;RIGHT(("0"&amp;F2396),2)&amp;RIGHT(("0"&amp;G2396),2)&amp;RIGHT(("0"&amp;H2396),2)</f>
        <v>041112444557</v>
      </c>
      <c r="J2396" s="1" t="n">
        <f aca="false">COUNTIF(I:I,I2396)</f>
        <v>1</v>
      </c>
      <c r="K2396" s="1" t="n">
        <v>0</v>
      </c>
      <c r="M2396" s="1" t="s">
        <v>23</v>
      </c>
      <c r="N2396" s="1" t="n">
        <v>72</v>
      </c>
      <c r="O2396" s="1" t="s">
        <v>13422</v>
      </c>
      <c r="P2396" s="1" t="n">
        <v>6026</v>
      </c>
      <c r="Q2396" s="1" t="s">
        <v>13423</v>
      </c>
      <c r="R2396" s="1" t="s">
        <v>13424</v>
      </c>
      <c r="S2396" s="1" t="s">
        <v>13425</v>
      </c>
      <c r="T2396" s="1" t="s">
        <v>6077</v>
      </c>
      <c r="U2396" s="1" t="s">
        <v>13426</v>
      </c>
    </row>
    <row r="2397" customFormat="false" ht="13.8" hidden="false" customHeight="false" outlineLevel="0" collapsed="false">
      <c r="A2397" s="1" t="n">
        <v>2396</v>
      </c>
      <c r="B2397" s="2" t="s">
        <v>13427</v>
      </c>
      <c r="C2397" s="1" t="n">
        <v>2</v>
      </c>
      <c r="D2397" s="1" t="n">
        <v>3</v>
      </c>
      <c r="E2397" s="1" t="n">
        <v>25</v>
      </c>
      <c r="F2397" s="1" t="n">
        <v>39</v>
      </c>
      <c r="G2397" s="1" t="n">
        <v>42</v>
      </c>
      <c r="H2397" s="1" t="n">
        <v>49</v>
      </c>
      <c r="I2397" s="1" t="str">
        <f aca="false">RIGHT(("0"&amp;C2397),2)&amp;RIGHT(("0"&amp;D2397),2)&amp;RIGHT(("0"&amp;E2397),2)&amp;RIGHT(("0"&amp;F2397),2)&amp;RIGHT(("0"&amp;G2397),2)&amp;RIGHT(("0"&amp;H2397),2)</f>
        <v>020325394249</v>
      </c>
      <c r="J2397" s="1" t="n">
        <f aca="false">COUNTIF(I:I,I2397)</f>
        <v>1</v>
      </c>
      <c r="K2397" s="1" t="n">
        <v>0</v>
      </c>
      <c r="M2397" s="1" t="s">
        <v>23</v>
      </c>
      <c r="N2397" s="1" t="n">
        <v>49</v>
      </c>
      <c r="O2397" s="1" t="s">
        <v>13428</v>
      </c>
      <c r="P2397" s="1" t="n">
        <v>5934</v>
      </c>
      <c r="Q2397" s="1" t="s">
        <v>13429</v>
      </c>
      <c r="R2397" s="1" t="s">
        <v>13430</v>
      </c>
      <c r="S2397" s="1" t="s">
        <v>13431</v>
      </c>
      <c r="T2397" s="1" t="s">
        <v>5255</v>
      </c>
      <c r="U2397" s="1" t="s">
        <v>13432</v>
      </c>
    </row>
    <row r="2398" customFormat="false" ht="13.8" hidden="false" customHeight="false" outlineLevel="0" collapsed="false">
      <c r="A2398" s="1" t="n">
        <v>2397</v>
      </c>
      <c r="B2398" s="2" t="s">
        <v>13433</v>
      </c>
      <c r="C2398" s="1" t="n">
        <v>6</v>
      </c>
      <c r="D2398" s="1" t="n">
        <v>14</v>
      </c>
      <c r="E2398" s="1" t="n">
        <v>20</v>
      </c>
      <c r="F2398" s="1" t="n">
        <v>39</v>
      </c>
      <c r="G2398" s="1" t="n">
        <v>46</v>
      </c>
      <c r="H2398" s="1" t="n">
        <v>48</v>
      </c>
      <c r="I2398" s="1" t="str">
        <f aca="false">RIGHT(("0"&amp;C2398),2)&amp;RIGHT(("0"&amp;D2398),2)&amp;RIGHT(("0"&amp;E2398),2)&amp;RIGHT(("0"&amp;F2398),2)&amp;RIGHT(("0"&amp;G2398),2)&amp;RIGHT(("0"&amp;H2398),2)</f>
        <v>061420394648</v>
      </c>
      <c r="J2398" s="1" t="n">
        <f aca="false">COUNTIF(I:I,I2398)</f>
        <v>1</v>
      </c>
      <c r="K2398" s="1" t="n">
        <v>0</v>
      </c>
      <c r="M2398" s="1" t="s">
        <v>23</v>
      </c>
      <c r="N2398" s="1" t="n">
        <v>79</v>
      </c>
      <c r="O2398" s="1" t="s">
        <v>13434</v>
      </c>
      <c r="P2398" s="1" t="n">
        <v>6058</v>
      </c>
      <c r="Q2398" s="1" t="s">
        <v>13435</v>
      </c>
      <c r="R2398" s="1" t="s">
        <v>13436</v>
      </c>
      <c r="S2398" s="1" t="s">
        <v>13437</v>
      </c>
      <c r="T2398" s="1" t="s">
        <v>9211</v>
      </c>
      <c r="U2398" s="1" t="s">
        <v>13438</v>
      </c>
    </row>
    <row r="2399" customFormat="false" ht="13.8" hidden="false" customHeight="false" outlineLevel="0" collapsed="false">
      <c r="A2399" s="1" t="n">
        <v>2398</v>
      </c>
      <c r="B2399" s="2" t="s">
        <v>13439</v>
      </c>
      <c r="C2399" s="1" t="n">
        <v>8</v>
      </c>
      <c r="D2399" s="1" t="n">
        <v>17</v>
      </c>
      <c r="E2399" s="1" t="n">
        <v>30</v>
      </c>
      <c r="F2399" s="1" t="n">
        <v>36</v>
      </c>
      <c r="G2399" s="1" t="n">
        <v>54</v>
      </c>
      <c r="H2399" s="1" t="n">
        <v>59</v>
      </c>
      <c r="I2399" s="1" t="str">
        <f aca="false">RIGHT(("0"&amp;C2399),2)&amp;RIGHT(("0"&amp;D2399),2)&amp;RIGHT(("0"&amp;E2399),2)&amp;RIGHT(("0"&amp;F2399),2)&amp;RIGHT(("0"&amp;G2399),2)&amp;RIGHT(("0"&amp;H2399),2)</f>
        <v>081730365459</v>
      </c>
      <c r="J2399" s="1" t="n">
        <f aca="false">COUNTIF(I:I,I2399)</f>
        <v>1</v>
      </c>
      <c r="K2399" s="1" t="n">
        <v>1</v>
      </c>
      <c r="L2399" s="1" t="s">
        <v>13440</v>
      </c>
      <c r="M2399" s="1" t="s">
        <v>13441</v>
      </c>
      <c r="N2399" s="1" t="n">
        <v>78</v>
      </c>
      <c r="O2399" s="1" t="s">
        <v>13442</v>
      </c>
      <c r="P2399" s="1" t="n">
        <v>5421</v>
      </c>
      <c r="Q2399" s="1" t="s">
        <v>13443</v>
      </c>
      <c r="R2399" s="1" t="s">
        <v>23</v>
      </c>
      <c r="S2399" s="1" t="s">
        <v>13444</v>
      </c>
      <c r="T2399" s="1" t="s">
        <v>4256</v>
      </c>
      <c r="U2399" s="1" t="s">
        <v>13445</v>
      </c>
    </row>
    <row r="2400" customFormat="false" ht="13.8" hidden="false" customHeight="false" outlineLevel="0" collapsed="false">
      <c r="A2400" s="1" t="n">
        <v>2399</v>
      </c>
      <c r="B2400" s="2" t="s">
        <v>13446</v>
      </c>
      <c r="C2400" s="1" t="n">
        <v>27</v>
      </c>
      <c r="D2400" s="1" t="n">
        <v>35</v>
      </c>
      <c r="E2400" s="1" t="n">
        <v>42</v>
      </c>
      <c r="F2400" s="1" t="n">
        <v>44</v>
      </c>
      <c r="G2400" s="1" t="n">
        <v>51</v>
      </c>
      <c r="H2400" s="1" t="n">
        <v>52</v>
      </c>
      <c r="I2400" s="1" t="str">
        <f aca="false">RIGHT(("0"&amp;C2400),2)&amp;RIGHT(("0"&amp;D2400),2)&amp;RIGHT(("0"&amp;E2400),2)&amp;RIGHT(("0"&amp;F2400),2)&amp;RIGHT(("0"&amp;G2400),2)&amp;RIGHT(("0"&amp;H2400),2)</f>
        <v>273542445152</v>
      </c>
      <c r="J2400" s="1" t="n">
        <f aca="false">COUNTIF(I:I,I2400)</f>
        <v>1</v>
      </c>
      <c r="K2400" s="1" t="n">
        <v>0</v>
      </c>
      <c r="M2400" s="1" t="s">
        <v>23</v>
      </c>
      <c r="N2400" s="1" t="n">
        <v>34</v>
      </c>
      <c r="O2400" s="1" t="s">
        <v>13447</v>
      </c>
      <c r="P2400" s="1" t="n">
        <v>1706</v>
      </c>
      <c r="Q2400" s="1" t="s">
        <v>13448</v>
      </c>
      <c r="R2400" s="1" t="s">
        <v>13449</v>
      </c>
      <c r="S2400" s="1" t="s">
        <v>13450</v>
      </c>
      <c r="T2400" s="1" t="s">
        <v>4213</v>
      </c>
      <c r="U2400" s="1" t="s">
        <v>13451</v>
      </c>
    </row>
    <row r="2401" customFormat="false" ht="13.8" hidden="false" customHeight="false" outlineLevel="0" collapsed="false">
      <c r="A2401" s="1" t="n">
        <v>2400</v>
      </c>
      <c r="B2401" s="2" t="s">
        <v>13452</v>
      </c>
      <c r="C2401" s="1" t="n">
        <v>9</v>
      </c>
      <c r="D2401" s="1" t="n">
        <v>21</v>
      </c>
      <c r="E2401" s="1" t="n">
        <v>25</v>
      </c>
      <c r="F2401" s="1" t="n">
        <v>26</v>
      </c>
      <c r="G2401" s="1" t="n">
        <v>36</v>
      </c>
      <c r="H2401" s="1" t="n">
        <v>53</v>
      </c>
      <c r="I2401" s="1" t="str">
        <f aca="false">RIGHT(("0"&amp;C2401),2)&amp;RIGHT(("0"&amp;D2401),2)&amp;RIGHT(("0"&amp;E2401),2)&amp;RIGHT(("0"&amp;F2401),2)&amp;RIGHT(("0"&amp;G2401),2)&amp;RIGHT(("0"&amp;H2401),2)</f>
        <v>092125263653</v>
      </c>
      <c r="J2401" s="1" t="n">
        <f aca="false">COUNTIF(I:I,I2401)</f>
        <v>1</v>
      </c>
      <c r="K2401" s="1" t="n">
        <v>0</v>
      </c>
      <c r="M2401" s="1" t="s">
        <v>23</v>
      </c>
      <c r="N2401" s="1" t="n">
        <v>52</v>
      </c>
      <c r="O2401" s="1" t="s">
        <v>13453</v>
      </c>
      <c r="P2401" s="1" t="n">
        <v>3623</v>
      </c>
      <c r="Q2401" s="1" t="s">
        <v>13454</v>
      </c>
      <c r="R2401" s="1" t="s">
        <v>13455</v>
      </c>
      <c r="S2401" s="1" t="s">
        <v>13456</v>
      </c>
      <c r="T2401" s="1" t="s">
        <v>5686</v>
      </c>
      <c r="U2401" s="1" t="s">
        <v>13457</v>
      </c>
    </row>
    <row r="2402" customFormat="false" ht="13.8" hidden="false" customHeight="false" outlineLevel="0" collapsed="false">
      <c r="A2402" s="1" t="n">
        <v>2401</v>
      </c>
      <c r="B2402" s="2" t="s">
        <v>13458</v>
      </c>
      <c r="C2402" s="1" t="n">
        <v>8</v>
      </c>
      <c r="D2402" s="1" t="n">
        <v>11</v>
      </c>
      <c r="E2402" s="1" t="n">
        <v>13</v>
      </c>
      <c r="F2402" s="1" t="n">
        <v>33</v>
      </c>
      <c r="G2402" s="1" t="n">
        <v>38</v>
      </c>
      <c r="H2402" s="1" t="n">
        <v>48</v>
      </c>
      <c r="I2402" s="1" t="str">
        <f aca="false">RIGHT(("0"&amp;C2402),2)&amp;RIGHT(("0"&amp;D2402),2)&amp;RIGHT(("0"&amp;E2402),2)&amp;RIGHT(("0"&amp;F2402),2)&amp;RIGHT(("0"&amp;G2402),2)&amp;RIGHT(("0"&amp;H2402),2)</f>
        <v>081113333848</v>
      </c>
      <c r="J2402" s="1" t="n">
        <f aca="false">COUNTIF(I:I,I2402)</f>
        <v>1</v>
      </c>
      <c r="K2402" s="1" t="n">
        <v>0</v>
      </c>
      <c r="M2402" s="1" t="s">
        <v>23</v>
      </c>
      <c r="N2402" s="1" t="n">
        <v>128</v>
      </c>
      <c r="O2402" s="1" t="s">
        <v>13459</v>
      </c>
      <c r="P2402" s="1" t="n">
        <v>8020</v>
      </c>
      <c r="Q2402" s="1" t="s">
        <v>13460</v>
      </c>
      <c r="R2402" s="1" t="s">
        <v>13461</v>
      </c>
      <c r="S2402" s="1" t="s">
        <v>13462</v>
      </c>
      <c r="T2402" s="1" t="s">
        <v>7567</v>
      </c>
      <c r="U2402" s="1" t="s">
        <v>13463</v>
      </c>
    </row>
    <row r="2403" customFormat="false" ht="13.8" hidden="false" customHeight="false" outlineLevel="0" collapsed="false">
      <c r="A2403" s="1" t="n">
        <v>2402</v>
      </c>
      <c r="B2403" s="2" t="s">
        <v>13464</v>
      </c>
      <c r="C2403" s="1" t="n">
        <v>6</v>
      </c>
      <c r="D2403" s="1" t="n">
        <v>22</v>
      </c>
      <c r="E2403" s="1" t="n">
        <v>25</v>
      </c>
      <c r="F2403" s="1" t="n">
        <v>29</v>
      </c>
      <c r="G2403" s="1" t="n">
        <v>30</v>
      </c>
      <c r="H2403" s="1" t="n">
        <v>60</v>
      </c>
      <c r="I2403" s="1" t="str">
        <f aca="false">RIGHT(("0"&amp;C2403),2)&amp;RIGHT(("0"&amp;D2403),2)&amp;RIGHT(("0"&amp;E2403),2)&amp;RIGHT(("0"&amp;F2403),2)&amp;RIGHT(("0"&amp;G2403),2)&amp;RIGHT(("0"&amp;H2403),2)</f>
        <v>062225293060</v>
      </c>
      <c r="J2403" s="1" t="n">
        <f aca="false">COUNTIF(I:I,I2403)</f>
        <v>1</v>
      </c>
      <c r="K2403" s="1" t="n">
        <v>1</v>
      </c>
      <c r="L2403" s="1" t="s">
        <v>13465</v>
      </c>
      <c r="M2403" s="1" t="s">
        <v>13466</v>
      </c>
      <c r="N2403" s="1" t="n">
        <v>128</v>
      </c>
      <c r="O2403" s="1" t="s">
        <v>13467</v>
      </c>
      <c r="P2403" s="1" t="n">
        <v>6285</v>
      </c>
      <c r="Q2403" s="1" t="s">
        <v>13468</v>
      </c>
      <c r="R2403" s="1" t="s">
        <v>23</v>
      </c>
      <c r="S2403" s="1" t="s">
        <v>13469</v>
      </c>
      <c r="T2403" s="1" t="s">
        <v>473</v>
      </c>
      <c r="U2403" s="1" t="s">
        <v>13470</v>
      </c>
    </row>
    <row r="2404" customFormat="false" ht="13.8" hidden="false" customHeight="false" outlineLevel="0" collapsed="false">
      <c r="A2404" s="1" t="n">
        <v>2403</v>
      </c>
      <c r="B2404" s="2" t="s">
        <v>13471</v>
      </c>
      <c r="C2404" s="1" t="n">
        <v>10</v>
      </c>
      <c r="D2404" s="1" t="n">
        <v>12</v>
      </c>
      <c r="E2404" s="1" t="n">
        <v>14</v>
      </c>
      <c r="F2404" s="1" t="n">
        <v>32</v>
      </c>
      <c r="G2404" s="1" t="n">
        <v>33</v>
      </c>
      <c r="H2404" s="1" t="n">
        <v>34</v>
      </c>
      <c r="I2404" s="1" t="str">
        <f aca="false">RIGHT(("0"&amp;C2404),2)&amp;RIGHT(("0"&amp;D2404),2)&amp;RIGHT(("0"&amp;E2404),2)&amp;RIGHT(("0"&amp;F2404),2)&amp;RIGHT(("0"&amp;G2404),2)&amp;RIGHT(("0"&amp;H2404),2)</f>
        <v>101214323334</v>
      </c>
      <c r="J2404" s="1" t="n">
        <f aca="false">COUNTIF(I:I,I2404)</f>
        <v>1</v>
      </c>
      <c r="K2404" s="1" t="n">
        <v>0</v>
      </c>
      <c r="M2404" s="1" t="s">
        <v>23</v>
      </c>
      <c r="N2404" s="1" t="n">
        <v>65</v>
      </c>
      <c r="O2404" s="1" t="s">
        <v>13472</v>
      </c>
      <c r="P2404" s="1" t="n">
        <v>2793</v>
      </c>
      <c r="Q2404" s="1" t="s">
        <v>13473</v>
      </c>
      <c r="R2404" s="1" t="s">
        <v>13474</v>
      </c>
      <c r="S2404" s="1" t="s">
        <v>13475</v>
      </c>
      <c r="T2404" s="1" t="s">
        <v>5931</v>
      </c>
      <c r="U2404" s="1" t="s">
        <v>13476</v>
      </c>
    </row>
    <row r="2405" customFormat="false" ht="13.8" hidden="false" customHeight="false" outlineLevel="0" collapsed="false">
      <c r="A2405" s="1" t="n">
        <v>2404</v>
      </c>
      <c r="B2405" s="2" t="s">
        <v>13477</v>
      </c>
      <c r="C2405" s="1" t="n">
        <v>1</v>
      </c>
      <c r="D2405" s="1" t="n">
        <v>19</v>
      </c>
      <c r="E2405" s="1" t="n">
        <v>35</v>
      </c>
      <c r="F2405" s="1" t="n">
        <v>40</v>
      </c>
      <c r="G2405" s="1" t="n">
        <v>47</v>
      </c>
      <c r="H2405" s="1" t="n">
        <v>54</v>
      </c>
      <c r="I2405" s="1" t="str">
        <f aca="false">RIGHT(("0"&amp;C2405),2)&amp;RIGHT(("0"&amp;D2405),2)&amp;RIGHT(("0"&amp;E2405),2)&amp;RIGHT(("0"&amp;F2405),2)&amp;RIGHT(("0"&amp;G2405),2)&amp;RIGHT(("0"&amp;H2405),2)</f>
        <v>011935404754</v>
      </c>
      <c r="J2405" s="1" t="n">
        <f aca="false">COUNTIF(I:I,I2405)</f>
        <v>1</v>
      </c>
      <c r="K2405" s="1" t="n">
        <v>0</v>
      </c>
      <c r="M2405" s="1" t="s">
        <v>23</v>
      </c>
      <c r="N2405" s="1" t="n">
        <v>43</v>
      </c>
      <c r="O2405" s="1" t="s">
        <v>13478</v>
      </c>
      <c r="P2405" s="1" t="n">
        <v>2492</v>
      </c>
      <c r="Q2405" s="1" t="s">
        <v>13479</v>
      </c>
      <c r="R2405" s="1" t="s">
        <v>13480</v>
      </c>
      <c r="S2405" s="1" t="s">
        <v>13481</v>
      </c>
      <c r="T2405" s="1" t="s">
        <v>5242</v>
      </c>
      <c r="U2405" s="1" t="s">
        <v>13482</v>
      </c>
    </row>
    <row r="2406" customFormat="false" ht="13.8" hidden="false" customHeight="false" outlineLevel="0" collapsed="false">
      <c r="A2406" s="1" t="n">
        <v>2405</v>
      </c>
      <c r="B2406" s="2" t="s">
        <v>13483</v>
      </c>
      <c r="C2406" s="1" t="n">
        <v>21</v>
      </c>
      <c r="D2406" s="1" t="n">
        <v>38</v>
      </c>
      <c r="E2406" s="1" t="n">
        <v>48</v>
      </c>
      <c r="F2406" s="1" t="n">
        <v>49</v>
      </c>
      <c r="G2406" s="1" t="n">
        <v>53</v>
      </c>
      <c r="H2406" s="1" t="n">
        <v>59</v>
      </c>
      <c r="I2406" s="1" t="str">
        <f aca="false">RIGHT(("0"&amp;C2406),2)&amp;RIGHT(("0"&amp;D2406),2)&amp;RIGHT(("0"&amp;E2406),2)&amp;RIGHT(("0"&amp;F2406),2)&amp;RIGHT(("0"&amp;G2406),2)&amp;RIGHT(("0"&amp;H2406),2)</f>
        <v>213848495359</v>
      </c>
      <c r="J2406" s="1" t="n">
        <f aca="false">COUNTIF(I:I,I2406)</f>
        <v>1</v>
      </c>
      <c r="K2406" s="1" t="n">
        <v>0</v>
      </c>
      <c r="M2406" s="1" t="s">
        <v>23</v>
      </c>
      <c r="N2406" s="1" t="n">
        <v>18</v>
      </c>
      <c r="O2406" s="1" t="s">
        <v>13484</v>
      </c>
      <c r="P2406" s="1" t="n">
        <v>2630</v>
      </c>
      <c r="Q2406" s="1" t="s">
        <v>13485</v>
      </c>
      <c r="R2406" s="1" t="s">
        <v>13486</v>
      </c>
      <c r="S2406" s="1" t="s">
        <v>13487</v>
      </c>
      <c r="T2406" s="1" t="s">
        <v>5686</v>
      </c>
      <c r="U2406" s="1" t="s">
        <v>13488</v>
      </c>
    </row>
    <row r="2407" customFormat="false" ht="13.8" hidden="false" customHeight="false" outlineLevel="0" collapsed="false">
      <c r="A2407" s="1" t="n">
        <v>2406</v>
      </c>
      <c r="B2407" s="2" t="s">
        <v>13489</v>
      </c>
      <c r="C2407" s="1" t="n">
        <v>8</v>
      </c>
      <c r="D2407" s="1" t="n">
        <v>12</v>
      </c>
      <c r="E2407" s="1" t="n">
        <v>29</v>
      </c>
      <c r="F2407" s="1" t="n">
        <v>43</v>
      </c>
      <c r="G2407" s="1" t="n">
        <v>54</v>
      </c>
      <c r="H2407" s="1" t="n">
        <v>60</v>
      </c>
      <c r="I2407" s="1" t="str">
        <f aca="false">RIGHT(("0"&amp;C2407),2)&amp;RIGHT(("0"&amp;D2407),2)&amp;RIGHT(("0"&amp;E2407),2)&amp;RIGHT(("0"&amp;F2407),2)&amp;RIGHT(("0"&amp;G2407),2)&amp;RIGHT(("0"&amp;H2407),2)</f>
        <v>081229435460</v>
      </c>
      <c r="J2407" s="1" t="n">
        <f aca="false">COUNTIF(I:I,I2407)</f>
        <v>1</v>
      </c>
      <c r="K2407" s="1" t="n">
        <v>0</v>
      </c>
      <c r="M2407" s="1" t="s">
        <v>23</v>
      </c>
      <c r="N2407" s="1" t="n">
        <v>64</v>
      </c>
      <c r="O2407" s="1" t="s">
        <v>13490</v>
      </c>
      <c r="P2407" s="1" t="n">
        <v>5120</v>
      </c>
      <c r="Q2407" s="1" t="s">
        <v>13491</v>
      </c>
      <c r="R2407" s="1" t="s">
        <v>13492</v>
      </c>
      <c r="S2407" s="1" t="s">
        <v>13493</v>
      </c>
      <c r="T2407" s="1" t="s">
        <v>4309</v>
      </c>
      <c r="U2407" s="1" t="s">
        <v>13494</v>
      </c>
    </row>
    <row r="2408" customFormat="false" ht="13.8" hidden="false" customHeight="false" outlineLevel="0" collapsed="false">
      <c r="A2408" s="1" t="n">
        <v>2407</v>
      </c>
      <c r="B2408" s="2" t="s">
        <v>13495</v>
      </c>
      <c r="C2408" s="1" t="n">
        <v>13</v>
      </c>
      <c r="D2408" s="1" t="n">
        <v>17</v>
      </c>
      <c r="E2408" s="1" t="n">
        <v>31</v>
      </c>
      <c r="F2408" s="1" t="n">
        <v>43</v>
      </c>
      <c r="G2408" s="1" t="n">
        <v>54</v>
      </c>
      <c r="H2408" s="1" t="n">
        <v>55</v>
      </c>
      <c r="I2408" s="1" t="str">
        <f aca="false">RIGHT(("0"&amp;C2408),2)&amp;RIGHT(("0"&amp;D2408),2)&amp;RIGHT(("0"&amp;E2408),2)&amp;RIGHT(("0"&amp;F2408),2)&amp;RIGHT(("0"&amp;G2408),2)&amp;RIGHT(("0"&amp;H2408),2)</f>
        <v>131731435455</v>
      </c>
      <c r="J2408" s="1" t="n">
        <f aca="false">COUNTIF(I:I,I2408)</f>
        <v>1</v>
      </c>
      <c r="K2408" s="1" t="n">
        <v>0</v>
      </c>
      <c r="M2408" s="1" t="s">
        <v>23</v>
      </c>
      <c r="N2408" s="1" t="n">
        <v>45</v>
      </c>
      <c r="O2408" s="1" t="s">
        <v>13496</v>
      </c>
      <c r="P2408" s="1" t="n">
        <v>4411</v>
      </c>
      <c r="Q2408" s="1" t="s">
        <v>13497</v>
      </c>
      <c r="R2408" s="1" t="s">
        <v>13498</v>
      </c>
      <c r="S2408" s="1" t="s">
        <v>13499</v>
      </c>
      <c r="T2408" s="1" t="s">
        <v>4314</v>
      </c>
      <c r="U2408" s="1" t="s">
        <v>13500</v>
      </c>
    </row>
    <row r="2409" customFormat="false" ht="13.8" hidden="false" customHeight="false" outlineLevel="0" collapsed="false">
      <c r="A2409" s="1" t="n">
        <v>2408</v>
      </c>
      <c r="B2409" s="2" t="s">
        <v>13501</v>
      </c>
      <c r="C2409" s="1" t="n">
        <v>4</v>
      </c>
      <c r="D2409" s="1" t="n">
        <v>29</v>
      </c>
      <c r="E2409" s="1" t="n">
        <v>30</v>
      </c>
      <c r="F2409" s="1" t="n">
        <v>38</v>
      </c>
      <c r="G2409" s="1" t="n">
        <v>43</v>
      </c>
      <c r="H2409" s="1" t="n">
        <v>57</v>
      </c>
      <c r="I2409" s="1" t="str">
        <f aca="false">RIGHT(("0"&amp;C2409),2)&amp;RIGHT(("0"&amp;D2409),2)&amp;RIGHT(("0"&amp;E2409),2)&amp;RIGHT(("0"&amp;F2409),2)&amp;RIGHT(("0"&amp;G2409),2)&amp;RIGHT(("0"&amp;H2409),2)</f>
        <v>042930384357</v>
      </c>
      <c r="J2409" s="1" t="n">
        <f aca="false">COUNTIF(I:I,I2409)</f>
        <v>1</v>
      </c>
      <c r="K2409" s="1" t="n">
        <v>1</v>
      </c>
      <c r="L2409" s="1" t="s">
        <v>13502</v>
      </c>
      <c r="M2409" s="1" t="s">
        <v>13503</v>
      </c>
      <c r="N2409" s="1" t="n">
        <v>65</v>
      </c>
      <c r="O2409" s="1" t="s">
        <v>13504</v>
      </c>
      <c r="P2409" s="1" t="n">
        <v>4828</v>
      </c>
      <c r="Q2409" s="1" t="s">
        <v>13505</v>
      </c>
      <c r="R2409" s="1" t="s">
        <v>23</v>
      </c>
      <c r="S2409" s="1" t="s">
        <v>13506</v>
      </c>
      <c r="T2409" s="1" t="s">
        <v>473</v>
      </c>
      <c r="U2409" s="1" t="s">
        <v>13507</v>
      </c>
    </row>
    <row r="2410" customFormat="false" ht="13.8" hidden="false" customHeight="false" outlineLevel="0" collapsed="false">
      <c r="A2410" s="1" t="n">
        <v>2409</v>
      </c>
      <c r="B2410" s="2" t="s">
        <v>13508</v>
      </c>
      <c r="C2410" s="1" t="n">
        <v>2</v>
      </c>
      <c r="D2410" s="1" t="n">
        <v>29</v>
      </c>
      <c r="E2410" s="1" t="n">
        <v>39</v>
      </c>
      <c r="F2410" s="1" t="n">
        <v>49</v>
      </c>
      <c r="G2410" s="1" t="n">
        <v>52</v>
      </c>
      <c r="H2410" s="1" t="n">
        <v>58</v>
      </c>
      <c r="I2410" s="1" t="str">
        <f aca="false">RIGHT(("0"&amp;C2410),2)&amp;RIGHT(("0"&amp;D2410),2)&amp;RIGHT(("0"&amp;E2410),2)&amp;RIGHT(("0"&amp;F2410),2)&amp;RIGHT(("0"&amp;G2410),2)&amp;RIGHT(("0"&amp;H2410),2)</f>
        <v>022939495258</v>
      </c>
      <c r="J2410" s="1" t="n">
        <f aca="false">COUNTIF(I:I,I2410)</f>
        <v>1</v>
      </c>
      <c r="K2410" s="1" t="n">
        <v>0</v>
      </c>
      <c r="M2410" s="1" t="s">
        <v>23</v>
      </c>
      <c r="N2410" s="1" t="n">
        <v>23</v>
      </c>
      <c r="O2410" s="1" t="s">
        <v>13509</v>
      </c>
      <c r="P2410" s="1" t="n">
        <v>1364</v>
      </c>
      <c r="Q2410" s="1" t="s">
        <v>13510</v>
      </c>
      <c r="R2410" s="1" t="s">
        <v>13511</v>
      </c>
      <c r="S2410" s="1" t="s">
        <v>13512</v>
      </c>
      <c r="T2410" s="1" t="s">
        <v>13513</v>
      </c>
      <c r="U2410" s="1" t="s">
        <v>13514</v>
      </c>
    </row>
    <row r="2411" customFormat="false" ht="13.8" hidden="false" customHeight="false" outlineLevel="0" collapsed="false">
      <c r="A2411" s="1" t="n">
        <v>2410</v>
      </c>
      <c r="B2411" s="2" t="s">
        <v>13515</v>
      </c>
      <c r="C2411" s="1" t="n">
        <v>7</v>
      </c>
      <c r="D2411" s="1" t="n">
        <v>10</v>
      </c>
      <c r="E2411" s="1" t="n">
        <v>27</v>
      </c>
      <c r="F2411" s="1" t="n">
        <v>35</v>
      </c>
      <c r="G2411" s="1" t="n">
        <v>43</v>
      </c>
      <c r="H2411" s="1" t="n">
        <v>59</v>
      </c>
      <c r="I2411" s="1" t="str">
        <f aca="false">RIGHT(("0"&amp;C2411),2)&amp;RIGHT(("0"&amp;D2411),2)&amp;RIGHT(("0"&amp;E2411),2)&amp;RIGHT(("0"&amp;F2411),2)&amp;RIGHT(("0"&amp;G2411),2)&amp;RIGHT(("0"&amp;H2411),2)</f>
        <v>071027354359</v>
      </c>
      <c r="J2411" s="1" t="n">
        <f aca="false">COUNTIF(I:I,I2411)</f>
        <v>1</v>
      </c>
      <c r="K2411" s="1" t="n">
        <v>2</v>
      </c>
      <c r="L2411" s="1" t="s">
        <v>13516</v>
      </c>
      <c r="M2411" s="1" t="s">
        <v>13517</v>
      </c>
      <c r="N2411" s="1" t="n">
        <v>93</v>
      </c>
      <c r="O2411" s="1" t="s">
        <v>13518</v>
      </c>
      <c r="P2411" s="1" t="n">
        <v>5939</v>
      </c>
      <c r="Q2411" s="1" t="s">
        <v>13519</v>
      </c>
      <c r="R2411" s="1" t="s">
        <v>23</v>
      </c>
      <c r="S2411" s="1" t="s">
        <v>13520</v>
      </c>
      <c r="T2411" s="1" t="s">
        <v>473</v>
      </c>
      <c r="U2411" s="1" t="s">
        <v>13521</v>
      </c>
    </row>
    <row r="2412" customFormat="false" ht="13.8" hidden="false" customHeight="false" outlineLevel="0" collapsed="false">
      <c r="A2412" s="1" t="n">
        <v>2411</v>
      </c>
      <c r="B2412" s="2" t="s">
        <v>13522</v>
      </c>
      <c r="C2412" s="1" t="n">
        <v>7</v>
      </c>
      <c r="D2412" s="1" t="n">
        <v>26</v>
      </c>
      <c r="E2412" s="1" t="n">
        <v>29</v>
      </c>
      <c r="F2412" s="1" t="n">
        <v>34</v>
      </c>
      <c r="G2412" s="1" t="n">
        <v>43</v>
      </c>
      <c r="H2412" s="1" t="n">
        <v>44</v>
      </c>
      <c r="I2412" s="1" t="str">
        <f aca="false">RIGHT(("0"&amp;C2412),2)&amp;RIGHT(("0"&amp;D2412),2)&amp;RIGHT(("0"&amp;E2412),2)&amp;RIGHT(("0"&amp;F2412),2)&amp;RIGHT(("0"&amp;G2412),2)&amp;RIGHT(("0"&amp;H2412),2)</f>
        <v>072629344344</v>
      </c>
      <c r="J2412" s="1" t="n">
        <f aca="false">COUNTIF(I:I,I2412)</f>
        <v>1</v>
      </c>
      <c r="K2412" s="1" t="n">
        <v>0</v>
      </c>
      <c r="M2412" s="1" t="s">
        <v>23</v>
      </c>
      <c r="N2412" s="1" t="n">
        <v>35</v>
      </c>
      <c r="O2412" s="1" t="s">
        <v>13523</v>
      </c>
      <c r="P2412" s="1" t="n">
        <v>2517</v>
      </c>
      <c r="Q2412" s="1" t="s">
        <v>13524</v>
      </c>
      <c r="R2412" s="1" t="s">
        <v>13525</v>
      </c>
      <c r="S2412" s="1" t="s">
        <v>13526</v>
      </c>
      <c r="T2412" s="1" t="s">
        <v>4232</v>
      </c>
      <c r="U2412" s="1" t="s">
        <v>13527</v>
      </c>
    </row>
    <row r="2413" customFormat="false" ht="13.8" hidden="false" customHeight="false" outlineLevel="0" collapsed="false">
      <c r="A2413" s="1" t="n">
        <v>2412</v>
      </c>
      <c r="B2413" s="2" t="s">
        <v>13528</v>
      </c>
      <c r="C2413" s="1" t="n">
        <v>9</v>
      </c>
      <c r="D2413" s="1" t="n">
        <v>16</v>
      </c>
      <c r="E2413" s="1" t="n">
        <v>34</v>
      </c>
      <c r="F2413" s="1" t="n">
        <v>36</v>
      </c>
      <c r="G2413" s="1" t="n">
        <v>49</v>
      </c>
      <c r="H2413" s="1" t="n">
        <v>60</v>
      </c>
      <c r="I2413" s="1" t="str">
        <f aca="false">RIGHT(("0"&amp;C2413),2)&amp;RIGHT(("0"&amp;D2413),2)&amp;RIGHT(("0"&amp;E2413),2)&amp;RIGHT(("0"&amp;F2413),2)&amp;RIGHT(("0"&amp;G2413),2)&amp;RIGHT(("0"&amp;H2413),2)</f>
        <v>091634364960</v>
      </c>
      <c r="J2413" s="1" t="n">
        <f aca="false">COUNTIF(I:I,I2413)</f>
        <v>1</v>
      </c>
      <c r="K2413" s="1" t="n">
        <v>0</v>
      </c>
      <c r="M2413" s="1" t="s">
        <v>23</v>
      </c>
      <c r="N2413" s="1" t="n">
        <v>37</v>
      </c>
      <c r="O2413" s="1" t="s">
        <v>13529</v>
      </c>
      <c r="P2413" s="1" t="n">
        <v>3285</v>
      </c>
      <c r="Q2413" s="1" t="s">
        <v>13530</v>
      </c>
      <c r="R2413" s="1" t="s">
        <v>13531</v>
      </c>
      <c r="S2413" s="1" t="s">
        <v>13532</v>
      </c>
      <c r="T2413" s="1" t="s">
        <v>4195</v>
      </c>
      <c r="U2413" s="1" t="s">
        <v>13533</v>
      </c>
    </row>
    <row r="2414" customFormat="false" ht="13.8" hidden="false" customHeight="false" outlineLevel="0" collapsed="false">
      <c r="A2414" s="1" t="n">
        <v>2413</v>
      </c>
      <c r="B2414" s="2" t="s">
        <v>13534</v>
      </c>
      <c r="C2414" s="1" t="n">
        <v>3</v>
      </c>
      <c r="D2414" s="1" t="n">
        <v>22</v>
      </c>
      <c r="E2414" s="1" t="n">
        <v>37</v>
      </c>
      <c r="F2414" s="1" t="n">
        <v>40</v>
      </c>
      <c r="G2414" s="1" t="n">
        <v>41</v>
      </c>
      <c r="H2414" s="1" t="n">
        <v>48</v>
      </c>
      <c r="I2414" s="1" t="str">
        <f aca="false">RIGHT(("0"&amp;C2414),2)&amp;RIGHT(("0"&amp;D2414),2)&amp;RIGHT(("0"&amp;E2414),2)&amp;RIGHT(("0"&amp;F2414),2)&amp;RIGHT(("0"&amp;G2414),2)&amp;RIGHT(("0"&amp;H2414),2)</f>
        <v>032237404148</v>
      </c>
      <c r="J2414" s="1" t="n">
        <f aca="false">COUNTIF(I:I,I2414)</f>
        <v>1</v>
      </c>
      <c r="K2414" s="1" t="n">
        <v>0</v>
      </c>
      <c r="M2414" s="1" t="s">
        <v>23</v>
      </c>
      <c r="N2414" s="1" t="n">
        <v>12</v>
      </c>
      <c r="O2414" s="1" t="s">
        <v>13535</v>
      </c>
      <c r="P2414" s="1" t="n">
        <v>1759</v>
      </c>
      <c r="Q2414" s="1" t="s">
        <v>13536</v>
      </c>
      <c r="R2414" s="1" t="s">
        <v>13537</v>
      </c>
      <c r="S2414" s="1" t="s">
        <v>13538</v>
      </c>
      <c r="T2414" s="1" t="s">
        <v>13539</v>
      </c>
      <c r="U2414" s="1" t="s">
        <v>13540</v>
      </c>
    </row>
    <row r="2415" customFormat="false" ht="13.8" hidden="false" customHeight="false" outlineLevel="0" collapsed="false">
      <c r="A2415" s="1" t="n">
        <v>2414</v>
      </c>
      <c r="B2415" s="2" t="s">
        <v>13541</v>
      </c>
      <c r="C2415" s="1" t="n">
        <v>4</v>
      </c>
      <c r="D2415" s="1" t="n">
        <v>5</v>
      </c>
      <c r="E2415" s="1" t="n">
        <v>6</v>
      </c>
      <c r="F2415" s="1" t="n">
        <v>14</v>
      </c>
      <c r="G2415" s="1" t="n">
        <v>29</v>
      </c>
      <c r="H2415" s="1" t="n">
        <v>38</v>
      </c>
      <c r="I2415" s="1" t="str">
        <f aca="false">RIGHT(("0"&amp;C2415),2)&amp;RIGHT(("0"&amp;D2415),2)&amp;RIGHT(("0"&amp;E2415),2)&amp;RIGHT(("0"&amp;F2415),2)&amp;RIGHT(("0"&amp;G2415),2)&amp;RIGHT(("0"&amp;H2415),2)</f>
        <v>040506142938</v>
      </c>
      <c r="J2415" s="1" t="n">
        <f aca="false">COUNTIF(I:I,I2415)</f>
        <v>1</v>
      </c>
      <c r="K2415" s="1" t="n">
        <v>0</v>
      </c>
      <c r="M2415" s="1" t="s">
        <v>23</v>
      </c>
      <c r="N2415" s="1" t="n">
        <v>39</v>
      </c>
      <c r="O2415" s="1" t="s">
        <v>13542</v>
      </c>
      <c r="P2415" s="1" t="n">
        <v>3415</v>
      </c>
      <c r="Q2415" s="1" t="s">
        <v>13543</v>
      </c>
      <c r="R2415" s="1" t="s">
        <v>13544</v>
      </c>
      <c r="S2415" s="1" t="s">
        <v>13545</v>
      </c>
      <c r="T2415" s="1" t="s">
        <v>5321</v>
      </c>
      <c r="U2415" s="1" t="s">
        <v>13546</v>
      </c>
    </row>
    <row r="2416" customFormat="false" ht="13.8" hidden="false" customHeight="false" outlineLevel="0" collapsed="false">
      <c r="A2416" s="1" t="n">
        <v>2415</v>
      </c>
      <c r="B2416" s="2" t="s">
        <v>13547</v>
      </c>
      <c r="C2416" s="1" t="n">
        <v>10</v>
      </c>
      <c r="D2416" s="1" t="n">
        <v>12</v>
      </c>
      <c r="E2416" s="1" t="n">
        <v>26</v>
      </c>
      <c r="F2416" s="1" t="n">
        <v>29</v>
      </c>
      <c r="G2416" s="1" t="n">
        <v>35</v>
      </c>
      <c r="H2416" s="1" t="n">
        <v>60</v>
      </c>
      <c r="I2416" s="1" t="str">
        <f aca="false">RIGHT(("0"&amp;C2416),2)&amp;RIGHT(("0"&amp;D2416),2)&amp;RIGHT(("0"&amp;E2416),2)&amp;RIGHT(("0"&amp;F2416),2)&amp;RIGHT(("0"&amp;G2416),2)&amp;RIGHT(("0"&amp;H2416),2)</f>
        <v>101226293560</v>
      </c>
      <c r="J2416" s="1" t="n">
        <f aca="false">COUNTIF(I:I,I2416)</f>
        <v>1</v>
      </c>
      <c r="K2416" s="1" t="n">
        <v>0</v>
      </c>
      <c r="M2416" s="1" t="s">
        <v>23</v>
      </c>
      <c r="N2416" s="1" t="n">
        <v>61</v>
      </c>
      <c r="O2416" s="1" t="s">
        <v>13548</v>
      </c>
      <c r="P2416" s="1" t="n">
        <v>4773</v>
      </c>
      <c r="Q2416" s="1" t="s">
        <v>13549</v>
      </c>
      <c r="R2416" s="1" t="s">
        <v>13550</v>
      </c>
      <c r="S2416" s="1" t="s">
        <v>13551</v>
      </c>
      <c r="T2416" s="1" t="s">
        <v>4968</v>
      </c>
      <c r="U2416" s="1" t="s">
        <v>13552</v>
      </c>
    </row>
    <row r="2417" customFormat="false" ht="13.8" hidden="false" customHeight="false" outlineLevel="0" collapsed="false">
      <c r="A2417" s="1" t="n">
        <v>2416</v>
      </c>
      <c r="B2417" s="2" t="s">
        <v>13553</v>
      </c>
      <c r="C2417" s="1" t="n">
        <v>6</v>
      </c>
      <c r="D2417" s="1" t="n">
        <v>7</v>
      </c>
      <c r="E2417" s="1" t="n">
        <v>11</v>
      </c>
      <c r="F2417" s="1" t="n">
        <v>26</v>
      </c>
      <c r="G2417" s="1" t="n">
        <v>37</v>
      </c>
      <c r="H2417" s="1" t="n">
        <v>57</v>
      </c>
      <c r="I2417" s="1" t="str">
        <f aca="false">RIGHT(("0"&amp;C2417),2)&amp;RIGHT(("0"&amp;D2417),2)&amp;RIGHT(("0"&amp;E2417),2)&amp;RIGHT(("0"&amp;F2417),2)&amp;RIGHT(("0"&amp;G2417),2)&amp;RIGHT(("0"&amp;H2417),2)</f>
        <v>060711263757</v>
      </c>
      <c r="J2417" s="1" t="n">
        <f aca="false">COUNTIF(I:I,I2417)</f>
        <v>1</v>
      </c>
      <c r="K2417" s="1" t="n">
        <v>1</v>
      </c>
      <c r="L2417" s="1" t="s">
        <v>12668</v>
      </c>
      <c r="M2417" s="1" t="s">
        <v>13554</v>
      </c>
      <c r="N2417" s="1" t="n">
        <v>86</v>
      </c>
      <c r="O2417" s="1" t="s">
        <v>13555</v>
      </c>
      <c r="P2417" s="1" t="n">
        <v>5658</v>
      </c>
      <c r="Q2417" s="1" t="s">
        <v>13556</v>
      </c>
      <c r="R2417" s="1" t="s">
        <v>23</v>
      </c>
      <c r="S2417" s="1" t="s">
        <v>13557</v>
      </c>
      <c r="T2417" s="1" t="s">
        <v>473</v>
      </c>
      <c r="U2417" s="1" t="s">
        <v>13558</v>
      </c>
    </row>
    <row r="2418" customFormat="false" ht="13.8" hidden="false" customHeight="false" outlineLevel="0" collapsed="false">
      <c r="A2418" s="1" t="n">
        <v>2417</v>
      </c>
      <c r="B2418" s="2" t="s">
        <v>13559</v>
      </c>
      <c r="C2418" s="1" t="n">
        <v>3</v>
      </c>
      <c r="D2418" s="1" t="n">
        <v>7</v>
      </c>
      <c r="E2418" s="1" t="n">
        <v>10</v>
      </c>
      <c r="F2418" s="1" t="n">
        <v>11</v>
      </c>
      <c r="G2418" s="1" t="n">
        <v>27</v>
      </c>
      <c r="H2418" s="1" t="n">
        <v>46</v>
      </c>
      <c r="I2418" s="1" t="str">
        <f aca="false">RIGHT(("0"&amp;C2418),2)&amp;RIGHT(("0"&amp;D2418),2)&amp;RIGHT(("0"&amp;E2418),2)&amp;RIGHT(("0"&amp;F2418),2)&amp;RIGHT(("0"&amp;G2418),2)&amp;RIGHT(("0"&amp;H2418),2)</f>
        <v>030710112746</v>
      </c>
      <c r="J2418" s="1" t="n">
        <f aca="false">COUNTIF(I:I,I2418)</f>
        <v>1</v>
      </c>
      <c r="K2418" s="1" t="n">
        <v>0</v>
      </c>
      <c r="M2418" s="1" t="s">
        <v>23</v>
      </c>
      <c r="N2418" s="1" t="n">
        <v>131</v>
      </c>
      <c r="O2418" s="1" t="s">
        <v>13560</v>
      </c>
      <c r="P2418" s="1" t="n">
        <v>7708</v>
      </c>
      <c r="Q2418" s="1" t="s">
        <v>13561</v>
      </c>
      <c r="R2418" s="1" t="s">
        <v>13562</v>
      </c>
      <c r="S2418" s="1" t="s">
        <v>13563</v>
      </c>
      <c r="T2418" s="1" t="s">
        <v>5931</v>
      </c>
      <c r="U2418" s="1" t="s">
        <v>13564</v>
      </c>
    </row>
    <row r="2419" customFormat="false" ht="13.8" hidden="false" customHeight="false" outlineLevel="0" collapsed="false">
      <c r="A2419" s="1" t="n">
        <v>2418</v>
      </c>
      <c r="B2419" s="2" t="s">
        <v>13565</v>
      </c>
      <c r="C2419" s="1" t="n">
        <v>2</v>
      </c>
      <c r="D2419" s="1" t="n">
        <v>11</v>
      </c>
      <c r="E2419" s="1" t="n">
        <v>19</v>
      </c>
      <c r="F2419" s="1" t="n">
        <v>27</v>
      </c>
      <c r="G2419" s="1" t="n">
        <v>57</v>
      </c>
      <c r="H2419" s="1" t="n">
        <v>60</v>
      </c>
      <c r="I2419" s="1" t="str">
        <f aca="false">RIGHT(("0"&amp;C2419),2)&amp;RIGHT(("0"&amp;D2419),2)&amp;RIGHT(("0"&amp;E2419),2)&amp;RIGHT(("0"&amp;F2419),2)&amp;RIGHT(("0"&amp;G2419),2)&amp;RIGHT(("0"&amp;H2419),2)</f>
        <v>021119275760</v>
      </c>
      <c r="J2419" s="1" t="n">
        <f aca="false">COUNTIF(I:I,I2419)</f>
        <v>1</v>
      </c>
      <c r="K2419" s="1" t="n">
        <v>0</v>
      </c>
      <c r="M2419" s="1" t="s">
        <v>23</v>
      </c>
      <c r="N2419" s="1" t="n">
        <v>80</v>
      </c>
      <c r="O2419" s="1" t="s">
        <v>13566</v>
      </c>
      <c r="P2419" s="1" t="n">
        <v>3919</v>
      </c>
      <c r="Q2419" s="1" t="s">
        <v>13567</v>
      </c>
      <c r="R2419" s="1" t="s">
        <v>13568</v>
      </c>
      <c r="S2419" s="1" t="s">
        <v>13569</v>
      </c>
      <c r="T2419" s="1" t="s">
        <v>12264</v>
      </c>
      <c r="U2419" s="1" t="s">
        <v>13570</v>
      </c>
    </row>
    <row r="2420" customFormat="false" ht="13.8" hidden="false" customHeight="false" outlineLevel="0" collapsed="false">
      <c r="A2420" s="1" t="n">
        <v>2419</v>
      </c>
      <c r="B2420" s="2" t="s">
        <v>13571</v>
      </c>
      <c r="C2420" s="1" t="n">
        <v>10</v>
      </c>
      <c r="D2420" s="1" t="n">
        <v>35</v>
      </c>
      <c r="E2420" s="1" t="n">
        <v>43</v>
      </c>
      <c r="F2420" s="1" t="n">
        <v>48</v>
      </c>
      <c r="G2420" s="1" t="n">
        <v>50</v>
      </c>
      <c r="H2420" s="1" t="n">
        <v>53</v>
      </c>
      <c r="I2420" s="1" t="str">
        <f aca="false">RIGHT(("0"&amp;C2420),2)&amp;RIGHT(("0"&amp;D2420),2)&amp;RIGHT(("0"&amp;E2420),2)&amp;RIGHT(("0"&amp;F2420),2)&amp;RIGHT(("0"&amp;G2420),2)&amp;RIGHT(("0"&amp;H2420),2)</f>
        <v>103543485053</v>
      </c>
      <c r="J2420" s="1" t="n">
        <f aca="false">COUNTIF(I:I,I2420)</f>
        <v>1</v>
      </c>
      <c r="K2420" s="1" t="n">
        <v>1</v>
      </c>
      <c r="L2420" s="1" t="s">
        <v>5330</v>
      </c>
      <c r="M2420" s="1" t="s">
        <v>13572</v>
      </c>
      <c r="N2420" s="1" t="n">
        <v>31</v>
      </c>
      <c r="O2420" s="1" t="s">
        <v>13573</v>
      </c>
      <c r="P2420" s="1" t="n">
        <v>3078</v>
      </c>
      <c r="Q2420" s="1" t="s">
        <v>13574</v>
      </c>
      <c r="R2420" s="1" t="s">
        <v>13575</v>
      </c>
      <c r="S2420" s="1" t="s">
        <v>13576</v>
      </c>
      <c r="T2420" s="1" t="s">
        <v>13577</v>
      </c>
      <c r="U2420" s="1" t="s">
        <v>13578</v>
      </c>
    </row>
    <row r="2421" customFormat="false" ht="13.8" hidden="false" customHeight="false" outlineLevel="0" collapsed="false">
      <c r="A2421" s="1" t="n">
        <v>2420</v>
      </c>
      <c r="B2421" s="2" t="s">
        <v>13579</v>
      </c>
      <c r="C2421" s="1" t="n">
        <v>5</v>
      </c>
      <c r="D2421" s="1" t="n">
        <v>8</v>
      </c>
      <c r="E2421" s="1" t="n">
        <v>29</v>
      </c>
      <c r="F2421" s="1" t="n">
        <v>39</v>
      </c>
      <c r="G2421" s="1" t="n">
        <v>44</v>
      </c>
      <c r="H2421" s="1" t="n">
        <v>60</v>
      </c>
      <c r="I2421" s="1" t="str">
        <f aca="false">RIGHT(("0"&amp;C2421),2)&amp;RIGHT(("0"&amp;D2421),2)&amp;RIGHT(("0"&amp;E2421),2)&amp;RIGHT(("0"&amp;F2421),2)&amp;RIGHT(("0"&amp;G2421),2)&amp;RIGHT(("0"&amp;H2421),2)</f>
        <v>050829394460</v>
      </c>
      <c r="J2421" s="1" t="n">
        <f aca="false">COUNTIF(I:I,I2421)</f>
        <v>1</v>
      </c>
      <c r="K2421" s="1" t="n">
        <v>0</v>
      </c>
      <c r="M2421" s="1" t="s">
        <v>23</v>
      </c>
      <c r="N2421" s="1" t="n">
        <v>18</v>
      </c>
      <c r="O2421" s="1" t="s">
        <v>13580</v>
      </c>
      <c r="P2421" s="1" t="n">
        <v>2198</v>
      </c>
      <c r="Q2421" s="1" t="s">
        <v>13581</v>
      </c>
      <c r="R2421" s="1" t="s">
        <v>13582</v>
      </c>
      <c r="S2421" s="1" t="s">
        <v>13583</v>
      </c>
      <c r="T2421" s="1" t="s">
        <v>4299</v>
      </c>
      <c r="U2421" s="1" t="s">
        <v>13584</v>
      </c>
    </row>
    <row r="2422" customFormat="false" ht="13.8" hidden="false" customHeight="false" outlineLevel="0" collapsed="false">
      <c r="A2422" s="1" t="n">
        <v>2421</v>
      </c>
      <c r="B2422" s="2" t="s">
        <v>13585</v>
      </c>
      <c r="C2422" s="1" t="n">
        <v>2</v>
      </c>
      <c r="D2422" s="1" t="n">
        <v>3</v>
      </c>
      <c r="E2422" s="1" t="n">
        <v>32</v>
      </c>
      <c r="F2422" s="1" t="n">
        <v>35</v>
      </c>
      <c r="G2422" s="1" t="n">
        <v>48</v>
      </c>
      <c r="H2422" s="1" t="n">
        <v>57</v>
      </c>
      <c r="I2422" s="1" t="str">
        <f aca="false">RIGHT(("0"&amp;C2422),2)&amp;RIGHT(("0"&amp;D2422),2)&amp;RIGHT(("0"&amp;E2422),2)&amp;RIGHT(("0"&amp;F2422),2)&amp;RIGHT(("0"&amp;G2422),2)&amp;RIGHT(("0"&amp;H2422),2)</f>
        <v>020332354857</v>
      </c>
      <c r="J2422" s="1" t="n">
        <f aca="false">COUNTIF(I:I,I2422)</f>
        <v>1</v>
      </c>
      <c r="K2422" s="1" t="n">
        <v>0</v>
      </c>
      <c r="M2422" s="1" t="s">
        <v>23</v>
      </c>
      <c r="N2422" s="1" t="n">
        <v>49</v>
      </c>
      <c r="O2422" s="1" t="s">
        <v>13586</v>
      </c>
      <c r="P2422" s="1" t="n">
        <v>3678</v>
      </c>
      <c r="Q2422" s="1" t="s">
        <v>13587</v>
      </c>
      <c r="R2422" s="1" t="s">
        <v>13588</v>
      </c>
      <c r="S2422" s="1" t="s">
        <v>13589</v>
      </c>
      <c r="T2422" s="1" t="s">
        <v>13590</v>
      </c>
      <c r="U2422" s="1" t="s">
        <v>13591</v>
      </c>
    </row>
    <row r="2423" customFormat="false" ht="13.8" hidden="false" customHeight="false" outlineLevel="0" collapsed="false">
      <c r="A2423" s="1" t="n">
        <v>2422</v>
      </c>
      <c r="B2423" s="2" t="s">
        <v>13592</v>
      </c>
      <c r="C2423" s="1" t="n">
        <v>2</v>
      </c>
      <c r="D2423" s="1" t="n">
        <v>7</v>
      </c>
      <c r="E2423" s="1" t="n">
        <v>10</v>
      </c>
      <c r="F2423" s="1" t="n">
        <v>20</v>
      </c>
      <c r="G2423" s="1" t="n">
        <v>30</v>
      </c>
      <c r="H2423" s="1" t="n">
        <v>46</v>
      </c>
      <c r="I2423" s="1" t="str">
        <f aca="false">RIGHT(("0"&amp;C2423),2)&amp;RIGHT(("0"&amp;D2423),2)&amp;RIGHT(("0"&amp;E2423),2)&amp;RIGHT(("0"&amp;F2423),2)&amp;RIGHT(("0"&amp;G2423),2)&amp;RIGHT(("0"&amp;H2423),2)</f>
        <v>020710203046</v>
      </c>
      <c r="J2423" s="1" t="n">
        <f aca="false">COUNTIF(I:I,I2423)</f>
        <v>1</v>
      </c>
      <c r="K2423" s="1" t="n">
        <v>0</v>
      </c>
      <c r="M2423" s="1" t="s">
        <v>23</v>
      </c>
      <c r="N2423" s="1" t="n">
        <v>110</v>
      </c>
      <c r="O2423" s="1" t="s">
        <v>13593</v>
      </c>
      <c r="P2423" s="1" t="n">
        <v>6942</v>
      </c>
      <c r="Q2423" s="1" t="s">
        <v>13594</v>
      </c>
      <c r="R2423" s="1" t="s">
        <v>13595</v>
      </c>
      <c r="S2423" s="1" t="s">
        <v>13596</v>
      </c>
      <c r="T2423" s="1" t="s">
        <v>4304</v>
      </c>
      <c r="U2423" s="1" t="s">
        <v>13597</v>
      </c>
    </row>
    <row r="2424" customFormat="false" ht="13.8" hidden="false" customHeight="false" outlineLevel="0" collapsed="false">
      <c r="A2424" s="1" t="n">
        <v>2423</v>
      </c>
      <c r="B2424" s="2" t="s">
        <v>13598</v>
      </c>
      <c r="C2424" s="1" t="n">
        <v>16</v>
      </c>
      <c r="D2424" s="1" t="n">
        <v>18</v>
      </c>
      <c r="E2424" s="1" t="n">
        <v>38</v>
      </c>
      <c r="F2424" s="1" t="n">
        <v>48</v>
      </c>
      <c r="G2424" s="1" t="n">
        <v>51</v>
      </c>
      <c r="H2424" s="1" t="n">
        <v>60</v>
      </c>
      <c r="I2424" s="1" t="str">
        <f aca="false">RIGHT(("0"&amp;C2424),2)&amp;RIGHT(("0"&amp;D2424),2)&amp;RIGHT(("0"&amp;E2424),2)&amp;RIGHT(("0"&amp;F2424),2)&amp;RIGHT(("0"&amp;G2424),2)&amp;RIGHT(("0"&amp;H2424),2)</f>
        <v>161838485160</v>
      </c>
      <c r="J2424" s="1" t="n">
        <f aca="false">COUNTIF(I:I,I2424)</f>
        <v>1</v>
      </c>
      <c r="K2424" s="1" t="n">
        <v>0</v>
      </c>
      <c r="M2424" s="1" t="s">
        <v>23</v>
      </c>
      <c r="N2424" s="1" t="n">
        <v>40</v>
      </c>
      <c r="O2424" s="1" t="s">
        <v>13599</v>
      </c>
      <c r="P2424" s="1" t="n">
        <v>3295</v>
      </c>
      <c r="Q2424" s="1" t="s">
        <v>13600</v>
      </c>
      <c r="R2424" s="1" t="s">
        <v>13601</v>
      </c>
      <c r="S2424" s="1" t="s">
        <v>13602</v>
      </c>
      <c r="T2424" s="1" t="s">
        <v>4309</v>
      </c>
      <c r="U2424" s="1" t="s">
        <v>13603</v>
      </c>
    </row>
    <row r="2425" customFormat="false" ht="13.8" hidden="false" customHeight="false" outlineLevel="0" collapsed="false">
      <c r="A2425" s="1" t="n">
        <v>2424</v>
      </c>
      <c r="B2425" s="2" t="s">
        <v>13604</v>
      </c>
      <c r="C2425" s="1" t="n">
        <v>3</v>
      </c>
      <c r="D2425" s="1" t="n">
        <v>16</v>
      </c>
      <c r="E2425" s="1" t="n">
        <v>17</v>
      </c>
      <c r="F2425" s="1" t="n">
        <v>37</v>
      </c>
      <c r="G2425" s="1" t="n">
        <v>38</v>
      </c>
      <c r="H2425" s="1" t="n">
        <v>53</v>
      </c>
      <c r="I2425" s="1" t="str">
        <f aca="false">RIGHT(("0"&amp;C2425),2)&amp;RIGHT(("0"&amp;D2425),2)&amp;RIGHT(("0"&amp;E2425),2)&amp;RIGHT(("0"&amp;F2425),2)&amp;RIGHT(("0"&amp;G2425),2)&amp;RIGHT(("0"&amp;H2425),2)</f>
        <v>031617373853</v>
      </c>
      <c r="J2425" s="1" t="n">
        <f aca="false">COUNTIF(I:I,I2425)</f>
        <v>1</v>
      </c>
      <c r="K2425" s="1" t="n">
        <v>0</v>
      </c>
      <c r="M2425" s="1" t="s">
        <v>23</v>
      </c>
      <c r="N2425" s="1" t="n">
        <v>101</v>
      </c>
      <c r="O2425" s="1" t="s">
        <v>13605</v>
      </c>
      <c r="P2425" s="1" t="n">
        <v>6968</v>
      </c>
      <c r="Q2425" s="1" t="s">
        <v>13606</v>
      </c>
      <c r="R2425" s="1" t="s">
        <v>13607</v>
      </c>
      <c r="S2425" s="1" t="s">
        <v>13608</v>
      </c>
      <c r="T2425" s="1" t="s">
        <v>9211</v>
      </c>
      <c r="U2425" s="1" t="s">
        <v>13609</v>
      </c>
    </row>
    <row r="2426" customFormat="false" ht="13.8" hidden="false" customHeight="false" outlineLevel="0" collapsed="false">
      <c r="A2426" s="1" t="n">
        <v>2425</v>
      </c>
      <c r="B2426" s="2" t="s">
        <v>13610</v>
      </c>
      <c r="C2426" s="1" t="n">
        <v>10</v>
      </c>
      <c r="D2426" s="1" t="n">
        <v>31</v>
      </c>
      <c r="E2426" s="1" t="n">
        <v>38</v>
      </c>
      <c r="F2426" s="1" t="n">
        <v>46</v>
      </c>
      <c r="G2426" s="1" t="n">
        <v>49</v>
      </c>
      <c r="H2426" s="1" t="n">
        <v>54</v>
      </c>
      <c r="I2426" s="1" t="str">
        <f aca="false">RIGHT(("0"&amp;C2426),2)&amp;RIGHT(("0"&amp;D2426),2)&amp;RIGHT(("0"&amp;E2426),2)&amp;RIGHT(("0"&amp;F2426),2)&amp;RIGHT(("0"&amp;G2426),2)&amp;RIGHT(("0"&amp;H2426),2)</f>
        <v>103138464954</v>
      </c>
      <c r="J2426" s="1" t="n">
        <f aca="false">COUNTIF(I:I,I2426)</f>
        <v>1</v>
      </c>
      <c r="K2426" s="1" t="n">
        <v>0</v>
      </c>
      <c r="M2426" s="1" t="s">
        <v>23</v>
      </c>
      <c r="N2426" s="1" t="n">
        <v>75</v>
      </c>
      <c r="O2426" s="1" t="s">
        <v>13611</v>
      </c>
      <c r="P2426" s="1" t="n">
        <v>5048</v>
      </c>
      <c r="Q2426" s="1" t="s">
        <v>13612</v>
      </c>
      <c r="R2426" s="1" t="s">
        <v>13613</v>
      </c>
      <c r="S2426" s="1" t="s">
        <v>13614</v>
      </c>
      <c r="T2426" s="1" t="s">
        <v>6097</v>
      </c>
      <c r="U2426" s="1" t="s">
        <v>13615</v>
      </c>
    </row>
    <row r="2427" customFormat="false" ht="13.8" hidden="false" customHeight="false" outlineLevel="0" collapsed="false">
      <c r="A2427" s="1" t="n">
        <v>2426</v>
      </c>
      <c r="B2427" s="2" t="s">
        <v>13616</v>
      </c>
      <c r="C2427" s="1" t="n">
        <v>5</v>
      </c>
      <c r="D2427" s="1" t="n">
        <v>11</v>
      </c>
      <c r="E2427" s="1" t="n">
        <v>24</v>
      </c>
      <c r="F2427" s="1" t="n">
        <v>27</v>
      </c>
      <c r="G2427" s="1" t="n">
        <v>32</v>
      </c>
      <c r="H2427" s="1" t="n">
        <v>57</v>
      </c>
      <c r="I2427" s="1" t="str">
        <f aca="false">RIGHT(("0"&amp;C2427),2)&amp;RIGHT(("0"&amp;D2427),2)&amp;RIGHT(("0"&amp;E2427),2)&amp;RIGHT(("0"&amp;F2427),2)&amp;RIGHT(("0"&amp;G2427),2)&amp;RIGHT(("0"&amp;H2427),2)</f>
        <v>051124273257</v>
      </c>
      <c r="J2427" s="1" t="n">
        <f aca="false">COUNTIF(I:I,I2427)</f>
        <v>1</v>
      </c>
      <c r="K2427" s="1" t="n">
        <v>0</v>
      </c>
      <c r="M2427" s="1" t="s">
        <v>23</v>
      </c>
      <c r="N2427" s="1" t="n">
        <v>249</v>
      </c>
      <c r="O2427" s="1" t="s">
        <v>13617</v>
      </c>
      <c r="P2427" s="1" t="n">
        <v>15271</v>
      </c>
      <c r="Q2427" s="1" t="s">
        <v>13618</v>
      </c>
      <c r="R2427" s="1" t="s">
        <v>13619</v>
      </c>
      <c r="S2427" s="1" t="s">
        <v>13620</v>
      </c>
      <c r="T2427" s="1" t="s">
        <v>9814</v>
      </c>
      <c r="U2427" s="1" t="s">
        <v>13621</v>
      </c>
    </row>
    <row r="2428" customFormat="false" ht="13.8" hidden="false" customHeight="false" outlineLevel="0" collapsed="false">
      <c r="A2428" s="1" t="n">
        <v>2427</v>
      </c>
      <c r="B2428" s="2" t="s">
        <v>13622</v>
      </c>
      <c r="C2428" s="1" t="n">
        <v>3</v>
      </c>
      <c r="D2428" s="1" t="n">
        <v>19</v>
      </c>
      <c r="E2428" s="1" t="n">
        <v>25</v>
      </c>
      <c r="F2428" s="1" t="n">
        <v>37</v>
      </c>
      <c r="G2428" s="1" t="n">
        <v>44</v>
      </c>
      <c r="H2428" s="1" t="n">
        <v>56</v>
      </c>
      <c r="I2428" s="1" t="str">
        <f aca="false">RIGHT(("0"&amp;C2428),2)&amp;RIGHT(("0"&amp;D2428),2)&amp;RIGHT(("0"&amp;E2428),2)&amp;RIGHT(("0"&amp;F2428),2)&amp;RIGHT(("0"&amp;G2428),2)&amp;RIGHT(("0"&amp;H2428),2)</f>
        <v>031925374456</v>
      </c>
      <c r="J2428" s="1" t="n">
        <f aca="false">COUNTIF(I:I,I2428)</f>
        <v>1</v>
      </c>
      <c r="K2428" s="1" t="n">
        <v>5</v>
      </c>
      <c r="L2428" s="1" t="s">
        <v>13623</v>
      </c>
      <c r="M2428" s="1" t="s">
        <v>13624</v>
      </c>
      <c r="N2428" s="1" t="n">
        <v>680</v>
      </c>
      <c r="O2428" s="1" t="s">
        <v>13625</v>
      </c>
      <c r="P2428" s="1" t="n">
        <v>19557</v>
      </c>
      <c r="Q2428" s="1" t="s">
        <v>13626</v>
      </c>
      <c r="R2428" s="1" t="s">
        <v>23</v>
      </c>
      <c r="S2428" s="1" t="s">
        <v>13627</v>
      </c>
      <c r="T2428" s="1" t="s">
        <v>473</v>
      </c>
      <c r="U2428" s="1" t="s">
        <v>13628</v>
      </c>
    </row>
    <row r="2429" customFormat="false" ht="13.8" hidden="false" customHeight="false" outlineLevel="0" collapsed="false">
      <c r="A2429" s="1" t="n">
        <v>2428</v>
      </c>
      <c r="B2429" s="2" t="s">
        <v>13629</v>
      </c>
      <c r="C2429" s="1" t="n">
        <v>3</v>
      </c>
      <c r="D2429" s="1" t="n">
        <v>9</v>
      </c>
      <c r="E2429" s="1" t="n">
        <v>25</v>
      </c>
      <c r="F2429" s="1" t="n">
        <v>28</v>
      </c>
      <c r="G2429" s="1" t="n">
        <v>29</v>
      </c>
      <c r="H2429" s="1" t="n">
        <v>39</v>
      </c>
      <c r="I2429" s="1" t="str">
        <f aca="false">RIGHT(("0"&amp;C2429),2)&amp;RIGHT(("0"&amp;D2429),2)&amp;RIGHT(("0"&amp;E2429),2)&amp;RIGHT(("0"&amp;F2429),2)&amp;RIGHT(("0"&amp;G2429),2)&amp;RIGHT(("0"&amp;H2429),2)</f>
        <v>030925282939</v>
      </c>
      <c r="J2429" s="1" t="n">
        <f aca="false">COUNTIF(I:I,I2429)</f>
        <v>1</v>
      </c>
      <c r="K2429" s="1" t="n">
        <v>0</v>
      </c>
      <c r="M2429" s="1" t="s">
        <v>23</v>
      </c>
      <c r="N2429" s="1" t="n">
        <v>50</v>
      </c>
      <c r="O2429" s="1" t="s">
        <v>13630</v>
      </c>
      <c r="P2429" s="1" t="n">
        <v>4168</v>
      </c>
      <c r="Q2429" s="1" t="s">
        <v>13631</v>
      </c>
      <c r="R2429" s="1" t="s">
        <v>13632</v>
      </c>
      <c r="S2429" s="1" t="s">
        <v>13633</v>
      </c>
      <c r="T2429" s="1" t="s">
        <v>4347</v>
      </c>
      <c r="U2429" s="1" t="s">
        <v>13634</v>
      </c>
    </row>
    <row r="2430" customFormat="false" ht="13.8" hidden="false" customHeight="false" outlineLevel="0" collapsed="false">
      <c r="A2430" s="1" t="n">
        <v>2429</v>
      </c>
      <c r="B2430" s="2" t="s">
        <v>13635</v>
      </c>
      <c r="C2430" s="1" t="n">
        <v>11</v>
      </c>
      <c r="D2430" s="1" t="n">
        <v>37</v>
      </c>
      <c r="E2430" s="1" t="n">
        <v>53</v>
      </c>
      <c r="F2430" s="1" t="n">
        <v>55</v>
      </c>
      <c r="G2430" s="1" t="n">
        <v>56</v>
      </c>
      <c r="H2430" s="1" t="n">
        <v>60</v>
      </c>
      <c r="I2430" s="1" t="str">
        <f aca="false">RIGHT(("0"&amp;C2430),2)&amp;RIGHT(("0"&amp;D2430),2)&amp;RIGHT(("0"&amp;E2430),2)&amp;RIGHT(("0"&amp;F2430),2)&amp;RIGHT(("0"&amp;G2430),2)&amp;RIGHT(("0"&amp;H2430),2)</f>
        <v>113753555660</v>
      </c>
      <c r="J2430" s="1" t="n">
        <f aca="false">COUNTIF(I:I,I2430)</f>
        <v>1</v>
      </c>
      <c r="K2430" s="1" t="n">
        <v>0</v>
      </c>
      <c r="M2430" s="1" t="s">
        <v>23</v>
      </c>
      <c r="N2430" s="1" t="n">
        <v>31</v>
      </c>
      <c r="O2430" s="1" t="s">
        <v>13636</v>
      </c>
      <c r="P2430" s="1" t="n">
        <v>2462</v>
      </c>
      <c r="Q2430" s="1" t="s">
        <v>13637</v>
      </c>
      <c r="R2430" s="1" t="s">
        <v>13638</v>
      </c>
      <c r="S2430" s="1" t="s">
        <v>13639</v>
      </c>
      <c r="T2430" s="1" t="s">
        <v>5294</v>
      </c>
      <c r="U2430" s="1" t="s">
        <v>13640</v>
      </c>
    </row>
    <row r="2431" customFormat="false" ht="13.8" hidden="false" customHeight="false" outlineLevel="0" collapsed="false">
      <c r="A2431" s="1" t="n">
        <v>2430</v>
      </c>
      <c r="B2431" s="2" t="s">
        <v>13641</v>
      </c>
      <c r="C2431" s="1" t="n">
        <v>19</v>
      </c>
      <c r="D2431" s="1" t="n">
        <v>26</v>
      </c>
      <c r="E2431" s="1" t="n">
        <v>39</v>
      </c>
      <c r="F2431" s="1" t="n">
        <v>45</v>
      </c>
      <c r="G2431" s="1" t="n">
        <v>46</v>
      </c>
      <c r="H2431" s="1" t="n">
        <v>56</v>
      </c>
      <c r="I2431" s="1" t="str">
        <f aca="false">RIGHT(("0"&amp;C2431),2)&amp;RIGHT(("0"&amp;D2431),2)&amp;RIGHT(("0"&amp;E2431),2)&amp;RIGHT(("0"&amp;F2431),2)&amp;RIGHT(("0"&amp;G2431),2)&amp;RIGHT(("0"&amp;H2431),2)</f>
        <v>192639454656</v>
      </c>
      <c r="J2431" s="1" t="n">
        <f aca="false">COUNTIF(I:I,I2431)</f>
        <v>1</v>
      </c>
      <c r="K2431" s="1" t="n">
        <v>1</v>
      </c>
      <c r="L2431" s="1" t="s">
        <v>13642</v>
      </c>
      <c r="M2431" s="1" t="s">
        <v>13643</v>
      </c>
      <c r="N2431" s="1" t="n">
        <v>37</v>
      </c>
      <c r="O2431" s="1" t="s">
        <v>13644</v>
      </c>
      <c r="P2431" s="1" t="n">
        <v>4109</v>
      </c>
      <c r="Q2431" s="1" t="s">
        <v>13645</v>
      </c>
      <c r="R2431" s="1" t="s">
        <v>23</v>
      </c>
      <c r="S2431" s="1" t="s">
        <v>13646</v>
      </c>
      <c r="T2431" s="1" t="s">
        <v>473</v>
      </c>
      <c r="U2431" s="1" t="s">
        <v>13647</v>
      </c>
    </row>
    <row r="2432" customFormat="false" ht="13.8" hidden="false" customHeight="false" outlineLevel="0" collapsed="false">
      <c r="A2432" s="1" t="n">
        <v>2431</v>
      </c>
      <c r="B2432" s="2" t="s">
        <v>13648</v>
      </c>
      <c r="C2432" s="1" t="n">
        <v>8</v>
      </c>
      <c r="D2432" s="1" t="n">
        <v>11</v>
      </c>
      <c r="E2432" s="1" t="n">
        <v>22</v>
      </c>
      <c r="F2432" s="1" t="n">
        <v>25</v>
      </c>
      <c r="G2432" s="1" t="n">
        <v>26</v>
      </c>
      <c r="H2432" s="1" t="n">
        <v>36</v>
      </c>
      <c r="I2432" s="1" t="str">
        <f aca="false">RIGHT(("0"&amp;C2432),2)&amp;RIGHT(("0"&amp;D2432),2)&amp;RIGHT(("0"&amp;E2432),2)&amp;RIGHT(("0"&amp;F2432),2)&amp;RIGHT(("0"&amp;G2432),2)&amp;RIGHT(("0"&amp;H2432),2)</f>
        <v>081122252636</v>
      </c>
      <c r="J2432" s="1" t="n">
        <f aca="false">COUNTIF(I:I,I2432)</f>
        <v>1</v>
      </c>
      <c r="K2432" s="1" t="n">
        <v>0</v>
      </c>
      <c r="M2432" s="1" t="s">
        <v>23</v>
      </c>
      <c r="N2432" s="1" t="n">
        <v>46</v>
      </c>
      <c r="O2432" s="1" t="s">
        <v>13649</v>
      </c>
      <c r="P2432" s="1" t="n">
        <v>2988</v>
      </c>
      <c r="Q2432" s="1" t="s">
        <v>13650</v>
      </c>
      <c r="R2432" s="1" t="s">
        <v>13651</v>
      </c>
      <c r="S2432" s="1" t="s">
        <v>13652</v>
      </c>
      <c r="T2432" s="1" t="s">
        <v>4232</v>
      </c>
      <c r="U2432" s="1" t="s">
        <v>13653</v>
      </c>
    </row>
    <row r="2433" customFormat="false" ht="13.8" hidden="false" customHeight="false" outlineLevel="0" collapsed="false">
      <c r="A2433" s="1" t="n">
        <v>2432</v>
      </c>
      <c r="B2433" s="2" t="s">
        <v>13654</v>
      </c>
      <c r="C2433" s="1" t="n">
        <v>7</v>
      </c>
      <c r="D2433" s="1" t="n">
        <v>29</v>
      </c>
      <c r="E2433" s="1" t="n">
        <v>38</v>
      </c>
      <c r="F2433" s="1" t="n">
        <v>40</v>
      </c>
      <c r="G2433" s="1" t="n">
        <v>44</v>
      </c>
      <c r="H2433" s="1" t="n">
        <v>52</v>
      </c>
      <c r="I2433" s="1" t="str">
        <f aca="false">RIGHT(("0"&amp;C2433),2)&amp;RIGHT(("0"&amp;D2433),2)&amp;RIGHT(("0"&amp;E2433),2)&amp;RIGHT(("0"&amp;F2433),2)&amp;RIGHT(("0"&amp;G2433),2)&amp;RIGHT(("0"&amp;H2433),2)</f>
        <v>072938404452</v>
      </c>
      <c r="J2433" s="1" t="n">
        <f aca="false">COUNTIF(I:I,I2433)</f>
        <v>1</v>
      </c>
      <c r="K2433" s="1" t="n">
        <v>0</v>
      </c>
      <c r="M2433" s="1" t="s">
        <v>23</v>
      </c>
      <c r="N2433" s="1" t="n">
        <v>21</v>
      </c>
      <c r="O2433" s="1" t="s">
        <v>13655</v>
      </c>
      <c r="P2433" s="1" t="n">
        <v>2572</v>
      </c>
      <c r="Q2433" s="1" t="s">
        <v>13656</v>
      </c>
      <c r="R2433" s="1" t="s">
        <v>13657</v>
      </c>
      <c r="S2433" s="1" t="s">
        <v>13658</v>
      </c>
      <c r="T2433" s="1" t="s">
        <v>3727</v>
      </c>
      <c r="U2433" s="1" t="s">
        <v>13659</v>
      </c>
    </row>
    <row r="2434" customFormat="false" ht="13.8" hidden="false" customHeight="false" outlineLevel="0" collapsed="false">
      <c r="A2434" s="1" t="n">
        <v>2433</v>
      </c>
      <c r="B2434" s="2" t="s">
        <v>13660</v>
      </c>
      <c r="C2434" s="1" t="n">
        <v>8</v>
      </c>
      <c r="D2434" s="1" t="n">
        <v>9</v>
      </c>
      <c r="E2434" s="1" t="n">
        <v>32</v>
      </c>
      <c r="F2434" s="1" t="n">
        <v>52</v>
      </c>
      <c r="G2434" s="1" t="n">
        <v>53</v>
      </c>
      <c r="H2434" s="1" t="n">
        <v>57</v>
      </c>
      <c r="I2434" s="1" t="str">
        <f aca="false">RIGHT(("0"&amp;C2434),2)&amp;RIGHT(("0"&amp;D2434),2)&amp;RIGHT(("0"&amp;E2434),2)&amp;RIGHT(("0"&amp;F2434),2)&amp;RIGHT(("0"&amp;G2434),2)&amp;RIGHT(("0"&amp;H2434),2)</f>
        <v>080932525357</v>
      </c>
      <c r="J2434" s="1" t="n">
        <f aca="false">COUNTIF(I:I,I2434)</f>
        <v>1</v>
      </c>
      <c r="K2434" s="1" t="n">
        <v>0</v>
      </c>
      <c r="M2434" s="1" t="s">
        <v>23</v>
      </c>
      <c r="N2434" s="1" t="n">
        <v>31</v>
      </c>
      <c r="O2434" s="1" t="s">
        <v>13661</v>
      </c>
      <c r="P2434" s="1" t="n">
        <v>2625</v>
      </c>
      <c r="Q2434" s="1" t="s">
        <v>13662</v>
      </c>
      <c r="R2434" s="1" t="s">
        <v>13663</v>
      </c>
      <c r="S2434" s="1" t="s">
        <v>13664</v>
      </c>
      <c r="T2434" s="1" t="s">
        <v>3928</v>
      </c>
      <c r="U2434" s="1" t="s">
        <v>13665</v>
      </c>
    </row>
    <row r="2435" customFormat="false" ht="13.8" hidden="false" customHeight="false" outlineLevel="0" collapsed="false">
      <c r="A2435" s="1" t="n">
        <v>2434</v>
      </c>
      <c r="B2435" s="2" t="s">
        <v>13666</v>
      </c>
      <c r="C2435" s="1" t="n">
        <v>1</v>
      </c>
      <c r="D2435" s="1" t="n">
        <v>2</v>
      </c>
      <c r="E2435" s="1" t="n">
        <v>14</v>
      </c>
      <c r="F2435" s="1" t="n">
        <v>28</v>
      </c>
      <c r="G2435" s="1" t="n">
        <v>40</v>
      </c>
      <c r="H2435" s="1" t="n">
        <v>51</v>
      </c>
      <c r="I2435" s="1" t="str">
        <f aca="false">RIGHT(("0"&amp;C2435),2)&amp;RIGHT(("0"&amp;D2435),2)&amp;RIGHT(("0"&amp;E2435),2)&amp;RIGHT(("0"&amp;F2435),2)&amp;RIGHT(("0"&amp;G2435),2)&amp;RIGHT(("0"&amp;H2435),2)</f>
        <v>010214284051</v>
      </c>
      <c r="J2435" s="1" t="n">
        <f aca="false">COUNTIF(I:I,I2435)</f>
        <v>1</v>
      </c>
      <c r="K2435" s="1" t="n">
        <v>0</v>
      </c>
      <c r="M2435" s="1" t="s">
        <v>23</v>
      </c>
      <c r="N2435" s="1" t="n">
        <v>37</v>
      </c>
      <c r="O2435" s="1" t="s">
        <v>13667</v>
      </c>
      <c r="P2435" s="1" t="n">
        <v>3663</v>
      </c>
      <c r="Q2435" s="1" t="s">
        <v>13668</v>
      </c>
      <c r="R2435" s="1" t="s">
        <v>13669</v>
      </c>
      <c r="S2435" s="1" t="s">
        <v>13670</v>
      </c>
      <c r="T2435" s="1" t="s">
        <v>6025</v>
      </c>
      <c r="U2435" s="1" t="s">
        <v>13671</v>
      </c>
    </row>
    <row r="2436" customFormat="false" ht="13.8" hidden="false" customHeight="false" outlineLevel="0" collapsed="false">
      <c r="A2436" s="1" t="n">
        <v>2435</v>
      </c>
      <c r="B2436" s="2" t="s">
        <v>13672</v>
      </c>
      <c r="C2436" s="1" t="n">
        <v>5</v>
      </c>
      <c r="D2436" s="1" t="n">
        <v>22</v>
      </c>
      <c r="E2436" s="1" t="n">
        <v>30</v>
      </c>
      <c r="F2436" s="1" t="n">
        <v>32</v>
      </c>
      <c r="G2436" s="1" t="n">
        <v>33</v>
      </c>
      <c r="H2436" s="1" t="n">
        <v>36</v>
      </c>
      <c r="I2436" s="1" t="str">
        <f aca="false">RIGHT(("0"&amp;C2436),2)&amp;RIGHT(("0"&amp;D2436),2)&amp;RIGHT(("0"&amp;E2436),2)&amp;RIGHT(("0"&amp;F2436),2)&amp;RIGHT(("0"&amp;G2436),2)&amp;RIGHT(("0"&amp;H2436),2)</f>
        <v>052230323336</v>
      </c>
      <c r="J2436" s="1" t="n">
        <f aca="false">COUNTIF(I:I,I2436)</f>
        <v>1</v>
      </c>
      <c r="K2436" s="1" t="n">
        <v>0</v>
      </c>
      <c r="M2436" s="1" t="s">
        <v>23</v>
      </c>
      <c r="N2436" s="1" t="n">
        <v>46</v>
      </c>
      <c r="O2436" s="1" t="s">
        <v>13673</v>
      </c>
      <c r="P2436" s="1" t="n">
        <v>3051</v>
      </c>
      <c r="Q2436" s="1" t="s">
        <v>13674</v>
      </c>
      <c r="R2436" s="1" t="s">
        <v>13675</v>
      </c>
      <c r="S2436" s="1" t="s">
        <v>13676</v>
      </c>
      <c r="T2436" s="1" t="s">
        <v>4309</v>
      </c>
      <c r="U2436" s="1" t="s">
        <v>13677</v>
      </c>
    </row>
    <row r="2437" customFormat="false" ht="13.8" hidden="false" customHeight="false" outlineLevel="0" collapsed="false">
      <c r="A2437" s="1" t="n">
        <v>2436</v>
      </c>
      <c r="B2437" s="2" t="s">
        <v>13678</v>
      </c>
      <c r="C2437" s="1" t="n">
        <v>5</v>
      </c>
      <c r="D2437" s="1" t="n">
        <v>15</v>
      </c>
      <c r="E2437" s="1" t="n">
        <v>28</v>
      </c>
      <c r="F2437" s="1" t="n">
        <v>32</v>
      </c>
      <c r="G2437" s="1" t="n">
        <v>38</v>
      </c>
      <c r="H2437" s="1" t="n">
        <v>54</v>
      </c>
      <c r="I2437" s="1" t="str">
        <f aca="false">RIGHT(("0"&amp;C2437),2)&amp;RIGHT(("0"&amp;D2437),2)&amp;RIGHT(("0"&amp;E2437),2)&amp;RIGHT(("0"&amp;F2437),2)&amp;RIGHT(("0"&amp;G2437),2)&amp;RIGHT(("0"&amp;H2437),2)</f>
        <v>051528323854</v>
      </c>
      <c r="J2437" s="1" t="n">
        <f aca="false">COUNTIF(I:I,I2437)</f>
        <v>1</v>
      </c>
      <c r="K2437" s="1" t="n">
        <v>1</v>
      </c>
      <c r="L2437" s="1" t="s">
        <v>13679</v>
      </c>
      <c r="M2437" s="1" t="s">
        <v>13680</v>
      </c>
      <c r="N2437" s="1" t="n">
        <v>65</v>
      </c>
      <c r="O2437" s="1" t="s">
        <v>13681</v>
      </c>
      <c r="P2437" s="1" t="n">
        <v>4285</v>
      </c>
      <c r="Q2437" s="1" t="s">
        <v>13682</v>
      </c>
      <c r="R2437" s="1" t="s">
        <v>23</v>
      </c>
      <c r="S2437" s="1" t="s">
        <v>13683</v>
      </c>
      <c r="T2437" s="1" t="s">
        <v>473</v>
      </c>
      <c r="U2437" s="1" t="s">
        <v>13684</v>
      </c>
    </row>
    <row r="2438" customFormat="false" ht="13.8" hidden="false" customHeight="false" outlineLevel="0" collapsed="false">
      <c r="A2438" s="1" t="n">
        <v>2437</v>
      </c>
      <c r="B2438" s="2" t="s">
        <v>13685</v>
      </c>
      <c r="C2438" s="1" t="n">
        <v>1</v>
      </c>
      <c r="D2438" s="1" t="n">
        <v>19</v>
      </c>
      <c r="E2438" s="1" t="n">
        <v>41</v>
      </c>
      <c r="F2438" s="1" t="n">
        <v>46</v>
      </c>
      <c r="G2438" s="1" t="n">
        <v>48</v>
      </c>
      <c r="H2438" s="1" t="n">
        <v>55</v>
      </c>
      <c r="I2438" s="1" t="str">
        <f aca="false">RIGHT(("0"&amp;C2438),2)&amp;RIGHT(("0"&amp;D2438),2)&amp;RIGHT(("0"&amp;E2438),2)&amp;RIGHT(("0"&amp;F2438),2)&amp;RIGHT(("0"&amp;G2438),2)&amp;RIGHT(("0"&amp;H2438),2)</f>
        <v>011941464855</v>
      </c>
      <c r="J2438" s="1" t="n">
        <f aca="false">COUNTIF(I:I,I2438)</f>
        <v>1</v>
      </c>
      <c r="K2438" s="1" t="n">
        <v>0</v>
      </c>
      <c r="M2438" s="1" t="s">
        <v>23</v>
      </c>
      <c r="N2438" s="1" t="n">
        <v>16</v>
      </c>
      <c r="O2438" s="1" t="s">
        <v>13686</v>
      </c>
      <c r="P2438" s="1" t="n">
        <v>1416</v>
      </c>
      <c r="Q2438" s="1" t="s">
        <v>13687</v>
      </c>
      <c r="R2438" s="1" t="s">
        <v>13688</v>
      </c>
      <c r="S2438" s="1" t="s">
        <v>13689</v>
      </c>
      <c r="T2438" s="1" t="s">
        <v>5931</v>
      </c>
      <c r="U2438" s="1" t="s">
        <v>13690</v>
      </c>
    </row>
    <row r="2439" customFormat="false" ht="13.8" hidden="false" customHeight="false" outlineLevel="0" collapsed="false">
      <c r="A2439" s="1" t="n">
        <v>2438</v>
      </c>
      <c r="B2439" s="2" t="s">
        <v>13691</v>
      </c>
      <c r="C2439" s="1" t="n">
        <v>4</v>
      </c>
      <c r="D2439" s="1" t="n">
        <v>11</v>
      </c>
      <c r="E2439" s="1" t="n">
        <v>19</v>
      </c>
      <c r="F2439" s="1" t="n">
        <v>25</v>
      </c>
      <c r="G2439" s="1" t="n">
        <v>37</v>
      </c>
      <c r="H2439" s="1" t="n">
        <v>55</v>
      </c>
      <c r="I2439" s="1" t="str">
        <f aca="false">RIGHT(("0"&amp;C2439),2)&amp;RIGHT(("0"&amp;D2439),2)&amp;RIGHT(("0"&amp;E2439),2)&amp;RIGHT(("0"&amp;F2439),2)&amp;RIGHT(("0"&amp;G2439),2)&amp;RIGHT(("0"&amp;H2439),2)</f>
        <v>041119253755</v>
      </c>
      <c r="J2439" s="1" t="n">
        <f aca="false">COUNTIF(I:I,I2439)</f>
        <v>1</v>
      </c>
      <c r="K2439" s="1" t="n">
        <v>1</v>
      </c>
      <c r="L2439" s="1" t="s">
        <v>12490</v>
      </c>
      <c r="M2439" s="1" t="s">
        <v>13692</v>
      </c>
      <c r="N2439" s="1" t="n">
        <v>99</v>
      </c>
      <c r="O2439" s="1" t="s">
        <v>13693</v>
      </c>
      <c r="P2439" s="1" t="n">
        <v>5073</v>
      </c>
      <c r="Q2439" s="1" t="s">
        <v>13694</v>
      </c>
      <c r="R2439" s="1" t="s">
        <v>23</v>
      </c>
      <c r="S2439" s="1" t="s">
        <v>13695</v>
      </c>
      <c r="T2439" s="1" t="s">
        <v>473</v>
      </c>
      <c r="U2439" s="1" t="s">
        <v>13696</v>
      </c>
    </row>
    <row r="2440" customFormat="false" ht="13.8" hidden="false" customHeight="false" outlineLevel="0" collapsed="false">
      <c r="A2440" s="1" t="n">
        <v>2439</v>
      </c>
      <c r="B2440" s="2" t="s">
        <v>13697</v>
      </c>
      <c r="C2440" s="1" t="n">
        <v>2</v>
      </c>
      <c r="D2440" s="1" t="n">
        <v>8</v>
      </c>
      <c r="E2440" s="1" t="n">
        <v>34</v>
      </c>
      <c r="F2440" s="1" t="n">
        <v>38</v>
      </c>
      <c r="G2440" s="1" t="n">
        <v>47</v>
      </c>
      <c r="H2440" s="1" t="n">
        <v>51</v>
      </c>
      <c r="I2440" s="1" t="str">
        <f aca="false">RIGHT(("0"&amp;C2440),2)&amp;RIGHT(("0"&amp;D2440),2)&amp;RIGHT(("0"&amp;E2440),2)&amp;RIGHT(("0"&amp;F2440),2)&amp;RIGHT(("0"&amp;G2440),2)&amp;RIGHT(("0"&amp;H2440),2)</f>
        <v>020834384751</v>
      </c>
      <c r="J2440" s="1" t="n">
        <f aca="false">COUNTIF(I:I,I2440)</f>
        <v>1</v>
      </c>
      <c r="K2440" s="1" t="n">
        <v>0</v>
      </c>
      <c r="M2440" s="1" t="s">
        <v>23</v>
      </c>
      <c r="N2440" s="1" t="n">
        <v>46</v>
      </c>
      <c r="O2440" s="1" t="s">
        <v>13698</v>
      </c>
      <c r="P2440" s="1" t="n">
        <v>3008</v>
      </c>
      <c r="Q2440" s="1" t="s">
        <v>13699</v>
      </c>
      <c r="R2440" s="1" t="s">
        <v>13700</v>
      </c>
      <c r="S2440" s="1" t="s">
        <v>13701</v>
      </c>
      <c r="T2440" s="1" t="s">
        <v>13702</v>
      </c>
      <c r="U2440" s="1" t="s">
        <v>13700</v>
      </c>
    </row>
    <row r="2441" customFormat="false" ht="13.8" hidden="false" customHeight="false" outlineLevel="0" collapsed="false">
      <c r="A2441" s="1" t="n">
        <v>2440</v>
      </c>
      <c r="B2441" s="2" t="s">
        <v>13703</v>
      </c>
      <c r="C2441" s="1" t="n">
        <v>12</v>
      </c>
      <c r="D2441" s="1" t="n">
        <v>15</v>
      </c>
      <c r="E2441" s="1" t="n">
        <v>23</v>
      </c>
      <c r="F2441" s="1" t="n">
        <v>32</v>
      </c>
      <c r="G2441" s="1" t="n">
        <v>33</v>
      </c>
      <c r="H2441" s="1" t="n">
        <v>46</v>
      </c>
      <c r="I2441" s="1" t="str">
        <f aca="false">RIGHT(("0"&amp;C2441),2)&amp;RIGHT(("0"&amp;D2441),2)&amp;RIGHT(("0"&amp;E2441),2)&amp;RIGHT(("0"&amp;F2441),2)&amp;RIGHT(("0"&amp;G2441),2)&amp;RIGHT(("0"&amp;H2441),2)</f>
        <v>121523323346</v>
      </c>
      <c r="J2441" s="1" t="n">
        <f aca="false">COUNTIF(I:I,I2441)</f>
        <v>1</v>
      </c>
      <c r="K2441" s="1" t="n">
        <v>2</v>
      </c>
      <c r="L2441" s="1" t="s">
        <v>13704</v>
      </c>
      <c r="M2441" s="1" t="s">
        <v>13705</v>
      </c>
      <c r="N2441" s="1" t="n">
        <v>1712</v>
      </c>
      <c r="O2441" s="1" t="s">
        <v>13706</v>
      </c>
      <c r="P2441" s="1" t="n">
        <v>143494</v>
      </c>
      <c r="Q2441" s="1" t="s">
        <v>13707</v>
      </c>
      <c r="R2441" s="1" t="s">
        <v>23</v>
      </c>
      <c r="S2441" s="1" t="s">
        <v>13708</v>
      </c>
      <c r="T2441" s="1" t="s">
        <v>473</v>
      </c>
      <c r="U2441" s="1" t="s">
        <v>23</v>
      </c>
    </row>
    <row r="2442" customFormat="false" ht="13.8" hidden="false" customHeight="false" outlineLevel="0" collapsed="false">
      <c r="A2442" s="1" t="n">
        <v>2441</v>
      </c>
      <c r="B2442" s="2" t="s">
        <v>13709</v>
      </c>
      <c r="C2442" s="1" t="n">
        <v>9</v>
      </c>
      <c r="D2442" s="1" t="n">
        <v>41</v>
      </c>
      <c r="E2442" s="1" t="n">
        <v>42</v>
      </c>
      <c r="F2442" s="1" t="n">
        <v>46</v>
      </c>
      <c r="G2442" s="1" t="n">
        <v>47</v>
      </c>
      <c r="H2442" s="1" t="n">
        <v>54</v>
      </c>
      <c r="I2442" s="1" t="str">
        <f aca="false">RIGHT(("0"&amp;C2442),2)&amp;RIGHT(("0"&amp;D2442),2)&amp;RIGHT(("0"&amp;E2442),2)&amp;RIGHT(("0"&amp;F2442),2)&amp;RIGHT(("0"&amp;G2442),2)&amp;RIGHT(("0"&amp;H2442),2)</f>
        <v>094142464754</v>
      </c>
      <c r="J2442" s="1" t="n">
        <f aca="false">COUNTIF(I:I,I2442)</f>
        <v>1</v>
      </c>
      <c r="K2442" s="1" t="n">
        <v>0</v>
      </c>
      <c r="M2442" s="1" t="s">
        <v>23</v>
      </c>
      <c r="N2442" s="1" t="n">
        <v>18</v>
      </c>
      <c r="O2442" s="1" t="s">
        <v>13710</v>
      </c>
      <c r="P2442" s="1" t="n">
        <v>1588</v>
      </c>
      <c r="Q2442" s="1" t="s">
        <v>13711</v>
      </c>
      <c r="R2442" s="1" t="s">
        <v>13712</v>
      </c>
      <c r="S2442" s="1" t="s">
        <v>13713</v>
      </c>
      <c r="T2442" s="1" t="s">
        <v>4342</v>
      </c>
      <c r="U2442" s="1" t="s">
        <v>13714</v>
      </c>
    </row>
    <row r="2443" customFormat="false" ht="13.8" hidden="false" customHeight="false" outlineLevel="0" collapsed="false">
      <c r="A2443" s="1" t="n">
        <v>2442</v>
      </c>
      <c r="B2443" s="2" t="s">
        <v>13715</v>
      </c>
      <c r="C2443" s="1" t="n">
        <v>2</v>
      </c>
      <c r="D2443" s="1" t="n">
        <v>7</v>
      </c>
      <c r="E2443" s="1" t="n">
        <v>9</v>
      </c>
      <c r="F2443" s="1" t="n">
        <v>25</v>
      </c>
      <c r="G2443" s="1" t="n">
        <v>41</v>
      </c>
      <c r="H2443" s="1" t="n">
        <v>49</v>
      </c>
      <c r="I2443" s="1" t="str">
        <f aca="false">RIGHT(("0"&amp;C2443),2)&amp;RIGHT(("0"&amp;D2443),2)&amp;RIGHT(("0"&amp;E2443),2)&amp;RIGHT(("0"&amp;F2443),2)&amp;RIGHT(("0"&amp;G2443),2)&amp;RIGHT(("0"&amp;H2443),2)</f>
        <v>020709254149</v>
      </c>
      <c r="J2443" s="1" t="n">
        <f aca="false">COUNTIF(I:I,I2443)</f>
        <v>1</v>
      </c>
      <c r="K2443" s="1" t="n">
        <v>0</v>
      </c>
      <c r="M2443" s="1" t="s">
        <v>23</v>
      </c>
      <c r="N2443" s="1" t="n">
        <v>63</v>
      </c>
      <c r="O2443" s="1" t="s">
        <v>13716</v>
      </c>
      <c r="P2443" s="1" t="n">
        <v>4651</v>
      </c>
      <c r="Q2443" s="1" t="s">
        <v>13717</v>
      </c>
      <c r="R2443" s="1" t="s">
        <v>13718</v>
      </c>
      <c r="S2443" s="1" t="s">
        <v>13719</v>
      </c>
      <c r="T2443" s="1" t="s">
        <v>4461</v>
      </c>
      <c r="U2443" s="1" t="s">
        <v>13720</v>
      </c>
    </row>
    <row r="2444" customFormat="false" ht="13.8" hidden="false" customHeight="false" outlineLevel="0" collapsed="false">
      <c r="A2444" s="1" t="n">
        <v>2443</v>
      </c>
      <c r="B2444" s="2" t="s">
        <v>13721</v>
      </c>
      <c r="C2444" s="1" t="n">
        <v>1</v>
      </c>
      <c r="D2444" s="1" t="n">
        <v>5</v>
      </c>
      <c r="E2444" s="1" t="n">
        <v>12</v>
      </c>
      <c r="F2444" s="1" t="n">
        <v>13</v>
      </c>
      <c r="G2444" s="1" t="n">
        <v>17</v>
      </c>
      <c r="H2444" s="1" t="n">
        <v>31</v>
      </c>
      <c r="I2444" s="1" t="str">
        <f aca="false">RIGHT(("0"&amp;C2444),2)&amp;RIGHT(("0"&amp;D2444),2)&amp;RIGHT(("0"&amp;E2444),2)&amp;RIGHT(("0"&amp;F2444),2)&amp;RIGHT(("0"&amp;G2444),2)&amp;RIGHT(("0"&amp;H2444),2)</f>
        <v>010512131731</v>
      </c>
      <c r="J2444" s="1" t="n">
        <f aca="false">COUNTIF(I:I,I2444)</f>
        <v>1</v>
      </c>
      <c r="K2444" s="1" t="n">
        <v>2</v>
      </c>
      <c r="L2444" s="1" t="s">
        <v>13722</v>
      </c>
      <c r="M2444" s="1" t="s">
        <v>13723</v>
      </c>
      <c r="N2444" s="1" t="n">
        <v>161</v>
      </c>
      <c r="O2444" s="1" t="s">
        <v>13724</v>
      </c>
      <c r="P2444" s="1" t="n">
        <v>8131</v>
      </c>
      <c r="Q2444" s="1" t="s">
        <v>13725</v>
      </c>
      <c r="R2444" s="1" t="s">
        <v>23</v>
      </c>
      <c r="S2444" s="1" t="s">
        <v>13726</v>
      </c>
      <c r="T2444" s="1" t="s">
        <v>473</v>
      </c>
      <c r="U2444" s="1" t="s">
        <v>13727</v>
      </c>
    </row>
    <row r="2445" customFormat="false" ht="13.8" hidden="false" customHeight="false" outlineLevel="0" collapsed="false">
      <c r="A2445" s="1" t="n">
        <v>2444</v>
      </c>
      <c r="B2445" s="2" t="s">
        <v>13728</v>
      </c>
      <c r="C2445" s="1" t="n">
        <v>15</v>
      </c>
      <c r="D2445" s="1" t="n">
        <v>17</v>
      </c>
      <c r="E2445" s="1" t="n">
        <v>20</v>
      </c>
      <c r="F2445" s="1" t="n">
        <v>35</v>
      </c>
      <c r="G2445" s="1" t="n">
        <v>37</v>
      </c>
      <c r="H2445" s="1" t="n">
        <v>43</v>
      </c>
      <c r="I2445" s="1" t="str">
        <f aca="false">RIGHT(("0"&amp;C2445),2)&amp;RIGHT(("0"&amp;D2445),2)&amp;RIGHT(("0"&amp;E2445),2)&amp;RIGHT(("0"&amp;F2445),2)&amp;RIGHT(("0"&amp;G2445),2)&amp;RIGHT(("0"&amp;H2445),2)</f>
        <v>151720353743</v>
      </c>
      <c r="J2445" s="1" t="n">
        <f aca="false">COUNTIF(I:I,I2445)</f>
        <v>1</v>
      </c>
      <c r="K2445" s="1" t="n">
        <v>0</v>
      </c>
      <c r="M2445" s="1" t="s">
        <v>23</v>
      </c>
      <c r="N2445" s="1" t="n">
        <v>58</v>
      </c>
      <c r="O2445" s="1" t="s">
        <v>13729</v>
      </c>
      <c r="P2445" s="1" t="n">
        <v>3161</v>
      </c>
      <c r="Q2445" s="1" t="s">
        <v>13730</v>
      </c>
      <c r="R2445" s="1" t="s">
        <v>13731</v>
      </c>
      <c r="S2445" s="1" t="s">
        <v>13732</v>
      </c>
      <c r="T2445" s="1" t="s">
        <v>3928</v>
      </c>
      <c r="U2445" s="1" t="s">
        <v>13733</v>
      </c>
    </row>
    <row r="2446" customFormat="false" ht="13.8" hidden="false" customHeight="false" outlineLevel="0" collapsed="false">
      <c r="A2446" s="1" t="n">
        <v>2445</v>
      </c>
      <c r="B2446" s="2" t="s">
        <v>13734</v>
      </c>
      <c r="C2446" s="1" t="n">
        <v>11</v>
      </c>
      <c r="D2446" s="1" t="n">
        <v>25</v>
      </c>
      <c r="E2446" s="1" t="n">
        <v>32</v>
      </c>
      <c r="F2446" s="1" t="n">
        <v>37</v>
      </c>
      <c r="G2446" s="1" t="n">
        <v>47</v>
      </c>
      <c r="H2446" s="1" t="n">
        <v>56</v>
      </c>
      <c r="I2446" s="1" t="str">
        <f aca="false">RIGHT(("0"&amp;C2446),2)&amp;RIGHT(("0"&amp;D2446),2)&amp;RIGHT(("0"&amp;E2446),2)&amp;RIGHT(("0"&amp;F2446),2)&amp;RIGHT(("0"&amp;G2446),2)&amp;RIGHT(("0"&amp;H2446),2)</f>
        <v>112532374756</v>
      </c>
      <c r="J2446" s="1" t="n">
        <f aca="false">COUNTIF(I:I,I2446)</f>
        <v>1</v>
      </c>
      <c r="K2446" s="1" t="n">
        <v>0</v>
      </c>
      <c r="M2446" s="1" t="s">
        <v>23</v>
      </c>
      <c r="N2446" s="1" t="n">
        <v>63</v>
      </c>
      <c r="O2446" s="1" t="s">
        <v>13735</v>
      </c>
      <c r="P2446" s="1" t="n">
        <v>3802</v>
      </c>
      <c r="Q2446" s="1" t="s">
        <v>13736</v>
      </c>
      <c r="R2446" s="1" t="s">
        <v>13737</v>
      </c>
      <c r="S2446" s="1" t="s">
        <v>13738</v>
      </c>
      <c r="T2446" s="1" t="s">
        <v>4246</v>
      </c>
      <c r="U2446" s="1" t="s">
        <v>13739</v>
      </c>
    </row>
    <row r="2447" customFormat="false" ht="13.8" hidden="false" customHeight="false" outlineLevel="0" collapsed="false">
      <c r="A2447" s="1" t="n">
        <v>2446</v>
      </c>
      <c r="B2447" s="2" t="s">
        <v>13740</v>
      </c>
      <c r="C2447" s="1" t="n">
        <v>1</v>
      </c>
      <c r="D2447" s="1" t="n">
        <v>13</v>
      </c>
      <c r="E2447" s="1" t="n">
        <v>27</v>
      </c>
      <c r="F2447" s="1" t="n">
        <v>41</v>
      </c>
      <c r="G2447" s="1" t="n">
        <v>51</v>
      </c>
      <c r="H2447" s="1" t="n">
        <v>58</v>
      </c>
      <c r="I2447" s="1" t="str">
        <f aca="false">RIGHT(("0"&amp;C2447),2)&amp;RIGHT(("0"&amp;D2447),2)&amp;RIGHT(("0"&amp;E2447),2)&amp;RIGHT(("0"&amp;F2447),2)&amp;RIGHT(("0"&amp;G2447),2)&amp;RIGHT(("0"&amp;H2447),2)</f>
        <v>011327415158</v>
      </c>
      <c r="J2447" s="1" t="n">
        <f aca="false">COUNTIF(I:I,I2447)</f>
        <v>1</v>
      </c>
      <c r="K2447" s="1" t="n">
        <v>0</v>
      </c>
      <c r="M2447" s="1" t="s">
        <v>23</v>
      </c>
      <c r="N2447" s="1" t="n">
        <v>74</v>
      </c>
      <c r="O2447" s="1" t="s">
        <v>13741</v>
      </c>
      <c r="P2447" s="1" t="n">
        <v>4344</v>
      </c>
      <c r="Q2447" s="1" t="s">
        <v>13742</v>
      </c>
      <c r="R2447" s="1" t="s">
        <v>13743</v>
      </c>
      <c r="S2447" s="1" t="s">
        <v>13744</v>
      </c>
      <c r="T2447" s="1" t="s">
        <v>9909</v>
      </c>
      <c r="U2447" s="1" t="s">
        <v>13745</v>
      </c>
    </row>
    <row r="2448" customFormat="false" ht="13.8" hidden="false" customHeight="false" outlineLevel="0" collapsed="false">
      <c r="A2448" s="1" t="n">
        <v>2447</v>
      </c>
      <c r="B2448" s="2" t="s">
        <v>13746</v>
      </c>
      <c r="C2448" s="1" t="n">
        <v>13</v>
      </c>
      <c r="D2448" s="1" t="n">
        <v>19</v>
      </c>
      <c r="E2448" s="1" t="n">
        <v>29</v>
      </c>
      <c r="F2448" s="1" t="n">
        <v>42</v>
      </c>
      <c r="G2448" s="1" t="n">
        <v>49</v>
      </c>
      <c r="H2448" s="1" t="n">
        <v>52</v>
      </c>
      <c r="I2448" s="1" t="str">
        <f aca="false">RIGHT(("0"&amp;C2448),2)&amp;RIGHT(("0"&amp;D2448),2)&amp;RIGHT(("0"&amp;E2448),2)&amp;RIGHT(("0"&amp;F2448),2)&amp;RIGHT(("0"&amp;G2448),2)&amp;RIGHT(("0"&amp;H2448),2)</f>
        <v>131929424952</v>
      </c>
      <c r="J2448" s="1" t="n">
        <f aca="false">COUNTIF(I:I,I2448)</f>
        <v>1</v>
      </c>
      <c r="K2448" s="1" t="n">
        <v>0</v>
      </c>
      <c r="M2448" s="1" t="s">
        <v>23</v>
      </c>
      <c r="N2448" s="1" t="n">
        <v>42</v>
      </c>
      <c r="O2448" s="1" t="s">
        <v>13747</v>
      </c>
      <c r="P2448" s="1" t="n">
        <v>3080</v>
      </c>
      <c r="Q2448" s="1" t="s">
        <v>13748</v>
      </c>
      <c r="R2448" s="1" t="s">
        <v>13749</v>
      </c>
      <c r="S2448" s="1" t="s">
        <v>13750</v>
      </c>
      <c r="T2448" s="1" t="s">
        <v>6018</v>
      </c>
      <c r="U2448" s="1" t="s">
        <v>13751</v>
      </c>
    </row>
    <row r="2449" customFormat="false" ht="13.8" hidden="false" customHeight="false" outlineLevel="0" collapsed="false">
      <c r="A2449" s="1" t="n">
        <v>2448</v>
      </c>
      <c r="B2449" s="2" t="s">
        <v>13752</v>
      </c>
      <c r="C2449" s="1" t="n">
        <v>18</v>
      </c>
      <c r="D2449" s="1" t="n">
        <v>30</v>
      </c>
      <c r="E2449" s="1" t="n">
        <v>32</v>
      </c>
      <c r="F2449" s="1" t="n">
        <v>35</v>
      </c>
      <c r="G2449" s="1" t="n">
        <v>40</v>
      </c>
      <c r="H2449" s="1" t="n">
        <v>48</v>
      </c>
      <c r="I2449" s="1" t="str">
        <f aca="false">RIGHT(("0"&amp;C2449),2)&amp;RIGHT(("0"&amp;D2449),2)&amp;RIGHT(("0"&amp;E2449),2)&amp;RIGHT(("0"&amp;F2449),2)&amp;RIGHT(("0"&amp;G2449),2)&amp;RIGHT(("0"&amp;H2449),2)</f>
        <v>183032354048</v>
      </c>
      <c r="J2449" s="1" t="n">
        <f aca="false">COUNTIF(I:I,I2449)</f>
        <v>1</v>
      </c>
      <c r="K2449" s="1" t="n">
        <v>0</v>
      </c>
      <c r="M2449" s="1" t="s">
        <v>23</v>
      </c>
      <c r="N2449" s="1" t="n">
        <v>53</v>
      </c>
      <c r="O2449" s="1" t="s">
        <v>13753</v>
      </c>
      <c r="P2449" s="1" t="n">
        <v>3529</v>
      </c>
      <c r="Q2449" s="1" t="s">
        <v>13754</v>
      </c>
      <c r="R2449" s="1" t="s">
        <v>13755</v>
      </c>
      <c r="S2449" s="1" t="s">
        <v>13756</v>
      </c>
      <c r="T2449" s="1" t="s">
        <v>5154</v>
      </c>
      <c r="U2449" s="1" t="s">
        <v>13757</v>
      </c>
    </row>
    <row r="2450" customFormat="false" ht="13.8" hidden="false" customHeight="false" outlineLevel="0" collapsed="false">
      <c r="A2450" s="1" t="n">
        <v>2449</v>
      </c>
      <c r="B2450" s="2" t="s">
        <v>13758</v>
      </c>
      <c r="C2450" s="1" t="n">
        <v>14</v>
      </c>
      <c r="D2450" s="1" t="n">
        <v>20</v>
      </c>
      <c r="E2450" s="1" t="n">
        <v>21</v>
      </c>
      <c r="F2450" s="1" t="n">
        <v>31</v>
      </c>
      <c r="G2450" s="1" t="n">
        <v>49</v>
      </c>
      <c r="H2450" s="1" t="n">
        <v>52</v>
      </c>
      <c r="I2450" s="1" t="str">
        <f aca="false">RIGHT(("0"&amp;C2450),2)&amp;RIGHT(("0"&amp;D2450),2)&amp;RIGHT(("0"&amp;E2450),2)&amp;RIGHT(("0"&amp;F2450),2)&amp;RIGHT(("0"&amp;G2450),2)&amp;RIGHT(("0"&amp;H2450),2)</f>
        <v>142021314952</v>
      </c>
      <c r="J2450" s="1" t="n">
        <f aca="false">COUNTIF(I:I,I2450)</f>
        <v>1</v>
      </c>
      <c r="K2450" s="1" t="n">
        <v>1</v>
      </c>
      <c r="L2450" s="1" t="s">
        <v>6608</v>
      </c>
      <c r="M2450" s="1" t="s">
        <v>13759</v>
      </c>
      <c r="N2450" s="1" t="n">
        <v>65</v>
      </c>
      <c r="O2450" s="1" t="s">
        <v>13760</v>
      </c>
      <c r="P2450" s="1" t="n">
        <v>3771</v>
      </c>
      <c r="Q2450" s="1" t="s">
        <v>13761</v>
      </c>
      <c r="R2450" s="1" t="s">
        <v>13762</v>
      </c>
      <c r="S2450" s="1" t="s">
        <v>13763</v>
      </c>
      <c r="T2450" s="1" t="s">
        <v>4273</v>
      </c>
      <c r="U2450" s="1" t="s">
        <v>13764</v>
      </c>
    </row>
    <row r="2451" customFormat="false" ht="13.8" hidden="false" customHeight="false" outlineLevel="0" collapsed="false">
      <c r="A2451" s="1" t="n">
        <v>2450</v>
      </c>
      <c r="B2451" s="2" t="s">
        <v>13765</v>
      </c>
      <c r="C2451" s="1" t="n">
        <v>2</v>
      </c>
      <c r="D2451" s="1" t="n">
        <v>6</v>
      </c>
      <c r="E2451" s="1" t="n">
        <v>11</v>
      </c>
      <c r="F2451" s="1" t="n">
        <v>15</v>
      </c>
      <c r="G2451" s="1" t="n">
        <v>17</v>
      </c>
      <c r="H2451" s="1" t="n">
        <v>39</v>
      </c>
      <c r="I2451" s="1" t="str">
        <f aca="false">RIGHT(("0"&amp;C2451),2)&amp;RIGHT(("0"&amp;D2451),2)&amp;RIGHT(("0"&amp;E2451),2)&amp;RIGHT(("0"&amp;F2451),2)&amp;RIGHT(("0"&amp;G2451),2)&amp;RIGHT(("0"&amp;H2451),2)</f>
        <v>020611151739</v>
      </c>
      <c r="J2451" s="1" t="n">
        <f aca="false">COUNTIF(I:I,I2451)</f>
        <v>1</v>
      </c>
      <c r="K2451" s="1" t="n">
        <v>0</v>
      </c>
      <c r="M2451" s="1" t="s">
        <v>23</v>
      </c>
      <c r="N2451" s="1" t="n">
        <v>94</v>
      </c>
      <c r="O2451" s="1" t="s">
        <v>13766</v>
      </c>
      <c r="P2451" s="1" t="n">
        <v>5633</v>
      </c>
      <c r="Q2451" s="1" t="s">
        <v>13767</v>
      </c>
      <c r="R2451" s="1" t="s">
        <v>13768</v>
      </c>
      <c r="S2451" s="1" t="s">
        <v>13769</v>
      </c>
      <c r="T2451" s="1" t="s">
        <v>4213</v>
      </c>
      <c r="U2451" s="1" t="s">
        <v>13770</v>
      </c>
    </row>
    <row r="2452" customFormat="false" ht="13.8" hidden="false" customHeight="false" outlineLevel="0" collapsed="false">
      <c r="A2452" s="1" t="n">
        <v>2451</v>
      </c>
      <c r="B2452" s="2" t="s">
        <v>13771</v>
      </c>
      <c r="C2452" s="1" t="n">
        <v>13</v>
      </c>
      <c r="D2452" s="1" t="n">
        <v>26</v>
      </c>
      <c r="E2452" s="1" t="n">
        <v>31</v>
      </c>
      <c r="F2452" s="1" t="n">
        <v>46</v>
      </c>
      <c r="G2452" s="1" t="n">
        <v>51</v>
      </c>
      <c r="H2452" s="1" t="n">
        <v>60</v>
      </c>
      <c r="I2452" s="1" t="str">
        <f aca="false">RIGHT(("0"&amp;C2452),2)&amp;RIGHT(("0"&amp;D2452),2)&amp;RIGHT(("0"&amp;E2452),2)&amp;RIGHT(("0"&amp;F2452),2)&amp;RIGHT(("0"&amp;G2452),2)&amp;RIGHT(("0"&amp;H2452),2)</f>
        <v>132631465160</v>
      </c>
      <c r="J2452" s="1" t="n">
        <f aca="false">COUNTIF(I:I,I2452)</f>
        <v>1</v>
      </c>
      <c r="K2452" s="1" t="n">
        <v>1</v>
      </c>
      <c r="L2452" s="1" t="s">
        <v>6139</v>
      </c>
      <c r="M2452" s="1" t="s">
        <v>13772</v>
      </c>
      <c r="N2452" s="1" t="n">
        <v>60</v>
      </c>
      <c r="O2452" s="1" t="s">
        <v>13773</v>
      </c>
      <c r="P2452" s="1" t="n">
        <v>4536</v>
      </c>
      <c r="Q2452" s="1" t="s">
        <v>13774</v>
      </c>
      <c r="R2452" s="1" t="s">
        <v>23</v>
      </c>
      <c r="S2452" s="1" t="s">
        <v>13775</v>
      </c>
      <c r="T2452" s="1" t="s">
        <v>473</v>
      </c>
      <c r="U2452" s="1" t="s">
        <v>13776</v>
      </c>
    </row>
    <row r="2453" customFormat="false" ht="13.8" hidden="false" customHeight="false" outlineLevel="0" collapsed="false">
      <c r="A2453" s="1" t="n">
        <v>2452</v>
      </c>
      <c r="B2453" s="2" t="s">
        <v>13777</v>
      </c>
      <c r="C2453" s="1" t="n">
        <v>8</v>
      </c>
      <c r="D2453" s="1" t="n">
        <v>10</v>
      </c>
      <c r="E2453" s="1" t="n">
        <v>51</v>
      </c>
      <c r="F2453" s="1" t="n">
        <v>56</v>
      </c>
      <c r="G2453" s="1" t="n">
        <v>57</v>
      </c>
      <c r="H2453" s="1" t="n">
        <v>58</v>
      </c>
      <c r="I2453" s="1" t="str">
        <f aca="false">RIGHT(("0"&amp;C2453),2)&amp;RIGHT(("0"&amp;D2453),2)&amp;RIGHT(("0"&amp;E2453),2)&amp;RIGHT(("0"&amp;F2453),2)&amp;RIGHT(("0"&amp;G2453),2)&amp;RIGHT(("0"&amp;H2453),2)</f>
        <v>081051565758</v>
      </c>
      <c r="J2453" s="1" t="n">
        <f aca="false">COUNTIF(I:I,I2453)</f>
        <v>1</v>
      </c>
      <c r="K2453" s="1" t="n">
        <v>0</v>
      </c>
      <c r="M2453" s="1" t="s">
        <v>23</v>
      </c>
      <c r="N2453" s="1" t="n">
        <v>23</v>
      </c>
      <c r="O2453" s="1" t="s">
        <v>13778</v>
      </c>
      <c r="P2453" s="1" t="n">
        <v>2117</v>
      </c>
      <c r="Q2453" s="1" t="s">
        <v>13779</v>
      </c>
      <c r="R2453" s="1" t="s">
        <v>13780</v>
      </c>
      <c r="S2453" s="1" t="s">
        <v>13781</v>
      </c>
      <c r="T2453" s="1" t="s">
        <v>4232</v>
      </c>
      <c r="U2453" s="1" t="s">
        <v>13782</v>
      </c>
    </row>
    <row r="2454" customFormat="false" ht="13.8" hidden="false" customHeight="false" outlineLevel="0" collapsed="false">
      <c r="A2454" s="1" t="n">
        <v>2453</v>
      </c>
      <c r="B2454" s="2" t="s">
        <v>13783</v>
      </c>
      <c r="C2454" s="1" t="n">
        <v>10</v>
      </c>
      <c r="D2454" s="1" t="n">
        <v>14</v>
      </c>
      <c r="E2454" s="1" t="n">
        <v>15</v>
      </c>
      <c r="F2454" s="1" t="n">
        <v>24</v>
      </c>
      <c r="G2454" s="1" t="n">
        <v>34</v>
      </c>
      <c r="H2454" s="1" t="n">
        <v>44</v>
      </c>
      <c r="I2454" s="1" t="str">
        <f aca="false">RIGHT(("0"&amp;C2454),2)&amp;RIGHT(("0"&amp;D2454),2)&amp;RIGHT(("0"&amp;E2454),2)&amp;RIGHT(("0"&amp;F2454),2)&amp;RIGHT(("0"&amp;G2454),2)&amp;RIGHT(("0"&amp;H2454),2)</f>
        <v>101415243444</v>
      </c>
      <c r="J2454" s="1" t="n">
        <f aca="false">COUNTIF(I:I,I2454)</f>
        <v>1</v>
      </c>
      <c r="K2454" s="1" t="n">
        <v>0</v>
      </c>
      <c r="M2454" s="1" t="s">
        <v>23</v>
      </c>
      <c r="N2454" s="1" t="n">
        <v>63</v>
      </c>
      <c r="O2454" s="1" t="s">
        <v>13784</v>
      </c>
      <c r="P2454" s="1" t="n">
        <v>3892</v>
      </c>
      <c r="Q2454" s="1" t="s">
        <v>13785</v>
      </c>
      <c r="R2454" s="1" t="s">
        <v>13786</v>
      </c>
      <c r="S2454" s="1" t="s">
        <v>13787</v>
      </c>
      <c r="T2454" s="1" t="s">
        <v>3727</v>
      </c>
      <c r="U2454" s="1" t="s">
        <v>13788</v>
      </c>
    </row>
    <row r="2455" customFormat="false" ht="13.8" hidden="false" customHeight="false" outlineLevel="0" collapsed="false">
      <c r="A2455" s="1" t="n">
        <v>2454</v>
      </c>
      <c r="B2455" s="2" t="s">
        <v>13789</v>
      </c>
      <c r="C2455" s="1" t="n">
        <v>9</v>
      </c>
      <c r="D2455" s="1" t="n">
        <v>14</v>
      </c>
      <c r="E2455" s="1" t="n">
        <v>22</v>
      </c>
      <c r="F2455" s="1" t="n">
        <v>24</v>
      </c>
      <c r="G2455" s="1" t="n">
        <v>44</v>
      </c>
      <c r="H2455" s="1" t="n">
        <v>47</v>
      </c>
      <c r="I2455" s="1" t="str">
        <f aca="false">RIGHT(("0"&amp;C2455),2)&amp;RIGHT(("0"&amp;D2455),2)&amp;RIGHT(("0"&amp;E2455),2)&amp;RIGHT(("0"&amp;F2455),2)&amp;RIGHT(("0"&amp;G2455),2)&amp;RIGHT(("0"&amp;H2455),2)</f>
        <v>091422244447</v>
      </c>
      <c r="J2455" s="1" t="n">
        <f aca="false">COUNTIF(I:I,I2455)</f>
        <v>1</v>
      </c>
      <c r="K2455" s="1" t="n">
        <v>0</v>
      </c>
      <c r="M2455" s="1" t="s">
        <v>23</v>
      </c>
      <c r="N2455" s="1" t="n">
        <v>49</v>
      </c>
      <c r="O2455" s="1" t="s">
        <v>13790</v>
      </c>
      <c r="P2455" s="1" t="n">
        <v>4523</v>
      </c>
      <c r="Q2455" s="1" t="s">
        <v>13791</v>
      </c>
      <c r="R2455" s="1" t="s">
        <v>13792</v>
      </c>
      <c r="S2455" s="1" t="s">
        <v>13793</v>
      </c>
      <c r="T2455" s="1" t="s">
        <v>6018</v>
      </c>
      <c r="U2455" s="1" t="s">
        <v>13794</v>
      </c>
    </row>
    <row r="2456" customFormat="false" ht="13.8" hidden="false" customHeight="false" outlineLevel="0" collapsed="false">
      <c r="A2456" s="1" t="n">
        <v>2455</v>
      </c>
      <c r="B2456" s="2" t="s">
        <v>13795</v>
      </c>
      <c r="C2456" s="1" t="n">
        <v>21</v>
      </c>
      <c r="D2456" s="1" t="n">
        <v>38</v>
      </c>
      <c r="E2456" s="1" t="n">
        <v>50</v>
      </c>
      <c r="F2456" s="1" t="n">
        <v>53</v>
      </c>
      <c r="G2456" s="1" t="n">
        <v>56</v>
      </c>
      <c r="H2456" s="1" t="n">
        <v>59</v>
      </c>
      <c r="I2456" s="1" t="str">
        <f aca="false">RIGHT(("0"&amp;C2456),2)&amp;RIGHT(("0"&amp;D2456),2)&amp;RIGHT(("0"&amp;E2456),2)&amp;RIGHT(("0"&amp;F2456),2)&amp;RIGHT(("0"&amp;G2456),2)&amp;RIGHT(("0"&amp;H2456),2)</f>
        <v>213850535659</v>
      </c>
      <c r="J2456" s="1" t="n">
        <f aca="false">COUNTIF(I:I,I2456)</f>
        <v>1</v>
      </c>
      <c r="K2456" s="1" t="n">
        <v>0</v>
      </c>
      <c r="M2456" s="1" t="s">
        <v>23</v>
      </c>
      <c r="N2456" s="1" t="n">
        <v>44</v>
      </c>
      <c r="O2456" s="1" t="s">
        <v>13796</v>
      </c>
      <c r="P2456" s="1" t="n">
        <v>3811</v>
      </c>
      <c r="Q2456" s="1" t="s">
        <v>13797</v>
      </c>
      <c r="R2456" s="1" t="s">
        <v>13798</v>
      </c>
      <c r="S2456" s="1" t="s">
        <v>13799</v>
      </c>
      <c r="T2456" s="1" t="s">
        <v>6025</v>
      </c>
      <c r="U2456" s="1" t="s">
        <v>13800</v>
      </c>
    </row>
    <row r="2457" customFormat="false" ht="13.8" hidden="false" customHeight="false" outlineLevel="0" collapsed="false">
      <c r="A2457" s="1" t="n">
        <v>2456</v>
      </c>
      <c r="B2457" s="2" t="s">
        <v>13801</v>
      </c>
      <c r="C2457" s="1" t="n">
        <v>28</v>
      </c>
      <c r="D2457" s="1" t="n">
        <v>34</v>
      </c>
      <c r="E2457" s="1" t="n">
        <v>40</v>
      </c>
      <c r="F2457" s="1" t="n">
        <v>41</v>
      </c>
      <c r="G2457" s="1" t="n">
        <v>52</v>
      </c>
      <c r="H2457" s="1" t="n">
        <v>55</v>
      </c>
      <c r="I2457" s="1" t="str">
        <f aca="false">RIGHT(("0"&amp;C2457),2)&amp;RIGHT(("0"&amp;D2457),2)&amp;RIGHT(("0"&amp;E2457),2)&amp;RIGHT(("0"&amp;F2457),2)&amp;RIGHT(("0"&amp;G2457),2)&amp;RIGHT(("0"&amp;H2457),2)</f>
        <v>283440415255</v>
      </c>
      <c r="J2457" s="1" t="n">
        <f aca="false">COUNTIF(I:I,I2457)</f>
        <v>1</v>
      </c>
      <c r="K2457" s="1" t="n">
        <v>0</v>
      </c>
      <c r="M2457" s="1" t="s">
        <v>23</v>
      </c>
      <c r="N2457" s="1" t="n">
        <v>31</v>
      </c>
      <c r="O2457" s="1" t="s">
        <v>13802</v>
      </c>
      <c r="P2457" s="1" t="n">
        <v>2581</v>
      </c>
      <c r="Q2457" s="1" t="s">
        <v>13803</v>
      </c>
      <c r="R2457" s="1" t="s">
        <v>13804</v>
      </c>
      <c r="S2457" s="1" t="s">
        <v>13805</v>
      </c>
      <c r="T2457" s="1" t="s">
        <v>4309</v>
      </c>
      <c r="U2457" s="1" t="s">
        <v>13806</v>
      </c>
    </row>
    <row r="2458" customFormat="false" ht="13.8" hidden="false" customHeight="false" outlineLevel="0" collapsed="false">
      <c r="A2458" s="1" t="n">
        <v>2457</v>
      </c>
      <c r="B2458" s="2" t="s">
        <v>13807</v>
      </c>
      <c r="C2458" s="1" t="n">
        <v>10</v>
      </c>
      <c r="D2458" s="1" t="n">
        <v>19</v>
      </c>
      <c r="E2458" s="1" t="n">
        <v>46</v>
      </c>
      <c r="F2458" s="1" t="n">
        <v>47</v>
      </c>
      <c r="G2458" s="1" t="n">
        <v>49</v>
      </c>
      <c r="H2458" s="1" t="n">
        <v>50</v>
      </c>
      <c r="I2458" s="1" t="str">
        <f aca="false">RIGHT(("0"&amp;C2458),2)&amp;RIGHT(("0"&amp;D2458),2)&amp;RIGHT(("0"&amp;E2458),2)&amp;RIGHT(("0"&amp;F2458),2)&amp;RIGHT(("0"&amp;G2458),2)&amp;RIGHT(("0"&amp;H2458),2)</f>
        <v>101946474950</v>
      </c>
      <c r="J2458" s="1" t="n">
        <f aca="false">COUNTIF(I:I,I2458)</f>
        <v>1</v>
      </c>
      <c r="K2458" s="1" t="n">
        <v>0</v>
      </c>
      <c r="M2458" s="1" t="s">
        <v>23</v>
      </c>
      <c r="N2458" s="1" t="n">
        <v>51</v>
      </c>
      <c r="O2458" s="1" t="s">
        <v>13808</v>
      </c>
      <c r="P2458" s="1" t="n">
        <v>4414</v>
      </c>
      <c r="Q2458" s="1" t="s">
        <v>13809</v>
      </c>
      <c r="R2458" s="1" t="s">
        <v>13810</v>
      </c>
      <c r="S2458" s="1" t="s">
        <v>13811</v>
      </c>
      <c r="T2458" s="1" t="s">
        <v>6559</v>
      </c>
      <c r="U2458" s="1" t="s">
        <v>13812</v>
      </c>
    </row>
    <row r="2459" customFormat="false" ht="13.8" hidden="false" customHeight="false" outlineLevel="0" collapsed="false">
      <c r="A2459" s="1" t="n">
        <v>2458</v>
      </c>
      <c r="B2459" s="2" t="s">
        <v>13813</v>
      </c>
      <c r="C2459" s="1" t="n">
        <v>15</v>
      </c>
      <c r="D2459" s="1" t="n">
        <v>40</v>
      </c>
      <c r="E2459" s="1" t="n">
        <v>44</v>
      </c>
      <c r="F2459" s="1" t="n">
        <v>45</v>
      </c>
      <c r="G2459" s="1" t="n">
        <v>47</v>
      </c>
      <c r="H2459" s="1" t="n">
        <v>51</v>
      </c>
      <c r="I2459" s="1" t="str">
        <f aca="false">RIGHT(("0"&amp;C2459),2)&amp;RIGHT(("0"&amp;D2459),2)&amp;RIGHT(("0"&amp;E2459),2)&amp;RIGHT(("0"&amp;F2459),2)&amp;RIGHT(("0"&amp;G2459),2)&amp;RIGHT(("0"&amp;H2459),2)</f>
        <v>154044454751</v>
      </c>
      <c r="J2459" s="1" t="n">
        <f aca="false">COUNTIF(I:I,I2459)</f>
        <v>1</v>
      </c>
      <c r="K2459" s="1" t="n">
        <v>0</v>
      </c>
      <c r="M2459" s="1" t="s">
        <v>23</v>
      </c>
      <c r="N2459" s="1" t="n">
        <v>79</v>
      </c>
      <c r="O2459" s="1" t="s">
        <v>13814</v>
      </c>
      <c r="P2459" s="1" t="n">
        <v>5279</v>
      </c>
      <c r="Q2459" s="1" t="s">
        <v>13815</v>
      </c>
      <c r="R2459" s="1" t="s">
        <v>13816</v>
      </c>
      <c r="S2459" s="1" t="s">
        <v>13817</v>
      </c>
      <c r="T2459" s="1" t="s">
        <v>10127</v>
      </c>
      <c r="U2459" s="1" t="s">
        <v>13818</v>
      </c>
    </row>
    <row r="2460" customFormat="false" ht="13.8" hidden="false" customHeight="false" outlineLevel="0" collapsed="false">
      <c r="A2460" s="1" t="n">
        <v>2459</v>
      </c>
      <c r="B2460" s="2" t="s">
        <v>13819</v>
      </c>
      <c r="C2460" s="1" t="n">
        <v>15</v>
      </c>
      <c r="D2460" s="1" t="n">
        <v>24</v>
      </c>
      <c r="E2460" s="1" t="n">
        <v>33</v>
      </c>
      <c r="F2460" s="1" t="n">
        <v>49</v>
      </c>
      <c r="G2460" s="1" t="n">
        <v>53</v>
      </c>
      <c r="H2460" s="1" t="n">
        <v>59</v>
      </c>
      <c r="I2460" s="1" t="str">
        <f aca="false">RIGHT(("0"&amp;C2460),2)&amp;RIGHT(("0"&amp;D2460),2)&amp;RIGHT(("0"&amp;E2460),2)&amp;RIGHT(("0"&amp;F2460),2)&amp;RIGHT(("0"&amp;G2460),2)&amp;RIGHT(("0"&amp;H2460),2)</f>
        <v>152433495359</v>
      </c>
      <c r="J2460" s="1" t="n">
        <f aca="false">COUNTIF(I:I,I2460)</f>
        <v>1</v>
      </c>
      <c r="K2460" s="1" t="n">
        <v>0</v>
      </c>
      <c r="M2460" s="1" t="s">
        <v>23</v>
      </c>
      <c r="N2460" s="1" t="n">
        <v>84</v>
      </c>
      <c r="O2460" s="1" t="s">
        <v>13820</v>
      </c>
      <c r="P2460" s="1" t="n">
        <v>6200</v>
      </c>
      <c r="Q2460" s="1" t="s">
        <v>13821</v>
      </c>
      <c r="R2460" s="1" t="s">
        <v>13822</v>
      </c>
      <c r="S2460" s="1" t="s">
        <v>13823</v>
      </c>
      <c r="T2460" s="1" t="s">
        <v>9814</v>
      </c>
      <c r="U2460" s="1" t="s">
        <v>13824</v>
      </c>
    </row>
    <row r="2461" customFormat="false" ht="13.8" hidden="false" customHeight="false" outlineLevel="0" collapsed="false">
      <c r="A2461" s="1" t="n">
        <v>2460</v>
      </c>
      <c r="B2461" s="2" t="s">
        <v>13825</v>
      </c>
      <c r="C2461" s="1" t="n">
        <v>16</v>
      </c>
      <c r="D2461" s="1" t="n">
        <v>17</v>
      </c>
      <c r="E2461" s="1" t="n">
        <v>18</v>
      </c>
      <c r="F2461" s="1" t="n">
        <v>28</v>
      </c>
      <c r="G2461" s="1" t="n">
        <v>35</v>
      </c>
      <c r="H2461" s="1" t="n">
        <v>47</v>
      </c>
      <c r="I2461" s="1" t="str">
        <f aca="false">RIGHT(("0"&amp;C2461),2)&amp;RIGHT(("0"&amp;D2461),2)&amp;RIGHT(("0"&amp;E2461),2)&amp;RIGHT(("0"&amp;F2461),2)&amp;RIGHT(("0"&amp;G2461),2)&amp;RIGHT(("0"&amp;H2461),2)</f>
        <v>161718283547</v>
      </c>
      <c r="J2461" s="1" t="n">
        <f aca="false">COUNTIF(I:I,I2461)</f>
        <v>1</v>
      </c>
      <c r="K2461" s="1" t="n">
        <v>0</v>
      </c>
      <c r="M2461" s="1" t="s">
        <v>23</v>
      </c>
      <c r="N2461" s="1" t="n">
        <v>155</v>
      </c>
      <c r="O2461" s="1" t="s">
        <v>13826</v>
      </c>
      <c r="P2461" s="1" t="n">
        <v>11542</v>
      </c>
      <c r="Q2461" s="1" t="s">
        <v>13827</v>
      </c>
      <c r="R2461" s="1" t="s">
        <v>13828</v>
      </c>
      <c r="S2461" s="1" t="s">
        <v>13829</v>
      </c>
      <c r="T2461" s="1" t="s">
        <v>13830</v>
      </c>
      <c r="U2461" s="1" t="s">
        <v>13831</v>
      </c>
    </row>
    <row r="2462" customFormat="false" ht="13.8" hidden="false" customHeight="false" outlineLevel="0" collapsed="false">
      <c r="A2462" s="1" t="n">
        <v>2461</v>
      </c>
      <c r="B2462" s="2" t="s">
        <v>13832</v>
      </c>
      <c r="C2462" s="1" t="n">
        <v>8</v>
      </c>
      <c r="D2462" s="1" t="n">
        <v>11</v>
      </c>
      <c r="E2462" s="1" t="n">
        <v>16</v>
      </c>
      <c r="F2462" s="1" t="n">
        <v>21</v>
      </c>
      <c r="G2462" s="1" t="n">
        <v>32</v>
      </c>
      <c r="H2462" s="1" t="n">
        <v>37</v>
      </c>
      <c r="I2462" s="1" t="str">
        <f aca="false">RIGHT(("0"&amp;C2462),2)&amp;RIGHT(("0"&amp;D2462),2)&amp;RIGHT(("0"&amp;E2462),2)&amp;RIGHT(("0"&amp;F2462),2)&amp;RIGHT(("0"&amp;G2462),2)&amp;RIGHT(("0"&amp;H2462),2)</f>
        <v>081116213237</v>
      </c>
      <c r="J2462" s="1" t="n">
        <f aca="false">COUNTIF(I:I,I2462)</f>
        <v>1</v>
      </c>
      <c r="K2462" s="1" t="n">
        <v>0</v>
      </c>
      <c r="M2462" s="1" t="s">
        <v>23</v>
      </c>
      <c r="N2462" s="1" t="n">
        <v>278</v>
      </c>
      <c r="O2462" s="1" t="s">
        <v>13833</v>
      </c>
      <c r="P2462" s="1" t="n">
        <v>17238</v>
      </c>
      <c r="Q2462" s="1" t="s">
        <v>13834</v>
      </c>
      <c r="R2462" s="1" t="s">
        <v>13835</v>
      </c>
      <c r="S2462" s="1" t="s">
        <v>13836</v>
      </c>
      <c r="T2462" s="1" t="s">
        <v>9516</v>
      </c>
      <c r="U2462" s="1" t="s">
        <v>13837</v>
      </c>
    </row>
    <row r="2463" customFormat="false" ht="13.8" hidden="false" customHeight="false" outlineLevel="0" collapsed="false">
      <c r="A2463" s="1" t="n">
        <v>2462</v>
      </c>
      <c r="B2463" s="2" t="s">
        <v>13838</v>
      </c>
      <c r="C2463" s="1" t="n">
        <v>3</v>
      </c>
      <c r="D2463" s="1" t="n">
        <v>16</v>
      </c>
      <c r="E2463" s="1" t="n">
        <v>23</v>
      </c>
      <c r="F2463" s="1" t="n">
        <v>41</v>
      </c>
      <c r="G2463" s="1" t="n">
        <v>45</v>
      </c>
      <c r="H2463" s="1" t="n">
        <v>57</v>
      </c>
      <c r="I2463" s="1" t="str">
        <f aca="false">RIGHT(("0"&amp;C2463),2)&amp;RIGHT(("0"&amp;D2463),2)&amp;RIGHT(("0"&amp;E2463),2)&amp;RIGHT(("0"&amp;F2463),2)&amp;RIGHT(("0"&amp;G2463),2)&amp;RIGHT(("0"&amp;H2463),2)</f>
        <v>031623414557</v>
      </c>
      <c r="J2463" s="1" t="n">
        <f aca="false">COUNTIF(I:I,I2463)</f>
        <v>1</v>
      </c>
      <c r="K2463" s="1" t="n">
        <v>0</v>
      </c>
      <c r="M2463" s="1" t="s">
        <v>23</v>
      </c>
      <c r="N2463" s="1" t="n">
        <v>294</v>
      </c>
      <c r="O2463" s="1" t="s">
        <v>13839</v>
      </c>
      <c r="P2463" s="1" t="n">
        <v>19576</v>
      </c>
      <c r="Q2463" s="1" t="s">
        <v>13840</v>
      </c>
      <c r="R2463" s="1" t="s">
        <v>13841</v>
      </c>
      <c r="S2463" s="1" t="s">
        <v>13842</v>
      </c>
      <c r="T2463" s="1" t="s">
        <v>13843</v>
      </c>
      <c r="U2463" s="1" t="s">
        <v>13844</v>
      </c>
    </row>
    <row r="2464" customFormat="false" ht="13.8" hidden="false" customHeight="false" outlineLevel="0" collapsed="false">
      <c r="A2464" s="1" t="n">
        <v>2463</v>
      </c>
      <c r="B2464" s="2" t="s">
        <v>13845</v>
      </c>
      <c r="C2464" s="1" t="n">
        <v>11</v>
      </c>
      <c r="D2464" s="1" t="n">
        <v>16</v>
      </c>
      <c r="E2464" s="1" t="n">
        <v>31</v>
      </c>
      <c r="F2464" s="1" t="n">
        <v>37</v>
      </c>
      <c r="G2464" s="1" t="n">
        <v>42</v>
      </c>
      <c r="H2464" s="1" t="n">
        <v>51</v>
      </c>
      <c r="I2464" s="1" t="str">
        <f aca="false">RIGHT(("0"&amp;C2464),2)&amp;RIGHT(("0"&amp;D2464),2)&amp;RIGHT(("0"&amp;E2464),2)&amp;RIGHT(("0"&amp;F2464),2)&amp;RIGHT(("0"&amp;G2464),2)&amp;RIGHT(("0"&amp;H2464),2)</f>
        <v>111631374251</v>
      </c>
      <c r="J2464" s="1" t="n">
        <f aca="false">COUNTIF(I:I,I2464)</f>
        <v>1</v>
      </c>
      <c r="K2464" s="1" t="n">
        <v>0</v>
      </c>
      <c r="M2464" s="1" t="s">
        <v>23</v>
      </c>
      <c r="N2464" s="1" t="n">
        <v>281</v>
      </c>
      <c r="O2464" s="1" t="s">
        <v>13846</v>
      </c>
      <c r="P2464" s="1" t="n">
        <v>20541</v>
      </c>
      <c r="Q2464" s="1" t="s">
        <v>13847</v>
      </c>
      <c r="R2464" s="1" t="s">
        <v>13848</v>
      </c>
      <c r="S2464" s="1" t="s">
        <v>13849</v>
      </c>
      <c r="T2464" s="1" t="s">
        <v>12437</v>
      </c>
      <c r="U2464" s="1" t="s">
        <v>13850</v>
      </c>
    </row>
    <row r="2465" customFormat="false" ht="13.8" hidden="false" customHeight="false" outlineLevel="0" collapsed="false">
      <c r="A2465" s="1" t="n">
        <v>2464</v>
      </c>
      <c r="B2465" s="2" t="s">
        <v>13851</v>
      </c>
      <c r="C2465" s="1" t="n">
        <v>2</v>
      </c>
      <c r="D2465" s="1" t="n">
        <v>7</v>
      </c>
      <c r="E2465" s="1" t="n">
        <v>24</v>
      </c>
      <c r="F2465" s="1" t="n">
        <v>43</v>
      </c>
      <c r="G2465" s="1" t="n">
        <v>52</v>
      </c>
      <c r="H2465" s="1" t="n">
        <v>56</v>
      </c>
      <c r="I2465" s="1" t="str">
        <f aca="false">RIGHT(("0"&amp;C2465),2)&amp;RIGHT(("0"&amp;D2465),2)&amp;RIGHT(("0"&amp;E2465),2)&amp;RIGHT(("0"&amp;F2465),2)&amp;RIGHT(("0"&amp;G2465),2)&amp;RIGHT(("0"&amp;H2465),2)</f>
        <v>020724435256</v>
      </c>
      <c r="J2465" s="1" t="n">
        <f aca="false">COUNTIF(I:I,I2465)</f>
        <v>1</v>
      </c>
      <c r="K2465" s="1" t="n">
        <v>2</v>
      </c>
      <c r="L2465" s="1" t="s">
        <v>13852</v>
      </c>
      <c r="M2465" s="1" t="s">
        <v>13853</v>
      </c>
      <c r="N2465" s="1" t="n">
        <v>496</v>
      </c>
      <c r="O2465" s="1" t="s">
        <v>13854</v>
      </c>
      <c r="P2465" s="1" t="n">
        <v>31802</v>
      </c>
      <c r="Q2465" s="1" t="s">
        <v>13855</v>
      </c>
      <c r="R2465" s="1" t="s">
        <v>13856</v>
      </c>
      <c r="S2465" s="1" t="s">
        <v>13857</v>
      </c>
      <c r="T2465" s="1" t="s">
        <v>8842</v>
      </c>
      <c r="U2465" s="1" t="s">
        <v>13858</v>
      </c>
    </row>
    <row r="2466" customFormat="false" ht="13.8" hidden="false" customHeight="false" outlineLevel="0" collapsed="false">
      <c r="A2466" s="1" t="n">
        <v>2465</v>
      </c>
      <c r="B2466" s="2" t="s">
        <v>13859</v>
      </c>
      <c r="C2466" s="1" t="n">
        <v>3</v>
      </c>
      <c r="D2466" s="1" t="n">
        <v>8</v>
      </c>
      <c r="E2466" s="1" t="n">
        <v>23</v>
      </c>
      <c r="F2466" s="1" t="n">
        <v>29</v>
      </c>
      <c r="G2466" s="1" t="n">
        <v>53</v>
      </c>
      <c r="H2466" s="1" t="n">
        <v>54</v>
      </c>
      <c r="I2466" s="1" t="str">
        <f aca="false">RIGHT(("0"&amp;C2466),2)&amp;RIGHT(("0"&amp;D2466),2)&amp;RIGHT(("0"&amp;E2466),2)&amp;RIGHT(("0"&amp;F2466),2)&amp;RIGHT(("0"&amp;G2466),2)&amp;RIGHT(("0"&amp;H2466),2)</f>
        <v>030823295354</v>
      </c>
      <c r="J2466" s="1" t="n">
        <f aca="false">COUNTIF(I:I,I2466)</f>
        <v>1</v>
      </c>
      <c r="K2466" s="1" t="n">
        <v>0</v>
      </c>
      <c r="M2466" s="1" t="s">
        <v>23</v>
      </c>
      <c r="N2466" s="1" t="n">
        <v>160</v>
      </c>
      <c r="O2466" s="1" t="s">
        <v>13860</v>
      </c>
      <c r="P2466" s="1" t="n">
        <v>11384</v>
      </c>
      <c r="Q2466" s="1" t="s">
        <v>13861</v>
      </c>
      <c r="R2466" s="1" t="s">
        <v>13862</v>
      </c>
      <c r="S2466" s="1" t="s">
        <v>13863</v>
      </c>
      <c r="T2466" s="1" t="s">
        <v>9814</v>
      </c>
      <c r="U2466" s="1" t="s">
        <v>13864</v>
      </c>
    </row>
    <row r="2467" customFormat="false" ht="13.8" hidden="false" customHeight="false" outlineLevel="0" collapsed="false">
      <c r="A2467" s="1" t="n">
        <v>2466</v>
      </c>
      <c r="B2467" s="2" t="s">
        <v>13865</v>
      </c>
      <c r="C2467" s="1" t="n">
        <v>2</v>
      </c>
      <c r="D2467" s="1" t="n">
        <v>3</v>
      </c>
      <c r="E2467" s="1" t="n">
        <v>13</v>
      </c>
      <c r="F2467" s="1" t="n">
        <v>20</v>
      </c>
      <c r="G2467" s="1" t="n">
        <v>53</v>
      </c>
      <c r="H2467" s="1" t="n">
        <v>54</v>
      </c>
      <c r="I2467" s="1" t="str">
        <f aca="false">RIGHT(("0"&amp;C2467),2)&amp;RIGHT(("0"&amp;D2467),2)&amp;RIGHT(("0"&amp;E2467),2)&amp;RIGHT(("0"&amp;F2467),2)&amp;RIGHT(("0"&amp;G2467),2)&amp;RIGHT(("0"&amp;H2467),2)</f>
        <v>020313205354</v>
      </c>
      <c r="J2467" s="1" t="n">
        <f aca="false">COUNTIF(I:I,I2467)</f>
        <v>1</v>
      </c>
      <c r="K2467" s="1" t="n">
        <v>0</v>
      </c>
      <c r="M2467" s="1" t="s">
        <v>23</v>
      </c>
      <c r="N2467" s="1" t="n">
        <v>156</v>
      </c>
      <c r="O2467" s="1" t="s">
        <v>13866</v>
      </c>
      <c r="P2467" s="1" t="n">
        <v>10583</v>
      </c>
      <c r="Q2467" s="1" t="s">
        <v>13867</v>
      </c>
      <c r="R2467" s="1" t="s">
        <v>13868</v>
      </c>
      <c r="S2467" s="1" t="s">
        <v>13869</v>
      </c>
      <c r="T2467" s="1" t="s">
        <v>9509</v>
      </c>
      <c r="U2467" s="1" t="s">
        <v>13870</v>
      </c>
    </row>
    <row r="2468" customFormat="false" ht="13.8" hidden="false" customHeight="false" outlineLevel="0" collapsed="false">
      <c r="A2468" s="1" t="n">
        <v>2467</v>
      </c>
      <c r="B2468" s="2" t="s">
        <v>13871</v>
      </c>
      <c r="C2468" s="1" t="n">
        <v>1</v>
      </c>
      <c r="D2468" s="1" t="n">
        <v>10</v>
      </c>
      <c r="E2468" s="1" t="n">
        <v>19</v>
      </c>
      <c r="F2468" s="1" t="n">
        <v>34</v>
      </c>
      <c r="G2468" s="1" t="n">
        <v>35</v>
      </c>
      <c r="H2468" s="1" t="n">
        <v>45</v>
      </c>
      <c r="I2468" s="1" t="str">
        <f aca="false">RIGHT(("0"&amp;C2468),2)&amp;RIGHT(("0"&amp;D2468),2)&amp;RIGHT(("0"&amp;E2468),2)&amp;RIGHT(("0"&amp;F2468),2)&amp;RIGHT(("0"&amp;G2468),2)&amp;RIGHT(("0"&amp;H2468),2)</f>
        <v>011019343545</v>
      </c>
      <c r="J2468" s="1" t="n">
        <f aca="false">COUNTIF(I:I,I2468)</f>
        <v>1</v>
      </c>
      <c r="K2468" s="1" t="n">
        <v>0</v>
      </c>
      <c r="M2468" s="1" t="s">
        <v>23</v>
      </c>
      <c r="N2468" s="1" t="n">
        <v>168</v>
      </c>
      <c r="O2468" s="1" t="s">
        <v>13872</v>
      </c>
      <c r="P2468" s="1" t="n">
        <v>11371</v>
      </c>
      <c r="Q2468" s="1" t="s">
        <v>13873</v>
      </c>
      <c r="R2468" s="1" t="s">
        <v>13874</v>
      </c>
      <c r="S2468" s="1" t="s">
        <v>13875</v>
      </c>
      <c r="T2468" s="1" t="s">
        <v>5601</v>
      </c>
      <c r="U2468" s="1" t="s">
        <v>13876</v>
      </c>
    </row>
    <row r="2469" customFormat="false" ht="13.8" hidden="false" customHeight="false" outlineLevel="0" collapsed="false">
      <c r="A2469" s="1" t="n">
        <v>2468</v>
      </c>
      <c r="B2469" s="2" t="s">
        <v>13877</v>
      </c>
      <c r="C2469" s="1" t="n">
        <v>22</v>
      </c>
      <c r="D2469" s="1" t="n">
        <v>35</v>
      </c>
      <c r="E2469" s="1" t="n">
        <v>41</v>
      </c>
      <c r="F2469" s="1" t="n">
        <v>42</v>
      </c>
      <c r="G2469" s="1" t="n">
        <v>53</v>
      </c>
      <c r="H2469" s="1" t="n">
        <v>57</v>
      </c>
      <c r="I2469" s="1" t="str">
        <f aca="false">RIGHT(("0"&amp;C2469),2)&amp;RIGHT(("0"&amp;D2469),2)&amp;RIGHT(("0"&amp;E2469),2)&amp;RIGHT(("0"&amp;F2469),2)&amp;RIGHT(("0"&amp;G2469),2)&amp;RIGHT(("0"&amp;H2469),2)</f>
        <v>223541425357</v>
      </c>
      <c r="J2469" s="1" t="n">
        <f aca="false">COUNTIF(I:I,I2469)</f>
        <v>1</v>
      </c>
      <c r="K2469" s="1" t="n">
        <v>1</v>
      </c>
      <c r="L2469" s="1" t="s">
        <v>5330</v>
      </c>
      <c r="M2469" s="1" t="s">
        <v>13878</v>
      </c>
      <c r="N2469" s="1" t="n">
        <v>267</v>
      </c>
      <c r="O2469" s="1" t="s">
        <v>13879</v>
      </c>
      <c r="P2469" s="1" t="n">
        <v>20734</v>
      </c>
      <c r="Q2469" s="1" t="s">
        <v>13880</v>
      </c>
      <c r="R2469" s="1" t="s">
        <v>23</v>
      </c>
      <c r="S2469" s="1" t="s">
        <v>13881</v>
      </c>
      <c r="T2469" s="1" t="s">
        <v>473</v>
      </c>
      <c r="U2469" s="1" t="s">
        <v>13882</v>
      </c>
    </row>
    <row r="2470" customFormat="false" ht="13.8" hidden="false" customHeight="false" outlineLevel="0" collapsed="false">
      <c r="A2470" s="1" t="n">
        <v>2469</v>
      </c>
      <c r="B2470" s="2" t="s">
        <v>13883</v>
      </c>
      <c r="C2470" s="1" t="n">
        <v>5</v>
      </c>
      <c r="D2470" s="1" t="n">
        <v>28</v>
      </c>
      <c r="E2470" s="1" t="n">
        <v>30</v>
      </c>
      <c r="F2470" s="1" t="n">
        <v>38</v>
      </c>
      <c r="G2470" s="1" t="n">
        <v>52</v>
      </c>
      <c r="H2470" s="1" t="n">
        <v>55</v>
      </c>
      <c r="I2470" s="1" t="str">
        <f aca="false">RIGHT(("0"&amp;C2470),2)&amp;RIGHT(("0"&amp;D2470),2)&amp;RIGHT(("0"&amp;E2470),2)&amp;RIGHT(("0"&amp;F2470),2)&amp;RIGHT(("0"&amp;G2470),2)&amp;RIGHT(("0"&amp;H2470),2)</f>
        <v>052830385255</v>
      </c>
      <c r="J2470" s="1" t="n">
        <f aca="false">COUNTIF(I:I,I2470)</f>
        <v>1</v>
      </c>
      <c r="K2470" s="1" t="n">
        <v>0</v>
      </c>
      <c r="M2470" s="1" t="s">
        <v>23</v>
      </c>
      <c r="N2470" s="1" t="n">
        <v>34</v>
      </c>
      <c r="O2470" s="1" t="s">
        <v>13884</v>
      </c>
      <c r="P2470" s="1" t="n">
        <v>2246</v>
      </c>
      <c r="Q2470" s="1" t="s">
        <v>13885</v>
      </c>
      <c r="R2470" s="1" t="s">
        <v>13886</v>
      </c>
      <c r="S2470" s="1" t="s">
        <v>13887</v>
      </c>
      <c r="T2470" s="1" t="s">
        <v>4314</v>
      </c>
      <c r="U2470" s="1" t="s">
        <v>13888</v>
      </c>
    </row>
    <row r="2471" customFormat="false" ht="13.8" hidden="false" customHeight="false" outlineLevel="0" collapsed="false">
      <c r="A2471" s="1" t="n">
        <v>2470</v>
      </c>
      <c r="B2471" s="2" t="s">
        <v>13889</v>
      </c>
      <c r="C2471" s="1" t="n">
        <v>8</v>
      </c>
      <c r="D2471" s="1" t="n">
        <v>33</v>
      </c>
      <c r="E2471" s="1" t="n">
        <v>40</v>
      </c>
      <c r="F2471" s="1" t="n">
        <v>42</v>
      </c>
      <c r="G2471" s="1" t="n">
        <v>48</v>
      </c>
      <c r="H2471" s="1" t="n">
        <v>51</v>
      </c>
      <c r="I2471" s="1" t="str">
        <f aca="false">RIGHT(("0"&amp;C2471),2)&amp;RIGHT(("0"&amp;D2471),2)&amp;RIGHT(("0"&amp;E2471),2)&amp;RIGHT(("0"&amp;F2471),2)&amp;RIGHT(("0"&amp;G2471),2)&amp;RIGHT(("0"&amp;H2471),2)</f>
        <v>083340424851</v>
      </c>
      <c r="J2471" s="1" t="n">
        <f aca="false">COUNTIF(I:I,I2471)</f>
        <v>1</v>
      </c>
      <c r="K2471" s="1" t="n">
        <v>0</v>
      </c>
      <c r="M2471" s="1" t="s">
        <v>23</v>
      </c>
      <c r="N2471" s="1" t="n">
        <v>81</v>
      </c>
      <c r="O2471" s="1" t="s">
        <v>13890</v>
      </c>
      <c r="P2471" s="1" t="n">
        <v>6197</v>
      </c>
      <c r="Q2471" s="1" t="s">
        <v>13891</v>
      </c>
      <c r="R2471" s="1" t="s">
        <v>13892</v>
      </c>
      <c r="S2471" s="1" t="s">
        <v>13893</v>
      </c>
      <c r="T2471" s="1" t="s">
        <v>8797</v>
      </c>
      <c r="U2471" s="1" t="s">
        <v>13894</v>
      </c>
    </row>
    <row r="2472" customFormat="false" ht="13.8" hidden="false" customHeight="false" outlineLevel="0" collapsed="false">
      <c r="A2472" s="1" t="n">
        <v>2471</v>
      </c>
      <c r="B2472" s="2" t="s">
        <v>13895</v>
      </c>
      <c r="C2472" s="1" t="n">
        <v>8</v>
      </c>
      <c r="D2472" s="1" t="n">
        <v>23</v>
      </c>
      <c r="E2472" s="1" t="n">
        <v>29</v>
      </c>
      <c r="F2472" s="1" t="n">
        <v>30</v>
      </c>
      <c r="G2472" s="1" t="n">
        <v>36</v>
      </c>
      <c r="H2472" s="1" t="n">
        <v>55</v>
      </c>
      <c r="I2472" s="1" t="str">
        <f aca="false">RIGHT(("0"&amp;C2472),2)&amp;RIGHT(("0"&amp;D2472),2)&amp;RIGHT(("0"&amp;E2472),2)&amp;RIGHT(("0"&amp;F2472),2)&amp;RIGHT(("0"&amp;G2472),2)&amp;RIGHT(("0"&amp;H2472),2)</f>
        <v>082329303655</v>
      </c>
      <c r="J2472" s="1" t="n">
        <f aca="false">COUNTIF(I:I,I2472)</f>
        <v>1</v>
      </c>
      <c r="K2472" s="1" t="n">
        <v>0</v>
      </c>
      <c r="M2472" s="1" t="s">
        <v>23</v>
      </c>
      <c r="N2472" s="1" t="n">
        <v>95</v>
      </c>
      <c r="O2472" s="1" t="s">
        <v>13896</v>
      </c>
      <c r="P2472" s="1" t="n">
        <v>7346</v>
      </c>
      <c r="Q2472" s="1" t="s">
        <v>13897</v>
      </c>
      <c r="R2472" s="1" t="s">
        <v>13898</v>
      </c>
      <c r="S2472" s="1" t="s">
        <v>13899</v>
      </c>
      <c r="T2472" s="1" t="s">
        <v>5706</v>
      </c>
      <c r="U2472" s="1" t="s">
        <v>13900</v>
      </c>
    </row>
    <row r="2473" customFormat="false" ht="13.8" hidden="false" customHeight="false" outlineLevel="0" collapsed="false">
      <c r="A2473" s="1" t="n">
        <v>2472</v>
      </c>
      <c r="B2473" s="2" t="s">
        <v>13901</v>
      </c>
      <c r="C2473" s="1" t="n">
        <v>5</v>
      </c>
      <c r="D2473" s="1" t="n">
        <v>13</v>
      </c>
      <c r="E2473" s="1" t="n">
        <v>18</v>
      </c>
      <c r="F2473" s="1" t="n">
        <v>23</v>
      </c>
      <c r="G2473" s="1" t="n">
        <v>35</v>
      </c>
      <c r="H2473" s="1" t="n">
        <v>36</v>
      </c>
      <c r="I2473" s="1" t="str">
        <f aca="false">RIGHT(("0"&amp;C2473),2)&amp;RIGHT(("0"&amp;D2473),2)&amp;RIGHT(("0"&amp;E2473),2)&amp;RIGHT(("0"&amp;F2473),2)&amp;RIGHT(("0"&amp;G2473),2)&amp;RIGHT(("0"&amp;H2473),2)</f>
        <v>051318233536</v>
      </c>
      <c r="J2473" s="1" t="n">
        <f aca="false">COUNTIF(I:I,I2473)</f>
        <v>1</v>
      </c>
      <c r="K2473" s="1" t="n">
        <v>1</v>
      </c>
      <c r="L2473" s="1" t="s">
        <v>10841</v>
      </c>
      <c r="M2473" s="1" t="s">
        <v>13902</v>
      </c>
      <c r="N2473" s="1" t="n">
        <v>233</v>
      </c>
      <c r="O2473" s="1" t="s">
        <v>13903</v>
      </c>
      <c r="P2473" s="1" t="n">
        <v>14583</v>
      </c>
      <c r="Q2473" s="1" t="s">
        <v>13904</v>
      </c>
      <c r="R2473" s="1" t="s">
        <v>23</v>
      </c>
      <c r="S2473" s="1" t="s">
        <v>13905</v>
      </c>
      <c r="T2473" s="1" t="s">
        <v>473</v>
      </c>
      <c r="U2473" s="1" t="s">
        <v>13906</v>
      </c>
    </row>
    <row r="2474" customFormat="false" ht="13.8" hidden="false" customHeight="false" outlineLevel="0" collapsed="false">
      <c r="A2474" s="1" t="n">
        <v>2473</v>
      </c>
      <c r="B2474" s="2" t="s">
        <v>13907</v>
      </c>
      <c r="C2474" s="1" t="n">
        <v>15</v>
      </c>
      <c r="D2474" s="1" t="n">
        <v>18</v>
      </c>
      <c r="E2474" s="1" t="n">
        <v>28</v>
      </c>
      <c r="F2474" s="1" t="n">
        <v>42</v>
      </c>
      <c r="G2474" s="1" t="n">
        <v>55</v>
      </c>
      <c r="H2474" s="1" t="n">
        <v>60</v>
      </c>
      <c r="I2474" s="1" t="str">
        <f aca="false">RIGHT(("0"&amp;C2474),2)&amp;RIGHT(("0"&amp;D2474),2)&amp;RIGHT(("0"&amp;E2474),2)&amp;RIGHT(("0"&amp;F2474),2)&amp;RIGHT(("0"&amp;G2474),2)&amp;RIGHT(("0"&amp;H2474),2)</f>
        <v>151828425560</v>
      </c>
      <c r="J2474" s="1" t="n">
        <f aca="false">COUNTIF(I:I,I2474)</f>
        <v>1</v>
      </c>
      <c r="K2474" s="1" t="n">
        <v>0</v>
      </c>
      <c r="M2474" s="1" t="s">
        <v>23</v>
      </c>
      <c r="N2474" s="1" t="n">
        <v>23</v>
      </c>
      <c r="O2474" s="1" t="s">
        <v>13908</v>
      </c>
      <c r="P2474" s="1" t="n">
        <v>2630</v>
      </c>
      <c r="Q2474" s="1" t="s">
        <v>13909</v>
      </c>
      <c r="R2474" s="1" t="s">
        <v>13910</v>
      </c>
      <c r="S2474" s="1" t="s">
        <v>13911</v>
      </c>
      <c r="T2474" s="1" t="s">
        <v>4594</v>
      </c>
      <c r="U2474" s="1" t="s">
        <v>13912</v>
      </c>
    </row>
    <row r="2475" customFormat="false" ht="13.8" hidden="false" customHeight="false" outlineLevel="0" collapsed="false">
      <c r="A2475" s="1" t="n">
        <v>2474</v>
      </c>
      <c r="B2475" s="2" t="s">
        <v>13913</v>
      </c>
      <c r="C2475" s="1" t="n">
        <v>22</v>
      </c>
      <c r="D2475" s="1" t="n">
        <v>30</v>
      </c>
      <c r="E2475" s="1" t="n">
        <v>38</v>
      </c>
      <c r="F2475" s="1" t="n">
        <v>39</v>
      </c>
      <c r="G2475" s="1" t="n">
        <v>49</v>
      </c>
      <c r="H2475" s="1" t="n">
        <v>56</v>
      </c>
      <c r="I2475" s="1" t="str">
        <f aca="false">RIGHT(("0"&amp;C2475),2)&amp;RIGHT(("0"&amp;D2475),2)&amp;RIGHT(("0"&amp;E2475),2)&amp;RIGHT(("0"&amp;F2475),2)&amp;RIGHT(("0"&amp;G2475),2)&amp;RIGHT(("0"&amp;H2475),2)</f>
        <v>223038394956</v>
      </c>
      <c r="J2475" s="1" t="n">
        <f aca="false">COUNTIF(I:I,I2475)</f>
        <v>1</v>
      </c>
      <c r="K2475" s="1" t="n">
        <v>0</v>
      </c>
      <c r="M2475" s="1" t="s">
        <v>23</v>
      </c>
      <c r="N2475" s="1" t="n">
        <v>27</v>
      </c>
      <c r="O2475" s="1" t="s">
        <v>13914</v>
      </c>
      <c r="P2475" s="1" t="n">
        <v>2372</v>
      </c>
      <c r="Q2475" s="1" t="s">
        <v>13915</v>
      </c>
      <c r="R2475" s="1" t="s">
        <v>13916</v>
      </c>
      <c r="S2475" s="1" t="s">
        <v>13917</v>
      </c>
      <c r="T2475" s="1" t="s">
        <v>5154</v>
      </c>
      <c r="U2475" s="1" t="s">
        <v>13918</v>
      </c>
    </row>
    <row r="2476" customFormat="false" ht="13.8" hidden="false" customHeight="false" outlineLevel="0" collapsed="false">
      <c r="A2476" s="1" t="n">
        <v>2475</v>
      </c>
      <c r="B2476" s="2" t="s">
        <v>13919</v>
      </c>
      <c r="C2476" s="1" t="n">
        <v>1</v>
      </c>
      <c r="D2476" s="1" t="n">
        <v>40</v>
      </c>
      <c r="E2476" s="1" t="n">
        <v>44</v>
      </c>
      <c r="F2476" s="1" t="n">
        <v>45</v>
      </c>
      <c r="G2476" s="1" t="n">
        <v>58</v>
      </c>
      <c r="H2476" s="1" t="n">
        <v>60</v>
      </c>
      <c r="I2476" s="1" t="str">
        <f aca="false">RIGHT(("0"&amp;C2476),2)&amp;RIGHT(("0"&amp;D2476),2)&amp;RIGHT(("0"&amp;E2476),2)&amp;RIGHT(("0"&amp;F2476),2)&amp;RIGHT(("0"&amp;G2476),2)&amp;RIGHT(("0"&amp;H2476),2)</f>
        <v>014044455860</v>
      </c>
      <c r="J2476" s="1" t="n">
        <f aca="false">COUNTIF(I:I,I2476)</f>
        <v>1</v>
      </c>
      <c r="K2476" s="1" t="n">
        <v>0</v>
      </c>
      <c r="M2476" s="1" t="s">
        <v>23</v>
      </c>
      <c r="N2476" s="1" t="n">
        <v>44</v>
      </c>
      <c r="O2476" s="1" t="s">
        <v>13920</v>
      </c>
      <c r="P2476" s="1" t="n">
        <v>3054</v>
      </c>
      <c r="Q2476" s="1" t="s">
        <v>13921</v>
      </c>
      <c r="R2476" s="1" t="s">
        <v>13922</v>
      </c>
      <c r="S2476" s="1" t="s">
        <v>13923</v>
      </c>
      <c r="T2476" s="1" t="s">
        <v>4309</v>
      </c>
      <c r="U2476" s="1" t="s">
        <v>13924</v>
      </c>
    </row>
    <row r="2477" customFormat="false" ht="13.8" hidden="false" customHeight="false" outlineLevel="0" collapsed="false">
      <c r="A2477" s="1" t="n">
        <v>2476</v>
      </c>
      <c r="B2477" s="2" t="s">
        <v>13925</v>
      </c>
      <c r="C2477" s="1" t="n">
        <v>2</v>
      </c>
      <c r="D2477" s="1" t="n">
        <v>7</v>
      </c>
      <c r="E2477" s="1" t="n">
        <v>32</v>
      </c>
      <c r="F2477" s="1" t="n">
        <v>46</v>
      </c>
      <c r="G2477" s="1" t="n">
        <v>49</v>
      </c>
      <c r="H2477" s="1" t="n">
        <v>55</v>
      </c>
      <c r="I2477" s="1" t="str">
        <f aca="false">RIGHT(("0"&amp;C2477),2)&amp;RIGHT(("0"&amp;D2477),2)&amp;RIGHT(("0"&amp;E2477),2)&amp;RIGHT(("0"&amp;F2477),2)&amp;RIGHT(("0"&amp;G2477),2)&amp;RIGHT(("0"&amp;H2477),2)</f>
        <v>020732464955</v>
      </c>
      <c r="J2477" s="1" t="n">
        <f aca="false">COUNTIF(I:I,I2477)</f>
        <v>1</v>
      </c>
      <c r="K2477" s="1" t="n">
        <v>0</v>
      </c>
      <c r="M2477" s="1" t="s">
        <v>23</v>
      </c>
      <c r="N2477" s="1" t="n">
        <v>72</v>
      </c>
      <c r="O2477" s="1" t="s">
        <v>13926</v>
      </c>
      <c r="P2477" s="1" t="n">
        <v>4799</v>
      </c>
      <c r="Q2477" s="1" t="s">
        <v>13927</v>
      </c>
      <c r="R2477" s="1" t="s">
        <v>13928</v>
      </c>
      <c r="S2477" s="1" t="s">
        <v>13929</v>
      </c>
      <c r="T2477" s="1" t="s">
        <v>7574</v>
      </c>
      <c r="U2477" s="1" t="s">
        <v>13930</v>
      </c>
    </row>
    <row r="2478" customFormat="false" ht="13.8" hidden="false" customHeight="false" outlineLevel="0" collapsed="false">
      <c r="A2478" s="1" t="n">
        <v>2477</v>
      </c>
      <c r="B2478" s="2" t="s">
        <v>13931</v>
      </c>
      <c r="C2478" s="1" t="n">
        <v>20</v>
      </c>
      <c r="D2478" s="1" t="n">
        <v>33</v>
      </c>
      <c r="E2478" s="1" t="n">
        <v>37</v>
      </c>
      <c r="F2478" s="1" t="n">
        <v>38</v>
      </c>
      <c r="G2478" s="1" t="n">
        <v>49</v>
      </c>
      <c r="H2478" s="1" t="n">
        <v>50</v>
      </c>
      <c r="I2478" s="1" t="str">
        <f aca="false">RIGHT(("0"&amp;C2478),2)&amp;RIGHT(("0"&amp;D2478),2)&amp;RIGHT(("0"&amp;E2478),2)&amp;RIGHT(("0"&amp;F2478),2)&amp;RIGHT(("0"&amp;G2478),2)&amp;RIGHT(("0"&amp;H2478),2)</f>
        <v>203337384950</v>
      </c>
      <c r="J2478" s="1" t="n">
        <f aca="false">COUNTIF(I:I,I2478)</f>
        <v>1</v>
      </c>
      <c r="K2478" s="1" t="n">
        <v>0</v>
      </c>
      <c r="M2478" s="1" t="s">
        <v>23</v>
      </c>
      <c r="N2478" s="1" t="n">
        <v>45</v>
      </c>
      <c r="O2478" s="1" t="s">
        <v>13932</v>
      </c>
      <c r="P2478" s="1" t="n">
        <v>4787</v>
      </c>
      <c r="Q2478" s="1" t="s">
        <v>13933</v>
      </c>
      <c r="R2478" s="1" t="s">
        <v>13934</v>
      </c>
      <c r="S2478" s="1" t="s">
        <v>13935</v>
      </c>
      <c r="T2478" s="1" t="s">
        <v>8797</v>
      </c>
      <c r="U2478" s="1" t="s">
        <v>13936</v>
      </c>
    </row>
    <row r="2479" customFormat="false" ht="13.8" hidden="false" customHeight="false" outlineLevel="0" collapsed="false">
      <c r="A2479" s="1" t="n">
        <v>2478</v>
      </c>
      <c r="B2479" s="2" t="s">
        <v>13937</v>
      </c>
      <c r="C2479" s="1" t="n">
        <v>2</v>
      </c>
      <c r="D2479" s="1" t="n">
        <v>17</v>
      </c>
      <c r="E2479" s="1" t="n">
        <v>23</v>
      </c>
      <c r="F2479" s="1" t="n">
        <v>28</v>
      </c>
      <c r="G2479" s="1" t="n">
        <v>39</v>
      </c>
      <c r="H2479" s="1" t="n">
        <v>46</v>
      </c>
      <c r="I2479" s="1" t="str">
        <f aca="false">RIGHT(("0"&amp;C2479),2)&amp;RIGHT(("0"&amp;D2479),2)&amp;RIGHT(("0"&amp;E2479),2)&amp;RIGHT(("0"&amp;F2479),2)&amp;RIGHT(("0"&amp;G2479),2)&amp;RIGHT(("0"&amp;H2479),2)</f>
        <v>021723283946</v>
      </c>
      <c r="J2479" s="1" t="n">
        <f aca="false">COUNTIF(I:I,I2479)</f>
        <v>1</v>
      </c>
      <c r="K2479" s="1" t="n">
        <v>1</v>
      </c>
      <c r="L2479" s="1" t="s">
        <v>13938</v>
      </c>
      <c r="M2479" s="1" t="s">
        <v>13939</v>
      </c>
      <c r="N2479" s="1" t="n">
        <v>196</v>
      </c>
      <c r="O2479" s="1" t="s">
        <v>13940</v>
      </c>
      <c r="P2479" s="1" t="n">
        <v>10963</v>
      </c>
      <c r="Q2479" s="1" t="s">
        <v>13941</v>
      </c>
      <c r="R2479" s="1" t="s">
        <v>23</v>
      </c>
      <c r="S2479" s="1" t="s">
        <v>13942</v>
      </c>
      <c r="T2479" s="1" t="s">
        <v>473</v>
      </c>
      <c r="U2479" s="1" t="s">
        <v>13943</v>
      </c>
    </row>
    <row r="2480" customFormat="false" ht="13.8" hidden="false" customHeight="false" outlineLevel="0" collapsed="false">
      <c r="A2480" s="1" t="n">
        <v>2479</v>
      </c>
      <c r="B2480" s="2" t="s">
        <v>13944</v>
      </c>
      <c r="C2480" s="1" t="n">
        <v>10</v>
      </c>
      <c r="D2480" s="1" t="n">
        <v>15</v>
      </c>
      <c r="E2480" s="1" t="n">
        <v>17</v>
      </c>
      <c r="F2480" s="1" t="n">
        <v>20</v>
      </c>
      <c r="G2480" s="1" t="n">
        <v>21</v>
      </c>
      <c r="H2480" s="1" t="n">
        <v>35</v>
      </c>
      <c r="I2480" s="1" t="str">
        <f aca="false">RIGHT(("0"&amp;C2480),2)&amp;RIGHT(("0"&amp;D2480),2)&amp;RIGHT(("0"&amp;E2480),2)&amp;RIGHT(("0"&amp;F2480),2)&amp;RIGHT(("0"&amp;G2480),2)&amp;RIGHT(("0"&amp;H2480),2)</f>
        <v>101517202135</v>
      </c>
      <c r="J2480" s="1" t="n">
        <f aca="false">COUNTIF(I:I,I2480)</f>
        <v>1</v>
      </c>
      <c r="K2480" s="1" t="n">
        <v>1</v>
      </c>
      <c r="L2480" s="1" t="s">
        <v>13945</v>
      </c>
      <c r="M2480" s="1" t="s">
        <v>13946</v>
      </c>
      <c r="N2480" s="1" t="n">
        <v>90</v>
      </c>
      <c r="O2480" s="1" t="s">
        <v>13947</v>
      </c>
      <c r="P2480" s="1" t="n">
        <v>5989</v>
      </c>
      <c r="Q2480" s="1" t="s">
        <v>13948</v>
      </c>
      <c r="R2480" s="1" t="s">
        <v>13949</v>
      </c>
      <c r="S2480" s="1" t="s">
        <v>13950</v>
      </c>
      <c r="T2480" s="1" t="s">
        <v>5281</v>
      </c>
      <c r="U2480" s="1" t="s">
        <v>13951</v>
      </c>
    </row>
    <row r="2481" customFormat="false" ht="13.8" hidden="false" customHeight="false" outlineLevel="0" collapsed="false">
      <c r="A2481" s="1" t="n">
        <v>2480</v>
      </c>
      <c r="B2481" s="2" t="s">
        <v>13952</v>
      </c>
      <c r="C2481" s="1" t="n">
        <v>4</v>
      </c>
      <c r="D2481" s="1" t="n">
        <v>6</v>
      </c>
      <c r="E2481" s="1" t="n">
        <v>9</v>
      </c>
      <c r="F2481" s="1" t="n">
        <v>31</v>
      </c>
      <c r="G2481" s="1" t="n">
        <v>50</v>
      </c>
      <c r="H2481" s="1" t="n">
        <v>56</v>
      </c>
      <c r="I2481" s="1" t="str">
        <f aca="false">RIGHT(("0"&amp;C2481),2)&amp;RIGHT(("0"&amp;D2481),2)&amp;RIGHT(("0"&amp;E2481),2)&amp;RIGHT(("0"&amp;F2481),2)&amp;RIGHT(("0"&amp;G2481),2)&amp;RIGHT(("0"&amp;H2481),2)</f>
        <v>040609315056</v>
      </c>
      <c r="J2481" s="1" t="n">
        <f aca="false">COUNTIF(I:I,I2481)</f>
        <v>1</v>
      </c>
      <c r="K2481" s="1" t="n">
        <v>0</v>
      </c>
      <c r="M2481" s="1" t="s">
        <v>23</v>
      </c>
      <c r="N2481" s="1" t="n">
        <v>74</v>
      </c>
      <c r="O2481" s="1" t="s">
        <v>13953</v>
      </c>
      <c r="P2481" s="1" t="n">
        <v>4757</v>
      </c>
      <c r="Q2481" s="1" t="s">
        <v>13954</v>
      </c>
      <c r="R2481" s="1" t="s">
        <v>13955</v>
      </c>
      <c r="S2481" s="1" t="s">
        <v>13956</v>
      </c>
      <c r="T2481" s="1" t="s">
        <v>4968</v>
      </c>
      <c r="U2481" s="1" t="s">
        <v>13957</v>
      </c>
    </row>
    <row r="2482" customFormat="false" ht="13.8" hidden="false" customHeight="false" outlineLevel="0" collapsed="false">
      <c r="A2482" s="1" t="n">
        <v>2481</v>
      </c>
      <c r="B2482" s="2" t="s">
        <v>13958</v>
      </c>
      <c r="C2482" s="1" t="n">
        <v>1</v>
      </c>
      <c r="D2482" s="1" t="n">
        <v>8</v>
      </c>
      <c r="E2482" s="1" t="n">
        <v>21</v>
      </c>
      <c r="F2482" s="1" t="n">
        <v>27</v>
      </c>
      <c r="G2482" s="1" t="n">
        <v>36</v>
      </c>
      <c r="H2482" s="1" t="n">
        <v>37</v>
      </c>
      <c r="I2482" s="1" t="str">
        <f aca="false">RIGHT(("0"&amp;C2482),2)&amp;RIGHT(("0"&amp;D2482),2)&amp;RIGHT(("0"&amp;E2482),2)&amp;RIGHT(("0"&amp;F2482),2)&amp;RIGHT(("0"&amp;G2482),2)&amp;RIGHT(("0"&amp;H2482),2)</f>
        <v>010821273637</v>
      </c>
      <c r="J2482" s="1" t="n">
        <f aca="false">COUNTIF(I:I,I2482)</f>
        <v>1</v>
      </c>
      <c r="K2482" s="1" t="n">
        <v>0</v>
      </c>
      <c r="M2482" s="1" t="s">
        <v>23</v>
      </c>
      <c r="N2482" s="1" t="n">
        <v>72</v>
      </c>
      <c r="O2482" s="1" t="s">
        <v>13959</v>
      </c>
      <c r="P2482" s="1" t="n">
        <v>5710</v>
      </c>
      <c r="Q2482" s="1" t="s">
        <v>13960</v>
      </c>
      <c r="R2482" s="1" t="s">
        <v>13961</v>
      </c>
      <c r="S2482" s="1" t="s">
        <v>13962</v>
      </c>
      <c r="T2482" s="1" t="s">
        <v>4314</v>
      </c>
      <c r="U2482" s="1" t="s">
        <v>13963</v>
      </c>
    </row>
    <row r="2483" customFormat="false" ht="13.8" hidden="false" customHeight="false" outlineLevel="0" collapsed="false">
      <c r="A2483" s="1" t="n">
        <v>2482</v>
      </c>
      <c r="B2483" s="2" t="s">
        <v>13964</v>
      </c>
      <c r="C2483" s="1" t="n">
        <v>1</v>
      </c>
      <c r="D2483" s="1" t="n">
        <v>32</v>
      </c>
      <c r="E2483" s="1" t="n">
        <v>35</v>
      </c>
      <c r="F2483" s="1" t="n">
        <v>44</v>
      </c>
      <c r="G2483" s="1" t="n">
        <v>45</v>
      </c>
      <c r="H2483" s="1" t="n">
        <v>57</v>
      </c>
      <c r="I2483" s="1" t="str">
        <f aca="false">RIGHT(("0"&amp;C2483),2)&amp;RIGHT(("0"&amp;D2483),2)&amp;RIGHT(("0"&amp;E2483),2)&amp;RIGHT(("0"&amp;F2483),2)&amp;RIGHT(("0"&amp;G2483),2)&amp;RIGHT(("0"&amp;H2483),2)</f>
        <v>013235444557</v>
      </c>
      <c r="J2483" s="1" t="n">
        <f aca="false">COUNTIF(I:I,I2483)</f>
        <v>1</v>
      </c>
      <c r="K2483" s="1" t="n">
        <v>0</v>
      </c>
      <c r="M2483" s="1" t="s">
        <v>23</v>
      </c>
      <c r="N2483" s="1" t="n">
        <v>52</v>
      </c>
      <c r="O2483" s="1" t="s">
        <v>13965</v>
      </c>
      <c r="P2483" s="1" t="n">
        <v>5101</v>
      </c>
      <c r="Q2483" s="1" t="s">
        <v>13966</v>
      </c>
      <c r="R2483" s="1" t="s">
        <v>13967</v>
      </c>
      <c r="S2483" s="1" t="s">
        <v>13968</v>
      </c>
      <c r="T2483" s="1" t="s">
        <v>6084</v>
      </c>
      <c r="U2483" s="1" t="s">
        <v>13969</v>
      </c>
    </row>
    <row r="2484" customFormat="false" ht="13.8" hidden="false" customHeight="false" outlineLevel="0" collapsed="false">
      <c r="A2484" s="1" t="n">
        <v>2483</v>
      </c>
      <c r="B2484" s="2" t="s">
        <v>13970</v>
      </c>
      <c r="C2484" s="1" t="n">
        <v>20</v>
      </c>
      <c r="D2484" s="1" t="n">
        <v>34</v>
      </c>
      <c r="E2484" s="1" t="n">
        <v>38</v>
      </c>
      <c r="F2484" s="1" t="n">
        <v>40</v>
      </c>
      <c r="G2484" s="1" t="n">
        <v>49</v>
      </c>
      <c r="H2484" s="1" t="n">
        <v>54</v>
      </c>
      <c r="I2484" s="1" t="str">
        <f aca="false">RIGHT(("0"&amp;C2484),2)&amp;RIGHT(("0"&amp;D2484),2)&amp;RIGHT(("0"&amp;E2484),2)&amp;RIGHT(("0"&amp;F2484),2)&amp;RIGHT(("0"&amp;G2484),2)&amp;RIGHT(("0"&amp;H2484),2)</f>
        <v>203438404954</v>
      </c>
      <c r="J2484" s="1" t="n">
        <f aca="false">COUNTIF(I:I,I2484)</f>
        <v>1</v>
      </c>
      <c r="K2484" s="1" t="n">
        <v>0</v>
      </c>
      <c r="M2484" s="1" t="s">
        <v>23</v>
      </c>
      <c r="N2484" s="1" t="n">
        <v>72</v>
      </c>
      <c r="O2484" s="1" t="s">
        <v>13971</v>
      </c>
      <c r="P2484" s="1" t="n">
        <v>5242</v>
      </c>
      <c r="Q2484" s="1" t="s">
        <v>13972</v>
      </c>
      <c r="R2484" s="1" t="s">
        <v>13973</v>
      </c>
      <c r="S2484" s="1" t="s">
        <v>13974</v>
      </c>
      <c r="T2484" s="1" t="s">
        <v>9211</v>
      </c>
      <c r="U2484" s="1" t="s">
        <v>13975</v>
      </c>
    </row>
    <row r="2485" customFormat="false" ht="13.8" hidden="false" customHeight="false" outlineLevel="0" collapsed="false">
      <c r="A2485" s="1" t="n">
        <v>2484</v>
      </c>
      <c r="B2485" s="2" t="s">
        <v>13976</v>
      </c>
      <c r="C2485" s="1" t="n">
        <v>11</v>
      </c>
      <c r="D2485" s="1" t="n">
        <v>14</v>
      </c>
      <c r="E2485" s="1" t="n">
        <v>36</v>
      </c>
      <c r="F2485" s="1" t="n">
        <v>41</v>
      </c>
      <c r="G2485" s="1" t="n">
        <v>54</v>
      </c>
      <c r="H2485" s="1" t="n">
        <v>59</v>
      </c>
      <c r="I2485" s="1" t="str">
        <f aca="false">RIGHT(("0"&amp;C2485),2)&amp;RIGHT(("0"&amp;D2485),2)&amp;RIGHT(("0"&amp;E2485),2)&amp;RIGHT(("0"&amp;F2485),2)&amp;RIGHT(("0"&amp;G2485),2)&amp;RIGHT(("0"&amp;H2485),2)</f>
        <v>111436415459</v>
      </c>
      <c r="J2485" s="1" t="n">
        <f aca="false">COUNTIF(I:I,I2485)</f>
        <v>1</v>
      </c>
      <c r="K2485" s="1" t="n">
        <v>0</v>
      </c>
      <c r="M2485" s="1" t="s">
        <v>23</v>
      </c>
      <c r="N2485" s="1" t="n">
        <v>121</v>
      </c>
      <c r="O2485" s="1" t="s">
        <v>13977</v>
      </c>
      <c r="P2485" s="1" t="n">
        <v>7558</v>
      </c>
      <c r="Q2485" s="1" t="s">
        <v>13978</v>
      </c>
      <c r="R2485" s="1" t="s">
        <v>13979</v>
      </c>
      <c r="S2485" s="1" t="s">
        <v>13980</v>
      </c>
      <c r="T2485" s="1" t="s">
        <v>9535</v>
      </c>
      <c r="U2485" s="1" t="s">
        <v>13981</v>
      </c>
    </row>
    <row r="2486" customFormat="false" ht="13.8" hidden="false" customHeight="false" outlineLevel="0" collapsed="false">
      <c r="A2486" s="1" t="n">
        <v>2485</v>
      </c>
      <c r="B2486" s="2" t="s">
        <v>13982</v>
      </c>
      <c r="C2486" s="1" t="n">
        <v>5</v>
      </c>
      <c r="D2486" s="1" t="n">
        <v>12</v>
      </c>
      <c r="E2486" s="1" t="n">
        <v>32</v>
      </c>
      <c r="F2486" s="1" t="n">
        <v>38</v>
      </c>
      <c r="G2486" s="1" t="n">
        <v>47</v>
      </c>
      <c r="H2486" s="1" t="n">
        <v>60</v>
      </c>
      <c r="I2486" s="1" t="str">
        <f aca="false">RIGHT(("0"&amp;C2486),2)&amp;RIGHT(("0"&amp;D2486),2)&amp;RIGHT(("0"&amp;E2486),2)&amp;RIGHT(("0"&amp;F2486),2)&amp;RIGHT(("0"&amp;G2486),2)&amp;RIGHT(("0"&amp;H2486),2)</f>
        <v>051232384760</v>
      </c>
      <c r="J2486" s="1" t="n">
        <f aca="false">COUNTIF(I:I,I2486)</f>
        <v>1</v>
      </c>
      <c r="K2486" s="1" t="n">
        <v>0</v>
      </c>
      <c r="M2486" s="1" t="s">
        <v>23</v>
      </c>
      <c r="N2486" s="1" t="n">
        <v>188</v>
      </c>
      <c r="O2486" s="1" t="s">
        <v>13983</v>
      </c>
      <c r="P2486" s="1" t="n">
        <v>13488</v>
      </c>
      <c r="Q2486" s="1" t="s">
        <v>13984</v>
      </c>
      <c r="R2486" s="1" t="s">
        <v>13985</v>
      </c>
      <c r="S2486" s="1" t="s">
        <v>13986</v>
      </c>
      <c r="T2486" s="1" t="s">
        <v>5601</v>
      </c>
      <c r="U2486" s="1" t="s">
        <v>13987</v>
      </c>
    </row>
    <row r="2487" customFormat="false" ht="13.8" hidden="false" customHeight="false" outlineLevel="0" collapsed="false">
      <c r="A2487" s="1" t="n">
        <v>2486</v>
      </c>
      <c r="B2487" s="2" t="s">
        <v>13988</v>
      </c>
      <c r="C2487" s="1" t="n">
        <v>8</v>
      </c>
      <c r="D2487" s="1" t="n">
        <v>9</v>
      </c>
      <c r="E2487" s="1" t="n">
        <v>17</v>
      </c>
      <c r="F2487" s="1" t="n">
        <v>19</v>
      </c>
      <c r="G2487" s="1" t="n">
        <v>33</v>
      </c>
      <c r="H2487" s="1" t="n">
        <v>56</v>
      </c>
      <c r="I2487" s="1" t="str">
        <f aca="false">RIGHT(("0"&amp;C2487),2)&amp;RIGHT(("0"&amp;D2487),2)&amp;RIGHT(("0"&amp;E2487),2)&amp;RIGHT(("0"&amp;F2487),2)&amp;RIGHT(("0"&amp;G2487),2)&amp;RIGHT(("0"&amp;H2487),2)</f>
        <v>080917193356</v>
      </c>
      <c r="J2487" s="1" t="n">
        <f aca="false">COUNTIF(I:I,I2487)</f>
        <v>1</v>
      </c>
      <c r="K2487" s="1" t="n">
        <v>1</v>
      </c>
      <c r="L2487" s="1" t="s">
        <v>6608</v>
      </c>
      <c r="M2487" s="1" t="s">
        <v>13989</v>
      </c>
      <c r="N2487" s="1" t="n">
        <v>231</v>
      </c>
      <c r="O2487" s="1" t="s">
        <v>13990</v>
      </c>
      <c r="P2487" s="1" t="n">
        <v>15582</v>
      </c>
      <c r="Q2487" s="1" t="s">
        <v>13991</v>
      </c>
      <c r="R2487" s="1" t="s">
        <v>23</v>
      </c>
      <c r="S2487" s="1" t="s">
        <v>13992</v>
      </c>
      <c r="T2487" s="1" t="s">
        <v>473</v>
      </c>
      <c r="U2487" s="1" t="s">
        <v>13993</v>
      </c>
    </row>
    <row r="2488" customFormat="false" ht="13.8" hidden="false" customHeight="false" outlineLevel="0" collapsed="false">
      <c r="A2488" s="1" t="n">
        <v>2487</v>
      </c>
      <c r="B2488" s="2" t="s">
        <v>13994</v>
      </c>
      <c r="C2488" s="1" t="n">
        <v>23</v>
      </c>
      <c r="D2488" s="1" t="n">
        <v>36</v>
      </c>
      <c r="E2488" s="1" t="n">
        <v>42</v>
      </c>
      <c r="F2488" s="1" t="n">
        <v>48</v>
      </c>
      <c r="G2488" s="1" t="n">
        <v>54</v>
      </c>
      <c r="H2488" s="1" t="n">
        <v>58</v>
      </c>
      <c r="I2488" s="1" t="str">
        <f aca="false">RIGHT(("0"&amp;C2488),2)&amp;RIGHT(("0"&amp;D2488),2)&amp;RIGHT(("0"&amp;E2488),2)&amp;RIGHT(("0"&amp;F2488),2)&amp;RIGHT(("0"&amp;G2488),2)&amp;RIGHT(("0"&amp;H2488),2)</f>
        <v>233642485458</v>
      </c>
      <c r="J2488" s="1" t="n">
        <f aca="false">COUNTIF(I:I,I2488)</f>
        <v>1</v>
      </c>
      <c r="K2488" s="1" t="n">
        <v>1</v>
      </c>
      <c r="L2488" s="1" t="s">
        <v>5310</v>
      </c>
      <c r="M2488" s="1" t="s">
        <v>13995</v>
      </c>
      <c r="N2488" s="1" t="n">
        <v>141</v>
      </c>
      <c r="O2488" s="1" t="s">
        <v>13996</v>
      </c>
      <c r="P2488" s="1" t="n">
        <v>4588</v>
      </c>
      <c r="Q2488" s="1" t="s">
        <v>13997</v>
      </c>
      <c r="R2488" s="1" t="s">
        <v>23</v>
      </c>
      <c r="S2488" s="1" t="s">
        <v>13998</v>
      </c>
      <c r="T2488" s="1" t="s">
        <v>4409</v>
      </c>
      <c r="U2488" s="1" t="s">
        <v>13999</v>
      </c>
    </row>
    <row r="2489" customFormat="false" ht="13.8" hidden="false" customHeight="false" outlineLevel="0" collapsed="false">
      <c r="A2489" s="1" t="n">
        <v>2488</v>
      </c>
      <c r="B2489" s="2" t="s">
        <v>14000</v>
      </c>
      <c r="C2489" s="1" t="n">
        <v>17</v>
      </c>
      <c r="D2489" s="1" t="n">
        <v>31</v>
      </c>
      <c r="E2489" s="1" t="n">
        <v>34</v>
      </c>
      <c r="F2489" s="1" t="n">
        <v>40</v>
      </c>
      <c r="G2489" s="1" t="n">
        <v>56</v>
      </c>
      <c r="H2489" s="1" t="n">
        <v>57</v>
      </c>
      <c r="I2489" s="1" t="str">
        <f aca="false">RIGHT(("0"&amp;C2489),2)&amp;RIGHT(("0"&amp;D2489),2)&amp;RIGHT(("0"&amp;E2489),2)&amp;RIGHT(("0"&amp;F2489),2)&amp;RIGHT(("0"&amp;G2489),2)&amp;RIGHT(("0"&amp;H2489),2)</f>
        <v>173134405657</v>
      </c>
      <c r="J2489" s="1" t="n">
        <f aca="false">COUNTIF(I:I,I2489)</f>
        <v>1</v>
      </c>
      <c r="K2489" s="1" t="n">
        <v>0</v>
      </c>
      <c r="M2489" s="1" t="s">
        <v>23</v>
      </c>
      <c r="N2489" s="1" t="n">
        <v>39</v>
      </c>
      <c r="O2489" s="1" t="s">
        <v>14001</v>
      </c>
      <c r="P2489" s="1" t="n">
        <v>2541</v>
      </c>
      <c r="Q2489" s="1" t="s">
        <v>14002</v>
      </c>
      <c r="R2489" s="1" t="s">
        <v>14003</v>
      </c>
      <c r="S2489" s="1" t="s">
        <v>14004</v>
      </c>
      <c r="T2489" s="1" t="s">
        <v>4190</v>
      </c>
      <c r="U2489" s="1" t="s">
        <v>14005</v>
      </c>
    </row>
    <row r="2490" customFormat="false" ht="13.8" hidden="false" customHeight="false" outlineLevel="0" collapsed="false">
      <c r="A2490" s="1" t="n">
        <v>2489</v>
      </c>
      <c r="B2490" s="2" t="s">
        <v>14006</v>
      </c>
      <c r="C2490" s="1" t="n">
        <v>3</v>
      </c>
      <c r="D2490" s="1" t="n">
        <v>10</v>
      </c>
      <c r="E2490" s="1" t="n">
        <v>13</v>
      </c>
      <c r="F2490" s="1" t="n">
        <v>25</v>
      </c>
      <c r="G2490" s="1" t="n">
        <v>41</v>
      </c>
      <c r="H2490" s="1" t="n">
        <v>42</v>
      </c>
      <c r="I2490" s="1" t="str">
        <f aca="false">RIGHT(("0"&amp;C2490),2)&amp;RIGHT(("0"&amp;D2490),2)&amp;RIGHT(("0"&amp;E2490),2)&amp;RIGHT(("0"&amp;F2490),2)&amp;RIGHT(("0"&amp;G2490),2)&amp;RIGHT(("0"&amp;H2490),2)</f>
        <v>031013254142</v>
      </c>
      <c r="J2490" s="1" t="n">
        <f aca="false">COUNTIF(I:I,I2490)</f>
        <v>1</v>
      </c>
      <c r="K2490" s="1" t="n">
        <v>0</v>
      </c>
      <c r="M2490" s="1" t="s">
        <v>23</v>
      </c>
      <c r="N2490" s="1" t="n">
        <v>92</v>
      </c>
      <c r="O2490" s="1" t="s">
        <v>14007</v>
      </c>
      <c r="P2490" s="1" t="n">
        <v>6187</v>
      </c>
      <c r="Q2490" s="1" t="s">
        <v>14008</v>
      </c>
      <c r="R2490" s="1" t="s">
        <v>14009</v>
      </c>
      <c r="S2490" s="1" t="s">
        <v>14010</v>
      </c>
      <c r="T2490" s="1" t="s">
        <v>4309</v>
      </c>
      <c r="U2490" s="1" t="s">
        <v>14011</v>
      </c>
    </row>
    <row r="2491" customFormat="false" ht="13.8" hidden="false" customHeight="false" outlineLevel="0" collapsed="false">
      <c r="A2491" s="1" t="n">
        <v>2490</v>
      </c>
      <c r="B2491" s="2" t="s">
        <v>14012</v>
      </c>
      <c r="C2491" s="1" t="n">
        <v>11</v>
      </c>
      <c r="D2491" s="1" t="n">
        <v>16</v>
      </c>
      <c r="E2491" s="1" t="n">
        <v>17</v>
      </c>
      <c r="F2491" s="1" t="n">
        <v>41</v>
      </c>
      <c r="G2491" s="1" t="n">
        <v>46</v>
      </c>
      <c r="H2491" s="1" t="n">
        <v>59</v>
      </c>
      <c r="I2491" s="1" t="str">
        <f aca="false">RIGHT(("0"&amp;C2491),2)&amp;RIGHT(("0"&amp;D2491),2)&amp;RIGHT(("0"&amp;E2491),2)&amp;RIGHT(("0"&amp;F2491),2)&amp;RIGHT(("0"&amp;G2491),2)&amp;RIGHT(("0"&amp;H2491),2)</f>
        <v>111617414659</v>
      </c>
      <c r="J2491" s="1" t="n">
        <f aca="false">COUNTIF(I:I,I2491)</f>
        <v>1</v>
      </c>
      <c r="K2491" s="1" t="n">
        <v>0</v>
      </c>
      <c r="M2491" s="1" t="s">
        <v>23</v>
      </c>
      <c r="N2491" s="1" t="n">
        <v>65</v>
      </c>
      <c r="O2491" s="1" t="s">
        <v>14013</v>
      </c>
      <c r="P2491" s="1" t="n">
        <v>5432</v>
      </c>
      <c r="Q2491" s="1" t="s">
        <v>14014</v>
      </c>
      <c r="R2491" s="1" t="s">
        <v>14015</v>
      </c>
      <c r="S2491" s="1" t="s">
        <v>14016</v>
      </c>
      <c r="T2491" s="1" t="s">
        <v>4727</v>
      </c>
      <c r="U2491" s="1" t="s">
        <v>14017</v>
      </c>
    </row>
    <row r="2492" customFormat="false" ht="13.8" hidden="false" customHeight="false" outlineLevel="0" collapsed="false">
      <c r="A2492" s="1" t="n">
        <v>2491</v>
      </c>
      <c r="B2492" s="2" t="s">
        <v>14018</v>
      </c>
      <c r="C2492" s="1" t="n">
        <v>22</v>
      </c>
      <c r="D2492" s="1" t="n">
        <v>29</v>
      </c>
      <c r="E2492" s="1" t="n">
        <v>38</v>
      </c>
      <c r="F2492" s="1" t="n">
        <v>43</v>
      </c>
      <c r="G2492" s="1" t="n">
        <v>48</v>
      </c>
      <c r="H2492" s="1" t="n">
        <v>53</v>
      </c>
      <c r="I2492" s="1" t="str">
        <f aca="false">RIGHT(("0"&amp;C2492),2)&amp;RIGHT(("0"&amp;D2492),2)&amp;RIGHT(("0"&amp;E2492),2)&amp;RIGHT(("0"&amp;F2492),2)&amp;RIGHT(("0"&amp;G2492),2)&amp;RIGHT(("0"&amp;H2492),2)</f>
        <v>222938434853</v>
      </c>
      <c r="J2492" s="1" t="n">
        <f aca="false">COUNTIF(I:I,I2492)</f>
        <v>1</v>
      </c>
      <c r="K2492" s="1" t="n">
        <v>0</v>
      </c>
      <c r="M2492" s="1" t="s">
        <v>23</v>
      </c>
      <c r="N2492" s="1" t="n">
        <v>83</v>
      </c>
      <c r="O2492" s="1" t="s">
        <v>14019</v>
      </c>
      <c r="P2492" s="1" t="n">
        <v>6198</v>
      </c>
      <c r="Q2492" s="1" t="s">
        <v>14020</v>
      </c>
      <c r="R2492" s="1" t="s">
        <v>14021</v>
      </c>
      <c r="S2492" s="1" t="s">
        <v>14022</v>
      </c>
      <c r="T2492" s="1" t="s">
        <v>8797</v>
      </c>
      <c r="U2492" s="1" t="s">
        <v>14023</v>
      </c>
    </row>
    <row r="2493" customFormat="false" ht="13.8" hidden="false" customHeight="false" outlineLevel="0" collapsed="false">
      <c r="A2493" s="1" t="n">
        <v>2492</v>
      </c>
      <c r="B2493" s="2" t="s">
        <v>14024</v>
      </c>
      <c r="C2493" s="1" t="n">
        <v>10</v>
      </c>
      <c r="D2493" s="1" t="n">
        <v>30</v>
      </c>
      <c r="E2493" s="1" t="n">
        <v>31</v>
      </c>
      <c r="F2493" s="1" t="n">
        <v>33</v>
      </c>
      <c r="G2493" s="1" t="n">
        <v>42</v>
      </c>
      <c r="H2493" s="1" t="n">
        <v>52</v>
      </c>
      <c r="I2493" s="1" t="str">
        <f aca="false">RIGHT(("0"&amp;C2493),2)&amp;RIGHT(("0"&amp;D2493),2)&amp;RIGHT(("0"&amp;E2493),2)&amp;RIGHT(("0"&amp;F2493),2)&amp;RIGHT(("0"&amp;G2493),2)&amp;RIGHT(("0"&amp;H2493),2)</f>
        <v>103031334252</v>
      </c>
      <c r="J2493" s="1" t="n">
        <f aca="false">COUNTIF(I:I,I2493)</f>
        <v>1</v>
      </c>
      <c r="K2493" s="1" t="n">
        <v>0</v>
      </c>
      <c r="M2493" s="1" t="s">
        <v>23</v>
      </c>
      <c r="N2493" s="1" t="n">
        <v>65</v>
      </c>
      <c r="O2493" s="1" t="s">
        <v>14025</v>
      </c>
      <c r="P2493" s="1" t="n">
        <v>6645</v>
      </c>
      <c r="Q2493" s="1" t="s">
        <v>14026</v>
      </c>
      <c r="R2493" s="1" t="s">
        <v>14027</v>
      </c>
      <c r="S2493" s="1" t="s">
        <v>14028</v>
      </c>
      <c r="T2493" s="1" t="s">
        <v>5706</v>
      </c>
      <c r="U2493" s="1" t="s">
        <v>14029</v>
      </c>
    </row>
    <row r="2494" customFormat="false" ht="13.8" hidden="false" customHeight="false" outlineLevel="0" collapsed="false">
      <c r="A2494" s="1" t="n">
        <v>2493</v>
      </c>
      <c r="B2494" s="2" t="s">
        <v>14030</v>
      </c>
      <c r="C2494" s="1" t="n">
        <v>4</v>
      </c>
      <c r="D2494" s="1" t="n">
        <v>9</v>
      </c>
      <c r="E2494" s="1" t="n">
        <v>37</v>
      </c>
      <c r="F2494" s="1" t="n">
        <v>43</v>
      </c>
      <c r="G2494" s="1" t="n">
        <v>44</v>
      </c>
      <c r="H2494" s="1" t="n">
        <v>56</v>
      </c>
      <c r="I2494" s="1" t="str">
        <f aca="false">RIGHT(("0"&amp;C2494),2)&amp;RIGHT(("0"&amp;D2494),2)&amp;RIGHT(("0"&amp;E2494),2)&amp;RIGHT(("0"&amp;F2494),2)&amp;RIGHT(("0"&amp;G2494),2)&amp;RIGHT(("0"&amp;H2494),2)</f>
        <v>040937434456</v>
      </c>
      <c r="J2494" s="1" t="n">
        <f aca="false">COUNTIF(I:I,I2494)</f>
        <v>1</v>
      </c>
      <c r="K2494" s="1" t="n">
        <v>0</v>
      </c>
      <c r="M2494" s="1" t="s">
        <v>23</v>
      </c>
      <c r="N2494" s="1" t="n">
        <v>149</v>
      </c>
      <c r="O2494" s="1" t="s">
        <v>14031</v>
      </c>
      <c r="P2494" s="1" t="n">
        <v>9549</v>
      </c>
      <c r="Q2494" s="1" t="s">
        <v>14032</v>
      </c>
      <c r="R2494" s="1" t="s">
        <v>14033</v>
      </c>
      <c r="S2494" s="1" t="s">
        <v>14034</v>
      </c>
      <c r="T2494" s="1" t="s">
        <v>8842</v>
      </c>
      <c r="U2494" s="1" t="s">
        <v>14035</v>
      </c>
    </row>
    <row r="2495" customFormat="false" ht="13.8" hidden="false" customHeight="false" outlineLevel="0" collapsed="false">
      <c r="A2495" s="1" t="n">
        <v>2494</v>
      </c>
      <c r="B2495" s="2" t="s">
        <v>14036</v>
      </c>
      <c r="C2495" s="1" t="n">
        <v>1</v>
      </c>
      <c r="D2495" s="1" t="n">
        <v>4</v>
      </c>
      <c r="E2495" s="1" t="n">
        <v>10</v>
      </c>
      <c r="F2495" s="1" t="n">
        <v>22</v>
      </c>
      <c r="G2495" s="1" t="n">
        <v>53</v>
      </c>
      <c r="H2495" s="1" t="n">
        <v>54</v>
      </c>
      <c r="I2495" s="1" t="str">
        <f aca="false">RIGHT(("0"&amp;C2495),2)&amp;RIGHT(("0"&amp;D2495),2)&amp;RIGHT(("0"&amp;E2495),2)&amp;RIGHT(("0"&amp;F2495),2)&amp;RIGHT(("0"&amp;G2495),2)&amp;RIGHT(("0"&amp;H2495),2)</f>
        <v>010410225354</v>
      </c>
      <c r="J2495" s="1" t="n">
        <f aca="false">COUNTIF(I:I,I2495)</f>
        <v>1</v>
      </c>
      <c r="K2495" s="1" t="n">
        <v>1</v>
      </c>
      <c r="L2495" s="1" t="s">
        <v>14037</v>
      </c>
      <c r="M2495" s="1" t="s">
        <v>14038</v>
      </c>
      <c r="N2495" s="1" t="n">
        <v>157</v>
      </c>
      <c r="O2495" s="1" t="s">
        <v>14039</v>
      </c>
      <c r="P2495" s="1" t="n">
        <v>11899</v>
      </c>
      <c r="Q2495" s="1" t="s">
        <v>14040</v>
      </c>
      <c r="R2495" s="1" t="s">
        <v>14041</v>
      </c>
      <c r="S2495" s="1" t="s">
        <v>14042</v>
      </c>
      <c r="T2495" s="1" t="s">
        <v>4968</v>
      </c>
      <c r="U2495" s="1" t="s">
        <v>14043</v>
      </c>
    </row>
    <row r="2496" customFormat="false" ht="13.8" hidden="false" customHeight="false" outlineLevel="0" collapsed="false">
      <c r="A2496" s="1" t="n">
        <v>2495</v>
      </c>
      <c r="B2496" s="2" t="s">
        <v>14044</v>
      </c>
      <c r="C2496" s="1" t="n">
        <v>8</v>
      </c>
      <c r="D2496" s="1" t="n">
        <v>12</v>
      </c>
      <c r="E2496" s="1" t="n">
        <v>14</v>
      </c>
      <c r="F2496" s="1" t="n">
        <v>30</v>
      </c>
      <c r="G2496" s="1" t="n">
        <v>33</v>
      </c>
      <c r="H2496" s="1" t="n">
        <v>41</v>
      </c>
      <c r="I2496" s="1" t="str">
        <f aca="false">RIGHT(("0"&amp;C2496),2)&amp;RIGHT(("0"&amp;D2496),2)&amp;RIGHT(("0"&amp;E2496),2)&amp;RIGHT(("0"&amp;F2496),2)&amp;RIGHT(("0"&amp;G2496),2)&amp;RIGHT(("0"&amp;H2496),2)</f>
        <v>081214303341</v>
      </c>
      <c r="J2496" s="1" t="n">
        <f aca="false">COUNTIF(I:I,I2496)</f>
        <v>1</v>
      </c>
      <c r="K2496" s="1" t="n">
        <v>0</v>
      </c>
      <c r="M2496" s="1" t="s">
        <v>23</v>
      </c>
      <c r="N2496" s="1" t="n">
        <v>37</v>
      </c>
      <c r="O2496" s="1" t="s">
        <v>14045</v>
      </c>
      <c r="P2496" s="1" t="n">
        <v>3602</v>
      </c>
      <c r="Q2496" s="1" t="s">
        <v>14046</v>
      </c>
      <c r="R2496" s="1" t="s">
        <v>14047</v>
      </c>
      <c r="S2496" s="1" t="s">
        <v>14048</v>
      </c>
      <c r="T2496" s="1" t="s">
        <v>6025</v>
      </c>
      <c r="U2496" s="1" t="s">
        <v>14049</v>
      </c>
    </row>
    <row r="2497" customFormat="false" ht="13.8" hidden="false" customHeight="false" outlineLevel="0" collapsed="false">
      <c r="A2497" s="1" t="n">
        <v>2496</v>
      </c>
      <c r="B2497" s="2" t="s">
        <v>14050</v>
      </c>
      <c r="C2497" s="1" t="n">
        <v>7</v>
      </c>
      <c r="D2497" s="1" t="n">
        <v>26</v>
      </c>
      <c r="E2497" s="1" t="n">
        <v>31</v>
      </c>
      <c r="F2497" s="1" t="n">
        <v>38</v>
      </c>
      <c r="G2497" s="1" t="n">
        <v>46</v>
      </c>
      <c r="H2497" s="1" t="n">
        <v>58</v>
      </c>
      <c r="I2497" s="1" t="str">
        <f aca="false">RIGHT(("0"&amp;C2497),2)&amp;RIGHT(("0"&amp;D2497),2)&amp;RIGHT(("0"&amp;E2497),2)&amp;RIGHT(("0"&amp;F2497),2)&amp;RIGHT(("0"&amp;G2497),2)&amp;RIGHT(("0"&amp;H2497),2)</f>
        <v>072631384658</v>
      </c>
      <c r="J2497" s="1" t="n">
        <f aca="false">COUNTIF(I:I,I2497)</f>
        <v>1</v>
      </c>
      <c r="K2497" s="1" t="n">
        <v>0</v>
      </c>
      <c r="M2497" s="1" t="s">
        <v>23</v>
      </c>
      <c r="N2497" s="1" t="n">
        <v>50</v>
      </c>
      <c r="O2497" s="1" t="s">
        <v>14051</v>
      </c>
      <c r="P2497" s="1" t="n">
        <v>3505</v>
      </c>
      <c r="Q2497" s="1" t="s">
        <v>14052</v>
      </c>
      <c r="R2497" s="1" t="s">
        <v>14053</v>
      </c>
      <c r="S2497" s="1" t="s">
        <v>14054</v>
      </c>
      <c r="T2497" s="1" t="s">
        <v>6032</v>
      </c>
      <c r="U2497" s="1" t="s">
        <v>14055</v>
      </c>
    </row>
    <row r="2498" customFormat="false" ht="13.8" hidden="false" customHeight="false" outlineLevel="0" collapsed="false">
      <c r="A2498" s="1" t="n">
        <v>2497</v>
      </c>
      <c r="B2498" s="2" t="s">
        <v>14056</v>
      </c>
      <c r="C2498" s="1" t="n">
        <v>5</v>
      </c>
      <c r="D2498" s="1" t="n">
        <v>14</v>
      </c>
      <c r="E2498" s="1" t="n">
        <v>23</v>
      </c>
      <c r="F2498" s="1" t="n">
        <v>46</v>
      </c>
      <c r="G2498" s="1" t="n">
        <v>48</v>
      </c>
      <c r="H2498" s="1" t="n">
        <v>52</v>
      </c>
      <c r="I2498" s="1" t="str">
        <f aca="false">RIGHT(("0"&amp;C2498),2)&amp;RIGHT(("0"&amp;D2498),2)&amp;RIGHT(("0"&amp;E2498),2)&amp;RIGHT(("0"&amp;F2498),2)&amp;RIGHT(("0"&amp;G2498),2)&amp;RIGHT(("0"&amp;H2498),2)</f>
        <v>051423464852</v>
      </c>
      <c r="J2498" s="1" t="n">
        <f aca="false">COUNTIF(I:I,I2498)</f>
        <v>1</v>
      </c>
      <c r="K2498" s="1" t="n">
        <v>0</v>
      </c>
      <c r="M2498" s="1" t="s">
        <v>23</v>
      </c>
      <c r="N2498" s="1" t="n">
        <v>87</v>
      </c>
      <c r="O2498" s="1" t="s">
        <v>14057</v>
      </c>
      <c r="P2498" s="1" t="n">
        <v>6309</v>
      </c>
      <c r="Q2498" s="1" t="s">
        <v>14058</v>
      </c>
      <c r="R2498" s="1" t="s">
        <v>14059</v>
      </c>
      <c r="S2498" s="1" t="s">
        <v>14060</v>
      </c>
      <c r="T2498" s="1" t="s">
        <v>5255</v>
      </c>
      <c r="U2498" s="1" t="s">
        <v>14061</v>
      </c>
    </row>
    <row r="2499" customFormat="false" ht="13.8" hidden="false" customHeight="false" outlineLevel="0" collapsed="false">
      <c r="A2499" s="1" t="n">
        <v>2498</v>
      </c>
      <c r="B2499" s="2" t="s">
        <v>14062</v>
      </c>
      <c r="C2499" s="1" t="n">
        <v>9</v>
      </c>
      <c r="D2499" s="1" t="n">
        <v>12</v>
      </c>
      <c r="E2499" s="1" t="n">
        <v>26</v>
      </c>
      <c r="F2499" s="1" t="n">
        <v>29</v>
      </c>
      <c r="G2499" s="1" t="n">
        <v>46</v>
      </c>
      <c r="H2499" s="1" t="n">
        <v>47</v>
      </c>
      <c r="I2499" s="1" t="str">
        <f aca="false">RIGHT(("0"&amp;C2499),2)&amp;RIGHT(("0"&amp;D2499),2)&amp;RIGHT(("0"&amp;E2499),2)&amp;RIGHT(("0"&amp;F2499),2)&amp;RIGHT(("0"&amp;G2499),2)&amp;RIGHT(("0"&amp;H2499),2)</f>
        <v>091226294647</v>
      </c>
      <c r="J2499" s="1" t="n">
        <f aca="false">COUNTIF(I:I,I2499)</f>
        <v>1</v>
      </c>
      <c r="K2499" s="1" t="n">
        <v>1</v>
      </c>
      <c r="L2499" s="1" t="s">
        <v>6608</v>
      </c>
      <c r="M2499" s="1" t="s">
        <v>14063</v>
      </c>
      <c r="N2499" s="1" t="n">
        <v>88</v>
      </c>
      <c r="O2499" s="1" t="s">
        <v>14064</v>
      </c>
      <c r="P2499" s="1" t="n">
        <v>7866</v>
      </c>
      <c r="Q2499" s="1" t="s">
        <v>14065</v>
      </c>
      <c r="R2499" s="1" t="s">
        <v>23</v>
      </c>
      <c r="S2499" s="1" t="s">
        <v>14066</v>
      </c>
      <c r="T2499" s="1" t="s">
        <v>473</v>
      </c>
      <c r="U2499" s="1" t="s">
        <v>14067</v>
      </c>
    </row>
    <row r="2500" customFormat="false" ht="13.8" hidden="false" customHeight="false" outlineLevel="0" collapsed="false">
      <c r="A2500" s="1" t="n">
        <v>2499</v>
      </c>
      <c r="B2500" s="2" t="s">
        <v>14068</v>
      </c>
      <c r="C2500" s="1" t="n">
        <v>11</v>
      </c>
      <c r="D2500" s="1" t="n">
        <v>19</v>
      </c>
      <c r="E2500" s="1" t="n">
        <v>38</v>
      </c>
      <c r="F2500" s="1" t="n">
        <v>47</v>
      </c>
      <c r="G2500" s="1" t="n">
        <v>56</v>
      </c>
      <c r="H2500" s="1" t="n">
        <v>59</v>
      </c>
      <c r="I2500" s="1" t="str">
        <f aca="false">RIGHT(("0"&amp;C2500),2)&amp;RIGHT(("0"&amp;D2500),2)&amp;RIGHT(("0"&amp;E2500),2)&amp;RIGHT(("0"&amp;F2500),2)&amp;RIGHT(("0"&amp;G2500),2)&amp;RIGHT(("0"&amp;H2500),2)</f>
        <v>111938475659</v>
      </c>
      <c r="J2500" s="1" t="n">
        <f aca="false">COUNTIF(I:I,I2500)</f>
        <v>1</v>
      </c>
      <c r="K2500" s="1" t="n">
        <v>0</v>
      </c>
      <c r="M2500" s="1" t="s">
        <v>23</v>
      </c>
      <c r="N2500" s="1" t="n">
        <v>30</v>
      </c>
      <c r="O2500" s="1" t="s">
        <v>14069</v>
      </c>
      <c r="P2500" s="1" t="n">
        <v>3158</v>
      </c>
      <c r="Q2500" s="1" t="s">
        <v>14070</v>
      </c>
      <c r="R2500" s="1" t="s">
        <v>14071</v>
      </c>
      <c r="S2500" s="1" t="s">
        <v>14072</v>
      </c>
      <c r="T2500" s="1" t="s">
        <v>5281</v>
      </c>
      <c r="U2500" s="1" t="s">
        <v>14073</v>
      </c>
    </row>
    <row r="2501" customFormat="false" ht="13.8" hidden="false" customHeight="false" outlineLevel="0" collapsed="false">
      <c r="A2501" s="1" t="n">
        <v>2500</v>
      </c>
      <c r="B2501" s="2" t="s">
        <v>14074</v>
      </c>
      <c r="C2501" s="1" t="n">
        <v>5</v>
      </c>
      <c r="D2501" s="1" t="n">
        <v>16</v>
      </c>
      <c r="E2501" s="1" t="n">
        <v>25</v>
      </c>
      <c r="F2501" s="1" t="n">
        <v>32</v>
      </c>
      <c r="G2501" s="1" t="n">
        <v>39</v>
      </c>
      <c r="H2501" s="1" t="n">
        <v>55</v>
      </c>
      <c r="I2501" s="1" t="str">
        <f aca="false">RIGHT(("0"&amp;C2501),2)&amp;RIGHT(("0"&amp;D2501),2)&amp;RIGHT(("0"&amp;E2501),2)&amp;RIGHT(("0"&amp;F2501),2)&amp;RIGHT(("0"&amp;G2501),2)&amp;RIGHT(("0"&amp;H2501),2)</f>
        <v>051625323955</v>
      </c>
      <c r="J2501" s="1" t="n">
        <f aca="false">COUNTIF(I:I,I2501)</f>
        <v>1</v>
      </c>
      <c r="K2501" s="1" t="n">
        <v>1</v>
      </c>
      <c r="L2501" s="1" t="s">
        <v>14075</v>
      </c>
      <c r="M2501" s="1" t="s">
        <v>14076</v>
      </c>
      <c r="N2501" s="1" t="n">
        <v>84</v>
      </c>
      <c r="O2501" s="1" t="s">
        <v>14077</v>
      </c>
      <c r="P2501" s="1" t="n">
        <v>4928</v>
      </c>
      <c r="Q2501" s="1" t="s">
        <v>14078</v>
      </c>
      <c r="R2501" s="1" t="s">
        <v>23</v>
      </c>
      <c r="S2501" s="1" t="s">
        <v>14079</v>
      </c>
      <c r="T2501" s="1" t="s">
        <v>473</v>
      </c>
      <c r="U2501" s="1" t="s">
        <v>14080</v>
      </c>
    </row>
    <row r="2502" customFormat="false" ht="13.8" hidden="false" customHeight="false" outlineLevel="0" collapsed="false">
      <c r="A2502" s="1" t="n">
        <v>2501</v>
      </c>
      <c r="B2502" s="2" t="s">
        <v>14081</v>
      </c>
      <c r="C2502" s="1" t="n">
        <v>11</v>
      </c>
      <c r="D2502" s="1" t="n">
        <v>27</v>
      </c>
      <c r="E2502" s="1" t="n">
        <v>32</v>
      </c>
      <c r="F2502" s="1" t="n">
        <v>40</v>
      </c>
      <c r="G2502" s="1" t="n">
        <v>58</v>
      </c>
      <c r="H2502" s="1" t="n">
        <v>59</v>
      </c>
      <c r="I2502" s="1" t="str">
        <f aca="false">RIGHT(("0"&amp;C2502),2)&amp;RIGHT(("0"&amp;D2502),2)&amp;RIGHT(("0"&amp;E2502),2)&amp;RIGHT(("0"&amp;F2502),2)&amp;RIGHT(("0"&amp;G2502),2)&amp;RIGHT(("0"&amp;H2502),2)</f>
        <v>112732405859</v>
      </c>
      <c r="J2502" s="1" t="n">
        <f aca="false">COUNTIF(I:I,I2502)</f>
        <v>1</v>
      </c>
      <c r="K2502" s="1" t="n">
        <v>0</v>
      </c>
      <c r="M2502" s="1" t="s">
        <v>23</v>
      </c>
      <c r="N2502" s="1" t="n">
        <v>30</v>
      </c>
      <c r="O2502" s="1" t="s">
        <v>14082</v>
      </c>
      <c r="P2502" s="1" t="n">
        <v>2331</v>
      </c>
      <c r="Q2502" s="1" t="s">
        <v>14083</v>
      </c>
      <c r="R2502" s="1" t="s">
        <v>14084</v>
      </c>
      <c r="S2502" s="1" t="s">
        <v>14085</v>
      </c>
      <c r="T2502" s="1" t="s">
        <v>4190</v>
      </c>
      <c r="U2502" s="1" t="s">
        <v>14086</v>
      </c>
    </row>
    <row r="2503" customFormat="false" ht="13.8" hidden="false" customHeight="false" outlineLevel="0" collapsed="false">
      <c r="A2503" s="1" t="n">
        <v>2502</v>
      </c>
      <c r="B2503" s="2" t="s">
        <v>14087</v>
      </c>
      <c r="C2503" s="1" t="n">
        <v>16</v>
      </c>
      <c r="D2503" s="1" t="n">
        <v>20</v>
      </c>
      <c r="E2503" s="1" t="n">
        <v>21</v>
      </c>
      <c r="F2503" s="1" t="n">
        <v>39</v>
      </c>
      <c r="G2503" s="1" t="n">
        <v>44</v>
      </c>
      <c r="H2503" s="1" t="n">
        <v>55</v>
      </c>
      <c r="I2503" s="1" t="str">
        <f aca="false">RIGHT(("0"&amp;C2503),2)&amp;RIGHT(("0"&amp;D2503),2)&amp;RIGHT(("0"&amp;E2503),2)&amp;RIGHT(("0"&amp;F2503),2)&amp;RIGHT(("0"&amp;G2503),2)&amp;RIGHT(("0"&amp;H2503),2)</f>
        <v>162021394455</v>
      </c>
      <c r="J2503" s="1" t="n">
        <f aca="false">COUNTIF(I:I,I2503)</f>
        <v>1</v>
      </c>
      <c r="K2503" s="1" t="n">
        <v>0</v>
      </c>
      <c r="M2503" s="1" t="s">
        <v>23</v>
      </c>
      <c r="N2503" s="1" t="n">
        <v>103</v>
      </c>
      <c r="O2503" s="1" t="s">
        <v>14088</v>
      </c>
      <c r="P2503" s="1" t="n">
        <v>2914</v>
      </c>
      <c r="Q2503" s="1" t="s">
        <v>14089</v>
      </c>
      <c r="R2503" s="1" t="s">
        <v>14090</v>
      </c>
      <c r="S2503" s="1" t="s">
        <v>14091</v>
      </c>
      <c r="T2503" s="1" t="s">
        <v>4531</v>
      </c>
      <c r="U2503" s="1" t="s">
        <v>14092</v>
      </c>
    </row>
    <row r="2504" customFormat="false" ht="13.8" hidden="false" customHeight="false" outlineLevel="0" collapsed="false">
      <c r="A2504" s="1" t="n">
        <v>2503</v>
      </c>
      <c r="B2504" s="2" t="s">
        <v>14093</v>
      </c>
      <c r="C2504" s="1" t="n">
        <v>3</v>
      </c>
      <c r="D2504" s="1" t="n">
        <v>14</v>
      </c>
      <c r="E2504" s="1" t="n">
        <v>16</v>
      </c>
      <c r="F2504" s="1" t="n">
        <v>38</v>
      </c>
      <c r="G2504" s="1" t="n">
        <v>43</v>
      </c>
      <c r="H2504" s="1" t="n">
        <v>45</v>
      </c>
      <c r="I2504" s="1" t="str">
        <f aca="false">RIGHT(("0"&amp;C2504),2)&amp;RIGHT(("0"&amp;D2504),2)&amp;RIGHT(("0"&amp;E2504),2)&amp;RIGHT(("0"&amp;F2504),2)&amp;RIGHT(("0"&amp;G2504),2)&amp;RIGHT(("0"&amp;H2504),2)</f>
        <v>031416384345</v>
      </c>
      <c r="J2504" s="1" t="n">
        <f aca="false">COUNTIF(I:I,I2504)</f>
        <v>1</v>
      </c>
      <c r="K2504" s="1" t="n">
        <v>1</v>
      </c>
      <c r="L2504" s="1" t="s">
        <v>12490</v>
      </c>
      <c r="M2504" s="1" t="s">
        <v>14094</v>
      </c>
      <c r="N2504" s="1" t="n">
        <v>91</v>
      </c>
      <c r="O2504" s="1" t="s">
        <v>14095</v>
      </c>
      <c r="P2504" s="1" t="n">
        <v>5194</v>
      </c>
      <c r="Q2504" s="1" t="s">
        <v>14096</v>
      </c>
      <c r="R2504" s="1" t="s">
        <v>23</v>
      </c>
      <c r="S2504" s="1" t="s">
        <v>14097</v>
      </c>
      <c r="T2504" s="1" t="s">
        <v>473</v>
      </c>
      <c r="U2504" s="1" t="s">
        <v>14098</v>
      </c>
    </row>
    <row r="2505" customFormat="false" ht="13.8" hidden="false" customHeight="false" outlineLevel="0" collapsed="false">
      <c r="A2505" s="1" t="n">
        <v>2504</v>
      </c>
      <c r="B2505" s="2" t="s">
        <v>14099</v>
      </c>
      <c r="C2505" s="1" t="n">
        <v>14</v>
      </c>
      <c r="D2505" s="1" t="n">
        <v>33</v>
      </c>
      <c r="E2505" s="1" t="n">
        <v>41</v>
      </c>
      <c r="F2505" s="1" t="n">
        <v>42</v>
      </c>
      <c r="G2505" s="1" t="n">
        <v>44</v>
      </c>
      <c r="H2505" s="1" t="n">
        <v>55</v>
      </c>
      <c r="I2505" s="1" t="str">
        <f aca="false">RIGHT(("0"&amp;C2505),2)&amp;RIGHT(("0"&amp;D2505),2)&amp;RIGHT(("0"&amp;E2505),2)&amp;RIGHT(("0"&amp;F2505),2)&amp;RIGHT(("0"&amp;G2505),2)&amp;RIGHT(("0"&amp;H2505),2)</f>
        <v>143341424455</v>
      </c>
      <c r="J2505" s="1" t="n">
        <f aca="false">COUNTIF(I:I,I2505)</f>
        <v>1</v>
      </c>
      <c r="K2505" s="1" t="n">
        <v>0</v>
      </c>
      <c r="M2505" s="1" t="s">
        <v>23</v>
      </c>
      <c r="N2505" s="1" t="n">
        <v>39</v>
      </c>
      <c r="O2505" s="1" t="s">
        <v>14100</v>
      </c>
      <c r="P2505" s="1" t="n">
        <v>2885</v>
      </c>
      <c r="Q2505" s="1" t="s">
        <v>14101</v>
      </c>
      <c r="R2505" s="1" t="s">
        <v>14102</v>
      </c>
      <c r="S2505" s="1" t="s">
        <v>14103</v>
      </c>
      <c r="T2505" s="1" t="s">
        <v>4246</v>
      </c>
      <c r="U2505" s="1" t="s">
        <v>14104</v>
      </c>
    </row>
    <row r="2506" customFormat="false" ht="13.8" hidden="false" customHeight="false" outlineLevel="0" collapsed="false">
      <c r="A2506" s="1" t="n">
        <v>2505</v>
      </c>
      <c r="B2506" s="2" t="s">
        <v>14105</v>
      </c>
      <c r="C2506" s="1" t="n">
        <v>3</v>
      </c>
      <c r="D2506" s="1" t="n">
        <v>5</v>
      </c>
      <c r="E2506" s="1" t="n">
        <v>19</v>
      </c>
      <c r="F2506" s="1" t="n">
        <v>26</v>
      </c>
      <c r="G2506" s="1" t="n">
        <v>43</v>
      </c>
      <c r="H2506" s="1" t="n">
        <v>51</v>
      </c>
      <c r="I2506" s="1" t="str">
        <f aca="false">RIGHT(("0"&amp;C2506),2)&amp;RIGHT(("0"&amp;D2506),2)&amp;RIGHT(("0"&amp;E2506),2)&amp;RIGHT(("0"&amp;F2506),2)&amp;RIGHT(("0"&amp;G2506),2)&amp;RIGHT(("0"&amp;H2506),2)</f>
        <v>030519264351</v>
      </c>
      <c r="J2506" s="1" t="n">
        <f aca="false">COUNTIF(I:I,I2506)</f>
        <v>1</v>
      </c>
      <c r="K2506" s="1" t="n">
        <v>1</v>
      </c>
      <c r="L2506" s="1" t="s">
        <v>14106</v>
      </c>
      <c r="M2506" s="1" t="s">
        <v>14107</v>
      </c>
      <c r="N2506" s="1" t="n">
        <v>108</v>
      </c>
      <c r="O2506" s="1" t="s">
        <v>14108</v>
      </c>
      <c r="P2506" s="1" t="n">
        <v>6977</v>
      </c>
      <c r="Q2506" s="1" t="s">
        <v>14109</v>
      </c>
      <c r="R2506" s="1" t="s">
        <v>23</v>
      </c>
      <c r="S2506" s="1" t="s">
        <v>14110</v>
      </c>
      <c r="T2506" s="1" t="s">
        <v>473</v>
      </c>
      <c r="U2506" s="1" t="s">
        <v>14111</v>
      </c>
    </row>
    <row r="2507" customFormat="false" ht="13.8" hidden="false" customHeight="false" outlineLevel="0" collapsed="false">
      <c r="A2507" s="1" t="n">
        <v>2506</v>
      </c>
      <c r="B2507" s="2" t="s">
        <v>14112</v>
      </c>
      <c r="C2507" s="1" t="n">
        <v>21</v>
      </c>
      <c r="D2507" s="1" t="n">
        <v>22</v>
      </c>
      <c r="E2507" s="1" t="n">
        <v>29</v>
      </c>
      <c r="F2507" s="1" t="n">
        <v>34</v>
      </c>
      <c r="G2507" s="1" t="n">
        <v>40</v>
      </c>
      <c r="H2507" s="1" t="n">
        <v>44</v>
      </c>
      <c r="I2507" s="1" t="str">
        <f aca="false">RIGHT(("0"&amp;C2507),2)&amp;RIGHT(("0"&amp;D2507),2)&amp;RIGHT(("0"&amp;E2507),2)&amp;RIGHT(("0"&amp;F2507),2)&amp;RIGHT(("0"&amp;G2507),2)&amp;RIGHT(("0"&amp;H2507),2)</f>
        <v>212229344044</v>
      </c>
      <c r="J2507" s="1" t="n">
        <f aca="false">COUNTIF(I:I,I2507)</f>
        <v>1</v>
      </c>
      <c r="K2507" s="1" t="n">
        <v>0</v>
      </c>
      <c r="M2507" s="1" t="s">
        <v>23</v>
      </c>
      <c r="N2507" s="1" t="n">
        <v>12</v>
      </c>
      <c r="O2507" s="1" t="s">
        <v>14113</v>
      </c>
      <c r="P2507" s="1" t="n">
        <v>1145</v>
      </c>
      <c r="Q2507" s="1" t="s">
        <v>14114</v>
      </c>
      <c r="R2507" s="1" t="s">
        <v>14115</v>
      </c>
      <c r="S2507" s="1" t="s">
        <v>14116</v>
      </c>
      <c r="T2507" s="1" t="s">
        <v>4342</v>
      </c>
      <c r="U2507" s="1" t="s">
        <v>14117</v>
      </c>
    </row>
    <row r="2508" customFormat="false" ht="13.8" hidden="false" customHeight="false" outlineLevel="0" collapsed="false">
      <c r="A2508" s="1" t="n">
        <v>2507</v>
      </c>
      <c r="B2508" s="2" t="s">
        <v>14118</v>
      </c>
      <c r="C2508" s="1" t="n">
        <v>4</v>
      </c>
      <c r="D2508" s="1" t="n">
        <v>6</v>
      </c>
      <c r="E2508" s="1" t="n">
        <v>12</v>
      </c>
      <c r="F2508" s="1" t="n">
        <v>34</v>
      </c>
      <c r="G2508" s="1" t="n">
        <v>35</v>
      </c>
      <c r="H2508" s="1" t="n">
        <v>53</v>
      </c>
      <c r="I2508" s="1" t="str">
        <f aca="false">RIGHT(("0"&amp;C2508),2)&amp;RIGHT(("0"&amp;D2508),2)&amp;RIGHT(("0"&amp;E2508),2)&amp;RIGHT(("0"&amp;F2508),2)&amp;RIGHT(("0"&amp;G2508),2)&amp;RIGHT(("0"&amp;H2508),2)</f>
        <v>040612343553</v>
      </c>
      <c r="J2508" s="1" t="n">
        <f aca="false">COUNTIF(I:I,I2508)</f>
        <v>1</v>
      </c>
      <c r="K2508" s="1" t="n">
        <v>1</v>
      </c>
      <c r="L2508" s="1" t="s">
        <v>14119</v>
      </c>
      <c r="M2508" s="1" t="s">
        <v>14120</v>
      </c>
      <c r="N2508" s="1" t="n">
        <v>47</v>
      </c>
      <c r="O2508" s="1" t="s">
        <v>14121</v>
      </c>
      <c r="P2508" s="1" t="n">
        <v>3385</v>
      </c>
      <c r="Q2508" s="1" t="s">
        <v>14122</v>
      </c>
      <c r="R2508" s="1" t="s">
        <v>23</v>
      </c>
      <c r="S2508" s="1" t="s">
        <v>14123</v>
      </c>
      <c r="T2508" s="1" t="s">
        <v>473</v>
      </c>
      <c r="U2508" s="1" t="s">
        <v>14124</v>
      </c>
    </row>
    <row r="2509" customFormat="false" ht="13.8" hidden="false" customHeight="false" outlineLevel="0" collapsed="false">
      <c r="A2509" s="1" t="n">
        <v>2508</v>
      </c>
      <c r="B2509" s="2" t="s">
        <v>14125</v>
      </c>
      <c r="C2509" s="1" t="n">
        <v>41</v>
      </c>
      <c r="D2509" s="1" t="n">
        <v>45</v>
      </c>
      <c r="E2509" s="1" t="n">
        <v>48</v>
      </c>
      <c r="F2509" s="1" t="n">
        <v>51</v>
      </c>
      <c r="G2509" s="1" t="n">
        <v>53</v>
      </c>
      <c r="H2509" s="1" t="n">
        <v>58</v>
      </c>
      <c r="I2509" s="1" t="str">
        <f aca="false">RIGHT(("0"&amp;C2509),2)&amp;RIGHT(("0"&amp;D2509),2)&amp;RIGHT(("0"&amp;E2509),2)&amp;RIGHT(("0"&amp;F2509),2)&amp;RIGHT(("0"&amp;G2509),2)&amp;RIGHT(("0"&amp;H2509),2)</f>
        <v>414548515358</v>
      </c>
      <c r="J2509" s="1" t="n">
        <f aca="false">COUNTIF(I:I,I2509)</f>
        <v>1</v>
      </c>
      <c r="K2509" s="1" t="n">
        <v>0</v>
      </c>
      <c r="M2509" s="1" t="s">
        <v>23</v>
      </c>
      <c r="N2509" s="1" t="n">
        <v>26</v>
      </c>
      <c r="O2509" s="1" t="s">
        <v>14126</v>
      </c>
      <c r="P2509" s="1" t="n">
        <v>1510</v>
      </c>
      <c r="Q2509" s="1" t="s">
        <v>14127</v>
      </c>
      <c r="R2509" s="1" t="s">
        <v>14128</v>
      </c>
      <c r="S2509" s="1" t="s">
        <v>14129</v>
      </c>
      <c r="T2509" s="1" t="s">
        <v>4347</v>
      </c>
      <c r="U2509" s="1" t="s">
        <v>14130</v>
      </c>
    </row>
    <row r="2510" customFormat="false" ht="13.8" hidden="false" customHeight="false" outlineLevel="0" collapsed="false">
      <c r="A2510" s="1" t="n">
        <v>2509</v>
      </c>
      <c r="B2510" s="2" t="s">
        <v>14131</v>
      </c>
      <c r="C2510" s="1" t="n">
        <v>8</v>
      </c>
      <c r="D2510" s="1" t="n">
        <v>37</v>
      </c>
      <c r="E2510" s="1" t="n">
        <v>39</v>
      </c>
      <c r="F2510" s="1" t="n">
        <v>50</v>
      </c>
      <c r="G2510" s="1" t="n">
        <v>59</v>
      </c>
      <c r="H2510" s="1" t="n">
        <v>60</v>
      </c>
      <c r="I2510" s="1" t="str">
        <f aca="false">RIGHT(("0"&amp;C2510),2)&amp;RIGHT(("0"&amp;D2510),2)&amp;RIGHT(("0"&amp;E2510),2)&amp;RIGHT(("0"&amp;F2510),2)&amp;RIGHT(("0"&amp;G2510),2)&amp;RIGHT(("0"&amp;H2510),2)</f>
        <v>083739505960</v>
      </c>
      <c r="J2510" s="1" t="n">
        <f aca="false">COUNTIF(I:I,I2510)</f>
        <v>1</v>
      </c>
      <c r="K2510" s="1" t="n">
        <v>0</v>
      </c>
      <c r="M2510" s="1" t="s">
        <v>23</v>
      </c>
      <c r="N2510" s="1" t="n">
        <v>47</v>
      </c>
      <c r="O2510" s="1" t="s">
        <v>14132</v>
      </c>
      <c r="P2510" s="1" t="n">
        <v>2560</v>
      </c>
      <c r="Q2510" s="1" t="s">
        <v>14133</v>
      </c>
      <c r="R2510" s="1" t="s">
        <v>14134</v>
      </c>
      <c r="S2510" s="1" t="s">
        <v>14135</v>
      </c>
      <c r="T2510" s="1" t="s">
        <v>5281</v>
      </c>
      <c r="U2510" s="1" t="s">
        <v>14136</v>
      </c>
    </row>
    <row r="2511" customFormat="false" ht="13.8" hidden="false" customHeight="false" outlineLevel="0" collapsed="false">
      <c r="A2511" s="1" t="n">
        <v>2510</v>
      </c>
      <c r="B2511" s="2" t="s">
        <v>14137</v>
      </c>
      <c r="C2511" s="1" t="n">
        <v>8</v>
      </c>
      <c r="D2511" s="1" t="n">
        <v>13</v>
      </c>
      <c r="E2511" s="1" t="n">
        <v>25</v>
      </c>
      <c r="F2511" s="1" t="n">
        <v>32</v>
      </c>
      <c r="G2511" s="1" t="n">
        <v>44</v>
      </c>
      <c r="H2511" s="1" t="n">
        <v>57</v>
      </c>
      <c r="I2511" s="1" t="str">
        <f aca="false">RIGHT(("0"&amp;C2511),2)&amp;RIGHT(("0"&amp;D2511),2)&amp;RIGHT(("0"&amp;E2511),2)&amp;RIGHT(("0"&amp;F2511),2)&amp;RIGHT(("0"&amp;G2511),2)&amp;RIGHT(("0"&amp;H2511),2)</f>
        <v>081325324457</v>
      </c>
      <c r="J2511" s="1" t="n">
        <f aca="false">COUNTIF(I:I,I2511)</f>
        <v>1</v>
      </c>
      <c r="K2511" s="1" t="n">
        <v>4</v>
      </c>
      <c r="L2511" s="1" t="s">
        <v>14138</v>
      </c>
      <c r="M2511" s="1" t="s">
        <v>14139</v>
      </c>
      <c r="N2511" s="1" t="n">
        <v>242</v>
      </c>
      <c r="O2511" s="1" t="s">
        <v>14140</v>
      </c>
      <c r="P2511" s="1" t="n">
        <v>10296</v>
      </c>
      <c r="Q2511" s="1" t="s">
        <v>14141</v>
      </c>
      <c r="R2511" s="1" t="s">
        <v>23</v>
      </c>
      <c r="S2511" s="1" t="s">
        <v>14142</v>
      </c>
      <c r="T2511" s="1" t="s">
        <v>473</v>
      </c>
      <c r="U2511" s="1" t="s">
        <v>14143</v>
      </c>
    </row>
    <row r="2512" customFormat="false" ht="13.8" hidden="false" customHeight="false" outlineLevel="0" collapsed="false">
      <c r="A2512" s="1" t="n">
        <v>2511</v>
      </c>
      <c r="B2512" s="2" t="s">
        <v>14144</v>
      </c>
      <c r="C2512" s="1" t="n">
        <v>4</v>
      </c>
      <c r="D2512" s="1" t="n">
        <v>10</v>
      </c>
      <c r="E2512" s="1" t="n">
        <v>15</v>
      </c>
      <c r="F2512" s="1" t="n">
        <v>39</v>
      </c>
      <c r="G2512" s="1" t="n">
        <v>41</v>
      </c>
      <c r="H2512" s="1" t="n">
        <v>49</v>
      </c>
      <c r="I2512" s="1" t="str">
        <f aca="false">RIGHT(("0"&amp;C2512),2)&amp;RIGHT(("0"&amp;D2512),2)&amp;RIGHT(("0"&amp;E2512),2)&amp;RIGHT(("0"&amp;F2512),2)&amp;RIGHT(("0"&amp;G2512),2)&amp;RIGHT(("0"&amp;H2512),2)</f>
        <v>041015394149</v>
      </c>
      <c r="J2512" s="1" t="n">
        <f aca="false">COUNTIF(I:I,I2512)</f>
        <v>1</v>
      </c>
      <c r="K2512" s="1" t="n">
        <v>0</v>
      </c>
      <c r="M2512" s="1" t="s">
        <v>23</v>
      </c>
      <c r="N2512" s="1" t="n">
        <v>31</v>
      </c>
      <c r="O2512" s="1" t="s">
        <v>14145</v>
      </c>
      <c r="P2512" s="1" t="n">
        <v>2031</v>
      </c>
      <c r="Q2512" s="1" t="s">
        <v>14146</v>
      </c>
      <c r="R2512" s="1" t="s">
        <v>14147</v>
      </c>
      <c r="S2512" s="1" t="s">
        <v>14148</v>
      </c>
      <c r="T2512" s="1" t="s">
        <v>4991</v>
      </c>
      <c r="U2512" s="1" t="s">
        <v>14149</v>
      </c>
    </row>
    <row r="2513" customFormat="false" ht="13.8" hidden="false" customHeight="false" outlineLevel="0" collapsed="false">
      <c r="A2513" s="1" t="n">
        <v>2512</v>
      </c>
      <c r="B2513" s="2" t="s">
        <v>14150</v>
      </c>
      <c r="C2513" s="1" t="n">
        <v>7</v>
      </c>
      <c r="D2513" s="1" t="n">
        <v>10</v>
      </c>
      <c r="E2513" s="1" t="n">
        <v>34</v>
      </c>
      <c r="F2513" s="1" t="n">
        <v>47</v>
      </c>
      <c r="G2513" s="1" t="n">
        <v>49</v>
      </c>
      <c r="H2513" s="1" t="n">
        <v>52</v>
      </c>
      <c r="I2513" s="1" t="str">
        <f aca="false">RIGHT(("0"&amp;C2513),2)&amp;RIGHT(("0"&amp;D2513),2)&amp;RIGHT(("0"&amp;E2513),2)&amp;RIGHT(("0"&amp;F2513),2)&amp;RIGHT(("0"&amp;G2513),2)&amp;RIGHT(("0"&amp;H2513),2)</f>
        <v>071034474952</v>
      </c>
      <c r="J2513" s="1" t="n">
        <f aca="false">COUNTIF(I:I,I2513)</f>
        <v>1</v>
      </c>
      <c r="K2513" s="1" t="n">
        <v>0</v>
      </c>
      <c r="M2513" s="1" t="s">
        <v>23</v>
      </c>
      <c r="N2513" s="1" t="n">
        <v>81</v>
      </c>
      <c r="O2513" s="1" t="s">
        <v>14151</v>
      </c>
      <c r="P2513" s="1" t="n">
        <v>4382</v>
      </c>
      <c r="Q2513" s="1" t="s">
        <v>14152</v>
      </c>
      <c r="R2513" s="1" t="s">
        <v>14153</v>
      </c>
      <c r="S2513" s="1" t="s">
        <v>14154</v>
      </c>
      <c r="T2513" s="1" t="s">
        <v>4203</v>
      </c>
      <c r="U2513" s="1" t="s">
        <v>14155</v>
      </c>
    </row>
    <row r="2514" customFormat="false" ht="13.8" hidden="false" customHeight="false" outlineLevel="0" collapsed="false">
      <c r="A2514" s="1" t="n">
        <v>2513</v>
      </c>
      <c r="B2514" s="2" t="s">
        <v>14156</v>
      </c>
      <c r="C2514" s="1" t="n">
        <v>13</v>
      </c>
      <c r="D2514" s="1" t="n">
        <v>19</v>
      </c>
      <c r="E2514" s="1" t="n">
        <v>21</v>
      </c>
      <c r="F2514" s="1" t="n">
        <v>35</v>
      </c>
      <c r="G2514" s="1" t="n">
        <v>46</v>
      </c>
      <c r="H2514" s="1" t="n">
        <v>50</v>
      </c>
      <c r="I2514" s="1" t="str">
        <f aca="false">RIGHT(("0"&amp;C2514),2)&amp;RIGHT(("0"&amp;D2514),2)&amp;RIGHT(("0"&amp;E2514),2)&amp;RIGHT(("0"&amp;F2514),2)&amp;RIGHT(("0"&amp;G2514),2)&amp;RIGHT(("0"&amp;H2514),2)</f>
        <v>131921354650</v>
      </c>
      <c r="J2514" s="1" t="n">
        <f aca="false">COUNTIF(I:I,I2514)</f>
        <v>1</v>
      </c>
      <c r="K2514" s="1" t="n">
        <v>0</v>
      </c>
      <c r="M2514" s="1" t="s">
        <v>23</v>
      </c>
      <c r="N2514" s="1" t="n">
        <v>62</v>
      </c>
      <c r="O2514" s="1" t="s">
        <v>14157</v>
      </c>
      <c r="P2514" s="1" t="n">
        <v>3823</v>
      </c>
      <c r="Q2514" s="1" t="s">
        <v>14158</v>
      </c>
      <c r="R2514" s="1" t="s">
        <v>14159</v>
      </c>
      <c r="S2514" s="1" t="s">
        <v>14160</v>
      </c>
      <c r="T2514" s="1" t="s">
        <v>4241</v>
      </c>
      <c r="U2514" s="1" t="s">
        <v>14161</v>
      </c>
    </row>
    <row r="2515" customFormat="false" ht="13.8" hidden="false" customHeight="false" outlineLevel="0" collapsed="false">
      <c r="A2515" s="1" t="n">
        <v>2514</v>
      </c>
      <c r="B2515" s="2" t="s">
        <v>14162</v>
      </c>
      <c r="C2515" s="1" t="n">
        <v>5</v>
      </c>
      <c r="D2515" s="1" t="n">
        <v>15</v>
      </c>
      <c r="E2515" s="1" t="n">
        <v>24</v>
      </c>
      <c r="F2515" s="1" t="n">
        <v>34</v>
      </c>
      <c r="G2515" s="1" t="n">
        <v>45</v>
      </c>
      <c r="H2515" s="1" t="n">
        <v>52</v>
      </c>
      <c r="I2515" s="1" t="str">
        <f aca="false">RIGHT(("0"&amp;C2515),2)&amp;RIGHT(("0"&amp;D2515),2)&amp;RIGHT(("0"&amp;E2515),2)&amp;RIGHT(("0"&amp;F2515),2)&amp;RIGHT(("0"&amp;G2515),2)&amp;RIGHT(("0"&amp;H2515),2)</f>
        <v>051524344552</v>
      </c>
      <c r="J2515" s="1" t="n">
        <f aca="false">COUNTIF(I:I,I2515)</f>
        <v>1</v>
      </c>
      <c r="K2515" s="1" t="n">
        <v>0</v>
      </c>
      <c r="M2515" s="1" t="s">
        <v>23</v>
      </c>
      <c r="N2515" s="1" t="n">
        <v>52</v>
      </c>
      <c r="O2515" s="1" t="s">
        <v>14163</v>
      </c>
      <c r="P2515" s="1" t="n">
        <v>4477</v>
      </c>
      <c r="Q2515" s="1" t="s">
        <v>14164</v>
      </c>
      <c r="R2515" s="1" t="s">
        <v>14165</v>
      </c>
      <c r="S2515" s="1" t="s">
        <v>14166</v>
      </c>
      <c r="T2515" s="1" t="s">
        <v>7301</v>
      </c>
      <c r="U2515" s="1" t="s">
        <v>14167</v>
      </c>
    </row>
    <row r="2516" customFormat="false" ht="13.8" hidden="false" customHeight="false" outlineLevel="0" collapsed="false">
      <c r="A2516" s="1" t="n">
        <v>2515</v>
      </c>
      <c r="B2516" s="2" t="s">
        <v>14168</v>
      </c>
      <c r="C2516" s="1" t="n">
        <v>3</v>
      </c>
      <c r="D2516" s="1" t="n">
        <v>12</v>
      </c>
      <c r="E2516" s="1" t="n">
        <v>19</v>
      </c>
      <c r="F2516" s="1" t="n">
        <v>41</v>
      </c>
      <c r="G2516" s="1" t="n">
        <v>45</v>
      </c>
      <c r="H2516" s="1" t="n">
        <v>54</v>
      </c>
      <c r="I2516" s="1" t="str">
        <f aca="false">RIGHT(("0"&amp;C2516),2)&amp;RIGHT(("0"&amp;D2516),2)&amp;RIGHT(("0"&amp;E2516),2)&amp;RIGHT(("0"&amp;F2516),2)&amp;RIGHT(("0"&amp;G2516),2)&amp;RIGHT(("0"&amp;H2516),2)</f>
        <v>031219414554</v>
      </c>
      <c r="J2516" s="1" t="n">
        <f aca="false">COUNTIF(I:I,I2516)</f>
        <v>1</v>
      </c>
      <c r="K2516" s="1" t="n">
        <v>0</v>
      </c>
      <c r="M2516" s="1" t="s">
        <v>23</v>
      </c>
      <c r="N2516" s="1" t="n">
        <v>97</v>
      </c>
      <c r="O2516" s="1" t="s">
        <v>14169</v>
      </c>
      <c r="P2516" s="1" t="n">
        <v>6861</v>
      </c>
      <c r="Q2516" s="1" t="s">
        <v>14170</v>
      </c>
      <c r="R2516" s="1" t="s">
        <v>14171</v>
      </c>
      <c r="S2516" s="1" t="s">
        <v>14172</v>
      </c>
      <c r="T2516" s="1" t="s">
        <v>6559</v>
      </c>
      <c r="U2516" s="1" t="s">
        <v>14173</v>
      </c>
    </row>
    <row r="2517" customFormat="false" ht="13.8" hidden="false" customHeight="false" outlineLevel="0" collapsed="false">
      <c r="A2517" s="1" t="n">
        <v>2516</v>
      </c>
      <c r="B2517" s="2" t="s">
        <v>14174</v>
      </c>
      <c r="C2517" s="1" t="n">
        <v>8</v>
      </c>
      <c r="D2517" s="1" t="n">
        <v>17</v>
      </c>
      <c r="E2517" s="1" t="n">
        <v>49</v>
      </c>
      <c r="F2517" s="1" t="n">
        <v>51</v>
      </c>
      <c r="G2517" s="1" t="n">
        <v>52</v>
      </c>
      <c r="H2517" s="1" t="n">
        <v>53</v>
      </c>
      <c r="I2517" s="1" t="str">
        <f aca="false">RIGHT(("0"&amp;C2517),2)&amp;RIGHT(("0"&amp;D2517),2)&amp;RIGHT(("0"&amp;E2517),2)&amp;RIGHT(("0"&amp;F2517),2)&amp;RIGHT(("0"&amp;G2517),2)&amp;RIGHT(("0"&amp;H2517),2)</f>
        <v>081749515253</v>
      </c>
      <c r="J2517" s="1" t="n">
        <f aca="false">COUNTIF(I:I,I2517)</f>
        <v>1</v>
      </c>
      <c r="K2517" s="1" t="n">
        <v>0</v>
      </c>
      <c r="M2517" s="1" t="s">
        <v>23</v>
      </c>
      <c r="N2517" s="1" t="n">
        <v>94</v>
      </c>
      <c r="O2517" s="1" t="s">
        <v>14175</v>
      </c>
      <c r="P2517" s="1" t="n">
        <v>6665</v>
      </c>
      <c r="Q2517" s="1" t="s">
        <v>14176</v>
      </c>
      <c r="R2517" s="1" t="s">
        <v>14177</v>
      </c>
      <c r="S2517" s="1" t="s">
        <v>14178</v>
      </c>
      <c r="T2517" s="1" t="s">
        <v>8797</v>
      </c>
      <c r="U2517" s="1" t="s">
        <v>14179</v>
      </c>
    </row>
    <row r="2518" customFormat="false" ht="13.8" hidden="false" customHeight="false" outlineLevel="0" collapsed="false">
      <c r="A2518" s="1" t="n">
        <v>2517</v>
      </c>
      <c r="B2518" s="2" t="s">
        <v>14180</v>
      </c>
      <c r="C2518" s="1" t="n">
        <v>1</v>
      </c>
      <c r="D2518" s="1" t="n">
        <v>5</v>
      </c>
      <c r="E2518" s="1" t="n">
        <v>6</v>
      </c>
      <c r="F2518" s="1" t="n">
        <v>16</v>
      </c>
      <c r="G2518" s="1" t="n">
        <v>22</v>
      </c>
      <c r="H2518" s="1" t="n">
        <v>39</v>
      </c>
      <c r="I2518" s="1" t="str">
        <f aca="false">RIGHT(("0"&amp;C2518),2)&amp;RIGHT(("0"&amp;D2518),2)&amp;RIGHT(("0"&amp;E2518),2)&amp;RIGHT(("0"&amp;F2518),2)&amp;RIGHT(("0"&amp;G2518),2)&amp;RIGHT(("0"&amp;H2518),2)</f>
        <v>010506162239</v>
      </c>
      <c r="J2518" s="1" t="n">
        <f aca="false">COUNTIF(I:I,I2518)</f>
        <v>1</v>
      </c>
      <c r="K2518" s="1" t="n">
        <v>0</v>
      </c>
      <c r="M2518" s="1" t="s">
        <v>23</v>
      </c>
      <c r="N2518" s="1" t="n">
        <v>116</v>
      </c>
      <c r="O2518" s="1" t="s">
        <v>14181</v>
      </c>
      <c r="P2518" s="1" t="n">
        <v>8240</v>
      </c>
      <c r="Q2518" s="1" t="s">
        <v>14182</v>
      </c>
      <c r="R2518" s="1" t="s">
        <v>14183</v>
      </c>
      <c r="S2518" s="1" t="s">
        <v>14184</v>
      </c>
      <c r="T2518" s="1" t="s">
        <v>5706</v>
      </c>
      <c r="U2518" s="1" t="s">
        <v>14185</v>
      </c>
    </row>
    <row r="2519" customFormat="false" ht="13.8" hidden="false" customHeight="false" outlineLevel="0" collapsed="false">
      <c r="A2519" s="1" t="n">
        <v>2518</v>
      </c>
      <c r="B2519" s="2" t="s">
        <v>14186</v>
      </c>
      <c r="C2519" s="1" t="n">
        <v>3</v>
      </c>
      <c r="D2519" s="1" t="n">
        <v>22</v>
      </c>
      <c r="E2519" s="1" t="n">
        <v>23</v>
      </c>
      <c r="F2519" s="1" t="n">
        <v>44</v>
      </c>
      <c r="G2519" s="1" t="n">
        <v>53</v>
      </c>
      <c r="H2519" s="1" t="n">
        <v>60</v>
      </c>
      <c r="I2519" s="1" t="str">
        <f aca="false">RIGHT(("0"&amp;C2519),2)&amp;RIGHT(("0"&amp;D2519),2)&amp;RIGHT(("0"&amp;E2519),2)&amp;RIGHT(("0"&amp;F2519),2)&amp;RIGHT(("0"&amp;G2519),2)&amp;RIGHT(("0"&amp;H2519),2)</f>
        <v>032223445360</v>
      </c>
      <c r="J2519" s="1" t="n">
        <f aca="false">COUNTIF(I:I,I2519)</f>
        <v>1</v>
      </c>
      <c r="K2519" s="1" t="n">
        <v>0</v>
      </c>
      <c r="M2519" s="1" t="s">
        <v>23</v>
      </c>
      <c r="N2519" s="1" t="n">
        <v>112</v>
      </c>
      <c r="O2519" s="1" t="s">
        <v>14187</v>
      </c>
      <c r="P2519" s="1" t="n">
        <v>7288</v>
      </c>
      <c r="Q2519" s="1" t="s">
        <v>14188</v>
      </c>
      <c r="R2519" s="1" t="s">
        <v>14189</v>
      </c>
      <c r="S2519" s="1" t="s">
        <v>14190</v>
      </c>
      <c r="T2519" s="1" t="s">
        <v>6097</v>
      </c>
      <c r="U2519" s="1" t="s">
        <v>14191</v>
      </c>
    </row>
    <row r="2520" customFormat="false" ht="13.8" hidden="false" customHeight="false" outlineLevel="0" collapsed="false">
      <c r="A2520" s="1" t="n">
        <v>2519</v>
      </c>
      <c r="B2520" s="2" t="s">
        <v>14192</v>
      </c>
      <c r="C2520" s="1" t="n">
        <v>3</v>
      </c>
      <c r="D2520" s="1" t="n">
        <v>8</v>
      </c>
      <c r="E2520" s="1" t="n">
        <v>20</v>
      </c>
      <c r="F2520" s="1" t="n">
        <v>36</v>
      </c>
      <c r="G2520" s="1" t="n">
        <v>38</v>
      </c>
      <c r="H2520" s="1" t="n">
        <v>57</v>
      </c>
      <c r="I2520" s="1" t="str">
        <f aca="false">RIGHT(("0"&amp;C2520),2)&amp;RIGHT(("0"&amp;D2520),2)&amp;RIGHT(("0"&amp;E2520),2)&amp;RIGHT(("0"&amp;F2520),2)&amp;RIGHT(("0"&amp;G2520),2)&amp;RIGHT(("0"&amp;H2520),2)</f>
        <v>030820363857</v>
      </c>
      <c r="J2520" s="1" t="n">
        <f aca="false">COUNTIF(I:I,I2520)</f>
        <v>1</v>
      </c>
      <c r="K2520" s="1" t="n">
        <v>0</v>
      </c>
      <c r="M2520" s="1" t="s">
        <v>23</v>
      </c>
      <c r="N2520" s="1" t="n">
        <v>88</v>
      </c>
      <c r="O2520" s="1" t="s">
        <v>14193</v>
      </c>
      <c r="P2520" s="1" t="n">
        <v>6736</v>
      </c>
      <c r="Q2520" s="1" t="s">
        <v>14194</v>
      </c>
      <c r="R2520" s="1" t="s">
        <v>14195</v>
      </c>
      <c r="S2520" s="1" t="s">
        <v>14196</v>
      </c>
      <c r="T2520" s="1" t="s">
        <v>9509</v>
      </c>
      <c r="U2520" s="1" t="s">
        <v>14197</v>
      </c>
    </row>
    <row r="2521" customFormat="false" ht="13.8" hidden="false" customHeight="false" outlineLevel="0" collapsed="false">
      <c r="A2521" s="1" t="n">
        <v>2520</v>
      </c>
      <c r="B2521" s="2" t="s">
        <v>14198</v>
      </c>
      <c r="C2521" s="1" t="n">
        <v>2</v>
      </c>
      <c r="D2521" s="1" t="n">
        <v>17</v>
      </c>
      <c r="E2521" s="1" t="n">
        <v>22</v>
      </c>
      <c r="F2521" s="1" t="n">
        <v>41</v>
      </c>
      <c r="G2521" s="1" t="n">
        <v>58</v>
      </c>
      <c r="H2521" s="1" t="n">
        <v>60</v>
      </c>
      <c r="I2521" s="1" t="str">
        <f aca="false">RIGHT(("0"&amp;C2521),2)&amp;RIGHT(("0"&amp;D2521),2)&amp;RIGHT(("0"&amp;E2521),2)&amp;RIGHT(("0"&amp;F2521),2)&amp;RIGHT(("0"&amp;G2521),2)&amp;RIGHT(("0"&amp;H2521),2)</f>
        <v>021722415860</v>
      </c>
      <c r="J2521" s="1" t="n">
        <f aca="false">COUNTIF(I:I,I2521)</f>
        <v>1</v>
      </c>
      <c r="K2521" s="1" t="n">
        <v>0</v>
      </c>
      <c r="M2521" s="1" t="s">
        <v>23</v>
      </c>
      <c r="N2521" s="1" t="n">
        <v>160</v>
      </c>
      <c r="O2521" s="1" t="s">
        <v>14199</v>
      </c>
      <c r="P2521" s="1" t="n">
        <v>10126</v>
      </c>
      <c r="Q2521" s="1" t="s">
        <v>14200</v>
      </c>
      <c r="R2521" s="1" t="s">
        <v>14201</v>
      </c>
      <c r="S2521" s="1" t="s">
        <v>14202</v>
      </c>
      <c r="T2521" s="1" t="s">
        <v>9554</v>
      </c>
      <c r="U2521" s="1" t="s">
        <v>14203</v>
      </c>
    </row>
    <row r="2522" customFormat="false" ht="13.8" hidden="false" customHeight="false" outlineLevel="0" collapsed="false">
      <c r="A2522" s="1" t="n">
        <v>2521</v>
      </c>
      <c r="B2522" s="2" t="s">
        <v>14204</v>
      </c>
      <c r="C2522" s="1" t="n">
        <v>23</v>
      </c>
      <c r="D2522" s="1" t="n">
        <v>28</v>
      </c>
      <c r="E2522" s="1" t="n">
        <v>33</v>
      </c>
      <c r="F2522" s="1" t="n">
        <v>38</v>
      </c>
      <c r="G2522" s="1" t="n">
        <v>55</v>
      </c>
      <c r="H2522" s="1" t="n">
        <v>59</v>
      </c>
      <c r="I2522" s="1" t="str">
        <f aca="false">RIGHT(("0"&amp;C2522),2)&amp;RIGHT(("0"&amp;D2522),2)&amp;RIGHT(("0"&amp;E2522),2)&amp;RIGHT(("0"&amp;F2522),2)&amp;RIGHT(("0"&amp;G2522),2)&amp;RIGHT(("0"&amp;H2522),2)</f>
        <v>232833385559</v>
      </c>
      <c r="J2522" s="1" t="n">
        <f aca="false">COUNTIF(I:I,I2522)</f>
        <v>1</v>
      </c>
      <c r="K2522" s="1" t="n">
        <v>0</v>
      </c>
      <c r="M2522" s="1" t="s">
        <v>23</v>
      </c>
      <c r="N2522" s="1" t="n">
        <v>189</v>
      </c>
      <c r="O2522" s="1" t="s">
        <v>14205</v>
      </c>
      <c r="P2522" s="1" t="n">
        <v>12204</v>
      </c>
      <c r="Q2522" s="1" t="s">
        <v>14206</v>
      </c>
      <c r="R2522" s="1" t="s">
        <v>14207</v>
      </c>
      <c r="S2522" s="1" t="s">
        <v>14208</v>
      </c>
      <c r="T2522" s="1" t="s">
        <v>14209</v>
      </c>
      <c r="U2522" s="1" t="s">
        <v>14210</v>
      </c>
    </row>
    <row r="2523" customFormat="false" ht="13.8" hidden="false" customHeight="false" outlineLevel="0" collapsed="false">
      <c r="A2523" s="1" t="n">
        <v>2522</v>
      </c>
      <c r="B2523" s="2" t="s">
        <v>14211</v>
      </c>
      <c r="C2523" s="1" t="n">
        <v>4</v>
      </c>
      <c r="D2523" s="1" t="n">
        <v>5</v>
      </c>
      <c r="E2523" s="1" t="n">
        <v>25</v>
      </c>
      <c r="F2523" s="1" t="n">
        <v>32</v>
      </c>
      <c r="G2523" s="1" t="n">
        <v>39</v>
      </c>
      <c r="H2523" s="1" t="n">
        <v>40</v>
      </c>
      <c r="I2523" s="1" t="str">
        <f aca="false">RIGHT(("0"&amp;C2523),2)&amp;RIGHT(("0"&amp;D2523),2)&amp;RIGHT(("0"&amp;E2523),2)&amp;RIGHT(("0"&amp;F2523),2)&amp;RIGHT(("0"&amp;G2523),2)&amp;RIGHT(("0"&amp;H2523),2)</f>
        <v>040525323940</v>
      </c>
      <c r="J2523" s="1" t="n">
        <f aca="false">COUNTIF(I:I,I2523)</f>
        <v>1</v>
      </c>
      <c r="K2523" s="1" t="n">
        <v>0</v>
      </c>
      <c r="M2523" s="1" t="s">
        <v>23</v>
      </c>
      <c r="N2523" s="1" t="n">
        <v>202</v>
      </c>
      <c r="O2523" s="1" t="s">
        <v>14212</v>
      </c>
      <c r="P2523" s="1" t="n">
        <v>17799</v>
      </c>
      <c r="Q2523" s="1" t="s">
        <v>14213</v>
      </c>
      <c r="R2523" s="1" t="s">
        <v>14214</v>
      </c>
      <c r="S2523" s="1" t="s">
        <v>14215</v>
      </c>
      <c r="T2523" s="1" t="s">
        <v>6916</v>
      </c>
      <c r="U2523" s="1" t="s">
        <v>14216</v>
      </c>
    </row>
    <row r="2524" customFormat="false" ht="13.8" hidden="false" customHeight="false" outlineLevel="0" collapsed="false">
      <c r="A2524" s="1" t="n">
        <v>2523</v>
      </c>
      <c r="B2524" s="2" t="s">
        <v>14217</v>
      </c>
      <c r="C2524" s="1" t="n">
        <v>1</v>
      </c>
      <c r="D2524" s="1" t="n">
        <v>10</v>
      </c>
      <c r="E2524" s="1" t="n">
        <v>27</v>
      </c>
      <c r="F2524" s="1" t="n">
        <v>36</v>
      </c>
      <c r="G2524" s="1" t="n">
        <v>37</v>
      </c>
      <c r="H2524" s="1" t="n">
        <v>45</v>
      </c>
      <c r="I2524" s="1" t="str">
        <f aca="false">RIGHT(("0"&amp;C2524),2)&amp;RIGHT(("0"&amp;D2524),2)&amp;RIGHT(("0"&amp;E2524),2)&amp;RIGHT(("0"&amp;F2524),2)&amp;RIGHT(("0"&amp;G2524),2)&amp;RIGHT(("0"&amp;H2524),2)</f>
        <v>011027363745</v>
      </c>
      <c r="J2524" s="1" t="n">
        <f aca="false">COUNTIF(I:I,I2524)</f>
        <v>1</v>
      </c>
      <c r="K2524" s="1" t="n">
        <v>0</v>
      </c>
      <c r="M2524" s="1" t="s">
        <v>23</v>
      </c>
      <c r="N2524" s="1" t="n">
        <v>294</v>
      </c>
      <c r="O2524" s="1" t="s">
        <v>14218</v>
      </c>
      <c r="P2524" s="1" t="n">
        <v>20572</v>
      </c>
      <c r="Q2524" s="1" t="s">
        <v>14219</v>
      </c>
      <c r="R2524" s="1" t="s">
        <v>14220</v>
      </c>
      <c r="S2524" s="1" t="s">
        <v>14221</v>
      </c>
      <c r="T2524" s="1" t="s">
        <v>6260</v>
      </c>
      <c r="U2524" s="1" t="s">
        <v>14222</v>
      </c>
    </row>
    <row r="2525" customFormat="false" ht="13.8" hidden="false" customHeight="false" outlineLevel="0" collapsed="false">
      <c r="A2525" s="1" t="n">
        <v>2524</v>
      </c>
      <c r="B2525" s="2" t="s">
        <v>14223</v>
      </c>
      <c r="C2525" s="1" t="n">
        <v>3</v>
      </c>
      <c r="D2525" s="1" t="n">
        <v>20</v>
      </c>
      <c r="E2525" s="1" t="n">
        <v>22</v>
      </c>
      <c r="F2525" s="1" t="n">
        <v>37</v>
      </c>
      <c r="G2525" s="1" t="n">
        <v>41</v>
      </c>
      <c r="H2525" s="1" t="n">
        <v>43</v>
      </c>
      <c r="I2525" s="1" t="str">
        <f aca="false">RIGHT(("0"&amp;C2525),2)&amp;RIGHT(("0"&amp;D2525),2)&amp;RIGHT(("0"&amp;E2525),2)&amp;RIGHT(("0"&amp;F2525),2)&amp;RIGHT(("0"&amp;G2525),2)&amp;RIGHT(("0"&amp;H2525),2)</f>
        <v>032022374143</v>
      </c>
      <c r="J2525" s="1" t="n">
        <f aca="false">COUNTIF(I:I,I2525)</f>
        <v>1</v>
      </c>
      <c r="K2525" s="1" t="n">
        <v>0</v>
      </c>
      <c r="M2525" s="1" t="s">
        <v>23</v>
      </c>
      <c r="N2525" s="1" t="n">
        <v>404</v>
      </c>
      <c r="O2525" s="1" t="s">
        <v>14224</v>
      </c>
      <c r="P2525" s="1" t="n">
        <v>30194</v>
      </c>
      <c r="Q2525" s="1" t="s">
        <v>14225</v>
      </c>
      <c r="R2525" s="1" t="s">
        <v>14226</v>
      </c>
      <c r="S2525" s="1" t="s">
        <v>14227</v>
      </c>
      <c r="T2525" s="1" t="s">
        <v>12340</v>
      </c>
      <c r="U2525" s="1" t="s">
        <v>14228</v>
      </c>
    </row>
    <row r="2526" customFormat="false" ht="13.8" hidden="false" customHeight="false" outlineLevel="0" collapsed="false">
      <c r="A2526" s="1" t="n">
        <v>2525</v>
      </c>
      <c r="B2526" s="2" t="s">
        <v>14229</v>
      </c>
      <c r="C2526" s="1" t="n">
        <v>4</v>
      </c>
      <c r="D2526" s="1" t="n">
        <v>13</v>
      </c>
      <c r="E2526" s="1" t="n">
        <v>21</v>
      </c>
      <c r="F2526" s="1" t="n">
        <v>26</v>
      </c>
      <c r="G2526" s="1" t="n">
        <v>47</v>
      </c>
      <c r="H2526" s="1" t="n">
        <v>51</v>
      </c>
      <c r="I2526" s="1" t="str">
        <f aca="false">RIGHT(("0"&amp;C2526),2)&amp;RIGHT(("0"&amp;D2526),2)&amp;RIGHT(("0"&amp;E2526),2)&amp;RIGHT(("0"&amp;F2526),2)&amp;RIGHT(("0"&amp;G2526),2)&amp;RIGHT(("0"&amp;H2526),2)</f>
        <v>041321264751</v>
      </c>
      <c r="J2526" s="1" t="n">
        <f aca="false">COUNTIF(I:I,I2526)</f>
        <v>1</v>
      </c>
      <c r="K2526" s="1" t="n">
        <v>2</v>
      </c>
      <c r="L2526" s="1" t="s">
        <v>14230</v>
      </c>
      <c r="M2526" s="1" t="s">
        <v>14231</v>
      </c>
      <c r="N2526" s="1" t="n">
        <v>814</v>
      </c>
      <c r="O2526" s="1" t="s">
        <v>14232</v>
      </c>
      <c r="P2526" s="1" t="n">
        <v>52760</v>
      </c>
      <c r="Q2526" s="1" t="s">
        <v>14233</v>
      </c>
      <c r="R2526" s="1" t="s">
        <v>23</v>
      </c>
      <c r="S2526" s="1" t="s">
        <v>14234</v>
      </c>
      <c r="T2526" s="1" t="s">
        <v>473</v>
      </c>
      <c r="U2526" s="1" t="s">
        <v>14235</v>
      </c>
    </row>
    <row r="2527" customFormat="false" ht="13.8" hidden="false" customHeight="false" outlineLevel="0" collapsed="false">
      <c r="A2527" s="1" t="n">
        <v>2526</v>
      </c>
      <c r="B2527" s="2" t="s">
        <v>14236</v>
      </c>
      <c r="C2527" s="1" t="n">
        <v>2</v>
      </c>
      <c r="D2527" s="1" t="n">
        <v>16</v>
      </c>
      <c r="E2527" s="1" t="n">
        <v>24</v>
      </c>
      <c r="F2527" s="1" t="n">
        <v>38</v>
      </c>
      <c r="G2527" s="1" t="n">
        <v>43</v>
      </c>
      <c r="H2527" s="1" t="n">
        <v>59</v>
      </c>
      <c r="I2527" s="1" t="str">
        <f aca="false">RIGHT(("0"&amp;C2527),2)&amp;RIGHT(("0"&amp;D2527),2)&amp;RIGHT(("0"&amp;E2527),2)&amp;RIGHT(("0"&amp;F2527),2)&amp;RIGHT(("0"&amp;G2527),2)&amp;RIGHT(("0"&amp;H2527),2)</f>
        <v>021624384359</v>
      </c>
      <c r="J2527" s="1" t="n">
        <f aca="false">COUNTIF(I:I,I2527)</f>
        <v>1</v>
      </c>
      <c r="K2527" s="1" t="n">
        <v>0</v>
      </c>
      <c r="M2527" s="1" t="s">
        <v>23</v>
      </c>
      <c r="N2527" s="1" t="n">
        <v>107</v>
      </c>
      <c r="O2527" s="1" t="s">
        <v>14237</v>
      </c>
      <c r="P2527" s="1" t="n">
        <v>4518</v>
      </c>
      <c r="Q2527" s="1" t="s">
        <v>14238</v>
      </c>
      <c r="R2527" s="1" t="s">
        <v>14239</v>
      </c>
      <c r="S2527" s="1" t="s">
        <v>14240</v>
      </c>
      <c r="T2527" s="1" t="s">
        <v>4347</v>
      </c>
      <c r="U2527" s="1" t="s">
        <v>14241</v>
      </c>
    </row>
    <row r="2528" customFormat="false" ht="13.8" hidden="false" customHeight="false" outlineLevel="0" collapsed="false">
      <c r="A2528" s="1" t="n">
        <v>2527</v>
      </c>
      <c r="B2528" s="2" t="s">
        <v>14242</v>
      </c>
      <c r="C2528" s="1" t="n">
        <v>8</v>
      </c>
      <c r="D2528" s="1" t="n">
        <v>19</v>
      </c>
      <c r="E2528" s="1" t="n">
        <v>29</v>
      </c>
      <c r="F2528" s="1" t="n">
        <v>38</v>
      </c>
      <c r="G2528" s="1" t="n">
        <v>48</v>
      </c>
      <c r="H2528" s="1" t="n">
        <v>56</v>
      </c>
      <c r="I2528" s="1" t="str">
        <f aca="false">RIGHT(("0"&amp;C2528),2)&amp;RIGHT(("0"&amp;D2528),2)&amp;RIGHT(("0"&amp;E2528),2)&amp;RIGHT(("0"&amp;F2528),2)&amp;RIGHT(("0"&amp;G2528),2)&amp;RIGHT(("0"&amp;H2528),2)</f>
        <v>081929384856</v>
      </c>
      <c r="J2528" s="1" t="n">
        <f aca="false">COUNTIF(I:I,I2528)</f>
        <v>1</v>
      </c>
      <c r="K2528" s="1" t="n">
        <v>0</v>
      </c>
      <c r="M2528" s="1" t="s">
        <v>23</v>
      </c>
      <c r="N2528" s="1" t="n">
        <v>80</v>
      </c>
      <c r="O2528" s="1" t="s">
        <v>14243</v>
      </c>
      <c r="P2528" s="1" t="n">
        <v>4182</v>
      </c>
      <c r="Q2528" s="1" t="s">
        <v>14244</v>
      </c>
      <c r="R2528" s="1" t="s">
        <v>14245</v>
      </c>
      <c r="S2528" s="1" t="s">
        <v>14246</v>
      </c>
      <c r="T2528" s="1" t="s">
        <v>4208</v>
      </c>
      <c r="U2528" s="1" t="s">
        <v>14247</v>
      </c>
    </row>
    <row r="2529" customFormat="false" ht="13.8" hidden="false" customHeight="false" outlineLevel="0" collapsed="false">
      <c r="A2529" s="1" t="n">
        <v>2528</v>
      </c>
      <c r="B2529" s="2" t="s">
        <v>14248</v>
      </c>
      <c r="C2529" s="1" t="n">
        <v>4</v>
      </c>
      <c r="D2529" s="1" t="n">
        <v>15</v>
      </c>
      <c r="E2529" s="1" t="n">
        <v>22</v>
      </c>
      <c r="F2529" s="1" t="n">
        <v>53</v>
      </c>
      <c r="G2529" s="1" t="n">
        <v>56</v>
      </c>
      <c r="H2529" s="1" t="n">
        <v>60</v>
      </c>
      <c r="I2529" s="1" t="str">
        <f aca="false">RIGHT(("0"&amp;C2529),2)&amp;RIGHT(("0"&amp;D2529),2)&amp;RIGHT(("0"&amp;E2529),2)&amp;RIGHT(("0"&amp;F2529),2)&amp;RIGHT(("0"&amp;G2529),2)&amp;RIGHT(("0"&amp;H2529),2)</f>
        <v>041522535660</v>
      </c>
      <c r="J2529" s="1" t="n">
        <f aca="false">COUNTIF(I:I,I2529)</f>
        <v>1</v>
      </c>
      <c r="K2529" s="1" t="n">
        <v>0</v>
      </c>
      <c r="M2529" s="1" t="s">
        <v>23</v>
      </c>
      <c r="N2529" s="1" t="n">
        <v>64</v>
      </c>
      <c r="O2529" s="1" t="s">
        <v>14249</v>
      </c>
      <c r="P2529" s="1" t="n">
        <v>4684</v>
      </c>
      <c r="Q2529" s="1" t="s">
        <v>14250</v>
      </c>
      <c r="R2529" s="1" t="s">
        <v>14251</v>
      </c>
      <c r="S2529" s="1" t="s">
        <v>14252</v>
      </c>
      <c r="T2529" s="1" t="s">
        <v>4696</v>
      </c>
      <c r="U2529" s="1" t="s">
        <v>14253</v>
      </c>
    </row>
    <row r="2530" customFormat="false" ht="13.8" hidden="false" customHeight="false" outlineLevel="0" collapsed="false">
      <c r="A2530" s="1" t="n">
        <v>2529</v>
      </c>
      <c r="B2530" s="2" t="s">
        <v>14254</v>
      </c>
      <c r="C2530" s="1" t="n">
        <v>3</v>
      </c>
      <c r="D2530" s="1" t="n">
        <v>5</v>
      </c>
      <c r="E2530" s="1" t="n">
        <v>32</v>
      </c>
      <c r="F2530" s="1" t="n">
        <v>56</v>
      </c>
      <c r="G2530" s="1" t="n">
        <v>57</v>
      </c>
      <c r="H2530" s="1" t="n">
        <v>59</v>
      </c>
      <c r="I2530" s="1" t="str">
        <f aca="false">RIGHT(("0"&amp;C2530),2)&amp;RIGHT(("0"&amp;D2530),2)&amp;RIGHT(("0"&amp;E2530),2)&amp;RIGHT(("0"&amp;F2530),2)&amp;RIGHT(("0"&amp;G2530),2)&amp;RIGHT(("0"&amp;H2530),2)</f>
        <v>030532565759</v>
      </c>
      <c r="J2530" s="1" t="n">
        <f aca="false">COUNTIF(I:I,I2530)</f>
        <v>1</v>
      </c>
      <c r="K2530" s="1" t="n">
        <v>0</v>
      </c>
      <c r="M2530" s="1" t="s">
        <v>23</v>
      </c>
      <c r="N2530" s="1" t="n">
        <v>84</v>
      </c>
      <c r="O2530" s="1" t="s">
        <v>14255</v>
      </c>
      <c r="P2530" s="1" t="n">
        <v>5632</v>
      </c>
      <c r="Q2530" s="1" t="s">
        <v>14256</v>
      </c>
      <c r="R2530" s="1" t="s">
        <v>14257</v>
      </c>
      <c r="S2530" s="1" t="s">
        <v>14258</v>
      </c>
      <c r="T2530" s="1" t="s">
        <v>10776</v>
      </c>
      <c r="U2530" s="1" t="s">
        <v>14259</v>
      </c>
    </row>
    <row r="2531" customFormat="false" ht="13.8" hidden="false" customHeight="false" outlineLevel="0" collapsed="false">
      <c r="A2531" s="1" t="n">
        <v>2530</v>
      </c>
      <c r="B2531" s="2" t="s">
        <v>14260</v>
      </c>
      <c r="C2531" s="1" t="n">
        <v>14</v>
      </c>
      <c r="D2531" s="1" t="n">
        <v>17</v>
      </c>
      <c r="E2531" s="1" t="n">
        <v>18</v>
      </c>
      <c r="F2531" s="1" t="n">
        <v>28</v>
      </c>
      <c r="G2531" s="1" t="n">
        <v>30</v>
      </c>
      <c r="H2531" s="1" t="n">
        <v>44</v>
      </c>
      <c r="I2531" s="1" t="str">
        <f aca="false">RIGHT(("0"&amp;C2531),2)&amp;RIGHT(("0"&amp;D2531),2)&amp;RIGHT(("0"&amp;E2531),2)&amp;RIGHT(("0"&amp;F2531),2)&amp;RIGHT(("0"&amp;G2531),2)&amp;RIGHT(("0"&amp;H2531),2)</f>
        <v>141718283044</v>
      </c>
      <c r="J2531" s="1" t="n">
        <f aca="false">COUNTIF(I:I,I2531)</f>
        <v>1</v>
      </c>
      <c r="K2531" s="1" t="n">
        <v>0</v>
      </c>
      <c r="M2531" s="1" t="s">
        <v>23</v>
      </c>
      <c r="N2531" s="1" t="n">
        <v>80</v>
      </c>
      <c r="O2531" s="1" t="s">
        <v>14261</v>
      </c>
      <c r="P2531" s="1" t="n">
        <v>6922</v>
      </c>
      <c r="Q2531" s="1" t="s">
        <v>14262</v>
      </c>
      <c r="R2531" s="1" t="s">
        <v>14263</v>
      </c>
      <c r="S2531" s="1" t="s">
        <v>14264</v>
      </c>
      <c r="T2531" s="1" t="s">
        <v>6045</v>
      </c>
      <c r="U2531" s="1" t="s">
        <v>14265</v>
      </c>
    </row>
    <row r="2532" customFormat="false" ht="13.8" hidden="false" customHeight="false" outlineLevel="0" collapsed="false">
      <c r="A2532" s="1" t="n">
        <v>2531</v>
      </c>
      <c r="B2532" s="2" t="s">
        <v>14266</v>
      </c>
      <c r="C2532" s="1" t="n">
        <v>1</v>
      </c>
      <c r="D2532" s="1" t="n">
        <v>5</v>
      </c>
      <c r="E2532" s="1" t="n">
        <v>18</v>
      </c>
      <c r="F2532" s="1" t="n">
        <v>49</v>
      </c>
      <c r="G2532" s="1" t="n">
        <v>55</v>
      </c>
      <c r="H2532" s="1" t="n">
        <v>56</v>
      </c>
      <c r="I2532" s="1" t="str">
        <f aca="false">RIGHT(("0"&amp;C2532),2)&amp;RIGHT(("0"&amp;D2532),2)&amp;RIGHT(("0"&amp;E2532),2)&amp;RIGHT(("0"&amp;F2532),2)&amp;RIGHT(("0"&amp;G2532),2)&amp;RIGHT(("0"&amp;H2532),2)</f>
        <v>010518495556</v>
      </c>
      <c r="J2532" s="1" t="n">
        <f aca="false">COUNTIF(I:I,I2532)</f>
        <v>1</v>
      </c>
      <c r="K2532" s="1" t="n">
        <v>0</v>
      </c>
      <c r="M2532" s="1" t="s">
        <v>23</v>
      </c>
      <c r="N2532" s="1" t="n">
        <v>107</v>
      </c>
      <c r="O2532" s="1" t="s">
        <v>14267</v>
      </c>
      <c r="P2532" s="1" t="n">
        <v>7174</v>
      </c>
      <c r="Q2532" s="1" t="s">
        <v>14268</v>
      </c>
      <c r="R2532" s="1" t="s">
        <v>14269</v>
      </c>
      <c r="S2532" s="1" t="s">
        <v>14270</v>
      </c>
      <c r="T2532" s="1" t="s">
        <v>9535</v>
      </c>
      <c r="U2532" s="1" t="s">
        <v>14271</v>
      </c>
    </row>
    <row r="2533" customFormat="false" ht="13.8" hidden="false" customHeight="false" outlineLevel="0" collapsed="false">
      <c r="A2533" s="1" t="n">
        <v>2532</v>
      </c>
      <c r="B2533" s="2" t="s">
        <v>14272</v>
      </c>
      <c r="C2533" s="1" t="n">
        <v>10</v>
      </c>
      <c r="D2533" s="1" t="n">
        <v>14</v>
      </c>
      <c r="E2533" s="1" t="n">
        <v>17</v>
      </c>
      <c r="F2533" s="1" t="n">
        <v>18</v>
      </c>
      <c r="G2533" s="1" t="n">
        <v>23</v>
      </c>
      <c r="H2533" s="1" t="n">
        <v>30</v>
      </c>
      <c r="I2533" s="1" t="str">
        <f aca="false">RIGHT(("0"&amp;C2533),2)&amp;RIGHT(("0"&amp;D2533),2)&amp;RIGHT(("0"&amp;E2533),2)&amp;RIGHT(("0"&amp;F2533),2)&amp;RIGHT(("0"&amp;G2533),2)&amp;RIGHT(("0"&amp;H2533),2)</f>
        <v>101417182330</v>
      </c>
      <c r="J2533" s="1" t="n">
        <f aca="false">COUNTIF(I:I,I2533)</f>
        <v>1</v>
      </c>
      <c r="K2533" s="1" t="n">
        <v>0</v>
      </c>
      <c r="M2533" s="1" t="s">
        <v>23</v>
      </c>
      <c r="N2533" s="1" t="n">
        <v>259</v>
      </c>
      <c r="O2533" s="1" t="s">
        <v>14273</v>
      </c>
      <c r="P2533" s="1" t="n">
        <v>18616</v>
      </c>
      <c r="Q2533" s="1" t="s">
        <v>14274</v>
      </c>
      <c r="R2533" s="1" t="s">
        <v>14275</v>
      </c>
      <c r="S2533" s="1" t="s">
        <v>14276</v>
      </c>
      <c r="T2533" s="1" t="s">
        <v>6104</v>
      </c>
      <c r="U2533" s="1" t="s">
        <v>14277</v>
      </c>
    </row>
    <row r="2534" customFormat="false" ht="13.8" hidden="false" customHeight="false" outlineLevel="0" collapsed="false">
      <c r="A2534" s="1" t="n">
        <v>2533</v>
      </c>
      <c r="B2534" s="2" t="s">
        <v>14278</v>
      </c>
      <c r="C2534" s="1" t="n">
        <v>17</v>
      </c>
      <c r="D2534" s="1" t="n">
        <v>18</v>
      </c>
      <c r="E2534" s="1" t="n">
        <v>20</v>
      </c>
      <c r="F2534" s="1" t="n">
        <v>37</v>
      </c>
      <c r="G2534" s="1" t="n">
        <v>45</v>
      </c>
      <c r="H2534" s="1" t="n">
        <v>53</v>
      </c>
      <c r="I2534" s="1" t="str">
        <f aca="false">RIGHT(("0"&amp;C2534),2)&amp;RIGHT(("0"&amp;D2534),2)&amp;RIGHT(("0"&amp;E2534),2)&amp;RIGHT(("0"&amp;F2534),2)&amp;RIGHT(("0"&amp;G2534),2)&amp;RIGHT(("0"&amp;H2534),2)</f>
        <v>171820374553</v>
      </c>
      <c r="J2534" s="1" t="n">
        <f aca="false">COUNTIF(I:I,I2534)</f>
        <v>1</v>
      </c>
      <c r="K2534" s="1" t="n">
        <v>0</v>
      </c>
      <c r="M2534" s="1" t="s">
        <v>23</v>
      </c>
      <c r="N2534" s="1" t="n">
        <v>134</v>
      </c>
      <c r="O2534" s="1" t="s">
        <v>14279</v>
      </c>
      <c r="P2534" s="1" t="n">
        <v>11048</v>
      </c>
      <c r="Q2534" s="1" t="s">
        <v>14280</v>
      </c>
      <c r="R2534" s="1" t="s">
        <v>14281</v>
      </c>
      <c r="S2534" s="1" t="s">
        <v>14282</v>
      </c>
      <c r="T2534" s="1" t="s">
        <v>9516</v>
      </c>
      <c r="U2534" s="1" t="s">
        <v>14283</v>
      </c>
    </row>
    <row r="2535" customFormat="false" ht="13.8" hidden="false" customHeight="false" outlineLevel="0" collapsed="false">
      <c r="A2535" s="1" t="n">
        <v>2534</v>
      </c>
      <c r="B2535" s="2" t="s">
        <v>14284</v>
      </c>
      <c r="C2535" s="1" t="n">
        <v>28</v>
      </c>
      <c r="D2535" s="1" t="n">
        <v>36</v>
      </c>
      <c r="E2535" s="1" t="n">
        <v>39</v>
      </c>
      <c r="F2535" s="1" t="n">
        <v>44</v>
      </c>
      <c r="G2535" s="1" t="n">
        <v>56</v>
      </c>
      <c r="H2535" s="1" t="n">
        <v>60</v>
      </c>
      <c r="I2535" s="1" t="str">
        <f aca="false">RIGHT(("0"&amp;C2535),2)&amp;RIGHT(("0"&amp;D2535),2)&amp;RIGHT(("0"&amp;E2535),2)&amp;RIGHT(("0"&amp;F2535),2)&amp;RIGHT(("0"&amp;G2535),2)&amp;RIGHT(("0"&amp;H2535),2)</f>
        <v>283639445660</v>
      </c>
      <c r="J2535" s="1" t="n">
        <f aca="false">COUNTIF(I:I,I2535)</f>
        <v>1</v>
      </c>
      <c r="K2535" s="1" t="n">
        <v>1</v>
      </c>
      <c r="L2535" s="1" t="s">
        <v>12247</v>
      </c>
      <c r="M2535" s="1" t="s">
        <v>14285</v>
      </c>
      <c r="N2535" s="1" t="n">
        <v>176</v>
      </c>
      <c r="O2535" s="1" t="s">
        <v>14286</v>
      </c>
      <c r="P2535" s="1" t="n">
        <v>12797</v>
      </c>
      <c r="Q2535" s="1" t="s">
        <v>14287</v>
      </c>
      <c r="R2535" s="1" t="s">
        <v>14288</v>
      </c>
      <c r="S2535" s="1" t="s">
        <v>14289</v>
      </c>
      <c r="T2535" s="1" t="s">
        <v>6032</v>
      </c>
      <c r="U2535" s="1" t="s">
        <v>14290</v>
      </c>
    </row>
    <row r="2536" customFormat="false" ht="13.8" hidden="false" customHeight="false" outlineLevel="0" collapsed="false">
      <c r="A2536" s="1" t="n">
        <v>2535</v>
      </c>
      <c r="B2536" s="2" t="s">
        <v>14291</v>
      </c>
      <c r="C2536" s="1" t="n">
        <v>1</v>
      </c>
      <c r="D2536" s="1" t="n">
        <v>3</v>
      </c>
      <c r="E2536" s="1" t="n">
        <v>24</v>
      </c>
      <c r="F2536" s="1" t="n">
        <v>37</v>
      </c>
      <c r="G2536" s="1" t="n">
        <v>51</v>
      </c>
      <c r="H2536" s="1" t="n">
        <v>56</v>
      </c>
      <c r="I2536" s="1" t="str">
        <f aca="false">RIGHT(("0"&amp;C2536),2)&amp;RIGHT(("0"&amp;D2536),2)&amp;RIGHT(("0"&amp;E2536),2)&amp;RIGHT(("0"&amp;F2536),2)&amp;RIGHT(("0"&amp;G2536),2)&amp;RIGHT(("0"&amp;H2536),2)</f>
        <v>010324375156</v>
      </c>
      <c r="J2536" s="1" t="n">
        <f aca="false">COUNTIF(I:I,I2536)</f>
        <v>1</v>
      </c>
      <c r="K2536" s="1" t="n">
        <v>0</v>
      </c>
      <c r="M2536" s="1" t="s">
        <v>23</v>
      </c>
      <c r="N2536" s="1" t="n">
        <v>59</v>
      </c>
      <c r="O2536" s="1" t="s">
        <v>14292</v>
      </c>
      <c r="P2536" s="1" t="n">
        <v>5885</v>
      </c>
      <c r="Q2536" s="1" t="s">
        <v>14293</v>
      </c>
      <c r="R2536" s="1" t="s">
        <v>14294</v>
      </c>
      <c r="S2536" s="1" t="s">
        <v>14295</v>
      </c>
      <c r="T2536" s="1" t="s">
        <v>5255</v>
      </c>
      <c r="U2536" s="1" t="s">
        <v>14296</v>
      </c>
    </row>
    <row r="2537" customFormat="false" ht="13.8" hidden="false" customHeight="false" outlineLevel="0" collapsed="false">
      <c r="A2537" s="1" t="n">
        <v>2536</v>
      </c>
      <c r="B2537" s="2" t="s">
        <v>14297</v>
      </c>
      <c r="C2537" s="1" t="n">
        <v>9</v>
      </c>
      <c r="D2537" s="1" t="n">
        <v>22</v>
      </c>
      <c r="E2537" s="1" t="n">
        <v>27</v>
      </c>
      <c r="F2537" s="1" t="n">
        <v>30</v>
      </c>
      <c r="G2537" s="1" t="n">
        <v>33</v>
      </c>
      <c r="H2537" s="1" t="n">
        <v>45</v>
      </c>
      <c r="I2537" s="1" t="str">
        <f aca="false">RIGHT(("0"&amp;C2537),2)&amp;RIGHT(("0"&amp;D2537),2)&amp;RIGHT(("0"&amp;E2537),2)&amp;RIGHT(("0"&amp;F2537),2)&amp;RIGHT(("0"&amp;G2537),2)&amp;RIGHT(("0"&amp;H2537),2)</f>
        <v>092227303345</v>
      </c>
      <c r="J2537" s="1" t="n">
        <f aca="false">COUNTIF(I:I,I2537)</f>
        <v>1</v>
      </c>
      <c r="K2537" s="1" t="n">
        <v>0</v>
      </c>
      <c r="M2537" s="1" t="s">
        <v>23</v>
      </c>
      <c r="N2537" s="1" t="n">
        <v>163</v>
      </c>
      <c r="O2537" s="1" t="s">
        <v>14298</v>
      </c>
      <c r="P2537" s="1" t="n">
        <v>10787</v>
      </c>
      <c r="Q2537" s="1" t="s">
        <v>14299</v>
      </c>
      <c r="R2537" s="1" t="s">
        <v>14300</v>
      </c>
      <c r="S2537" s="1" t="s">
        <v>14301</v>
      </c>
      <c r="T2537" s="1" t="s">
        <v>9211</v>
      </c>
      <c r="U2537" s="1" t="s">
        <v>14302</v>
      </c>
    </row>
    <row r="2538" customFormat="false" ht="13.8" hidden="false" customHeight="false" outlineLevel="0" collapsed="false">
      <c r="A2538" s="1" t="n">
        <v>2537</v>
      </c>
      <c r="B2538" s="2" t="s">
        <v>14303</v>
      </c>
      <c r="C2538" s="1" t="n">
        <v>12</v>
      </c>
      <c r="D2538" s="1" t="n">
        <v>24</v>
      </c>
      <c r="E2538" s="1" t="n">
        <v>26</v>
      </c>
      <c r="F2538" s="1" t="n">
        <v>31</v>
      </c>
      <c r="G2538" s="1" t="n">
        <v>37</v>
      </c>
      <c r="H2538" s="1" t="n">
        <v>48</v>
      </c>
      <c r="I2538" s="1" t="str">
        <f aca="false">RIGHT(("0"&amp;C2538),2)&amp;RIGHT(("0"&amp;D2538),2)&amp;RIGHT(("0"&amp;E2538),2)&amp;RIGHT(("0"&amp;F2538),2)&amp;RIGHT(("0"&amp;G2538),2)&amp;RIGHT(("0"&amp;H2538),2)</f>
        <v>122426313748</v>
      </c>
      <c r="J2538" s="1" t="n">
        <f aca="false">COUNTIF(I:I,I2538)</f>
        <v>1</v>
      </c>
      <c r="K2538" s="1" t="n">
        <v>1</v>
      </c>
      <c r="L2538" s="1" t="s">
        <v>14304</v>
      </c>
      <c r="M2538" s="1" t="s">
        <v>14305</v>
      </c>
      <c r="N2538" s="1" t="n">
        <v>94</v>
      </c>
      <c r="O2538" s="1" t="s">
        <v>14306</v>
      </c>
      <c r="P2538" s="1" t="n">
        <v>9282</v>
      </c>
      <c r="Q2538" s="1" t="s">
        <v>14307</v>
      </c>
      <c r="R2538" s="1" t="s">
        <v>23</v>
      </c>
      <c r="S2538" s="1" t="s">
        <v>14308</v>
      </c>
      <c r="T2538" s="1" t="s">
        <v>473</v>
      </c>
      <c r="U2538" s="1" t="s">
        <v>14309</v>
      </c>
    </row>
    <row r="2539" customFormat="false" ht="13.8" hidden="false" customHeight="false" outlineLevel="0" collapsed="false">
      <c r="A2539" s="1" t="n">
        <v>2538</v>
      </c>
      <c r="B2539" s="2" t="s">
        <v>14310</v>
      </c>
      <c r="C2539" s="1" t="n">
        <v>6</v>
      </c>
      <c r="D2539" s="1" t="n">
        <v>15</v>
      </c>
      <c r="E2539" s="1" t="n">
        <v>19</v>
      </c>
      <c r="F2539" s="1" t="n">
        <v>20</v>
      </c>
      <c r="G2539" s="1" t="n">
        <v>33</v>
      </c>
      <c r="H2539" s="1" t="n">
        <v>52</v>
      </c>
      <c r="I2539" s="1" t="str">
        <f aca="false">RIGHT(("0"&amp;C2539),2)&amp;RIGHT(("0"&amp;D2539),2)&amp;RIGHT(("0"&amp;E2539),2)&amp;RIGHT(("0"&amp;F2539),2)&amp;RIGHT(("0"&amp;G2539),2)&amp;RIGHT(("0"&amp;H2539),2)</f>
        <v>061519203352</v>
      </c>
      <c r="J2539" s="1" t="n">
        <f aca="false">COUNTIF(I:I,I2539)</f>
        <v>1</v>
      </c>
      <c r="K2539" s="1" t="n">
        <v>0</v>
      </c>
      <c r="M2539" s="1" t="s">
        <v>23</v>
      </c>
      <c r="N2539" s="1" t="n">
        <v>45</v>
      </c>
      <c r="O2539" s="1" t="s">
        <v>14311</v>
      </c>
      <c r="P2539" s="1" t="n">
        <v>4693</v>
      </c>
      <c r="Q2539" s="1" t="s">
        <v>14312</v>
      </c>
      <c r="R2539" s="1" t="s">
        <v>14313</v>
      </c>
      <c r="S2539" s="1" t="s">
        <v>14314</v>
      </c>
      <c r="T2539" s="1" t="s">
        <v>4195</v>
      </c>
      <c r="U2539" s="1" t="s">
        <v>14315</v>
      </c>
    </row>
    <row r="2540" customFormat="false" ht="13.8" hidden="false" customHeight="false" outlineLevel="0" collapsed="false">
      <c r="A2540" s="1" t="n">
        <v>2539</v>
      </c>
      <c r="B2540" s="2" t="s">
        <v>14316</v>
      </c>
      <c r="C2540" s="1" t="n">
        <v>1</v>
      </c>
      <c r="D2540" s="1" t="n">
        <v>23</v>
      </c>
      <c r="E2540" s="1" t="n">
        <v>32</v>
      </c>
      <c r="F2540" s="1" t="n">
        <v>33</v>
      </c>
      <c r="G2540" s="1" t="n">
        <v>36</v>
      </c>
      <c r="H2540" s="1" t="n">
        <v>59</v>
      </c>
      <c r="I2540" s="1" t="str">
        <f aca="false">RIGHT(("0"&amp;C2540),2)&amp;RIGHT(("0"&amp;D2540),2)&amp;RIGHT(("0"&amp;E2540),2)&amp;RIGHT(("0"&amp;F2540),2)&amp;RIGHT(("0"&amp;G2540),2)&amp;RIGHT(("0"&amp;H2540),2)</f>
        <v>012332333659</v>
      </c>
      <c r="J2540" s="1" t="n">
        <f aca="false">COUNTIF(I:I,I2540)</f>
        <v>1</v>
      </c>
      <c r="K2540" s="1" t="n">
        <v>0</v>
      </c>
      <c r="M2540" s="1" t="s">
        <v>23</v>
      </c>
      <c r="N2540" s="1" t="n">
        <v>32</v>
      </c>
      <c r="O2540" s="1" t="s">
        <v>14317</v>
      </c>
      <c r="P2540" s="1" t="n">
        <v>3223</v>
      </c>
      <c r="Q2540" s="1" t="s">
        <v>14318</v>
      </c>
      <c r="R2540" s="1" t="s">
        <v>14319</v>
      </c>
      <c r="S2540" s="1" t="s">
        <v>14320</v>
      </c>
      <c r="T2540" s="1" t="s">
        <v>5294</v>
      </c>
      <c r="U2540" s="1" t="s">
        <v>14321</v>
      </c>
    </row>
    <row r="2541" customFormat="false" ht="13.8" hidden="false" customHeight="false" outlineLevel="0" collapsed="false">
      <c r="A2541" s="1" t="n">
        <v>2540</v>
      </c>
      <c r="B2541" s="2" t="s">
        <v>14322</v>
      </c>
      <c r="C2541" s="1" t="n">
        <v>2</v>
      </c>
      <c r="D2541" s="1" t="n">
        <v>8</v>
      </c>
      <c r="E2541" s="1" t="n">
        <v>28</v>
      </c>
      <c r="F2541" s="1" t="n">
        <v>34</v>
      </c>
      <c r="G2541" s="1" t="n">
        <v>41</v>
      </c>
      <c r="H2541" s="1" t="n">
        <v>49</v>
      </c>
      <c r="I2541" s="1" t="str">
        <f aca="false">RIGHT(("0"&amp;C2541),2)&amp;RIGHT(("0"&amp;D2541),2)&amp;RIGHT(("0"&amp;E2541),2)&amp;RIGHT(("0"&amp;F2541),2)&amp;RIGHT(("0"&amp;G2541),2)&amp;RIGHT(("0"&amp;H2541),2)</f>
        <v>020828344149</v>
      </c>
      <c r="J2541" s="1" t="n">
        <f aca="false">COUNTIF(I:I,I2541)</f>
        <v>1</v>
      </c>
      <c r="K2541" s="1" t="n">
        <v>0</v>
      </c>
      <c r="M2541" s="1" t="s">
        <v>23</v>
      </c>
      <c r="N2541" s="1" t="n">
        <v>90</v>
      </c>
      <c r="O2541" s="1" t="s">
        <v>14323</v>
      </c>
      <c r="P2541" s="1" t="n">
        <v>6404</v>
      </c>
      <c r="Q2541" s="1" t="s">
        <v>14324</v>
      </c>
      <c r="R2541" s="1" t="s">
        <v>14325</v>
      </c>
      <c r="S2541" s="1" t="s">
        <v>14326</v>
      </c>
      <c r="T2541" s="1" t="s">
        <v>6077</v>
      </c>
      <c r="U2541" s="1" t="s">
        <v>14327</v>
      </c>
    </row>
    <row r="2542" customFormat="false" ht="13.8" hidden="false" customHeight="false" outlineLevel="0" collapsed="false">
      <c r="A2542" s="1" t="n">
        <v>2541</v>
      </c>
      <c r="B2542" s="2" t="s">
        <v>14328</v>
      </c>
      <c r="C2542" s="1" t="n">
        <v>10</v>
      </c>
      <c r="D2542" s="1" t="n">
        <v>28</v>
      </c>
      <c r="E2542" s="1" t="n">
        <v>45</v>
      </c>
      <c r="F2542" s="1" t="n">
        <v>47</v>
      </c>
      <c r="G2542" s="1" t="n">
        <v>57</v>
      </c>
      <c r="H2542" s="1" t="n">
        <v>59</v>
      </c>
      <c r="I2542" s="1" t="str">
        <f aca="false">RIGHT(("0"&amp;C2542),2)&amp;RIGHT(("0"&amp;D2542),2)&amp;RIGHT(("0"&amp;E2542),2)&amp;RIGHT(("0"&amp;F2542),2)&amp;RIGHT(("0"&amp;G2542),2)&amp;RIGHT(("0"&amp;H2542),2)</f>
        <v>102845475759</v>
      </c>
      <c r="J2542" s="1" t="n">
        <f aca="false">COUNTIF(I:I,I2542)</f>
        <v>1</v>
      </c>
      <c r="K2542" s="1" t="n">
        <v>0</v>
      </c>
      <c r="M2542" s="1" t="s">
        <v>23</v>
      </c>
      <c r="N2542" s="1" t="n">
        <v>51</v>
      </c>
      <c r="O2542" s="1" t="s">
        <v>14329</v>
      </c>
      <c r="P2542" s="1" t="n">
        <v>3793</v>
      </c>
      <c r="Q2542" s="1" t="s">
        <v>14330</v>
      </c>
      <c r="R2542" s="1" t="s">
        <v>14331</v>
      </c>
      <c r="S2542" s="1" t="s">
        <v>14332</v>
      </c>
      <c r="T2542" s="1" t="s">
        <v>6559</v>
      </c>
      <c r="U2542" s="1" t="s">
        <v>14333</v>
      </c>
    </row>
    <row r="2543" customFormat="false" ht="13.8" hidden="false" customHeight="false" outlineLevel="0" collapsed="false">
      <c r="A2543" s="1" t="n">
        <v>2542</v>
      </c>
      <c r="B2543" s="2" t="s">
        <v>14334</v>
      </c>
      <c r="C2543" s="1" t="n">
        <v>12</v>
      </c>
      <c r="D2543" s="1" t="n">
        <v>20</v>
      </c>
      <c r="E2543" s="1" t="n">
        <v>22</v>
      </c>
      <c r="F2543" s="1" t="n">
        <v>25</v>
      </c>
      <c r="G2543" s="1" t="n">
        <v>26</v>
      </c>
      <c r="H2543" s="1" t="n">
        <v>55</v>
      </c>
      <c r="I2543" s="1" t="str">
        <f aca="false">RIGHT(("0"&amp;C2543),2)&amp;RIGHT(("0"&amp;D2543),2)&amp;RIGHT(("0"&amp;E2543),2)&amp;RIGHT(("0"&amp;F2543),2)&amp;RIGHT(("0"&amp;G2543),2)&amp;RIGHT(("0"&amp;H2543),2)</f>
        <v>122022252655</v>
      </c>
      <c r="J2543" s="1" t="n">
        <f aca="false">COUNTIF(I:I,I2543)</f>
        <v>1</v>
      </c>
      <c r="K2543" s="1" t="n">
        <v>0</v>
      </c>
      <c r="M2543" s="1" t="s">
        <v>23</v>
      </c>
      <c r="N2543" s="1" t="n">
        <v>74</v>
      </c>
      <c r="O2543" s="1" t="s">
        <v>14335</v>
      </c>
      <c r="P2543" s="1" t="n">
        <v>5246</v>
      </c>
      <c r="Q2543" s="1" t="s">
        <v>14336</v>
      </c>
      <c r="R2543" s="1" t="s">
        <v>14337</v>
      </c>
      <c r="S2543" s="1" t="s">
        <v>14338</v>
      </c>
      <c r="T2543" s="1" t="s">
        <v>10127</v>
      </c>
      <c r="U2543" s="1" t="s">
        <v>14339</v>
      </c>
    </row>
    <row r="2544" customFormat="false" ht="13.8" hidden="false" customHeight="false" outlineLevel="0" collapsed="false">
      <c r="A2544" s="1" t="n">
        <v>2543</v>
      </c>
      <c r="B2544" s="2" t="s">
        <v>14340</v>
      </c>
      <c r="C2544" s="1" t="n">
        <v>2</v>
      </c>
      <c r="D2544" s="1" t="n">
        <v>5</v>
      </c>
      <c r="E2544" s="1" t="n">
        <v>27</v>
      </c>
      <c r="F2544" s="1" t="n">
        <v>30</v>
      </c>
      <c r="G2544" s="1" t="n">
        <v>46</v>
      </c>
      <c r="H2544" s="1" t="n">
        <v>53</v>
      </c>
      <c r="I2544" s="1" t="str">
        <f aca="false">RIGHT(("0"&amp;C2544),2)&amp;RIGHT(("0"&amp;D2544),2)&amp;RIGHT(("0"&amp;E2544),2)&amp;RIGHT(("0"&amp;F2544),2)&amp;RIGHT(("0"&amp;G2544),2)&amp;RIGHT(("0"&amp;H2544),2)</f>
        <v>020527304653</v>
      </c>
      <c r="J2544" s="1" t="n">
        <f aca="false">COUNTIF(I:I,I2544)</f>
        <v>1</v>
      </c>
      <c r="K2544" s="1" t="n">
        <v>0</v>
      </c>
      <c r="M2544" s="1" t="s">
        <v>23</v>
      </c>
      <c r="N2544" s="1" t="n">
        <v>138</v>
      </c>
      <c r="O2544" s="1" t="s">
        <v>14341</v>
      </c>
      <c r="P2544" s="1" t="n">
        <v>7475</v>
      </c>
      <c r="Q2544" s="1" t="s">
        <v>14342</v>
      </c>
      <c r="R2544" s="1" t="s">
        <v>14343</v>
      </c>
      <c r="S2544" s="1" t="s">
        <v>14344</v>
      </c>
      <c r="T2544" s="1" t="s">
        <v>9211</v>
      </c>
      <c r="U2544" s="1" t="s">
        <v>14345</v>
      </c>
    </row>
    <row r="2545" customFormat="false" ht="13.8" hidden="false" customHeight="false" outlineLevel="0" collapsed="false">
      <c r="A2545" s="1" t="n">
        <v>2544</v>
      </c>
      <c r="B2545" s="2" t="s">
        <v>14346</v>
      </c>
      <c r="C2545" s="1" t="n">
        <v>25</v>
      </c>
      <c r="D2545" s="1" t="n">
        <v>38</v>
      </c>
      <c r="E2545" s="1" t="n">
        <v>45</v>
      </c>
      <c r="F2545" s="1" t="n">
        <v>53</v>
      </c>
      <c r="G2545" s="1" t="n">
        <v>55</v>
      </c>
      <c r="H2545" s="1" t="n">
        <v>56</v>
      </c>
      <c r="I2545" s="1" t="str">
        <f aca="false">RIGHT(("0"&amp;C2545),2)&amp;RIGHT(("0"&amp;D2545),2)&amp;RIGHT(("0"&amp;E2545),2)&amp;RIGHT(("0"&amp;F2545),2)&amp;RIGHT(("0"&amp;G2545),2)&amp;RIGHT(("0"&amp;H2545),2)</f>
        <v>253845535556</v>
      </c>
      <c r="J2545" s="1" t="n">
        <f aca="false">COUNTIF(I:I,I2545)</f>
        <v>1</v>
      </c>
      <c r="K2545" s="1" t="n">
        <v>0</v>
      </c>
      <c r="M2545" s="1" t="s">
        <v>23</v>
      </c>
      <c r="N2545" s="1" t="n">
        <v>71</v>
      </c>
      <c r="O2545" s="1" t="s">
        <v>14347</v>
      </c>
      <c r="P2545" s="1" t="n">
        <v>6119</v>
      </c>
      <c r="Q2545" s="1" t="s">
        <v>14348</v>
      </c>
      <c r="R2545" s="1" t="s">
        <v>14349</v>
      </c>
      <c r="S2545" s="1" t="s">
        <v>14350</v>
      </c>
      <c r="T2545" s="1" t="s">
        <v>9535</v>
      </c>
      <c r="U2545" s="1" t="s">
        <v>14351</v>
      </c>
    </row>
    <row r="2546" customFormat="false" ht="13.8" hidden="false" customHeight="false" outlineLevel="0" collapsed="false">
      <c r="A2546" s="1" t="n">
        <v>2545</v>
      </c>
      <c r="B2546" s="2" t="s">
        <v>14352</v>
      </c>
      <c r="C2546" s="1" t="n">
        <v>20</v>
      </c>
      <c r="D2546" s="1" t="n">
        <v>23</v>
      </c>
      <c r="E2546" s="1" t="n">
        <v>32</v>
      </c>
      <c r="F2546" s="1" t="n">
        <v>36</v>
      </c>
      <c r="G2546" s="1" t="n">
        <v>39</v>
      </c>
      <c r="H2546" s="1" t="n">
        <v>57</v>
      </c>
      <c r="I2546" s="1" t="str">
        <f aca="false">RIGHT(("0"&amp;C2546),2)&amp;RIGHT(("0"&amp;D2546),2)&amp;RIGHT(("0"&amp;E2546),2)&amp;RIGHT(("0"&amp;F2546),2)&amp;RIGHT(("0"&amp;G2546),2)&amp;RIGHT(("0"&amp;H2546),2)</f>
        <v>202332363957</v>
      </c>
      <c r="J2546" s="1" t="n">
        <f aca="false">COUNTIF(I:I,I2546)</f>
        <v>1</v>
      </c>
      <c r="K2546" s="1" t="n">
        <v>0</v>
      </c>
      <c r="M2546" s="1" t="s">
        <v>23</v>
      </c>
      <c r="N2546" s="1" t="n">
        <v>94</v>
      </c>
      <c r="O2546" s="1" t="s">
        <v>14353</v>
      </c>
      <c r="P2546" s="1" t="n">
        <v>8855</v>
      </c>
      <c r="Q2546" s="1" t="s">
        <v>14354</v>
      </c>
      <c r="R2546" s="1" t="s">
        <v>14355</v>
      </c>
      <c r="S2546" s="1" t="s">
        <v>14356</v>
      </c>
      <c r="T2546" s="1" t="s">
        <v>6104</v>
      </c>
      <c r="U2546" s="1" t="s">
        <v>14357</v>
      </c>
    </row>
    <row r="2547" customFormat="false" ht="13.8" hidden="false" customHeight="false" outlineLevel="0" collapsed="false">
      <c r="A2547" s="1" t="n">
        <v>2546</v>
      </c>
      <c r="B2547" s="2" t="s">
        <v>14358</v>
      </c>
      <c r="C2547" s="1" t="n">
        <v>3</v>
      </c>
      <c r="D2547" s="1" t="n">
        <v>23</v>
      </c>
      <c r="E2547" s="1" t="n">
        <v>28</v>
      </c>
      <c r="F2547" s="1" t="n">
        <v>34</v>
      </c>
      <c r="G2547" s="1" t="n">
        <v>38</v>
      </c>
      <c r="H2547" s="1" t="n">
        <v>48</v>
      </c>
      <c r="I2547" s="1" t="str">
        <f aca="false">RIGHT(("0"&amp;C2547),2)&amp;RIGHT(("0"&amp;D2547),2)&amp;RIGHT(("0"&amp;E2547),2)&amp;RIGHT(("0"&amp;F2547),2)&amp;RIGHT(("0"&amp;G2547),2)&amp;RIGHT(("0"&amp;H2547),2)</f>
        <v>032328343848</v>
      </c>
      <c r="J2547" s="1" t="n">
        <f aca="false">COUNTIF(I:I,I2547)</f>
        <v>1</v>
      </c>
      <c r="K2547" s="1" t="n">
        <v>0</v>
      </c>
      <c r="M2547" s="1" t="s">
        <v>23</v>
      </c>
      <c r="N2547" s="1" t="n">
        <v>128</v>
      </c>
      <c r="O2547" s="1" t="s">
        <v>14359</v>
      </c>
      <c r="P2547" s="1" t="n">
        <v>9138</v>
      </c>
      <c r="Q2547" s="1" t="s">
        <v>14360</v>
      </c>
      <c r="R2547" s="1" t="s">
        <v>14361</v>
      </c>
      <c r="S2547" s="1" t="s">
        <v>14362</v>
      </c>
      <c r="T2547" s="1" t="s">
        <v>9554</v>
      </c>
      <c r="U2547" s="1" t="s">
        <v>14363</v>
      </c>
    </row>
    <row r="2548" customFormat="false" ht="13.8" hidden="false" customHeight="false" outlineLevel="0" collapsed="false">
      <c r="A2548" s="1" t="n">
        <v>2547</v>
      </c>
      <c r="B2548" s="2" t="s">
        <v>14364</v>
      </c>
      <c r="C2548" s="1" t="n">
        <v>10</v>
      </c>
      <c r="D2548" s="1" t="n">
        <v>25</v>
      </c>
      <c r="E2548" s="1" t="n">
        <v>31</v>
      </c>
      <c r="F2548" s="1" t="n">
        <v>37</v>
      </c>
      <c r="G2548" s="1" t="n">
        <v>38</v>
      </c>
      <c r="H2548" s="1" t="n">
        <v>57</v>
      </c>
      <c r="I2548" s="1" t="str">
        <f aca="false">RIGHT(("0"&amp;C2548),2)&amp;RIGHT(("0"&amp;D2548),2)&amp;RIGHT(("0"&amp;E2548),2)&amp;RIGHT(("0"&amp;F2548),2)&amp;RIGHT(("0"&amp;G2548),2)&amp;RIGHT(("0"&amp;H2548),2)</f>
        <v>102531373857</v>
      </c>
      <c r="J2548" s="1" t="n">
        <f aca="false">COUNTIF(I:I,I2548)</f>
        <v>1</v>
      </c>
      <c r="K2548" s="1" t="n">
        <v>0</v>
      </c>
      <c r="M2548" s="1" t="s">
        <v>23</v>
      </c>
      <c r="N2548" s="1" t="n">
        <v>100</v>
      </c>
      <c r="O2548" s="1" t="s">
        <v>14365</v>
      </c>
      <c r="P2548" s="1" t="n">
        <v>8588</v>
      </c>
      <c r="Q2548" s="1" t="s">
        <v>14366</v>
      </c>
      <c r="R2548" s="1" t="s">
        <v>14367</v>
      </c>
      <c r="S2548" s="1" t="s">
        <v>14368</v>
      </c>
      <c r="T2548" s="1" t="s">
        <v>8849</v>
      </c>
      <c r="U2548" s="1" t="s">
        <v>14369</v>
      </c>
    </row>
    <row r="2549" customFormat="false" ht="13.8" hidden="false" customHeight="false" outlineLevel="0" collapsed="false">
      <c r="A2549" s="1" t="n">
        <v>2548</v>
      </c>
      <c r="B2549" s="2" t="s">
        <v>14370</v>
      </c>
      <c r="C2549" s="1" t="n">
        <v>9</v>
      </c>
      <c r="D2549" s="1" t="n">
        <v>15</v>
      </c>
      <c r="E2549" s="1" t="n">
        <v>23</v>
      </c>
      <c r="F2549" s="1" t="n">
        <v>25</v>
      </c>
      <c r="G2549" s="1" t="n">
        <v>29</v>
      </c>
      <c r="H2549" s="1" t="n">
        <v>30</v>
      </c>
      <c r="I2549" s="1" t="str">
        <f aca="false">RIGHT(("0"&amp;C2549),2)&amp;RIGHT(("0"&amp;D2549),2)&amp;RIGHT(("0"&amp;E2549),2)&amp;RIGHT(("0"&amp;F2549),2)&amp;RIGHT(("0"&amp;G2549),2)&amp;RIGHT(("0"&amp;H2549),2)</f>
        <v>091523252930</v>
      </c>
      <c r="J2549" s="1" t="n">
        <f aca="false">COUNTIF(I:I,I2549)</f>
        <v>1</v>
      </c>
      <c r="K2549" s="1" t="n">
        <v>1</v>
      </c>
      <c r="L2549" s="1" t="s">
        <v>12490</v>
      </c>
      <c r="M2549" s="1" t="s">
        <v>14371</v>
      </c>
      <c r="N2549" s="1" t="n">
        <v>186</v>
      </c>
      <c r="O2549" s="1" t="s">
        <v>14372</v>
      </c>
      <c r="P2549" s="1" t="n">
        <v>12011</v>
      </c>
      <c r="Q2549" s="1" t="s">
        <v>14373</v>
      </c>
      <c r="R2549" s="1" t="s">
        <v>23</v>
      </c>
      <c r="S2549" s="1" t="s">
        <v>14374</v>
      </c>
      <c r="T2549" s="1" t="s">
        <v>473</v>
      </c>
      <c r="U2549" s="1" t="s">
        <v>14375</v>
      </c>
    </row>
    <row r="2550" customFormat="false" ht="13.8" hidden="false" customHeight="false" outlineLevel="0" collapsed="false">
      <c r="A2550" s="1" t="n">
        <v>2549</v>
      </c>
      <c r="B2550" s="2" t="s">
        <v>14376</v>
      </c>
      <c r="C2550" s="1" t="n">
        <v>1</v>
      </c>
      <c r="D2550" s="1" t="n">
        <v>6</v>
      </c>
      <c r="E2550" s="1" t="n">
        <v>10</v>
      </c>
      <c r="F2550" s="1" t="n">
        <v>30</v>
      </c>
      <c r="G2550" s="1" t="n">
        <v>33</v>
      </c>
      <c r="H2550" s="1" t="n">
        <v>35</v>
      </c>
      <c r="I2550" s="1" t="str">
        <f aca="false">RIGHT(("0"&amp;C2550),2)&amp;RIGHT(("0"&amp;D2550),2)&amp;RIGHT(("0"&amp;E2550),2)&amp;RIGHT(("0"&amp;F2550),2)&amp;RIGHT(("0"&amp;G2550),2)&amp;RIGHT(("0"&amp;H2550),2)</f>
        <v>010610303335</v>
      </c>
      <c r="J2550" s="1" t="n">
        <f aca="false">COUNTIF(I:I,I2550)</f>
        <v>1</v>
      </c>
      <c r="K2550" s="1" t="n">
        <v>0</v>
      </c>
      <c r="M2550" s="1" t="s">
        <v>23</v>
      </c>
      <c r="N2550" s="1" t="n">
        <v>107</v>
      </c>
      <c r="O2550" s="1" t="s">
        <v>14377</v>
      </c>
      <c r="P2550" s="1" t="n">
        <v>5232</v>
      </c>
      <c r="Q2550" s="1" t="s">
        <v>14378</v>
      </c>
      <c r="R2550" s="1" t="s">
        <v>14379</v>
      </c>
      <c r="S2550" s="1" t="s">
        <v>14380</v>
      </c>
      <c r="T2550" s="1" t="s">
        <v>14381</v>
      </c>
      <c r="U2550" s="1" t="s">
        <v>14379</v>
      </c>
    </row>
    <row r="2551" customFormat="false" ht="13.8" hidden="false" customHeight="false" outlineLevel="0" collapsed="false">
      <c r="A2551" s="1" t="n">
        <v>2550</v>
      </c>
      <c r="B2551" s="2" t="s">
        <v>14382</v>
      </c>
      <c r="C2551" s="1" t="n">
        <v>4</v>
      </c>
      <c r="D2551" s="1" t="n">
        <v>5</v>
      </c>
      <c r="E2551" s="1" t="n">
        <v>10</v>
      </c>
      <c r="F2551" s="1" t="n">
        <v>34</v>
      </c>
      <c r="G2551" s="1" t="n">
        <v>58</v>
      </c>
      <c r="H2551" s="1" t="n">
        <v>59</v>
      </c>
      <c r="I2551" s="1" t="str">
        <f aca="false">RIGHT(("0"&amp;C2551),2)&amp;RIGHT(("0"&amp;D2551),2)&amp;RIGHT(("0"&amp;E2551),2)&amp;RIGHT(("0"&amp;F2551),2)&amp;RIGHT(("0"&amp;G2551),2)&amp;RIGHT(("0"&amp;H2551),2)</f>
        <v>040510345859</v>
      </c>
      <c r="J2551" s="1" t="n">
        <f aca="false">COUNTIF(I:I,I2551)</f>
        <v>1</v>
      </c>
      <c r="K2551" s="1" t="n">
        <v>5</v>
      </c>
      <c r="L2551" s="1" t="s">
        <v>14383</v>
      </c>
      <c r="M2551" s="1" t="s">
        <v>14384</v>
      </c>
      <c r="N2551" s="1" t="n">
        <v>2485</v>
      </c>
      <c r="O2551" s="1" t="s">
        <v>14385</v>
      </c>
      <c r="P2551" s="1" t="n">
        <v>183921</v>
      </c>
      <c r="Q2551" s="1" t="s">
        <v>14386</v>
      </c>
      <c r="R2551" s="1" t="s">
        <v>23</v>
      </c>
      <c r="S2551" s="1" t="s">
        <v>14387</v>
      </c>
      <c r="T2551" s="1" t="s">
        <v>473</v>
      </c>
      <c r="U2551" s="1" t="s">
        <v>23</v>
      </c>
    </row>
    <row r="2552" customFormat="false" ht="13.8" hidden="false" customHeight="false" outlineLevel="0" collapsed="false">
      <c r="A2552" s="1" t="n">
        <v>2551</v>
      </c>
      <c r="B2552" s="2" t="s">
        <v>14388</v>
      </c>
      <c r="C2552" s="1" t="n">
        <v>1</v>
      </c>
      <c r="D2552" s="1" t="n">
        <v>25</v>
      </c>
      <c r="E2552" s="1" t="n">
        <v>29</v>
      </c>
      <c r="F2552" s="1" t="n">
        <v>43</v>
      </c>
      <c r="G2552" s="1" t="n">
        <v>46</v>
      </c>
      <c r="H2552" s="1" t="n">
        <v>48</v>
      </c>
      <c r="I2552" s="1" t="str">
        <f aca="false">RIGHT(("0"&amp;C2552),2)&amp;RIGHT(("0"&amp;D2552),2)&amp;RIGHT(("0"&amp;E2552),2)&amp;RIGHT(("0"&amp;F2552),2)&amp;RIGHT(("0"&amp;G2552),2)&amp;RIGHT(("0"&amp;H2552),2)</f>
        <v>012529434648</v>
      </c>
      <c r="J2552" s="1" t="n">
        <f aca="false">COUNTIF(I:I,I2552)</f>
        <v>1</v>
      </c>
      <c r="K2552" s="1" t="n">
        <v>0</v>
      </c>
      <c r="M2552" s="1" t="s">
        <v>23</v>
      </c>
      <c r="N2552" s="1" t="n">
        <v>49</v>
      </c>
      <c r="O2552" s="1" t="s">
        <v>14389</v>
      </c>
      <c r="P2552" s="1" t="n">
        <v>2428</v>
      </c>
      <c r="Q2552" s="1" t="s">
        <v>14390</v>
      </c>
      <c r="R2552" s="1" t="s">
        <v>14391</v>
      </c>
      <c r="S2552" s="1" t="s">
        <v>14392</v>
      </c>
      <c r="T2552" s="1" t="s">
        <v>4991</v>
      </c>
      <c r="U2552" s="1" t="s">
        <v>14393</v>
      </c>
    </row>
    <row r="2553" customFormat="false" ht="13.8" hidden="false" customHeight="false" outlineLevel="0" collapsed="false">
      <c r="A2553" s="1" t="n">
        <v>2552</v>
      </c>
      <c r="B2553" s="2" t="s">
        <v>14394</v>
      </c>
      <c r="C2553" s="1" t="n">
        <v>5</v>
      </c>
      <c r="D2553" s="1" t="n">
        <v>24</v>
      </c>
      <c r="E2553" s="1" t="n">
        <v>25</v>
      </c>
      <c r="F2553" s="1" t="n">
        <v>33</v>
      </c>
      <c r="G2553" s="1" t="n">
        <v>38</v>
      </c>
      <c r="H2553" s="1" t="n">
        <v>41</v>
      </c>
      <c r="I2553" s="1" t="str">
        <f aca="false">RIGHT(("0"&amp;C2553),2)&amp;RIGHT(("0"&amp;D2553),2)&amp;RIGHT(("0"&amp;E2553),2)&amp;RIGHT(("0"&amp;F2553),2)&amp;RIGHT(("0"&amp;G2553),2)&amp;RIGHT(("0"&amp;H2553),2)</f>
        <v>052425333841</v>
      </c>
      <c r="J2553" s="1" t="n">
        <f aca="false">COUNTIF(I:I,I2553)</f>
        <v>1</v>
      </c>
      <c r="K2553" s="1" t="n">
        <v>0</v>
      </c>
      <c r="M2553" s="1" t="s">
        <v>23</v>
      </c>
      <c r="N2553" s="1" t="n">
        <v>62</v>
      </c>
      <c r="O2553" s="1" t="s">
        <v>14395</v>
      </c>
      <c r="P2553" s="1" t="n">
        <v>4644</v>
      </c>
      <c r="Q2553" s="1" t="s">
        <v>14396</v>
      </c>
      <c r="R2553" s="1" t="s">
        <v>14397</v>
      </c>
      <c r="S2553" s="1" t="s">
        <v>14398</v>
      </c>
      <c r="T2553" s="1" t="s">
        <v>4846</v>
      </c>
      <c r="U2553" s="1" t="s">
        <v>14399</v>
      </c>
    </row>
    <row r="2554" customFormat="false" ht="13.8" hidden="false" customHeight="false" outlineLevel="0" collapsed="false">
      <c r="A2554" s="1" t="n">
        <v>2553</v>
      </c>
      <c r="B2554" s="2" t="s">
        <v>14400</v>
      </c>
      <c r="C2554" s="1" t="n">
        <v>13</v>
      </c>
      <c r="D2554" s="1" t="n">
        <v>15</v>
      </c>
      <c r="E2554" s="1" t="n">
        <v>53</v>
      </c>
      <c r="F2554" s="1" t="n">
        <v>54</v>
      </c>
      <c r="G2554" s="1" t="n">
        <v>55</v>
      </c>
      <c r="H2554" s="1" t="n">
        <v>58</v>
      </c>
      <c r="I2554" s="1" t="str">
        <f aca="false">RIGHT(("0"&amp;C2554),2)&amp;RIGHT(("0"&amp;D2554),2)&amp;RIGHT(("0"&amp;E2554),2)&amp;RIGHT(("0"&amp;F2554),2)&amp;RIGHT(("0"&amp;G2554),2)&amp;RIGHT(("0"&amp;H2554),2)</f>
        <v>131553545558</v>
      </c>
      <c r="J2554" s="1" t="n">
        <f aca="false">COUNTIF(I:I,I2554)</f>
        <v>1</v>
      </c>
      <c r="K2554" s="1" t="n">
        <v>0</v>
      </c>
      <c r="M2554" s="1" t="s">
        <v>23</v>
      </c>
      <c r="N2554" s="1" t="n">
        <v>31</v>
      </c>
      <c r="O2554" s="1" t="s">
        <v>14401</v>
      </c>
      <c r="P2554" s="1" t="n">
        <v>2575</v>
      </c>
      <c r="Q2554" s="1" t="s">
        <v>14402</v>
      </c>
      <c r="R2554" s="1" t="s">
        <v>14403</v>
      </c>
      <c r="S2554" s="1" t="s">
        <v>14404</v>
      </c>
      <c r="T2554" s="1" t="s">
        <v>3928</v>
      </c>
      <c r="U2554" s="1" t="s">
        <v>14405</v>
      </c>
    </row>
    <row r="2555" customFormat="false" ht="13.8" hidden="false" customHeight="false" outlineLevel="0" collapsed="false">
      <c r="A2555" s="1" t="n">
        <v>2554</v>
      </c>
      <c r="B2555" s="2" t="s">
        <v>14406</v>
      </c>
      <c r="C2555" s="1" t="n">
        <v>19</v>
      </c>
      <c r="D2555" s="1" t="n">
        <v>25</v>
      </c>
      <c r="E2555" s="1" t="n">
        <v>43</v>
      </c>
      <c r="F2555" s="1" t="n">
        <v>44</v>
      </c>
      <c r="G2555" s="1" t="n">
        <v>48</v>
      </c>
      <c r="H2555" s="1" t="n">
        <v>49</v>
      </c>
      <c r="I2555" s="1" t="str">
        <f aca="false">RIGHT(("0"&amp;C2555),2)&amp;RIGHT(("0"&amp;D2555),2)&amp;RIGHT(("0"&amp;E2555),2)&amp;RIGHT(("0"&amp;F2555),2)&amp;RIGHT(("0"&amp;G2555),2)&amp;RIGHT(("0"&amp;H2555),2)</f>
        <v>192543444849</v>
      </c>
      <c r="J2555" s="1" t="n">
        <f aca="false">COUNTIF(I:I,I2555)</f>
        <v>1</v>
      </c>
      <c r="K2555" s="1" t="n">
        <v>0</v>
      </c>
      <c r="M2555" s="1" t="s">
        <v>23</v>
      </c>
      <c r="N2555" s="1" t="n">
        <v>78</v>
      </c>
      <c r="O2555" s="1" t="s">
        <v>14407</v>
      </c>
      <c r="P2555" s="1" t="n">
        <v>4929</v>
      </c>
      <c r="Q2555" s="1" t="s">
        <v>14408</v>
      </c>
      <c r="R2555" s="1" t="s">
        <v>14409</v>
      </c>
      <c r="S2555" s="1" t="s">
        <v>14410</v>
      </c>
      <c r="T2555" s="1" t="s">
        <v>4304</v>
      </c>
      <c r="U2555" s="1" t="s">
        <v>14411</v>
      </c>
    </row>
    <row r="2556" customFormat="false" ht="13.8" hidden="false" customHeight="false" outlineLevel="0" collapsed="false">
      <c r="A2556" s="1" t="n">
        <v>2555</v>
      </c>
      <c r="B2556" s="2" t="s">
        <v>14412</v>
      </c>
      <c r="C2556" s="1" t="n">
        <v>3</v>
      </c>
      <c r="D2556" s="1" t="n">
        <v>20</v>
      </c>
      <c r="E2556" s="1" t="n">
        <v>45</v>
      </c>
      <c r="F2556" s="1" t="n">
        <v>52</v>
      </c>
      <c r="G2556" s="1" t="n">
        <v>53</v>
      </c>
      <c r="H2556" s="1" t="n">
        <v>58</v>
      </c>
      <c r="I2556" s="1" t="str">
        <f aca="false">RIGHT(("0"&amp;C2556),2)&amp;RIGHT(("0"&amp;D2556),2)&amp;RIGHT(("0"&amp;E2556),2)&amp;RIGHT(("0"&amp;F2556),2)&amp;RIGHT(("0"&amp;G2556),2)&amp;RIGHT(("0"&amp;H2556),2)</f>
        <v>032045525358</v>
      </c>
      <c r="J2556" s="1" t="n">
        <f aca="false">COUNTIF(I:I,I2556)</f>
        <v>1</v>
      </c>
      <c r="K2556" s="1" t="n">
        <v>0</v>
      </c>
      <c r="M2556" s="1" t="s">
        <v>23</v>
      </c>
      <c r="N2556" s="1" t="n">
        <v>58</v>
      </c>
      <c r="O2556" s="1" t="s">
        <v>14413</v>
      </c>
      <c r="P2556" s="1" t="n">
        <v>4595</v>
      </c>
      <c r="Q2556" s="1" t="s">
        <v>14414</v>
      </c>
      <c r="R2556" s="1" t="s">
        <v>14415</v>
      </c>
      <c r="S2556" s="1" t="s">
        <v>14416</v>
      </c>
      <c r="T2556" s="1" t="s">
        <v>7301</v>
      </c>
      <c r="U2556" s="1" t="s">
        <v>14417</v>
      </c>
    </row>
    <row r="2557" customFormat="false" ht="13.8" hidden="false" customHeight="false" outlineLevel="0" collapsed="false">
      <c r="A2557" s="1" t="n">
        <v>2556</v>
      </c>
      <c r="B2557" s="2" t="s">
        <v>14418</v>
      </c>
      <c r="C2557" s="1" t="n">
        <v>2</v>
      </c>
      <c r="D2557" s="1" t="n">
        <v>6</v>
      </c>
      <c r="E2557" s="1" t="n">
        <v>10</v>
      </c>
      <c r="F2557" s="1" t="n">
        <v>14</v>
      </c>
      <c r="G2557" s="1" t="n">
        <v>34</v>
      </c>
      <c r="H2557" s="1" t="n">
        <v>56</v>
      </c>
      <c r="I2557" s="1" t="str">
        <f aca="false">RIGHT(("0"&amp;C2557),2)&amp;RIGHT(("0"&amp;D2557),2)&amp;RIGHT(("0"&amp;E2557),2)&amp;RIGHT(("0"&amp;F2557),2)&amp;RIGHT(("0"&amp;G2557),2)&amp;RIGHT(("0"&amp;H2557),2)</f>
        <v>020610143456</v>
      </c>
      <c r="J2557" s="1" t="n">
        <f aca="false">COUNTIF(I:I,I2557)</f>
        <v>1</v>
      </c>
      <c r="K2557" s="1" t="n">
        <v>0</v>
      </c>
      <c r="M2557" s="1" t="s">
        <v>23</v>
      </c>
      <c r="N2557" s="1" t="n">
        <v>136</v>
      </c>
      <c r="O2557" s="1" t="s">
        <v>14419</v>
      </c>
      <c r="P2557" s="1" t="n">
        <v>9200</v>
      </c>
      <c r="Q2557" s="1" t="s">
        <v>14420</v>
      </c>
      <c r="R2557" s="1" t="s">
        <v>14421</v>
      </c>
      <c r="S2557" s="1" t="s">
        <v>14422</v>
      </c>
      <c r="T2557" s="1" t="s">
        <v>14423</v>
      </c>
      <c r="U2557" s="1" t="s">
        <v>14424</v>
      </c>
    </row>
    <row r="2558" customFormat="false" ht="13.8" hidden="false" customHeight="false" outlineLevel="0" collapsed="false">
      <c r="A2558" s="1" t="n">
        <v>2557</v>
      </c>
      <c r="B2558" s="2" t="s">
        <v>14425</v>
      </c>
      <c r="C2558" s="1" t="n">
        <v>3</v>
      </c>
      <c r="D2558" s="1" t="n">
        <v>13</v>
      </c>
      <c r="E2558" s="1" t="n">
        <v>16</v>
      </c>
      <c r="F2558" s="1" t="n">
        <v>25</v>
      </c>
      <c r="G2558" s="1" t="n">
        <v>27</v>
      </c>
      <c r="H2558" s="1" t="n">
        <v>33</v>
      </c>
      <c r="I2558" s="1" t="str">
        <f aca="false">RIGHT(("0"&amp;C2558),2)&amp;RIGHT(("0"&amp;D2558),2)&amp;RIGHT(("0"&amp;E2558),2)&amp;RIGHT(("0"&amp;F2558),2)&amp;RIGHT(("0"&amp;G2558),2)&amp;RIGHT(("0"&amp;H2558),2)</f>
        <v>031316252733</v>
      </c>
      <c r="J2558" s="1" t="n">
        <f aca="false">COUNTIF(I:I,I2558)</f>
        <v>1</v>
      </c>
      <c r="K2558" s="1" t="n">
        <v>0</v>
      </c>
      <c r="M2558" s="1" t="s">
        <v>23</v>
      </c>
      <c r="N2558" s="1" t="n">
        <v>261</v>
      </c>
      <c r="O2558" s="1" t="s">
        <v>14426</v>
      </c>
      <c r="P2558" s="1" t="n">
        <v>16523</v>
      </c>
      <c r="Q2558" s="1" t="s">
        <v>14427</v>
      </c>
      <c r="R2558" s="1" t="s">
        <v>14428</v>
      </c>
      <c r="S2558" s="1" t="s">
        <v>14429</v>
      </c>
      <c r="T2558" s="1" t="s">
        <v>6693</v>
      </c>
      <c r="U2558" s="1" t="s">
        <v>14430</v>
      </c>
    </row>
    <row r="2559" customFormat="false" ht="13.8" hidden="false" customHeight="false" outlineLevel="0" collapsed="false">
      <c r="A2559" s="1" t="n">
        <v>2558</v>
      </c>
      <c r="B2559" s="2" t="s">
        <v>14431</v>
      </c>
      <c r="C2559" s="1" t="n">
        <v>2</v>
      </c>
      <c r="D2559" s="1" t="n">
        <v>10</v>
      </c>
      <c r="E2559" s="1" t="n">
        <v>18</v>
      </c>
      <c r="F2559" s="1" t="n">
        <v>25</v>
      </c>
      <c r="G2559" s="1" t="n">
        <v>34</v>
      </c>
      <c r="H2559" s="1" t="n">
        <v>44</v>
      </c>
      <c r="I2559" s="1" t="str">
        <f aca="false">RIGHT(("0"&amp;C2559),2)&amp;RIGHT(("0"&amp;D2559),2)&amp;RIGHT(("0"&amp;E2559),2)&amp;RIGHT(("0"&amp;F2559),2)&amp;RIGHT(("0"&amp;G2559),2)&amp;RIGHT(("0"&amp;H2559),2)</f>
        <v>021018253444</v>
      </c>
      <c r="J2559" s="1" t="n">
        <f aca="false">COUNTIF(I:I,I2559)</f>
        <v>1</v>
      </c>
      <c r="K2559" s="1" t="n">
        <v>0</v>
      </c>
      <c r="M2559" s="1" t="s">
        <v>23</v>
      </c>
      <c r="N2559" s="1" t="n">
        <v>181</v>
      </c>
      <c r="O2559" s="1" t="s">
        <v>14432</v>
      </c>
      <c r="P2559" s="1" t="n">
        <v>11265</v>
      </c>
      <c r="Q2559" s="1" t="s">
        <v>14433</v>
      </c>
      <c r="R2559" s="1" t="s">
        <v>14434</v>
      </c>
      <c r="S2559" s="1" t="s">
        <v>14435</v>
      </c>
      <c r="T2559" s="1" t="s">
        <v>6097</v>
      </c>
      <c r="U2559" s="1" t="s">
        <v>14436</v>
      </c>
    </row>
    <row r="2560" customFormat="false" ht="13.8" hidden="false" customHeight="false" outlineLevel="0" collapsed="false">
      <c r="A2560" s="1" t="n">
        <v>2559</v>
      </c>
      <c r="B2560" s="2" t="s">
        <v>14437</v>
      </c>
      <c r="C2560" s="1" t="n">
        <v>9</v>
      </c>
      <c r="D2560" s="1" t="n">
        <v>12</v>
      </c>
      <c r="E2560" s="1" t="n">
        <v>20</v>
      </c>
      <c r="F2560" s="1" t="n">
        <v>30</v>
      </c>
      <c r="G2560" s="1" t="n">
        <v>32</v>
      </c>
      <c r="H2560" s="1" t="n">
        <v>35</v>
      </c>
      <c r="I2560" s="1" t="str">
        <f aca="false">RIGHT(("0"&amp;C2560),2)&amp;RIGHT(("0"&amp;D2560),2)&amp;RIGHT(("0"&amp;E2560),2)&amp;RIGHT(("0"&amp;F2560),2)&amp;RIGHT(("0"&amp;G2560),2)&amp;RIGHT(("0"&amp;H2560),2)</f>
        <v>091220303235</v>
      </c>
      <c r="J2560" s="1" t="n">
        <f aca="false">COUNTIF(I:I,I2560)</f>
        <v>1</v>
      </c>
      <c r="K2560" s="1" t="n">
        <v>0</v>
      </c>
      <c r="M2560" s="1" t="s">
        <v>23</v>
      </c>
      <c r="N2560" s="1" t="n">
        <v>163</v>
      </c>
      <c r="O2560" s="1" t="s">
        <v>14438</v>
      </c>
      <c r="P2560" s="1" t="n">
        <v>10641</v>
      </c>
      <c r="Q2560" s="1" t="s">
        <v>14439</v>
      </c>
      <c r="R2560" s="1" t="s">
        <v>14440</v>
      </c>
      <c r="S2560" s="1" t="s">
        <v>14441</v>
      </c>
      <c r="T2560" s="1" t="s">
        <v>6104</v>
      </c>
      <c r="U2560" s="1" t="s">
        <v>14442</v>
      </c>
    </row>
    <row r="2561" customFormat="false" ht="13.8" hidden="false" customHeight="false" outlineLevel="0" collapsed="false">
      <c r="A2561" s="1" t="n">
        <v>2560</v>
      </c>
      <c r="B2561" s="2" t="s">
        <v>14443</v>
      </c>
      <c r="C2561" s="1" t="n">
        <v>4</v>
      </c>
      <c r="D2561" s="1" t="n">
        <v>5</v>
      </c>
      <c r="E2561" s="1" t="n">
        <v>17</v>
      </c>
      <c r="F2561" s="1" t="n">
        <v>20</v>
      </c>
      <c r="G2561" s="1" t="n">
        <v>48</v>
      </c>
      <c r="H2561" s="1" t="n">
        <v>52</v>
      </c>
      <c r="I2561" s="1" t="str">
        <f aca="false">RIGHT(("0"&amp;C2561),2)&amp;RIGHT(("0"&amp;D2561),2)&amp;RIGHT(("0"&amp;E2561),2)&amp;RIGHT(("0"&amp;F2561),2)&amp;RIGHT(("0"&amp;G2561),2)&amp;RIGHT(("0"&amp;H2561),2)</f>
        <v>040517204852</v>
      </c>
      <c r="J2561" s="1" t="n">
        <f aca="false">COUNTIF(I:I,I2561)</f>
        <v>1</v>
      </c>
      <c r="K2561" s="1" t="n">
        <v>0</v>
      </c>
      <c r="M2561" s="1" t="s">
        <v>23</v>
      </c>
      <c r="N2561" s="1" t="n">
        <v>151</v>
      </c>
      <c r="O2561" s="1" t="s">
        <v>14444</v>
      </c>
      <c r="P2561" s="1" t="n">
        <v>13422</v>
      </c>
      <c r="Q2561" s="1" t="s">
        <v>14445</v>
      </c>
      <c r="R2561" s="1" t="s">
        <v>14446</v>
      </c>
      <c r="S2561" s="1" t="s">
        <v>14447</v>
      </c>
      <c r="T2561" s="1" t="s">
        <v>8849</v>
      </c>
      <c r="U2561" s="1" t="s">
        <v>14448</v>
      </c>
    </row>
    <row r="2562" customFormat="false" ht="13.8" hidden="false" customHeight="false" outlineLevel="0" collapsed="false">
      <c r="A2562" s="1" t="n">
        <v>2561</v>
      </c>
      <c r="B2562" s="2" t="s">
        <v>14449</v>
      </c>
      <c r="C2562" s="1" t="n">
        <v>19</v>
      </c>
      <c r="D2562" s="1" t="n">
        <v>22</v>
      </c>
      <c r="E2562" s="1" t="n">
        <v>37</v>
      </c>
      <c r="F2562" s="1" t="n">
        <v>44</v>
      </c>
      <c r="G2562" s="1" t="n">
        <v>51</v>
      </c>
      <c r="H2562" s="1" t="n">
        <v>56</v>
      </c>
      <c r="I2562" s="1" t="str">
        <f aca="false">RIGHT(("0"&amp;C2562),2)&amp;RIGHT(("0"&amp;D2562),2)&amp;RIGHT(("0"&amp;E2562),2)&amp;RIGHT(("0"&amp;F2562),2)&amp;RIGHT(("0"&amp;G2562),2)&amp;RIGHT(("0"&amp;H2562),2)</f>
        <v>192237445156</v>
      </c>
      <c r="J2562" s="1" t="n">
        <f aca="false">COUNTIF(I:I,I2562)</f>
        <v>1</v>
      </c>
      <c r="K2562" s="1" t="n">
        <v>0</v>
      </c>
      <c r="M2562" s="1" t="s">
        <v>23</v>
      </c>
      <c r="N2562" s="1" t="n">
        <v>393</v>
      </c>
      <c r="O2562" s="1" t="s">
        <v>14450</v>
      </c>
      <c r="P2562" s="1" t="n">
        <v>19908</v>
      </c>
      <c r="Q2562" s="1" t="s">
        <v>14451</v>
      </c>
      <c r="R2562" s="1" t="s">
        <v>14452</v>
      </c>
      <c r="S2562" s="1" t="s">
        <v>14453</v>
      </c>
      <c r="T2562" s="1" t="s">
        <v>14454</v>
      </c>
      <c r="U2562" s="1" t="s">
        <v>14455</v>
      </c>
    </row>
    <row r="2563" customFormat="false" ht="13.8" hidden="false" customHeight="false" outlineLevel="0" collapsed="false">
      <c r="A2563" s="1" t="n">
        <v>2562</v>
      </c>
      <c r="B2563" s="2" t="s">
        <v>14456</v>
      </c>
      <c r="C2563" s="1" t="n">
        <v>6</v>
      </c>
      <c r="D2563" s="1" t="n">
        <v>12</v>
      </c>
      <c r="E2563" s="1" t="n">
        <v>32</v>
      </c>
      <c r="F2563" s="1" t="n">
        <v>44</v>
      </c>
      <c r="G2563" s="1" t="n">
        <v>51</v>
      </c>
      <c r="H2563" s="1" t="n">
        <v>57</v>
      </c>
      <c r="I2563" s="1" t="str">
        <f aca="false">RIGHT(("0"&amp;C2563),2)&amp;RIGHT(("0"&amp;D2563),2)&amp;RIGHT(("0"&amp;E2563),2)&amp;RIGHT(("0"&amp;F2563),2)&amp;RIGHT(("0"&amp;G2563),2)&amp;RIGHT(("0"&amp;H2563),2)</f>
        <v>061232445157</v>
      </c>
      <c r="J2563" s="1" t="n">
        <f aca="false">COUNTIF(I:I,I2563)</f>
        <v>1</v>
      </c>
      <c r="K2563" s="1" t="n">
        <v>2</v>
      </c>
      <c r="L2563" s="1" t="s">
        <v>14457</v>
      </c>
      <c r="M2563" s="1" t="s">
        <v>14458</v>
      </c>
      <c r="N2563" s="1" t="n">
        <v>226</v>
      </c>
      <c r="O2563" s="1" t="s">
        <v>14459</v>
      </c>
      <c r="P2563" s="1" t="n">
        <v>14672</v>
      </c>
      <c r="Q2563" s="1" t="s">
        <v>14460</v>
      </c>
      <c r="R2563" s="1" t="s">
        <v>23</v>
      </c>
      <c r="S2563" s="1" t="s">
        <v>14461</v>
      </c>
      <c r="T2563" s="1" t="s">
        <v>473</v>
      </c>
      <c r="U2563" s="1" t="s">
        <v>14462</v>
      </c>
    </row>
    <row r="2564" customFormat="false" ht="13.8" hidden="false" customHeight="false" outlineLevel="0" collapsed="false">
      <c r="A2564" s="1" t="n">
        <v>2563</v>
      </c>
      <c r="B2564" s="2" t="s">
        <v>14463</v>
      </c>
      <c r="C2564" s="1" t="n">
        <v>5</v>
      </c>
      <c r="D2564" s="1" t="n">
        <v>9</v>
      </c>
      <c r="E2564" s="1" t="n">
        <v>14</v>
      </c>
      <c r="F2564" s="1" t="n">
        <v>30</v>
      </c>
      <c r="G2564" s="1" t="n">
        <v>38</v>
      </c>
      <c r="H2564" s="1" t="n">
        <v>50</v>
      </c>
      <c r="I2564" s="1" t="str">
        <f aca="false">RIGHT(("0"&amp;C2564),2)&amp;RIGHT(("0"&amp;D2564),2)&amp;RIGHT(("0"&amp;E2564),2)&amp;RIGHT(("0"&amp;F2564),2)&amp;RIGHT(("0"&amp;G2564),2)&amp;RIGHT(("0"&amp;H2564),2)</f>
        <v>050914303850</v>
      </c>
      <c r="J2564" s="1" t="n">
        <f aca="false">COUNTIF(I:I,I2564)</f>
        <v>1</v>
      </c>
      <c r="K2564" s="1" t="n">
        <v>0</v>
      </c>
      <c r="M2564" s="1" t="s">
        <v>23</v>
      </c>
      <c r="N2564" s="1" t="n">
        <v>49</v>
      </c>
      <c r="O2564" s="1" t="s">
        <v>14464</v>
      </c>
      <c r="P2564" s="1" t="n">
        <v>3714</v>
      </c>
      <c r="Q2564" s="1" t="s">
        <v>14465</v>
      </c>
      <c r="R2564" s="1" t="s">
        <v>14466</v>
      </c>
      <c r="S2564" s="1" t="s">
        <v>14467</v>
      </c>
      <c r="T2564" s="1" t="s">
        <v>4195</v>
      </c>
      <c r="U2564" s="1" t="s">
        <v>14468</v>
      </c>
    </row>
    <row r="2565" customFormat="false" ht="13.8" hidden="false" customHeight="false" outlineLevel="0" collapsed="false">
      <c r="A2565" s="1" t="n">
        <v>2564</v>
      </c>
      <c r="B2565" s="2" t="s">
        <v>14469</v>
      </c>
      <c r="C2565" s="1" t="n">
        <v>7</v>
      </c>
      <c r="D2565" s="1" t="n">
        <v>8</v>
      </c>
      <c r="E2565" s="1" t="n">
        <v>14</v>
      </c>
      <c r="F2565" s="1" t="n">
        <v>19</v>
      </c>
      <c r="G2565" s="1" t="n">
        <v>32</v>
      </c>
      <c r="H2565" s="1" t="n">
        <v>45</v>
      </c>
      <c r="I2565" s="1" t="str">
        <f aca="false">RIGHT(("0"&amp;C2565),2)&amp;RIGHT(("0"&amp;D2565),2)&amp;RIGHT(("0"&amp;E2565),2)&amp;RIGHT(("0"&amp;F2565),2)&amp;RIGHT(("0"&amp;G2565),2)&amp;RIGHT(("0"&amp;H2565),2)</f>
        <v>070814193245</v>
      </c>
      <c r="J2565" s="1" t="n">
        <f aca="false">COUNTIF(I:I,I2565)</f>
        <v>1</v>
      </c>
      <c r="K2565" s="1" t="n">
        <v>0</v>
      </c>
      <c r="M2565" s="1" t="s">
        <v>23</v>
      </c>
      <c r="N2565" s="1" t="n">
        <v>55</v>
      </c>
      <c r="O2565" s="1" t="s">
        <v>14470</v>
      </c>
      <c r="P2565" s="1" t="n">
        <v>4623</v>
      </c>
      <c r="Q2565" s="1" t="s">
        <v>14471</v>
      </c>
      <c r="R2565" s="1" t="s">
        <v>14472</v>
      </c>
      <c r="S2565" s="1" t="s">
        <v>14473</v>
      </c>
      <c r="T2565" s="1" t="s">
        <v>6084</v>
      </c>
      <c r="U2565" s="1" t="s">
        <v>14474</v>
      </c>
    </row>
    <row r="2566" customFormat="false" ht="13.8" hidden="false" customHeight="false" outlineLevel="0" collapsed="false">
      <c r="A2566" s="1" t="n">
        <v>2565</v>
      </c>
      <c r="B2566" s="2" t="s">
        <v>14475</v>
      </c>
      <c r="C2566" s="1" t="n">
        <v>9</v>
      </c>
      <c r="D2566" s="1" t="n">
        <v>13</v>
      </c>
      <c r="E2566" s="1" t="n">
        <v>25</v>
      </c>
      <c r="F2566" s="1" t="n">
        <v>39</v>
      </c>
      <c r="G2566" s="1" t="n">
        <v>46</v>
      </c>
      <c r="H2566" s="1" t="n">
        <v>54</v>
      </c>
      <c r="I2566" s="1" t="str">
        <f aca="false">RIGHT(("0"&amp;C2566),2)&amp;RIGHT(("0"&amp;D2566),2)&amp;RIGHT(("0"&amp;E2566),2)&amp;RIGHT(("0"&amp;F2566),2)&amp;RIGHT(("0"&amp;G2566),2)&amp;RIGHT(("0"&amp;H2566),2)</f>
        <v>091325394654</v>
      </c>
      <c r="J2566" s="1" t="n">
        <f aca="false">COUNTIF(I:I,I2566)</f>
        <v>1</v>
      </c>
      <c r="K2566" s="1" t="n">
        <v>3</v>
      </c>
      <c r="L2566" s="1" t="s">
        <v>14476</v>
      </c>
      <c r="M2566" s="1" t="s">
        <v>14477</v>
      </c>
      <c r="N2566" s="1" t="n">
        <v>164</v>
      </c>
      <c r="O2566" s="1" t="s">
        <v>14478</v>
      </c>
      <c r="P2566" s="1" t="n">
        <v>8245</v>
      </c>
      <c r="Q2566" s="1" t="s">
        <v>14479</v>
      </c>
      <c r="R2566" s="1" t="s">
        <v>23</v>
      </c>
      <c r="S2566" s="1" t="s">
        <v>14480</v>
      </c>
      <c r="T2566" s="1" t="s">
        <v>473</v>
      </c>
      <c r="U2566" s="1" t="s">
        <v>14481</v>
      </c>
    </row>
    <row r="2567" customFormat="false" ht="13.8" hidden="false" customHeight="false" outlineLevel="0" collapsed="false">
      <c r="A2567" s="1" t="n">
        <v>2566</v>
      </c>
      <c r="B2567" s="2" t="s">
        <v>14482</v>
      </c>
      <c r="C2567" s="1" t="n">
        <v>11</v>
      </c>
      <c r="D2567" s="1" t="n">
        <v>23</v>
      </c>
      <c r="E2567" s="1" t="n">
        <v>45</v>
      </c>
      <c r="F2567" s="1" t="n">
        <v>53</v>
      </c>
      <c r="G2567" s="1" t="n">
        <v>57</v>
      </c>
      <c r="H2567" s="1" t="n">
        <v>59</v>
      </c>
      <c r="I2567" s="1" t="str">
        <f aca="false">RIGHT(("0"&amp;C2567),2)&amp;RIGHT(("0"&amp;D2567),2)&amp;RIGHT(("0"&amp;E2567),2)&amp;RIGHT(("0"&amp;F2567),2)&amp;RIGHT(("0"&amp;G2567),2)&amp;RIGHT(("0"&amp;H2567),2)</f>
        <v>112345535759</v>
      </c>
      <c r="J2567" s="1" t="n">
        <f aca="false">COUNTIF(I:I,I2567)</f>
        <v>1</v>
      </c>
      <c r="K2567" s="1" t="n">
        <v>0</v>
      </c>
      <c r="M2567" s="1" t="s">
        <v>23</v>
      </c>
      <c r="N2567" s="1" t="n">
        <v>60</v>
      </c>
      <c r="O2567" s="1" t="s">
        <v>14483</v>
      </c>
      <c r="P2567" s="1" t="n">
        <v>3862</v>
      </c>
      <c r="Q2567" s="1" t="s">
        <v>14484</v>
      </c>
      <c r="R2567" s="1" t="s">
        <v>14485</v>
      </c>
      <c r="S2567" s="1" t="s">
        <v>14486</v>
      </c>
      <c r="T2567" s="1" t="s">
        <v>4190</v>
      </c>
      <c r="U2567" s="1" t="s">
        <v>14487</v>
      </c>
    </row>
    <row r="2568" customFormat="false" ht="13.8" hidden="false" customHeight="false" outlineLevel="0" collapsed="false">
      <c r="A2568" s="1" t="n">
        <v>2567</v>
      </c>
      <c r="B2568" s="2" t="s">
        <v>14488</v>
      </c>
      <c r="C2568" s="1" t="n">
        <v>10</v>
      </c>
      <c r="D2568" s="1" t="n">
        <v>11</v>
      </c>
      <c r="E2568" s="1" t="n">
        <v>19</v>
      </c>
      <c r="F2568" s="1" t="n">
        <v>33</v>
      </c>
      <c r="G2568" s="1" t="n">
        <v>58</v>
      </c>
      <c r="H2568" s="1" t="n">
        <v>60</v>
      </c>
      <c r="I2568" s="1" t="str">
        <f aca="false">RIGHT(("0"&amp;C2568),2)&amp;RIGHT(("0"&amp;D2568),2)&amp;RIGHT(("0"&amp;E2568),2)&amp;RIGHT(("0"&amp;F2568),2)&amp;RIGHT(("0"&amp;G2568),2)&amp;RIGHT(("0"&amp;H2568),2)</f>
        <v>101119335860</v>
      </c>
      <c r="J2568" s="1" t="n">
        <f aca="false">COUNTIF(I:I,I2568)</f>
        <v>1</v>
      </c>
      <c r="K2568" s="1" t="n">
        <v>1</v>
      </c>
      <c r="L2568" s="1" t="s">
        <v>12668</v>
      </c>
      <c r="M2568" s="1" t="s">
        <v>14489</v>
      </c>
      <c r="N2568" s="1" t="n">
        <v>103</v>
      </c>
      <c r="O2568" s="1" t="s">
        <v>14490</v>
      </c>
      <c r="P2568" s="1" t="n">
        <v>5786</v>
      </c>
      <c r="Q2568" s="1" t="s">
        <v>14491</v>
      </c>
      <c r="R2568" s="1" t="s">
        <v>23</v>
      </c>
      <c r="S2568" s="1" t="s">
        <v>14492</v>
      </c>
      <c r="T2568" s="1" t="s">
        <v>473</v>
      </c>
      <c r="U2568" s="1" t="s">
        <v>14493</v>
      </c>
    </row>
    <row r="2569" customFormat="false" ht="13.8" hidden="false" customHeight="false" outlineLevel="0" collapsed="false">
      <c r="A2569" s="1" t="n">
        <v>2568</v>
      </c>
      <c r="B2569" s="2" t="s">
        <v>14494</v>
      </c>
      <c r="C2569" s="1" t="n">
        <v>16</v>
      </c>
      <c r="D2569" s="1" t="n">
        <v>22</v>
      </c>
      <c r="E2569" s="1" t="n">
        <v>29</v>
      </c>
      <c r="F2569" s="1" t="n">
        <v>35</v>
      </c>
      <c r="G2569" s="1" t="n">
        <v>38</v>
      </c>
      <c r="H2569" s="1" t="n">
        <v>49</v>
      </c>
      <c r="I2569" s="1" t="str">
        <f aca="false">RIGHT(("0"&amp;C2569),2)&amp;RIGHT(("0"&amp;D2569),2)&amp;RIGHT(("0"&amp;E2569),2)&amp;RIGHT(("0"&amp;F2569),2)&amp;RIGHT(("0"&amp;G2569),2)&amp;RIGHT(("0"&amp;H2569),2)</f>
        <v>162229353849</v>
      </c>
      <c r="J2569" s="1" t="n">
        <f aca="false">COUNTIF(I:I,I2569)</f>
        <v>1</v>
      </c>
      <c r="K2569" s="1" t="n">
        <v>0</v>
      </c>
      <c r="M2569" s="1" t="s">
        <v>23</v>
      </c>
      <c r="N2569" s="1" t="n">
        <v>59</v>
      </c>
      <c r="O2569" s="1" t="s">
        <v>14495</v>
      </c>
      <c r="P2569" s="1" t="n">
        <v>3217</v>
      </c>
      <c r="Q2569" s="1" t="s">
        <v>14496</v>
      </c>
      <c r="R2569" s="1" t="s">
        <v>14497</v>
      </c>
      <c r="S2569" s="1" t="s">
        <v>14498</v>
      </c>
      <c r="T2569" s="1" t="s">
        <v>4190</v>
      </c>
      <c r="U2569" s="1" t="s">
        <v>14499</v>
      </c>
    </row>
    <row r="2570" customFormat="false" ht="13.8" hidden="false" customHeight="false" outlineLevel="0" collapsed="false">
      <c r="A2570" s="1" t="n">
        <v>2569</v>
      </c>
      <c r="B2570" s="2" t="s">
        <v>14500</v>
      </c>
      <c r="C2570" s="1" t="n">
        <v>6</v>
      </c>
      <c r="D2570" s="1" t="n">
        <v>7</v>
      </c>
      <c r="E2570" s="1" t="n">
        <v>25</v>
      </c>
      <c r="F2570" s="1" t="n">
        <v>28</v>
      </c>
      <c r="G2570" s="1" t="n">
        <v>31</v>
      </c>
      <c r="H2570" s="1" t="n">
        <v>52</v>
      </c>
      <c r="I2570" s="1" t="str">
        <f aca="false">RIGHT(("0"&amp;C2570),2)&amp;RIGHT(("0"&amp;D2570),2)&amp;RIGHT(("0"&amp;E2570),2)&amp;RIGHT(("0"&amp;F2570),2)&amp;RIGHT(("0"&amp;G2570),2)&amp;RIGHT(("0"&amp;H2570),2)</f>
        <v>060725283152</v>
      </c>
      <c r="J2570" s="1" t="n">
        <f aca="false">COUNTIF(I:I,I2570)</f>
        <v>1</v>
      </c>
      <c r="K2570" s="1" t="n">
        <v>0</v>
      </c>
      <c r="M2570" s="1" t="s">
        <v>23</v>
      </c>
      <c r="N2570" s="1" t="n">
        <v>51</v>
      </c>
      <c r="O2570" s="1" t="s">
        <v>14501</v>
      </c>
      <c r="P2570" s="1" t="n">
        <v>4277</v>
      </c>
      <c r="Q2570" s="1" t="s">
        <v>14502</v>
      </c>
      <c r="R2570" s="1" t="s">
        <v>14503</v>
      </c>
      <c r="S2570" s="1" t="s">
        <v>14504</v>
      </c>
      <c r="T2570" s="1" t="s">
        <v>4935</v>
      </c>
      <c r="U2570" s="1" t="s">
        <v>14505</v>
      </c>
    </row>
    <row r="2571" customFormat="false" ht="13.8" hidden="false" customHeight="false" outlineLevel="0" collapsed="false">
      <c r="A2571" s="1" t="n">
        <v>2570</v>
      </c>
      <c r="B2571" s="2" t="s">
        <v>14506</v>
      </c>
      <c r="C2571" s="1" t="n">
        <v>8</v>
      </c>
      <c r="D2571" s="1" t="n">
        <v>18</v>
      </c>
      <c r="E2571" s="1" t="n">
        <v>26</v>
      </c>
      <c r="F2571" s="1" t="n">
        <v>27</v>
      </c>
      <c r="G2571" s="1" t="n">
        <v>47</v>
      </c>
      <c r="H2571" s="1" t="n">
        <v>50</v>
      </c>
      <c r="I2571" s="1" t="str">
        <f aca="false">RIGHT(("0"&amp;C2571),2)&amp;RIGHT(("0"&amp;D2571),2)&amp;RIGHT(("0"&amp;E2571),2)&amp;RIGHT(("0"&amp;F2571),2)&amp;RIGHT(("0"&amp;G2571),2)&amp;RIGHT(("0"&amp;H2571),2)</f>
        <v>081826274750</v>
      </c>
      <c r="J2571" s="1" t="n">
        <f aca="false">COUNTIF(I:I,I2571)</f>
        <v>1</v>
      </c>
      <c r="K2571" s="1" t="n">
        <v>1</v>
      </c>
      <c r="L2571" s="1" t="s">
        <v>12490</v>
      </c>
      <c r="M2571" s="1" t="s">
        <v>14507</v>
      </c>
      <c r="N2571" s="1" t="n">
        <v>75</v>
      </c>
      <c r="O2571" s="1" t="s">
        <v>14508</v>
      </c>
      <c r="P2571" s="1" t="n">
        <v>5940</v>
      </c>
      <c r="Q2571" s="1" t="s">
        <v>14509</v>
      </c>
      <c r="R2571" s="1" t="s">
        <v>23</v>
      </c>
      <c r="S2571" s="1" t="s">
        <v>14510</v>
      </c>
      <c r="T2571" s="1" t="s">
        <v>473</v>
      </c>
      <c r="U2571" s="1" t="s">
        <v>14511</v>
      </c>
    </row>
    <row r="2572" customFormat="false" ht="13.8" hidden="false" customHeight="false" outlineLevel="0" collapsed="false">
      <c r="A2572" s="1" t="n">
        <v>2571</v>
      </c>
      <c r="B2572" s="2" t="s">
        <v>14512</v>
      </c>
      <c r="C2572" s="1" t="n">
        <v>9</v>
      </c>
      <c r="D2572" s="1" t="n">
        <v>18</v>
      </c>
      <c r="E2572" s="1" t="n">
        <v>33</v>
      </c>
      <c r="F2572" s="1" t="n">
        <v>38</v>
      </c>
      <c r="G2572" s="1" t="n">
        <v>41</v>
      </c>
      <c r="H2572" s="1" t="n">
        <v>51</v>
      </c>
      <c r="I2572" s="1" t="str">
        <f aca="false">RIGHT(("0"&amp;C2572),2)&amp;RIGHT(("0"&amp;D2572),2)&amp;RIGHT(("0"&amp;E2572),2)&amp;RIGHT(("0"&amp;F2572),2)&amp;RIGHT(("0"&amp;G2572),2)&amp;RIGHT(("0"&amp;H2572),2)</f>
        <v>091833384151</v>
      </c>
      <c r="J2572" s="1" t="n">
        <f aca="false">COUNTIF(I:I,I2572)</f>
        <v>1</v>
      </c>
      <c r="K2572" s="1" t="n">
        <v>0</v>
      </c>
      <c r="M2572" s="1" t="s">
        <v>23</v>
      </c>
      <c r="N2572" s="1" t="n">
        <v>38</v>
      </c>
      <c r="O2572" s="1" t="s">
        <v>14513</v>
      </c>
      <c r="P2572" s="1" t="n">
        <v>3051</v>
      </c>
      <c r="Q2572" s="1" t="s">
        <v>14514</v>
      </c>
      <c r="R2572" s="1" t="s">
        <v>14515</v>
      </c>
      <c r="S2572" s="1" t="s">
        <v>14516</v>
      </c>
      <c r="T2572" s="1" t="s">
        <v>4190</v>
      </c>
      <c r="U2572" s="1" t="s">
        <v>14517</v>
      </c>
    </row>
    <row r="2573" customFormat="false" ht="13.8" hidden="false" customHeight="false" outlineLevel="0" collapsed="false">
      <c r="A2573" s="1" t="n">
        <v>2572</v>
      </c>
      <c r="B2573" s="2" t="s">
        <v>14518</v>
      </c>
      <c r="C2573" s="1" t="n">
        <v>3</v>
      </c>
      <c r="D2573" s="1" t="n">
        <v>7</v>
      </c>
      <c r="E2573" s="1" t="n">
        <v>15</v>
      </c>
      <c r="F2573" s="1" t="n">
        <v>22</v>
      </c>
      <c r="G2573" s="1" t="n">
        <v>24</v>
      </c>
      <c r="H2573" s="1" t="n">
        <v>50</v>
      </c>
      <c r="I2573" s="1" t="str">
        <f aca="false">RIGHT(("0"&amp;C2573),2)&amp;RIGHT(("0"&amp;D2573),2)&amp;RIGHT(("0"&amp;E2573),2)&amp;RIGHT(("0"&amp;F2573),2)&amp;RIGHT(("0"&amp;G2573),2)&amp;RIGHT(("0"&amp;H2573),2)</f>
        <v>030715222450</v>
      </c>
      <c r="J2573" s="1" t="n">
        <f aca="false">COUNTIF(I:I,I2573)</f>
        <v>1</v>
      </c>
      <c r="K2573" s="1" t="n">
        <v>0</v>
      </c>
      <c r="M2573" s="1" t="s">
        <v>23</v>
      </c>
      <c r="N2573" s="1" t="n">
        <v>101</v>
      </c>
      <c r="O2573" s="1" t="s">
        <v>14519</v>
      </c>
      <c r="P2573" s="1" t="n">
        <v>7223</v>
      </c>
      <c r="Q2573" s="1" t="s">
        <v>14520</v>
      </c>
      <c r="R2573" s="1" t="s">
        <v>14521</v>
      </c>
      <c r="S2573" s="1" t="s">
        <v>14522</v>
      </c>
      <c r="T2573" s="1" t="s">
        <v>3928</v>
      </c>
      <c r="U2573" s="1" t="s">
        <v>14523</v>
      </c>
    </row>
    <row r="2574" customFormat="false" ht="13.8" hidden="false" customHeight="false" outlineLevel="0" collapsed="false">
      <c r="A2574" s="1" t="n">
        <v>2573</v>
      </c>
      <c r="B2574" s="2" t="s">
        <v>14524</v>
      </c>
      <c r="C2574" s="1" t="n">
        <v>6</v>
      </c>
      <c r="D2574" s="1" t="n">
        <v>26</v>
      </c>
      <c r="E2574" s="1" t="n">
        <v>32</v>
      </c>
      <c r="F2574" s="1" t="n">
        <v>35</v>
      </c>
      <c r="G2574" s="1" t="n">
        <v>37</v>
      </c>
      <c r="H2574" s="1" t="n">
        <v>49</v>
      </c>
      <c r="I2574" s="1" t="str">
        <f aca="false">RIGHT(("0"&amp;C2574),2)&amp;RIGHT(("0"&amp;D2574),2)&amp;RIGHT(("0"&amp;E2574),2)&amp;RIGHT(("0"&amp;F2574),2)&amp;RIGHT(("0"&amp;G2574),2)&amp;RIGHT(("0"&amp;H2574),2)</f>
        <v>062632353749</v>
      </c>
      <c r="J2574" s="1" t="n">
        <f aca="false">COUNTIF(I:I,I2574)</f>
        <v>1</v>
      </c>
      <c r="K2574" s="1" t="n">
        <v>0</v>
      </c>
      <c r="M2574" s="1" t="s">
        <v>23</v>
      </c>
      <c r="N2574" s="1" t="n">
        <v>37</v>
      </c>
      <c r="O2574" s="1" t="s">
        <v>14525</v>
      </c>
      <c r="P2574" s="1" t="n">
        <v>2718</v>
      </c>
      <c r="Q2574" s="1" t="s">
        <v>14526</v>
      </c>
      <c r="R2574" s="1" t="s">
        <v>14527</v>
      </c>
      <c r="S2574" s="1" t="s">
        <v>14528</v>
      </c>
      <c r="T2574" s="1" t="s">
        <v>4241</v>
      </c>
      <c r="U2574" s="1" t="s">
        <v>14529</v>
      </c>
    </row>
    <row r="2575" customFormat="false" ht="13.8" hidden="false" customHeight="false" outlineLevel="0" collapsed="false">
      <c r="A2575" s="1" t="n">
        <v>2574</v>
      </c>
      <c r="B2575" s="2" t="s">
        <v>14530</v>
      </c>
      <c r="C2575" s="1" t="n">
        <v>12</v>
      </c>
      <c r="D2575" s="1" t="n">
        <v>17</v>
      </c>
      <c r="E2575" s="1" t="n">
        <v>43</v>
      </c>
      <c r="F2575" s="1" t="n">
        <v>44</v>
      </c>
      <c r="G2575" s="1" t="n">
        <v>48</v>
      </c>
      <c r="H2575" s="1" t="n">
        <v>60</v>
      </c>
      <c r="I2575" s="1" t="str">
        <f aca="false">RIGHT(("0"&amp;C2575),2)&amp;RIGHT(("0"&amp;D2575),2)&amp;RIGHT(("0"&amp;E2575),2)&amp;RIGHT(("0"&amp;F2575),2)&amp;RIGHT(("0"&amp;G2575),2)&amp;RIGHT(("0"&amp;H2575),2)</f>
        <v>121743444860</v>
      </c>
      <c r="J2575" s="1" t="n">
        <f aca="false">COUNTIF(I:I,I2575)</f>
        <v>1</v>
      </c>
      <c r="K2575" s="1" t="n">
        <v>0</v>
      </c>
      <c r="M2575" s="1" t="s">
        <v>23</v>
      </c>
      <c r="N2575" s="1" t="n">
        <v>68</v>
      </c>
      <c r="O2575" s="1" t="s">
        <v>14531</v>
      </c>
      <c r="P2575" s="1" t="n">
        <v>4377</v>
      </c>
      <c r="Q2575" s="1" t="s">
        <v>14532</v>
      </c>
      <c r="R2575" s="1" t="s">
        <v>14533</v>
      </c>
      <c r="S2575" s="1" t="s">
        <v>14534</v>
      </c>
      <c r="T2575" s="1" t="s">
        <v>4314</v>
      </c>
      <c r="U2575" s="1" t="s">
        <v>14535</v>
      </c>
    </row>
    <row r="2576" customFormat="false" ht="13.8" hidden="false" customHeight="false" outlineLevel="0" collapsed="false">
      <c r="A2576" s="1" t="n">
        <v>2575</v>
      </c>
      <c r="B2576" s="2" t="s">
        <v>14536</v>
      </c>
      <c r="C2576" s="1" t="n">
        <v>4</v>
      </c>
      <c r="D2576" s="1" t="n">
        <v>12</v>
      </c>
      <c r="E2576" s="1" t="n">
        <v>14</v>
      </c>
      <c r="F2576" s="1" t="n">
        <v>41</v>
      </c>
      <c r="G2576" s="1" t="n">
        <v>46</v>
      </c>
      <c r="H2576" s="1" t="n">
        <v>53</v>
      </c>
      <c r="I2576" s="1" t="str">
        <f aca="false">RIGHT(("0"&amp;C2576),2)&amp;RIGHT(("0"&amp;D2576),2)&amp;RIGHT(("0"&amp;E2576),2)&amp;RIGHT(("0"&amp;F2576),2)&amp;RIGHT(("0"&amp;G2576),2)&amp;RIGHT(("0"&amp;H2576),2)</f>
        <v>041214414653</v>
      </c>
      <c r="J2576" s="1" t="n">
        <f aca="false">COUNTIF(I:I,I2576)</f>
        <v>1</v>
      </c>
      <c r="K2576" s="1" t="n">
        <v>0</v>
      </c>
      <c r="M2576" s="1" t="s">
        <v>23</v>
      </c>
      <c r="N2576" s="1" t="n">
        <v>69</v>
      </c>
      <c r="O2576" s="1" t="s">
        <v>14537</v>
      </c>
      <c r="P2576" s="1" t="n">
        <v>5767</v>
      </c>
      <c r="Q2576" s="1" t="s">
        <v>14538</v>
      </c>
      <c r="R2576" s="1" t="s">
        <v>14539</v>
      </c>
      <c r="S2576" s="1" t="s">
        <v>14540</v>
      </c>
      <c r="T2576" s="1" t="s">
        <v>4319</v>
      </c>
      <c r="U2576" s="1" t="s">
        <v>14541</v>
      </c>
    </row>
    <row r="2577" customFormat="false" ht="13.8" hidden="false" customHeight="false" outlineLevel="0" collapsed="false">
      <c r="A2577" s="1" t="n">
        <v>2576</v>
      </c>
      <c r="B2577" s="2" t="s">
        <v>14542</v>
      </c>
      <c r="C2577" s="1" t="n">
        <v>29</v>
      </c>
      <c r="D2577" s="1" t="n">
        <v>32</v>
      </c>
      <c r="E2577" s="1" t="n">
        <v>33</v>
      </c>
      <c r="F2577" s="1" t="n">
        <v>35</v>
      </c>
      <c r="G2577" s="1" t="n">
        <v>38</v>
      </c>
      <c r="H2577" s="1" t="n">
        <v>43</v>
      </c>
      <c r="I2577" s="1" t="str">
        <f aca="false">RIGHT(("0"&amp;C2577),2)&amp;RIGHT(("0"&amp;D2577),2)&amp;RIGHT(("0"&amp;E2577),2)&amp;RIGHT(("0"&amp;F2577),2)&amp;RIGHT(("0"&amp;G2577),2)&amp;RIGHT(("0"&amp;H2577),2)</f>
        <v>293233353843</v>
      </c>
      <c r="J2577" s="1" t="n">
        <f aca="false">COUNTIF(I:I,I2577)</f>
        <v>1</v>
      </c>
      <c r="K2577" s="1" t="n">
        <v>0</v>
      </c>
      <c r="M2577" s="1" t="s">
        <v>23</v>
      </c>
      <c r="N2577" s="1" t="n">
        <v>111</v>
      </c>
      <c r="O2577" s="1" t="s">
        <v>14543</v>
      </c>
      <c r="P2577" s="1" t="n">
        <v>7105</v>
      </c>
      <c r="Q2577" s="1" t="s">
        <v>14544</v>
      </c>
      <c r="R2577" s="1" t="s">
        <v>14545</v>
      </c>
      <c r="S2577" s="1" t="s">
        <v>14546</v>
      </c>
      <c r="T2577" s="1" t="s">
        <v>6693</v>
      </c>
      <c r="U2577" s="1" t="s">
        <v>14547</v>
      </c>
    </row>
    <row r="2578" customFormat="false" ht="13.8" hidden="false" customHeight="false" outlineLevel="0" collapsed="false">
      <c r="A2578" s="1" t="n">
        <v>2577</v>
      </c>
      <c r="B2578" s="2" t="s">
        <v>14548</v>
      </c>
      <c r="C2578" s="1" t="n">
        <v>12</v>
      </c>
      <c r="D2578" s="1" t="n">
        <v>18</v>
      </c>
      <c r="E2578" s="1" t="n">
        <v>22</v>
      </c>
      <c r="F2578" s="1" t="n">
        <v>31</v>
      </c>
      <c r="G2578" s="1" t="n">
        <v>44</v>
      </c>
      <c r="H2578" s="1" t="n">
        <v>50</v>
      </c>
      <c r="I2578" s="1" t="str">
        <f aca="false">RIGHT(("0"&amp;C2578),2)&amp;RIGHT(("0"&amp;D2578),2)&amp;RIGHT(("0"&amp;E2578),2)&amp;RIGHT(("0"&amp;F2578),2)&amp;RIGHT(("0"&amp;G2578),2)&amp;RIGHT(("0"&amp;H2578),2)</f>
        <v>121822314450</v>
      </c>
      <c r="J2578" s="1" t="n">
        <f aca="false">COUNTIF(I:I,I2578)</f>
        <v>1</v>
      </c>
      <c r="K2578" s="1" t="n">
        <v>0</v>
      </c>
      <c r="M2578" s="1" t="s">
        <v>23</v>
      </c>
      <c r="N2578" s="1" t="n">
        <v>123</v>
      </c>
      <c r="O2578" s="1" t="s">
        <v>14549</v>
      </c>
      <c r="P2578" s="1" t="n">
        <v>9182</v>
      </c>
      <c r="Q2578" s="1" t="s">
        <v>14550</v>
      </c>
      <c r="R2578" s="1" t="s">
        <v>14551</v>
      </c>
      <c r="S2578" s="1" t="s">
        <v>14552</v>
      </c>
      <c r="T2578" s="1" t="s">
        <v>6097</v>
      </c>
      <c r="U2578" s="1" t="s">
        <v>14553</v>
      </c>
    </row>
    <row r="2579" customFormat="false" ht="13.8" hidden="false" customHeight="false" outlineLevel="0" collapsed="false">
      <c r="A2579" s="1" t="n">
        <v>2578</v>
      </c>
      <c r="B2579" s="2" t="s">
        <v>14554</v>
      </c>
      <c r="C2579" s="1" t="n">
        <v>37</v>
      </c>
      <c r="D2579" s="1" t="n">
        <v>39</v>
      </c>
      <c r="E2579" s="1" t="n">
        <v>47</v>
      </c>
      <c r="F2579" s="1" t="n">
        <v>50</v>
      </c>
      <c r="G2579" s="1" t="n">
        <v>59</v>
      </c>
      <c r="H2579" s="1" t="n">
        <v>60</v>
      </c>
      <c r="I2579" s="1" t="str">
        <f aca="false">RIGHT(("0"&amp;C2579),2)&amp;RIGHT(("0"&amp;D2579),2)&amp;RIGHT(("0"&amp;E2579),2)&amp;RIGHT(("0"&amp;F2579),2)&amp;RIGHT(("0"&amp;G2579),2)&amp;RIGHT(("0"&amp;H2579),2)</f>
        <v>373947505960</v>
      </c>
      <c r="J2579" s="1" t="n">
        <f aca="false">COUNTIF(I:I,I2579)</f>
        <v>1</v>
      </c>
      <c r="K2579" s="1" t="n">
        <v>2</v>
      </c>
      <c r="L2579" s="1" t="s">
        <v>14555</v>
      </c>
      <c r="M2579" s="1" t="s">
        <v>14556</v>
      </c>
      <c r="N2579" s="1" t="n">
        <v>296</v>
      </c>
      <c r="O2579" s="1" t="s">
        <v>14557</v>
      </c>
      <c r="P2579" s="1" t="n">
        <v>6128</v>
      </c>
      <c r="Q2579" s="1" t="s">
        <v>14558</v>
      </c>
      <c r="R2579" s="1" t="s">
        <v>23</v>
      </c>
      <c r="S2579" s="1" t="s">
        <v>14559</v>
      </c>
      <c r="T2579" s="1" t="s">
        <v>473</v>
      </c>
      <c r="U2579" s="1" t="s">
        <v>14560</v>
      </c>
    </row>
    <row r="2580" customFormat="false" ht="13.8" hidden="false" customHeight="false" outlineLevel="0" collapsed="false">
      <c r="A2580" s="1" t="n">
        <v>2579</v>
      </c>
      <c r="B2580" s="2" t="s">
        <v>14561</v>
      </c>
      <c r="C2580" s="1" t="n">
        <v>5</v>
      </c>
      <c r="D2580" s="1" t="n">
        <v>10</v>
      </c>
      <c r="E2580" s="1" t="n">
        <v>26</v>
      </c>
      <c r="F2580" s="1" t="n">
        <v>35</v>
      </c>
      <c r="G2580" s="1" t="n">
        <v>38</v>
      </c>
      <c r="H2580" s="1" t="n">
        <v>44</v>
      </c>
      <c r="I2580" s="1" t="str">
        <f aca="false">RIGHT(("0"&amp;C2580),2)&amp;RIGHT(("0"&amp;D2580),2)&amp;RIGHT(("0"&amp;E2580),2)&amp;RIGHT(("0"&amp;F2580),2)&amp;RIGHT(("0"&amp;G2580),2)&amp;RIGHT(("0"&amp;H2580),2)</f>
        <v>051026353844</v>
      </c>
      <c r="J2580" s="1" t="n">
        <f aca="false">COUNTIF(I:I,I2580)</f>
        <v>1</v>
      </c>
      <c r="K2580" s="1" t="n">
        <v>0</v>
      </c>
      <c r="M2580" s="1" t="s">
        <v>23</v>
      </c>
      <c r="N2580" s="1" t="n">
        <v>109</v>
      </c>
      <c r="O2580" s="1" t="s">
        <v>14562</v>
      </c>
      <c r="P2580" s="1" t="n">
        <v>5186</v>
      </c>
      <c r="Q2580" s="1" t="s">
        <v>14563</v>
      </c>
      <c r="R2580" s="1" t="s">
        <v>14564</v>
      </c>
      <c r="S2580" s="1" t="s">
        <v>14565</v>
      </c>
      <c r="T2580" s="1" t="s">
        <v>6025</v>
      </c>
      <c r="U2580" s="1" t="s">
        <v>14566</v>
      </c>
    </row>
    <row r="2581" customFormat="false" ht="13.8" hidden="false" customHeight="false" outlineLevel="0" collapsed="false">
      <c r="A2581" s="1" t="n">
        <v>2580</v>
      </c>
      <c r="B2581" s="2" t="s">
        <v>14567</v>
      </c>
      <c r="C2581" s="1" t="n">
        <v>3</v>
      </c>
      <c r="D2581" s="1" t="n">
        <v>4</v>
      </c>
      <c r="E2581" s="1" t="n">
        <v>13</v>
      </c>
      <c r="F2581" s="1" t="n">
        <v>29</v>
      </c>
      <c r="G2581" s="1" t="n">
        <v>36</v>
      </c>
      <c r="H2581" s="1" t="n">
        <v>43</v>
      </c>
      <c r="I2581" s="1" t="str">
        <f aca="false">RIGHT(("0"&amp;C2581),2)&amp;RIGHT(("0"&amp;D2581),2)&amp;RIGHT(("0"&amp;E2581),2)&amp;RIGHT(("0"&amp;F2581),2)&amp;RIGHT(("0"&amp;G2581),2)&amp;RIGHT(("0"&amp;H2581),2)</f>
        <v>030413293643</v>
      </c>
      <c r="J2581" s="1" t="n">
        <f aca="false">COUNTIF(I:I,I2581)</f>
        <v>1</v>
      </c>
      <c r="K2581" s="1" t="n">
        <v>0</v>
      </c>
      <c r="M2581" s="1" t="s">
        <v>23</v>
      </c>
      <c r="N2581" s="1" t="n">
        <v>109</v>
      </c>
      <c r="O2581" s="1" t="s">
        <v>14568</v>
      </c>
      <c r="P2581" s="1" t="n">
        <v>8175</v>
      </c>
      <c r="Q2581" s="1" t="s">
        <v>14569</v>
      </c>
      <c r="R2581" s="1" t="s">
        <v>14570</v>
      </c>
      <c r="S2581" s="1" t="s">
        <v>14571</v>
      </c>
      <c r="T2581" s="1" t="s">
        <v>5782</v>
      </c>
      <c r="U2581" s="1" t="s">
        <v>14572</v>
      </c>
    </row>
    <row r="2582" customFormat="false" ht="13.8" hidden="false" customHeight="false" outlineLevel="0" collapsed="false">
      <c r="A2582" s="1" t="n">
        <v>2581</v>
      </c>
      <c r="B2582" s="2" t="s">
        <v>14573</v>
      </c>
      <c r="C2582" s="1" t="n">
        <v>14</v>
      </c>
      <c r="D2582" s="1" t="n">
        <v>17</v>
      </c>
      <c r="E2582" s="1" t="n">
        <v>32</v>
      </c>
      <c r="F2582" s="1" t="n">
        <v>36</v>
      </c>
      <c r="G2582" s="1" t="n">
        <v>39</v>
      </c>
      <c r="H2582" s="1" t="n">
        <v>60</v>
      </c>
      <c r="I2582" s="1" t="str">
        <f aca="false">RIGHT(("0"&amp;C2582),2)&amp;RIGHT(("0"&amp;D2582),2)&amp;RIGHT(("0"&amp;E2582),2)&amp;RIGHT(("0"&amp;F2582),2)&amp;RIGHT(("0"&amp;G2582),2)&amp;RIGHT(("0"&amp;H2582),2)</f>
        <v>141732363960</v>
      </c>
      <c r="J2582" s="1" t="n">
        <f aca="false">COUNTIF(I:I,I2582)</f>
        <v>1</v>
      </c>
      <c r="K2582" s="1" t="n">
        <v>1</v>
      </c>
      <c r="L2582" s="1" t="s">
        <v>12247</v>
      </c>
      <c r="M2582" s="1" t="s">
        <v>14574</v>
      </c>
      <c r="N2582" s="1" t="n">
        <v>239</v>
      </c>
      <c r="O2582" s="1" t="s">
        <v>14575</v>
      </c>
      <c r="P2582" s="1" t="n">
        <v>6605</v>
      </c>
      <c r="Q2582" s="1" t="s">
        <v>14576</v>
      </c>
      <c r="R2582" s="1" t="s">
        <v>23</v>
      </c>
      <c r="S2582" s="1" t="s">
        <v>14577</v>
      </c>
      <c r="T2582" s="1" t="s">
        <v>473</v>
      </c>
      <c r="U2582" s="1" t="s">
        <v>14578</v>
      </c>
    </row>
    <row r="2583" customFormat="false" ht="13.8" hidden="false" customHeight="false" outlineLevel="0" collapsed="false">
      <c r="A2583" s="1" t="n">
        <v>2582</v>
      </c>
      <c r="B2583" s="2" t="s">
        <v>14579</v>
      </c>
      <c r="C2583" s="1" t="n">
        <v>10</v>
      </c>
      <c r="D2583" s="1" t="n">
        <v>14</v>
      </c>
      <c r="E2583" s="1" t="n">
        <v>17</v>
      </c>
      <c r="F2583" s="1" t="n">
        <v>19</v>
      </c>
      <c r="G2583" s="1" t="n">
        <v>21</v>
      </c>
      <c r="H2583" s="1" t="n">
        <v>34</v>
      </c>
      <c r="I2583" s="1" t="str">
        <f aca="false">RIGHT(("0"&amp;C2583),2)&amp;RIGHT(("0"&amp;D2583),2)&amp;RIGHT(("0"&amp;E2583),2)&amp;RIGHT(("0"&amp;F2583),2)&amp;RIGHT(("0"&amp;G2583),2)&amp;RIGHT(("0"&amp;H2583),2)</f>
        <v>101417192134</v>
      </c>
      <c r="J2583" s="1" t="n">
        <f aca="false">COUNTIF(I:I,I2583)</f>
        <v>1</v>
      </c>
      <c r="K2583" s="1" t="n">
        <v>0</v>
      </c>
      <c r="M2583" s="1" t="s">
        <v>23</v>
      </c>
      <c r="N2583" s="1" t="n">
        <v>95</v>
      </c>
      <c r="O2583" s="1" t="s">
        <v>14580</v>
      </c>
      <c r="P2583" s="1" t="n">
        <v>6127</v>
      </c>
      <c r="Q2583" s="1" t="s">
        <v>14581</v>
      </c>
      <c r="R2583" s="1" t="s">
        <v>14582</v>
      </c>
      <c r="S2583" s="1" t="s">
        <v>14583</v>
      </c>
      <c r="T2583" s="1" t="s">
        <v>4190</v>
      </c>
      <c r="U2583" s="1" t="s">
        <v>14584</v>
      </c>
    </row>
    <row r="2584" customFormat="false" ht="13.8" hidden="false" customHeight="false" outlineLevel="0" collapsed="false">
      <c r="A2584" s="1" t="n">
        <v>2583</v>
      </c>
      <c r="B2584" s="2" t="s">
        <v>14585</v>
      </c>
      <c r="C2584" s="1" t="n">
        <v>2</v>
      </c>
      <c r="D2584" s="1" t="n">
        <v>20</v>
      </c>
      <c r="E2584" s="1" t="n">
        <v>27</v>
      </c>
      <c r="F2584" s="1" t="n">
        <v>30</v>
      </c>
      <c r="G2584" s="1" t="n">
        <v>52</v>
      </c>
      <c r="H2584" s="1" t="n">
        <v>59</v>
      </c>
      <c r="I2584" s="1" t="str">
        <f aca="false">RIGHT(("0"&amp;C2584),2)&amp;RIGHT(("0"&amp;D2584),2)&amp;RIGHT(("0"&amp;E2584),2)&amp;RIGHT(("0"&amp;F2584),2)&amp;RIGHT(("0"&amp;G2584),2)&amp;RIGHT(("0"&amp;H2584),2)</f>
        <v>022027305259</v>
      </c>
      <c r="J2584" s="1" t="n">
        <f aca="false">COUNTIF(I:I,I2584)</f>
        <v>1</v>
      </c>
      <c r="K2584" s="1" t="n">
        <v>0</v>
      </c>
      <c r="M2584" s="1" t="s">
        <v>23</v>
      </c>
      <c r="N2584" s="1" t="n">
        <v>51</v>
      </c>
      <c r="O2584" s="1" t="s">
        <v>14586</v>
      </c>
      <c r="P2584" s="1" t="n">
        <v>3786</v>
      </c>
      <c r="Q2584" s="1" t="s">
        <v>14587</v>
      </c>
      <c r="R2584" s="1" t="s">
        <v>14588</v>
      </c>
      <c r="S2584" s="1" t="s">
        <v>14589</v>
      </c>
      <c r="T2584" s="1" t="s">
        <v>3928</v>
      </c>
      <c r="U2584" s="1" t="s">
        <v>14590</v>
      </c>
    </row>
    <row r="2585" customFormat="false" ht="13.8" hidden="false" customHeight="false" outlineLevel="0" collapsed="false">
      <c r="A2585" s="1" t="n">
        <v>2584</v>
      </c>
      <c r="B2585" s="2" t="s">
        <v>14591</v>
      </c>
      <c r="C2585" s="1" t="n">
        <v>1</v>
      </c>
      <c r="D2585" s="1" t="n">
        <v>5</v>
      </c>
      <c r="E2585" s="1" t="n">
        <v>12</v>
      </c>
      <c r="F2585" s="1" t="n">
        <v>36</v>
      </c>
      <c r="G2585" s="1" t="n">
        <v>53</v>
      </c>
      <c r="H2585" s="1" t="n">
        <v>55</v>
      </c>
      <c r="I2585" s="1" t="str">
        <f aca="false">RIGHT(("0"&amp;C2585),2)&amp;RIGHT(("0"&amp;D2585),2)&amp;RIGHT(("0"&amp;E2585),2)&amp;RIGHT(("0"&amp;F2585),2)&amp;RIGHT(("0"&amp;G2585),2)&amp;RIGHT(("0"&amp;H2585),2)</f>
        <v>010512365355</v>
      </c>
      <c r="J2585" s="1" t="n">
        <f aca="false">COUNTIF(I:I,I2585)</f>
        <v>1</v>
      </c>
      <c r="K2585" s="1" t="n">
        <v>0</v>
      </c>
      <c r="M2585" s="1" t="s">
        <v>23</v>
      </c>
      <c r="N2585" s="1" t="n">
        <v>50</v>
      </c>
      <c r="O2585" s="1" t="s">
        <v>14592</v>
      </c>
      <c r="P2585" s="1" t="n">
        <v>4899</v>
      </c>
      <c r="Q2585" s="1" t="s">
        <v>14593</v>
      </c>
      <c r="R2585" s="1" t="s">
        <v>14594</v>
      </c>
      <c r="S2585" s="1" t="s">
        <v>14595</v>
      </c>
      <c r="T2585" s="1" t="s">
        <v>7301</v>
      </c>
      <c r="U2585" s="1" t="s">
        <v>14596</v>
      </c>
    </row>
    <row r="2586" customFormat="false" ht="13.8" hidden="false" customHeight="false" outlineLevel="0" collapsed="false">
      <c r="A2586" s="1" t="n">
        <v>2585</v>
      </c>
      <c r="B2586" s="2" t="s">
        <v>14597</v>
      </c>
      <c r="C2586" s="1" t="n">
        <v>14</v>
      </c>
      <c r="D2586" s="1" t="n">
        <v>26</v>
      </c>
      <c r="E2586" s="1" t="n">
        <v>34</v>
      </c>
      <c r="F2586" s="1" t="n">
        <v>36</v>
      </c>
      <c r="G2586" s="1" t="n">
        <v>43</v>
      </c>
      <c r="H2586" s="1" t="n">
        <v>59</v>
      </c>
      <c r="I2586" s="1" t="str">
        <f aca="false">RIGHT(("0"&amp;C2586),2)&amp;RIGHT(("0"&amp;D2586),2)&amp;RIGHT(("0"&amp;E2586),2)&amp;RIGHT(("0"&amp;F2586),2)&amp;RIGHT(("0"&amp;G2586),2)&amp;RIGHT(("0"&amp;H2586),2)</f>
        <v>142634364359</v>
      </c>
      <c r="J2586" s="1" t="n">
        <f aca="false">COUNTIF(I:I,I2586)</f>
        <v>1</v>
      </c>
      <c r="K2586" s="1" t="n">
        <v>0</v>
      </c>
      <c r="M2586" s="1" t="s">
        <v>23</v>
      </c>
      <c r="N2586" s="1" t="n">
        <v>70</v>
      </c>
      <c r="O2586" s="1" t="s">
        <v>14598</v>
      </c>
      <c r="P2586" s="1" t="n">
        <v>5743</v>
      </c>
      <c r="Q2586" s="1" t="s">
        <v>14599</v>
      </c>
      <c r="R2586" s="1" t="s">
        <v>14600</v>
      </c>
      <c r="S2586" s="1" t="s">
        <v>14601</v>
      </c>
      <c r="T2586" s="1" t="s">
        <v>6559</v>
      </c>
      <c r="U2586" s="1" t="s">
        <v>14602</v>
      </c>
    </row>
    <row r="2587" customFormat="false" ht="13.8" hidden="false" customHeight="false" outlineLevel="0" collapsed="false">
      <c r="A2587" s="1" t="n">
        <v>2586</v>
      </c>
      <c r="B2587" s="2" t="s">
        <v>14603</v>
      </c>
      <c r="C2587" s="1" t="n">
        <v>10</v>
      </c>
      <c r="D2587" s="1" t="n">
        <v>18</v>
      </c>
      <c r="E2587" s="1" t="n">
        <v>41</v>
      </c>
      <c r="F2587" s="1" t="n">
        <v>49</v>
      </c>
      <c r="G2587" s="1" t="n">
        <v>53</v>
      </c>
      <c r="H2587" s="1" t="n">
        <v>59</v>
      </c>
      <c r="I2587" s="1" t="str">
        <f aca="false">RIGHT(("0"&amp;C2587),2)&amp;RIGHT(("0"&amp;D2587),2)&amp;RIGHT(("0"&amp;E2587),2)&amp;RIGHT(("0"&amp;F2587),2)&amp;RIGHT(("0"&amp;G2587),2)&amp;RIGHT(("0"&amp;H2587),2)</f>
        <v>101841495359</v>
      </c>
      <c r="J2587" s="1" t="n">
        <f aca="false">COUNTIF(I:I,I2587)</f>
        <v>1</v>
      </c>
      <c r="K2587" s="1" t="n">
        <v>0</v>
      </c>
      <c r="M2587" s="1" t="s">
        <v>23</v>
      </c>
      <c r="N2587" s="1" t="n">
        <v>76</v>
      </c>
      <c r="O2587" s="1" t="s">
        <v>14604</v>
      </c>
      <c r="P2587" s="1" t="n">
        <v>6010</v>
      </c>
      <c r="Q2587" s="1" t="s">
        <v>14605</v>
      </c>
      <c r="R2587" s="1" t="s">
        <v>14606</v>
      </c>
      <c r="S2587" s="1" t="s">
        <v>14607</v>
      </c>
      <c r="T2587" s="1" t="s">
        <v>8797</v>
      </c>
      <c r="U2587" s="1" t="s">
        <v>14608</v>
      </c>
    </row>
    <row r="2588" customFormat="false" ht="13.8" hidden="false" customHeight="false" outlineLevel="0" collapsed="false">
      <c r="A2588" s="1" t="n">
        <v>2587</v>
      </c>
      <c r="B2588" s="2" t="s">
        <v>14609</v>
      </c>
      <c r="C2588" s="1" t="n">
        <v>5</v>
      </c>
      <c r="D2588" s="1" t="n">
        <v>10</v>
      </c>
      <c r="E2588" s="1" t="n">
        <v>11</v>
      </c>
      <c r="F2588" s="1" t="n">
        <v>22</v>
      </c>
      <c r="G2588" s="1" t="n">
        <v>23</v>
      </c>
      <c r="H2588" s="1" t="n">
        <v>37</v>
      </c>
      <c r="I2588" s="1" t="str">
        <f aca="false">RIGHT(("0"&amp;C2588),2)&amp;RIGHT(("0"&amp;D2588),2)&amp;RIGHT(("0"&amp;E2588),2)&amp;RIGHT(("0"&amp;F2588),2)&amp;RIGHT(("0"&amp;G2588),2)&amp;RIGHT(("0"&amp;H2588),2)</f>
        <v>051011222337</v>
      </c>
      <c r="J2588" s="1" t="n">
        <f aca="false">COUNTIF(I:I,I2588)</f>
        <v>1</v>
      </c>
      <c r="K2588" s="1" t="n">
        <v>1</v>
      </c>
      <c r="L2588" s="1" t="s">
        <v>14610</v>
      </c>
      <c r="M2588" s="1" t="s">
        <v>14611</v>
      </c>
      <c r="N2588" s="1" t="n">
        <v>328</v>
      </c>
      <c r="O2588" s="1" t="s">
        <v>14612</v>
      </c>
      <c r="P2588" s="1" t="n">
        <v>27180</v>
      </c>
      <c r="Q2588" s="1" t="s">
        <v>14613</v>
      </c>
      <c r="R2588" s="1" t="s">
        <v>23</v>
      </c>
      <c r="S2588" s="1" t="s">
        <v>14614</v>
      </c>
      <c r="T2588" s="1" t="s">
        <v>473</v>
      </c>
      <c r="U2588" s="1" t="s">
        <v>14615</v>
      </c>
    </row>
    <row r="2589" customFormat="false" ht="13.8" hidden="false" customHeight="false" outlineLevel="0" collapsed="false">
      <c r="A2589" s="1" t="n">
        <v>2588</v>
      </c>
      <c r="B2589" s="2" t="s">
        <v>14616</v>
      </c>
      <c r="C2589" s="1" t="n">
        <v>9</v>
      </c>
      <c r="D2589" s="1" t="n">
        <v>13</v>
      </c>
      <c r="E2589" s="1" t="n">
        <v>22</v>
      </c>
      <c r="F2589" s="1" t="n">
        <v>31</v>
      </c>
      <c r="G2589" s="1" t="n">
        <v>57</v>
      </c>
      <c r="H2589" s="1" t="n">
        <v>58</v>
      </c>
      <c r="I2589" s="1" t="str">
        <f aca="false">RIGHT(("0"&amp;C2589),2)&amp;RIGHT(("0"&amp;D2589),2)&amp;RIGHT(("0"&amp;E2589),2)&amp;RIGHT(("0"&amp;F2589),2)&amp;RIGHT(("0"&amp;G2589),2)&amp;RIGHT(("0"&amp;H2589),2)</f>
        <v>091322315758</v>
      </c>
      <c r="J2589" s="1" t="n">
        <f aca="false">COUNTIF(I:I,I2589)</f>
        <v>1</v>
      </c>
      <c r="K2589" s="1" t="n">
        <v>0</v>
      </c>
      <c r="M2589" s="1" t="s">
        <v>23</v>
      </c>
      <c r="N2589" s="1" t="n">
        <v>38</v>
      </c>
      <c r="O2589" s="1" t="s">
        <v>14617</v>
      </c>
      <c r="P2589" s="1" t="n">
        <v>2610</v>
      </c>
      <c r="Q2589" s="1" t="s">
        <v>14618</v>
      </c>
      <c r="R2589" s="1" t="s">
        <v>14619</v>
      </c>
      <c r="S2589" s="1" t="s">
        <v>14620</v>
      </c>
      <c r="T2589" s="1" t="s">
        <v>4232</v>
      </c>
      <c r="U2589" s="1" t="s">
        <v>14621</v>
      </c>
    </row>
    <row r="2590" customFormat="false" ht="13.8" hidden="false" customHeight="false" outlineLevel="0" collapsed="false">
      <c r="A2590" s="1" t="n">
        <v>2589</v>
      </c>
      <c r="B2590" s="2" t="s">
        <v>14622</v>
      </c>
      <c r="C2590" s="1" t="n">
        <v>1</v>
      </c>
      <c r="D2590" s="1" t="n">
        <v>15</v>
      </c>
      <c r="E2590" s="1" t="n">
        <v>16</v>
      </c>
      <c r="F2590" s="1" t="n">
        <v>25</v>
      </c>
      <c r="G2590" s="1" t="n">
        <v>32</v>
      </c>
      <c r="H2590" s="1" t="n">
        <v>36</v>
      </c>
      <c r="I2590" s="1" t="str">
        <f aca="false">RIGHT(("0"&amp;C2590),2)&amp;RIGHT(("0"&amp;D2590),2)&amp;RIGHT(("0"&amp;E2590),2)&amp;RIGHT(("0"&amp;F2590),2)&amp;RIGHT(("0"&amp;G2590),2)&amp;RIGHT(("0"&amp;H2590),2)</f>
        <v>011516253236</v>
      </c>
      <c r="J2590" s="1" t="n">
        <f aca="false">COUNTIF(I:I,I2590)</f>
        <v>1</v>
      </c>
      <c r="K2590" s="1" t="n">
        <v>0</v>
      </c>
      <c r="M2590" s="1" t="s">
        <v>23</v>
      </c>
      <c r="N2590" s="1" t="n">
        <v>35</v>
      </c>
      <c r="O2590" s="1" t="s">
        <v>14623</v>
      </c>
      <c r="P2590" s="1" t="n">
        <v>3201</v>
      </c>
      <c r="Q2590" s="1" t="s">
        <v>14624</v>
      </c>
      <c r="R2590" s="1" t="s">
        <v>14625</v>
      </c>
      <c r="S2590" s="1" t="s">
        <v>14626</v>
      </c>
      <c r="T2590" s="1" t="s">
        <v>4309</v>
      </c>
      <c r="U2590" s="1" t="s">
        <v>14627</v>
      </c>
    </row>
    <row r="2591" customFormat="false" ht="13.8" hidden="false" customHeight="false" outlineLevel="0" collapsed="false">
      <c r="A2591" s="1" t="n">
        <v>2590</v>
      </c>
      <c r="B2591" s="2" t="s">
        <v>14628</v>
      </c>
      <c r="C2591" s="1" t="n">
        <v>2</v>
      </c>
      <c r="D2591" s="1" t="n">
        <v>12</v>
      </c>
      <c r="E2591" s="1" t="n">
        <v>28</v>
      </c>
      <c r="F2591" s="1" t="n">
        <v>36</v>
      </c>
      <c r="G2591" s="1" t="n">
        <v>43</v>
      </c>
      <c r="H2591" s="1" t="n">
        <v>48</v>
      </c>
      <c r="I2591" s="1" t="str">
        <f aca="false">RIGHT(("0"&amp;C2591),2)&amp;RIGHT(("0"&amp;D2591),2)&amp;RIGHT(("0"&amp;E2591),2)&amp;RIGHT(("0"&amp;F2591),2)&amp;RIGHT(("0"&amp;G2591),2)&amp;RIGHT(("0"&amp;H2591),2)</f>
        <v>021228364348</v>
      </c>
      <c r="J2591" s="1" t="n">
        <f aca="false">COUNTIF(I:I,I2591)</f>
        <v>1</v>
      </c>
      <c r="K2591" s="1" t="n">
        <v>0</v>
      </c>
      <c r="M2591" s="1" t="s">
        <v>23</v>
      </c>
      <c r="N2591" s="1" t="n">
        <v>76</v>
      </c>
      <c r="O2591" s="1" t="s">
        <v>14629</v>
      </c>
      <c r="P2591" s="1" t="n">
        <v>4995</v>
      </c>
      <c r="Q2591" s="1" t="s">
        <v>14630</v>
      </c>
      <c r="R2591" s="1" t="s">
        <v>14631</v>
      </c>
      <c r="S2591" s="1" t="s">
        <v>14632</v>
      </c>
      <c r="T2591" s="1" t="s">
        <v>4314</v>
      </c>
      <c r="U2591" s="1" t="s">
        <v>14633</v>
      </c>
    </row>
    <row r="2592" customFormat="false" ht="13.8" hidden="false" customHeight="false" outlineLevel="0" collapsed="false">
      <c r="A2592" s="1" t="n">
        <v>2591</v>
      </c>
      <c r="B2592" s="2" t="s">
        <v>14634</v>
      </c>
      <c r="C2592" s="1" t="n">
        <v>10</v>
      </c>
      <c r="D2592" s="1" t="n">
        <v>11</v>
      </c>
      <c r="E2592" s="1" t="n">
        <v>21</v>
      </c>
      <c r="F2592" s="1" t="n">
        <v>23</v>
      </c>
      <c r="G2592" s="1" t="n">
        <v>28</v>
      </c>
      <c r="H2592" s="1" t="n">
        <v>30</v>
      </c>
      <c r="I2592" s="1" t="str">
        <f aca="false">RIGHT(("0"&amp;C2592),2)&amp;RIGHT(("0"&amp;D2592),2)&amp;RIGHT(("0"&amp;E2592),2)&amp;RIGHT(("0"&amp;F2592),2)&amp;RIGHT(("0"&amp;G2592),2)&amp;RIGHT(("0"&amp;H2592),2)</f>
        <v>101121232830</v>
      </c>
      <c r="J2592" s="1" t="n">
        <f aca="false">COUNTIF(I:I,I2592)</f>
        <v>1</v>
      </c>
      <c r="K2592" s="1" t="n">
        <v>1</v>
      </c>
      <c r="L2592" s="1" t="s">
        <v>14635</v>
      </c>
      <c r="M2592" s="1" t="s">
        <v>14636</v>
      </c>
      <c r="N2592" s="1" t="n">
        <v>116</v>
      </c>
      <c r="O2592" s="1" t="s">
        <v>14637</v>
      </c>
      <c r="P2592" s="1" t="n">
        <v>7633</v>
      </c>
      <c r="Q2592" s="1" t="s">
        <v>14638</v>
      </c>
      <c r="R2592" s="1" t="s">
        <v>23</v>
      </c>
      <c r="S2592" s="1" t="s">
        <v>14639</v>
      </c>
      <c r="T2592" s="1" t="s">
        <v>473</v>
      </c>
      <c r="U2592" s="1" t="s">
        <v>14640</v>
      </c>
    </row>
    <row r="2593" customFormat="false" ht="13.8" hidden="false" customHeight="false" outlineLevel="0" collapsed="false">
      <c r="A2593" s="1" t="n">
        <v>2592</v>
      </c>
      <c r="B2593" s="2" t="s">
        <v>14641</v>
      </c>
      <c r="C2593" s="1" t="n">
        <v>15</v>
      </c>
      <c r="D2593" s="1" t="n">
        <v>17</v>
      </c>
      <c r="E2593" s="1" t="n">
        <v>28</v>
      </c>
      <c r="F2593" s="1" t="n">
        <v>34</v>
      </c>
      <c r="G2593" s="1" t="n">
        <v>35</v>
      </c>
      <c r="H2593" s="1" t="n">
        <v>51</v>
      </c>
      <c r="I2593" s="1" t="str">
        <f aca="false">RIGHT(("0"&amp;C2593),2)&amp;RIGHT(("0"&amp;D2593),2)&amp;RIGHT(("0"&amp;E2593),2)&amp;RIGHT(("0"&amp;F2593),2)&amp;RIGHT(("0"&amp;G2593),2)&amp;RIGHT(("0"&amp;H2593),2)</f>
        <v>151728343551</v>
      </c>
      <c r="J2593" s="1" t="n">
        <f aca="false">COUNTIF(I:I,I2593)</f>
        <v>1</v>
      </c>
      <c r="K2593" s="1" t="n">
        <v>0</v>
      </c>
      <c r="M2593" s="1" t="s">
        <v>23</v>
      </c>
      <c r="N2593" s="1" t="n">
        <v>26</v>
      </c>
      <c r="O2593" s="1" t="s">
        <v>14642</v>
      </c>
      <c r="P2593" s="1" t="n">
        <v>2783</v>
      </c>
      <c r="Q2593" s="1" t="s">
        <v>14643</v>
      </c>
      <c r="R2593" s="1" t="s">
        <v>14644</v>
      </c>
      <c r="S2593" s="1" t="s">
        <v>14645</v>
      </c>
      <c r="T2593" s="1" t="s">
        <v>4195</v>
      </c>
      <c r="U2593" s="1" t="s">
        <v>14646</v>
      </c>
    </row>
    <row r="2594" customFormat="false" ht="13.8" hidden="false" customHeight="false" outlineLevel="0" collapsed="false">
      <c r="A2594" s="1" t="n">
        <v>2593</v>
      </c>
      <c r="B2594" s="2" t="s">
        <v>14647</v>
      </c>
      <c r="C2594" s="1" t="n">
        <v>10</v>
      </c>
      <c r="D2594" s="1" t="n">
        <v>14</v>
      </c>
      <c r="E2594" s="1" t="n">
        <v>17</v>
      </c>
      <c r="F2594" s="1" t="n">
        <v>25</v>
      </c>
      <c r="G2594" s="1" t="n">
        <v>32</v>
      </c>
      <c r="H2594" s="1" t="n">
        <v>39</v>
      </c>
      <c r="I2594" s="1" t="str">
        <f aca="false">RIGHT(("0"&amp;C2594),2)&amp;RIGHT(("0"&amp;D2594),2)&amp;RIGHT(("0"&amp;E2594),2)&amp;RIGHT(("0"&amp;F2594),2)&amp;RIGHT(("0"&amp;G2594),2)&amp;RIGHT(("0"&amp;H2594),2)</f>
        <v>101417253239</v>
      </c>
      <c r="J2594" s="1" t="n">
        <f aca="false">COUNTIF(I:I,I2594)</f>
        <v>1</v>
      </c>
      <c r="K2594" s="1" t="n">
        <v>0</v>
      </c>
      <c r="M2594" s="1" t="s">
        <v>23</v>
      </c>
      <c r="N2594" s="1" t="n">
        <v>111</v>
      </c>
      <c r="O2594" s="1" t="s">
        <v>14648</v>
      </c>
      <c r="P2594" s="1" t="n">
        <v>7145</v>
      </c>
      <c r="Q2594" s="1" t="s">
        <v>14649</v>
      </c>
      <c r="R2594" s="1" t="s">
        <v>14650</v>
      </c>
      <c r="S2594" s="1" t="s">
        <v>14651</v>
      </c>
      <c r="T2594" s="1" t="s">
        <v>4203</v>
      </c>
      <c r="U2594" s="1" t="s">
        <v>14652</v>
      </c>
    </row>
    <row r="2595" customFormat="false" ht="13.8" hidden="false" customHeight="false" outlineLevel="0" collapsed="false">
      <c r="A2595" s="1" t="n">
        <v>2594</v>
      </c>
      <c r="B2595" s="2" t="s">
        <v>14653</v>
      </c>
      <c r="C2595" s="1" t="n">
        <v>7</v>
      </c>
      <c r="D2595" s="1" t="n">
        <v>26</v>
      </c>
      <c r="E2595" s="1" t="n">
        <v>32</v>
      </c>
      <c r="F2595" s="1" t="n">
        <v>35</v>
      </c>
      <c r="G2595" s="1" t="n">
        <v>49</v>
      </c>
      <c r="H2595" s="1" t="n">
        <v>55</v>
      </c>
      <c r="I2595" s="1" t="str">
        <f aca="false">RIGHT(("0"&amp;C2595),2)&amp;RIGHT(("0"&amp;D2595),2)&amp;RIGHT(("0"&amp;E2595),2)&amp;RIGHT(("0"&amp;F2595),2)&amp;RIGHT(("0"&amp;G2595),2)&amp;RIGHT(("0"&amp;H2595),2)</f>
        <v>072632354955</v>
      </c>
      <c r="J2595" s="1" t="n">
        <f aca="false">COUNTIF(I:I,I2595)</f>
        <v>1</v>
      </c>
      <c r="K2595" s="1" t="n">
        <v>0</v>
      </c>
      <c r="M2595" s="1" t="s">
        <v>23</v>
      </c>
      <c r="N2595" s="1" t="n">
        <v>76</v>
      </c>
      <c r="O2595" s="1" t="s">
        <v>14654</v>
      </c>
      <c r="P2595" s="1" t="n">
        <v>4591</v>
      </c>
      <c r="Q2595" s="1" t="s">
        <v>14655</v>
      </c>
      <c r="R2595" s="1" t="s">
        <v>14656</v>
      </c>
      <c r="S2595" s="1" t="s">
        <v>14657</v>
      </c>
      <c r="T2595" s="1" t="s">
        <v>5775</v>
      </c>
      <c r="U2595" s="1" t="s">
        <v>14658</v>
      </c>
    </row>
    <row r="2596" customFormat="false" ht="13.8" hidden="false" customHeight="false" outlineLevel="0" collapsed="false">
      <c r="A2596" s="1" t="n">
        <v>2595</v>
      </c>
      <c r="B2596" s="2" t="s">
        <v>14659</v>
      </c>
      <c r="C2596" s="1" t="n">
        <v>1</v>
      </c>
      <c r="D2596" s="1" t="n">
        <v>13</v>
      </c>
      <c r="E2596" s="1" t="n">
        <v>34</v>
      </c>
      <c r="F2596" s="1" t="n">
        <v>39</v>
      </c>
      <c r="G2596" s="1" t="n">
        <v>50</v>
      </c>
      <c r="H2596" s="1" t="n">
        <v>52</v>
      </c>
      <c r="I2596" s="1" t="str">
        <f aca="false">RIGHT(("0"&amp;C2596),2)&amp;RIGHT(("0"&amp;D2596),2)&amp;RIGHT(("0"&amp;E2596),2)&amp;RIGHT(("0"&amp;F2596),2)&amp;RIGHT(("0"&amp;G2596),2)&amp;RIGHT(("0"&amp;H2596),2)</f>
        <v>011334395052</v>
      </c>
      <c r="J2596" s="1" t="n">
        <f aca="false">COUNTIF(I:I,I2596)</f>
        <v>1</v>
      </c>
      <c r="K2596" s="1" t="n">
        <v>0</v>
      </c>
      <c r="M2596" s="1" t="s">
        <v>23</v>
      </c>
      <c r="N2596" s="1" t="n">
        <v>36</v>
      </c>
      <c r="O2596" s="1" t="s">
        <v>14660</v>
      </c>
      <c r="P2596" s="1" t="n">
        <v>3827</v>
      </c>
      <c r="Q2596" s="1" t="s">
        <v>14661</v>
      </c>
      <c r="R2596" s="1" t="s">
        <v>14662</v>
      </c>
      <c r="S2596" s="1" t="s">
        <v>14663</v>
      </c>
      <c r="T2596" s="1" t="s">
        <v>4314</v>
      </c>
      <c r="U2596" s="1" t="s">
        <v>14664</v>
      </c>
    </row>
    <row r="2597" customFormat="false" ht="13.8" hidden="false" customHeight="false" outlineLevel="0" collapsed="false">
      <c r="A2597" s="1" t="n">
        <v>2596</v>
      </c>
      <c r="B2597" s="2" t="s">
        <v>14665</v>
      </c>
      <c r="C2597" s="1" t="n">
        <v>34</v>
      </c>
      <c r="D2597" s="1" t="n">
        <v>35</v>
      </c>
      <c r="E2597" s="1" t="n">
        <v>39</v>
      </c>
      <c r="F2597" s="1" t="n">
        <v>47</v>
      </c>
      <c r="G2597" s="1" t="n">
        <v>51</v>
      </c>
      <c r="H2597" s="1" t="n">
        <v>56</v>
      </c>
      <c r="I2597" s="1" t="str">
        <f aca="false">RIGHT(("0"&amp;C2597),2)&amp;RIGHT(("0"&amp;D2597),2)&amp;RIGHT(("0"&amp;E2597),2)&amp;RIGHT(("0"&amp;F2597),2)&amp;RIGHT(("0"&amp;G2597),2)&amp;RIGHT(("0"&amp;H2597),2)</f>
        <v>343539475156</v>
      </c>
      <c r="J2597" s="1" t="n">
        <f aca="false">COUNTIF(I:I,I2597)</f>
        <v>1</v>
      </c>
      <c r="K2597" s="1" t="n">
        <v>0</v>
      </c>
      <c r="M2597" s="1" t="s">
        <v>23</v>
      </c>
      <c r="N2597" s="1" t="n">
        <v>71</v>
      </c>
      <c r="O2597" s="1" t="s">
        <v>14666</v>
      </c>
      <c r="P2597" s="1" t="n">
        <v>4564</v>
      </c>
      <c r="Q2597" s="1" t="s">
        <v>14667</v>
      </c>
      <c r="R2597" s="1" t="s">
        <v>14668</v>
      </c>
      <c r="S2597" s="1" t="s">
        <v>14669</v>
      </c>
      <c r="T2597" s="1" t="s">
        <v>10127</v>
      </c>
      <c r="U2597" s="1" t="s">
        <v>14670</v>
      </c>
    </row>
    <row r="2598" customFormat="false" ht="13.8" hidden="false" customHeight="false" outlineLevel="0" collapsed="false">
      <c r="A2598" s="1" t="n">
        <v>2597</v>
      </c>
      <c r="B2598" s="2" t="s">
        <v>14671</v>
      </c>
      <c r="C2598" s="1" t="n">
        <v>14</v>
      </c>
      <c r="D2598" s="1" t="n">
        <v>26</v>
      </c>
      <c r="E2598" s="1" t="n">
        <v>34</v>
      </c>
      <c r="F2598" s="1" t="n">
        <v>54</v>
      </c>
      <c r="G2598" s="1" t="n">
        <v>56</v>
      </c>
      <c r="H2598" s="1" t="n">
        <v>58</v>
      </c>
      <c r="I2598" s="1" t="str">
        <f aca="false">RIGHT(("0"&amp;C2598),2)&amp;RIGHT(("0"&amp;D2598),2)&amp;RIGHT(("0"&amp;E2598),2)&amp;RIGHT(("0"&amp;F2598),2)&amp;RIGHT(("0"&amp;G2598),2)&amp;RIGHT(("0"&amp;H2598),2)</f>
        <v>142634545658</v>
      </c>
      <c r="J2598" s="1" t="n">
        <f aca="false">COUNTIF(I:I,I2598)</f>
        <v>1</v>
      </c>
      <c r="K2598" s="1" t="n">
        <v>0</v>
      </c>
      <c r="M2598" s="1" t="s">
        <v>23</v>
      </c>
      <c r="N2598" s="1" t="n">
        <v>92</v>
      </c>
      <c r="O2598" s="1" t="s">
        <v>14672</v>
      </c>
      <c r="P2598" s="1" t="n">
        <v>6038</v>
      </c>
      <c r="Q2598" s="1" t="s">
        <v>14673</v>
      </c>
      <c r="R2598" s="1" t="s">
        <v>14674</v>
      </c>
      <c r="S2598" s="1" t="s">
        <v>14675</v>
      </c>
      <c r="T2598" s="1" t="s">
        <v>9211</v>
      </c>
      <c r="U2598" s="1" t="s">
        <v>14676</v>
      </c>
    </row>
    <row r="2599" customFormat="false" ht="13.8" hidden="false" customHeight="false" outlineLevel="0" collapsed="false">
      <c r="A2599" s="1" t="n">
        <v>2598</v>
      </c>
      <c r="B2599" s="2" t="s">
        <v>14677</v>
      </c>
      <c r="C2599" s="1" t="n">
        <v>7</v>
      </c>
      <c r="D2599" s="1" t="n">
        <v>14</v>
      </c>
      <c r="E2599" s="1" t="n">
        <v>24</v>
      </c>
      <c r="F2599" s="1" t="n">
        <v>53</v>
      </c>
      <c r="G2599" s="1" t="n">
        <v>58</v>
      </c>
      <c r="H2599" s="1" t="n">
        <v>60</v>
      </c>
      <c r="I2599" s="1" t="str">
        <f aca="false">RIGHT(("0"&amp;C2599),2)&amp;RIGHT(("0"&amp;D2599),2)&amp;RIGHT(("0"&amp;E2599),2)&amp;RIGHT(("0"&amp;F2599),2)&amp;RIGHT(("0"&amp;G2599),2)&amp;RIGHT(("0"&amp;H2599),2)</f>
        <v>071424535860</v>
      </c>
      <c r="J2599" s="1" t="n">
        <f aca="false">COUNTIF(I:I,I2599)</f>
        <v>1</v>
      </c>
      <c r="K2599" s="1" t="n">
        <v>1</v>
      </c>
      <c r="L2599" s="1" t="s">
        <v>14678</v>
      </c>
      <c r="M2599" s="1" t="s">
        <v>14679</v>
      </c>
      <c r="N2599" s="1" t="n">
        <v>81</v>
      </c>
      <c r="O2599" s="1" t="s">
        <v>14680</v>
      </c>
      <c r="P2599" s="1" t="n">
        <v>7347</v>
      </c>
      <c r="Q2599" s="1" t="s">
        <v>14681</v>
      </c>
      <c r="R2599" s="1" t="s">
        <v>23</v>
      </c>
      <c r="S2599" s="1" t="s">
        <v>14682</v>
      </c>
      <c r="T2599" s="1" t="s">
        <v>473</v>
      </c>
      <c r="U2599" s="1" t="s">
        <v>14683</v>
      </c>
    </row>
    <row r="2600" customFormat="false" ht="13.8" hidden="false" customHeight="false" outlineLevel="0" collapsed="false">
      <c r="A2600" s="1" t="n">
        <v>2599</v>
      </c>
      <c r="B2600" s="2" t="s">
        <v>14684</v>
      </c>
      <c r="C2600" s="1" t="n">
        <v>23</v>
      </c>
      <c r="D2600" s="1" t="n">
        <v>28</v>
      </c>
      <c r="E2600" s="1" t="n">
        <v>34</v>
      </c>
      <c r="F2600" s="1" t="n">
        <v>43</v>
      </c>
      <c r="G2600" s="1" t="n">
        <v>47</v>
      </c>
      <c r="H2600" s="1" t="n">
        <v>60</v>
      </c>
      <c r="I2600" s="1" t="str">
        <f aca="false">RIGHT(("0"&amp;C2600),2)&amp;RIGHT(("0"&amp;D2600),2)&amp;RIGHT(("0"&amp;E2600),2)&amp;RIGHT(("0"&amp;F2600),2)&amp;RIGHT(("0"&amp;G2600),2)&amp;RIGHT(("0"&amp;H2600),2)</f>
        <v>232834434760</v>
      </c>
      <c r="J2600" s="1" t="n">
        <f aca="false">COUNTIF(I:I,I2600)</f>
        <v>1</v>
      </c>
      <c r="K2600" s="1" t="n">
        <v>0</v>
      </c>
      <c r="M2600" s="1" t="s">
        <v>23</v>
      </c>
      <c r="N2600" s="1" t="n">
        <v>28</v>
      </c>
      <c r="O2600" s="1" t="s">
        <v>14685</v>
      </c>
      <c r="P2600" s="1" t="n">
        <v>2551</v>
      </c>
      <c r="Q2600" s="1" t="s">
        <v>14686</v>
      </c>
      <c r="R2600" s="1" t="s">
        <v>14687</v>
      </c>
      <c r="S2600" s="1" t="s">
        <v>14688</v>
      </c>
      <c r="T2600" s="1" t="s">
        <v>4968</v>
      </c>
      <c r="U2600" s="1" t="s">
        <v>14689</v>
      </c>
    </row>
    <row r="2601" customFormat="false" ht="13.8" hidden="false" customHeight="false" outlineLevel="0" collapsed="false">
      <c r="A2601" s="1" t="n">
        <v>2600</v>
      </c>
      <c r="B2601" s="2" t="s">
        <v>14690</v>
      </c>
      <c r="C2601" s="1" t="n">
        <v>4</v>
      </c>
      <c r="D2601" s="1" t="n">
        <v>18</v>
      </c>
      <c r="E2601" s="1" t="n">
        <v>37</v>
      </c>
      <c r="F2601" s="1" t="n">
        <v>38</v>
      </c>
      <c r="G2601" s="1" t="n">
        <v>46</v>
      </c>
      <c r="H2601" s="1" t="n">
        <v>60</v>
      </c>
      <c r="I2601" s="1" t="str">
        <f aca="false">RIGHT(("0"&amp;C2601),2)&amp;RIGHT(("0"&amp;D2601),2)&amp;RIGHT(("0"&amp;E2601),2)&amp;RIGHT(("0"&amp;F2601),2)&amp;RIGHT(("0"&amp;G2601),2)&amp;RIGHT(("0"&amp;H2601),2)</f>
        <v>041837384660</v>
      </c>
      <c r="J2601" s="1" t="n">
        <f aca="false">COUNTIF(I:I,I2601)</f>
        <v>1</v>
      </c>
      <c r="K2601" s="1" t="n">
        <v>0</v>
      </c>
      <c r="M2601" s="1" t="s">
        <v>23</v>
      </c>
      <c r="N2601" s="1" t="n">
        <v>44</v>
      </c>
      <c r="O2601" s="1" t="s">
        <v>14691</v>
      </c>
      <c r="P2601" s="1" t="n">
        <v>3901</v>
      </c>
      <c r="Q2601" s="1" t="s">
        <v>14692</v>
      </c>
      <c r="R2601" s="1" t="s">
        <v>14693</v>
      </c>
      <c r="S2601" s="1" t="s">
        <v>14694</v>
      </c>
      <c r="T2601" s="1" t="s">
        <v>4314</v>
      </c>
      <c r="U2601" s="1" t="s">
        <v>14695</v>
      </c>
    </row>
    <row r="2602" customFormat="false" ht="13.8" hidden="false" customHeight="false" outlineLevel="0" collapsed="false">
      <c r="A2602" s="1" t="n">
        <v>2601</v>
      </c>
      <c r="B2602" s="2" t="s">
        <v>14696</v>
      </c>
      <c r="C2602" s="1" t="n">
        <v>3</v>
      </c>
      <c r="D2602" s="1" t="n">
        <v>8</v>
      </c>
      <c r="E2602" s="1" t="n">
        <v>34</v>
      </c>
      <c r="F2602" s="1" t="n">
        <v>40</v>
      </c>
      <c r="G2602" s="1" t="n">
        <v>44</v>
      </c>
      <c r="H2602" s="1" t="n">
        <v>55</v>
      </c>
      <c r="I2602" s="1" t="str">
        <f aca="false">RIGHT(("0"&amp;C2602),2)&amp;RIGHT(("0"&amp;D2602),2)&amp;RIGHT(("0"&amp;E2602),2)&amp;RIGHT(("0"&amp;F2602),2)&amp;RIGHT(("0"&amp;G2602),2)&amp;RIGHT(("0"&amp;H2602),2)</f>
        <v>030834404455</v>
      </c>
      <c r="J2602" s="1" t="n">
        <f aca="false">COUNTIF(I:I,I2602)</f>
        <v>1</v>
      </c>
      <c r="K2602" s="1" t="n">
        <v>0</v>
      </c>
      <c r="M2602" s="1" t="s">
        <v>23</v>
      </c>
      <c r="N2602" s="1" t="n">
        <v>54</v>
      </c>
      <c r="O2602" s="1" t="s">
        <v>14697</v>
      </c>
      <c r="P2602" s="1" t="n">
        <v>4682</v>
      </c>
      <c r="Q2602" s="1" t="s">
        <v>14698</v>
      </c>
      <c r="R2602" s="1" t="s">
        <v>14699</v>
      </c>
      <c r="S2602" s="1" t="s">
        <v>14700</v>
      </c>
      <c r="T2602" s="1" t="s">
        <v>14423</v>
      </c>
      <c r="U2602" s="1" t="s">
        <v>14701</v>
      </c>
    </row>
    <row r="2603" customFormat="false" ht="13.8" hidden="false" customHeight="false" outlineLevel="0" collapsed="false">
      <c r="A2603" s="1" t="n">
        <v>2602</v>
      </c>
      <c r="B2603" s="2" t="s">
        <v>14702</v>
      </c>
      <c r="C2603" s="1" t="n">
        <v>11</v>
      </c>
      <c r="D2603" s="1" t="n">
        <v>14</v>
      </c>
      <c r="E2603" s="1" t="n">
        <v>16</v>
      </c>
      <c r="F2603" s="1" t="n">
        <v>30</v>
      </c>
      <c r="G2603" s="1" t="n">
        <v>32</v>
      </c>
      <c r="H2603" s="1" t="n">
        <v>46</v>
      </c>
      <c r="I2603" s="1" t="str">
        <f aca="false">RIGHT(("0"&amp;C2603),2)&amp;RIGHT(("0"&amp;D2603),2)&amp;RIGHT(("0"&amp;E2603),2)&amp;RIGHT(("0"&amp;F2603),2)&amp;RIGHT(("0"&amp;G2603),2)&amp;RIGHT(("0"&amp;H2603),2)</f>
        <v>111416303246</v>
      </c>
      <c r="J2603" s="1" t="n">
        <f aca="false">COUNTIF(I:I,I2603)</f>
        <v>1</v>
      </c>
      <c r="K2603" s="1" t="n">
        <v>1</v>
      </c>
      <c r="L2603" s="1" t="s">
        <v>12490</v>
      </c>
      <c r="M2603" s="1" t="s">
        <v>14703</v>
      </c>
      <c r="N2603" s="1" t="n">
        <v>111</v>
      </c>
      <c r="O2603" s="1" t="s">
        <v>14704</v>
      </c>
      <c r="P2603" s="1" t="n">
        <v>6285</v>
      </c>
      <c r="Q2603" s="1" t="s">
        <v>14705</v>
      </c>
      <c r="R2603" s="1" t="s">
        <v>23</v>
      </c>
      <c r="S2603" s="1" t="s">
        <v>14706</v>
      </c>
      <c r="T2603" s="1" t="s">
        <v>473</v>
      </c>
      <c r="U2603" s="1" t="s">
        <v>14707</v>
      </c>
    </row>
    <row r="2604" customFormat="false" ht="13.8" hidden="false" customHeight="false" outlineLevel="0" collapsed="false">
      <c r="A2604" s="1" t="n">
        <v>2603</v>
      </c>
      <c r="B2604" s="2" t="s">
        <v>14708</v>
      </c>
      <c r="C2604" s="1" t="n">
        <v>3</v>
      </c>
      <c r="D2604" s="1" t="n">
        <v>7</v>
      </c>
      <c r="E2604" s="1" t="n">
        <v>13</v>
      </c>
      <c r="F2604" s="1" t="n">
        <v>29</v>
      </c>
      <c r="G2604" s="1" t="n">
        <v>52</v>
      </c>
      <c r="H2604" s="1" t="n">
        <v>56</v>
      </c>
      <c r="I2604" s="1" t="str">
        <f aca="false">RIGHT(("0"&amp;C2604),2)&amp;RIGHT(("0"&amp;D2604),2)&amp;RIGHT(("0"&amp;E2604),2)&amp;RIGHT(("0"&amp;F2604),2)&amp;RIGHT(("0"&amp;G2604),2)&amp;RIGHT(("0"&amp;H2604),2)</f>
        <v>030713295256</v>
      </c>
      <c r="J2604" s="1" t="n">
        <f aca="false">COUNTIF(I:I,I2604)</f>
        <v>1</v>
      </c>
      <c r="K2604" s="1" t="n">
        <v>0</v>
      </c>
      <c r="M2604" s="1" t="s">
        <v>23</v>
      </c>
      <c r="N2604" s="1" t="n">
        <v>62</v>
      </c>
      <c r="O2604" s="1" t="s">
        <v>14709</v>
      </c>
      <c r="P2604" s="1" t="n">
        <v>4432</v>
      </c>
      <c r="Q2604" s="1" t="s">
        <v>14710</v>
      </c>
      <c r="R2604" s="1" t="s">
        <v>14711</v>
      </c>
      <c r="S2604" s="1" t="s">
        <v>14712</v>
      </c>
      <c r="T2604" s="1" t="s">
        <v>4347</v>
      </c>
      <c r="U2604" s="1" t="s">
        <v>14713</v>
      </c>
    </row>
    <row r="2605" customFormat="false" ht="13.8" hidden="false" customHeight="false" outlineLevel="0" collapsed="false">
      <c r="A2605" s="1" t="n">
        <v>2604</v>
      </c>
      <c r="B2605" s="2" t="s">
        <v>14714</v>
      </c>
      <c r="C2605" s="1" t="n">
        <v>16</v>
      </c>
      <c r="D2605" s="1" t="n">
        <v>17</v>
      </c>
      <c r="E2605" s="1" t="n">
        <v>19</v>
      </c>
      <c r="F2605" s="1" t="n">
        <v>22</v>
      </c>
      <c r="G2605" s="1" t="n">
        <v>46</v>
      </c>
      <c r="H2605" s="1" t="n">
        <v>57</v>
      </c>
      <c r="I2605" s="1" t="str">
        <f aca="false">RIGHT(("0"&amp;C2605),2)&amp;RIGHT(("0"&amp;D2605),2)&amp;RIGHT(("0"&amp;E2605),2)&amp;RIGHT(("0"&amp;F2605),2)&amp;RIGHT(("0"&amp;G2605),2)&amp;RIGHT(("0"&amp;H2605),2)</f>
        <v>161719224657</v>
      </c>
      <c r="J2605" s="1" t="n">
        <f aca="false">COUNTIF(I:I,I2605)</f>
        <v>1</v>
      </c>
      <c r="K2605" s="1" t="n">
        <v>0</v>
      </c>
      <c r="M2605" s="1" t="s">
        <v>23</v>
      </c>
      <c r="N2605" s="1" t="n">
        <v>38</v>
      </c>
      <c r="O2605" s="1" t="s">
        <v>14715</v>
      </c>
      <c r="P2605" s="1" t="n">
        <v>3256</v>
      </c>
      <c r="Q2605" s="1" t="s">
        <v>14716</v>
      </c>
      <c r="R2605" s="1" t="s">
        <v>14717</v>
      </c>
      <c r="S2605" s="1" t="s">
        <v>14718</v>
      </c>
      <c r="T2605" s="1" t="s">
        <v>4935</v>
      </c>
      <c r="U2605" s="1" t="s">
        <v>14719</v>
      </c>
    </row>
    <row r="2606" customFormat="false" ht="13.8" hidden="false" customHeight="false" outlineLevel="0" collapsed="false">
      <c r="A2606" s="1" t="n">
        <v>2605</v>
      </c>
      <c r="B2606" s="2" t="s">
        <v>14720</v>
      </c>
      <c r="C2606" s="1" t="n">
        <v>5</v>
      </c>
      <c r="D2606" s="1" t="n">
        <v>11</v>
      </c>
      <c r="E2606" s="1" t="n">
        <v>26</v>
      </c>
      <c r="F2606" s="1" t="n">
        <v>35</v>
      </c>
      <c r="G2606" s="1" t="n">
        <v>46</v>
      </c>
      <c r="H2606" s="1" t="n">
        <v>54</v>
      </c>
      <c r="I2606" s="1" t="str">
        <f aca="false">RIGHT(("0"&amp;C2606),2)&amp;RIGHT(("0"&amp;D2606),2)&amp;RIGHT(("0"&amp;E2606),2)&amp;RIGHT(("0"&amp;F2606),2)&amp;RIGHT(("0"&amp;G2606),2)&amp;RIGHT(("0"&amp;H2606),2)</f>
        <v>051126354654</v>
      </c>
      <c r="J2606" s="1" t="n">
        <f aca="false">COUNTIF(I:I,I2606)</f>
        <v>1</v>
      </c>
      <c r="K2606" s="1" t="n">
        <v>0</v>
      </c>
      <c r="M2606" s="1" t="s">
        <v>23</v>
      </c>
      <c r="N2606" s="1" t="n">
        <v>36</v>
      </c>
      <c r="O2606" s="1" t="s">
        <v>14721</v>
      </c>
      <c r="P2606" s="1" t="n">
        <v>3055</v>
      </c>
      <c r="Q2606" s="1" t="s">
        <v>14722</v>
      </c>
      <c r="R2606" s="1" t="s">
        <v>14723</v>
      </c>
      <c r="S2606" s="1" t="s">
        <v>14724</v>
      </c>
      <c r="T2606" s="1" t="s">
        <v>6025</v>
      </c>
      <c r="U2606" s="1" t="s">
        <v>14725</v>
      </c>
    </row>
    <row r="2607" customFormat="false" ht="13.8" hidden="false" customHeight="false" outlineLevel="0" collapsed="false">
      <c r="A2607" s="1" t="n">
        <v>2606</v>
      </c>
      <c r="B2607" s="2" t="s">
        <v>14726</v>
      </c>
      <c r="C2607" s="1" t="n">
        <v>2</v>
      </c>
      <c r="D2607" s="1" t="n">
        <v>10</v>
      </c>
      <c r="E2607" s="1" t="n">
        <v>16</v>
      </c>
      <c r="F2607" s="1" t="n">
        <v>32</v>
      </c>
      <c r="G2607" s="1" t="n">
        <v>45</v>
      </c>
      <c r="H2607" s="1" t="n">
        <v>49</v>
      </c>
      <c r="I2607" s="1" t="str">
        <f aca="false">RIGHT(("0"&amp;C2607),2)&amp;RIGHT(("0"&amp;D2607),2)&amp;RIGHT(("0"&amp;E2607),2)&amp;RIGHT(("0"&amp;F2607),2)&amp;RIGHT(("0"&amp;G2607),2)&amp;RIGHT(("0"&amp;H2607),2)</f>
        <v>021016324549</v>
      </c>
      <c r="J2607" s="1" t="n">
        <f aca="false">COUNTIF(I:I,I2607)</f>
        <v>1</v>
      </c>
      <c r="K2607" s="1" t="n">
        <v>0</v>
      </c>
      <c r="M2607" s="1" t="s">
        <v>23</v>
      </c>
      <c r="N2607" s="1" t="n">
        <v>107</v>
      </c>
      <c r="O2607" s="1" t="s">
        <v>14727</v>
      </c>
      <c r="P2607" s="1" t="n">
        <v>4433</v>
      </c>
      <c r="Q2607" s="1" t="s">
        <v>14728</v>
      </c>
      <c r="R2607" s="1" t="s">
        <v>14729</v>
      </c>
      <c r="S2607" s="1" t="s">
        <v>14730</v>
      </c>
      <c r="T2607" s="1" t="s">
        <v>6032</v>
      </c>
      <c r="U2607" s="1" t="s">
        <v>14731</v>
      </c>
    </row>
    <row r="2608" customFormat="false" ht="13.8" hidden="false" customHeight="false" outlineLevel="0" collapsed="false">
      <c r="A2608" s="1" t="n">
        <v>2607</v>
      </c>
      <c r="B2608" s="2" t="s">
        <v>14732</v>
      </c>
      <c r="C2608" s="1" t="n">
        <v>7</v>
      </c>
      <c r="D2608" s="1" t="n">
        <v>11</v>
      </c>
      <c r="E2608" s="1" t="n">
        <v>25</v>
      </c>
      <c r="F2608" s="1" t="n">
        <v>51</v>
      </c>
      <c r="G2608" s="1" t="n">
        <v>57</v>
      </c>
      <c r="H2608" s="1" t="n">
        <v>60</v>
      </c>
      <c r="I2608" s="1" t="str">
        <f aca="false">RIGHT(("0"&amp;C2608),2)&amp;RIGHT(("0"&amp;D2608),2)&amp;RIGHT(("0"&amp;E2608),2)&amp;RIGHT(("0"&amp;F2608),2)&amp;RIGHT(("0"&amp;G2608),2)&amp;RIGHT(("0"&amp;H2608),2)</f>
        <v>071125515760</v>
      </c>
      <c r="J2608" s="1" t="n">
        <f aca="false">COUNTIF(I:I,I2608)</f>
        <v>1</v>
      </c>
      <c r="K2608" s="1" t="n">
        <v>1</v>
      </c>
      <c r="L2608" s="1" t="s">
        <v>14733</v>
      </c>
      <c r="M2608" s="1" t="s">
        <v>14734</v>
      </c>
      <c r="N2608" s="1" t="n">
        <v>111</v>
      </c>
      <c r="O2608" s="1" t="s">
        <v>14735</v>
      </c>
      <c r="P2608" s="1" t="n">
        <v>6591</v>
      </c>
      <c r="Q2608" s="1" t="s">
        <v>14736</v>
      </c>
      <c r="R2608" s="1" t="s">
        <v>23</v>
      </c>
      <c r="S2608" s="1" t="s">
        <v>14737</v>
      </c>
      <c r="T2608" s="1" t="s">
        <v>473</v>
      </c>
      <c r="U2608" s="1" t="s">
        <v>14738</v>
      </c>
    </row>
    <row r="2609" customFormat="false" ht="13.8" hidden="false" customHeight="false" outlineLevel="0" collapsed="false">
      <c r="A2609" s="1" t="n">
        <v>2608</v>
      </c>
      <c r="B2609" s="2" t="s">
        <v>14739</v>
      </c>
      <c r="C2609" s="1" t="n">
        <v>7</v>
      </c>
      <c r="D2609" s="1" t="n">
        <v>13</v>
      </c>
      <c r="E2609" s="1" t="n">
        <v>17</v>
      </c>
      <c r="F2609" s="1" t="n">
        <v>24</v>
      </c>
      <c r="G2609" s="1" t="n">
        <v>29</v>
      </c>
      <c r="H2609" s="1" t="n">
        <v>52</v>
      </c>
      <c r="I2609" s="1" t="str">
        <f aca="false">RIGHT(("0"&amp;C2609),2)&amp;RIGHT(("0"&amp;D2609),2)&amp;RIGHT(("0"&amp;E2609),2)&amp;RIGHT(("0"&amp;F2609),2)&amp;RIGHT(("0"&amp;G2609),2)&amp;RIGHT(("0"&amp;H2609),2)</f>
        <v>071317242952</v>
      </c>
      <c r="J2609" s="1" t="n">
        <f aca="false">COUNTIF(I:I,I2609)</f>
        <v>1</v>
      </c>
      <c r="K2609" s="1" t="n">
        <v>0</v>
      </c>
      <c r="M2609" s="1" t="s">
        <v>23</v>
      </c>
      <c r="N2609" s="1" t="n">
        <v>113</v>
      </c>
      <c r="O2609" s="1" t="s">
        <v>14740</v>
      </c>
      <c r="P2609" s="1" t="n">
        <v>7355</v>
      </c>
      <c r="Q2609" s="1" t="s">
        <v>14741</v>
      </c>
      <c r="R2609" s="1" t="s">
        <v>14742</v>
      </c>
      <c r="S2609" s="1" t="s">
        <v>14743</v>
      </c>
      <c r="T2609" s="1" t="s">
        <v>4190</v>
      </c>
      <c r="U2609" s="1" t="s">
        <v>14744</v>
      </c>
    </row>
    <row r="2610" customFormat="false" ht="13.8" hidden="false" customHeight="false" outlineLevel="0" collapsed="false">
      <c r="A2610" s="1" t="n">
        <v>2609</v>
      </c>
      <c r="B2610" s="2" t="s">
        <v>14745</v>
      </c>
      <c r="C2610" s="1" t="n">
        <v>3</v>
      </c>
      <c r="D2610" s="1" t="n">
        <v>21</v>
      </c>
      <c r="E2610" s="1" t="n">
        <v>27</v>
      </c>
      <c r="F2610" s="1" t="n">
        <v>32</v>
      </c>
      <c r="G2610" s="1" t="n">
        <v>35</v>
      </c>
      <c r="H2610" s="1" t="n">
        <v>60</v>
      </c>
      <c r="I2610" s="1" t="str">
        <f aca="false">RIGHT(("0"&amp;C2610),2)&amp;RIGHT(("0"&amp;D2610),2)&amp;RIGHT(("0"&amp;E2610),2)&amp;RIGHT(("0"&amp;F2610),2)&amp;RIGHT(("0"&amp;G2610),2)&amp;RIGHT(("0"&amp;H2610),2)</f>
        <v>032127323560</v>
      </c>
      <c r="J2610" s="1" t="n">
        <f aca="false">COUNTIF(I:I,I2610)</f>
        <v>1</v>
      </c>
      <c r="K2610" s="1" t="n">
        <v>0</v>
      </c>
      <c r="M2610" s="1" t="s">
        <v>23</v>
      </c>
      <c r="N2610" s="1" t="n">
        <v>50</v>
      </c>
      <c r="O2610" s="1" t="s">
        <v>14746</v>
      </c>
      <c r="P2610" s="1" t="n">
        <v>4420</v>
      </c>
      <c r="Q2610" s="1" t="s">
        <v>14747</v>
      </c>
      <c r="R2610" s="1" t="s">
        <v>14748</v>
      </c>
      <c r="S2610" s="1" t="s">
        <v>14749</v>
      </c>
      <c r="T2610" s="1" t="s">
        <v>4968</v>
      </c>
      <c r="U2610" s="1" t="s">
        <v>14750</v>
      </c>
    </row>
    <row r="2611" customFormat="false" ht="13.8" hidden="false" customHeight="false" outlineLevel="0" collapsed="false">
      <c r="A2611" s="1" t="n">
        <v>2610</v>
      </c>
      <c r="B2611" s="2" t="s">
        <v>14751</v>
      </c>
      <c r="C2611" s="1" t="n">
        <v>10</v>
      </c>
      <c r="D2611" s="1" t="n">
        <v>23</v>
      </c>
      <c r="E2611" s="1" t="n">
        <v>34</v>
      </c>
      <c r="F2611" s="1" t="n">
        <v>53</v>
      </c>
      <c r="G2611" s="1" t="n">
        <v>55</v>
      </c>
      <c r="H2611" s="1" t="n">
        <v>57</v>
      </c>
      <c r="I2611" s="1" t="str">
        <f aca="false">RIGHT(("0"&amp;C2611),2)&amp;RIGHT(("0"&amp;D2611),2)&amp;RIGHT(("0"&amp;E2611),2)&amp;RIGHT(("0"&amp;F2611),2)&amp;RIGHT(("0"&amp;G2611),2)&amp;RIGHT(("0"&amp;H2611),2)</f>
        <v>102334535557</v>
      </c>
      <c r="J2611" s="1" t="n">
        <f aca="false">COUNTIF(I:I,I2611)</f>
        <v>1</v>
      </c>
      <c r="K2611" s="1" t="n">
        <v>0</v>
      </c>
      <c r="M2611" s="1" t="s">
        <v>23</v>
      </c>
      <c r="N2611" s="1" t="n">
        <v>97</v>
      </c>
      <c r="O2611" s="1" t="s">
        <v>14752</v>
      </c>
      <c r="P2611" s="1" t="n">
        <v>6983</v>
      </c>
      <c r="Q2611" s="1" t="s">
        <v>14753</v>
      </c>
      <c r="R2611" s="1" t="s">
        <v>14754</v>
      </c>
      <c r="S2611" s="1" t="s">
        <v>14755</v>
      </c>
      <c r="T2611" s="1" t="s">
        <v>4309</v>
      </c>
      <c r="U2611" s="1" t="s">
        <v>14756</v>
      </c>
    </row>
    <row r="2612" customFormat="false" ht="13.8" hidden="false" customHeight="false" outlineLevel="0" collapsed="false">
      <c r="A2612" s="1" t="n">
        <v>2611</v>
      </c>
      <c r="B2612" s="2" t="s">
        <v>14757</v>
      </c>
      <c r="C2612" s="1" t="n">
        <v>4</v>
      </c>
      <c r="D2612" s="1" t="n">
        <v>12</v>
      </c>
      <c r="E2612" s="1" t="n">
        <v>18</v>
      </c>
      <c r="F2612" s="1" t="n">
        <v>21</v>
      </c>
      <c r="G2612" s="1" t="n">
        <v>25</v>
      </c>
      <c r="H2612" s="1" t="n">
        <v>49</v>
      </c>
      <c r="I2612" s="1" t="str">
        <f aca="false">RIGHT(("0"&amp;C2612),2)&amp;RIGHT(("0"&amp;D2612),2)&amp;RIGHT(("0"&amp;E2612),2)&amp;RIGHT(("0"&amp;F2612),2)&amp;RIGHT(("0"&amp;G2612),2)&amp;RIGHT(("0"&amp;H2612),2)</f>
        <v>041218212549</v>
      </c>
      <c r="J2612" s="1" t="n">
        <f aca="false">COUNTIF(I:I,I2612)</f>
        <v>1</v>
      </c>
      <c r="K2612" s="1" t="n">
        <v>0</v>
      </c>
      <c r="M2612" s="1" t="s">
        <v>23</v>
      </c>
      <c r="N2612" s="1" t="n">
        <v>178</v>
      </c>
      <c r="O2612" s="1" t="s">
        <v>14758</v>
      </c>
      <c r="P2612" s="1" t="n">
        <v>9213</v>
      </c>
      <c r="Q2612" s="1" t="s">
        <v>14759</v>
      </c>
      <c r="R2612" s="1" t="s">
        <v>14760</v>
      </c>
      <c r="S2612" s="1" t="s">
        <v>14761</v>
      </c>
      <c r="T2612" s="1" t="s">
        <v>6559</v>
      </c>
      <c r="U2612" s="1" t="s">
        <v>14762</v>
      </c>
    </row>
    <row r="2613" customFormat="false" ht="13.8" hidden="false" customHeight="false" outlineLevel="0" collapsed="false">
      <c r="A2613" s="1" t="n">
        <v>2612</v>
      </c>
      <c r="B2613" s="2" t="s">
        <v>14763</v>
      </c>
      <c r="C2613" s="1" t="n">
        <v>20</v>
      </c>
      <c r="D2613" s="1" t="n">
        <v>27</v>
      </c>
      <c r="E2613" s="1" t="n">
        <v>34</v>
      </c>
      <c r="F2613" s="1" t="n">
        <v>44</v>
      </c>
      <c r="G2613" s="1" t="n">
        <v>50</v>
      </c>
      <c r="H2613" s="1" t="n">
        <v>54</v>
      </c>
      <c r="I2613" s="1" t="str">
        <f aca="false">RIGHT(("0"&amp;C2613),2)&amp;RIGHT(("0"&amp;D2613),2)&amp;RIGHT(("0"&amp;E2613),2)&amp;RIGHT(("0"&amp;F2613),2)&amp;RIGHT(("0"&amp;G2613),2)&amp;RIGHT(("0"&amp;H2613),2)</f>
        <v>202734445054</v>
      </c>
      <c r="J2613" s="1" t="n">
        <f aca="false">COUNTIF(I:I,I2613)</f>
        <v>1</v>
      </c>
      <c r="K2613" s="1" t="n">
        <v>0</v>
      </c>
      <c r="M2613" s="1" t="s">
        <v>23</v>
      </c>
      <c r="N2613" s="1" t="n">
        <v>50</v>
      </c>
      <c r="O2613" s="1" t="s">
        <v>14764</v>
      </c>
      <c r="P2613" s="1" t="n">
        <v>3638</v>
      </c>
      <c r="Q2613" s="1" t="s">
        <v>14765</v>
      </c>
      <c r="R2613" s="1" t="s">
        <v>14766</v>
      </c>
      <c r="S2613" s="1" t="s">
        <v>14767</v>
      </c>
      <c r="T2613" s="1" t="s">
        <v>8797</v>
      </c>
      <c r="U2613" s="1" t="s">
        <v>14768</v>
      </c>
    </row>
    <row r="2614" customFormat="false" ht="13.8" hidden="false" customHeight="false" outlineLevel="0" collapsed="false">
      <c r="A2614" s="1" t="n">
        <v>2613</v>
      </c>
      <c r="B2614" s="2" t="s">
        <v>14769</v>
      </c>
      <c r="C2614" s="1" t="n">
        <v>14</v>
      </c>
      <c r="D2614" s="1" t="n">
        <v>26</v>
      </c>
      <c r="E2614" s="1" t="n">
        <v>40</v>
      </c>
      <c r="F2614" s="1" t="n">
        <v>42</v>
      </c>
      <c r="G2614" s="1" t="n">
        <v>46</v>
      </c>
      <c r="H2614" s="1" t="n">
        <v>52</v>
      </c>
      <c r="I2614" s="1" t="str">
        <f aca="false">RIGHT(("0"&amp;C2614),2)&amp;RIGHT(("0"&amp;D2614),2)&amp;RIGHT(("0"&amp;E2614),2)&amp;RIGHT(("0"&amp;F2614),2)&amp;RIGHT(("0"&amp;G2614),2)&amp;RIGHT(("0"&amp;H2614),2)</f>
        <v>142640424652</v>
      </c>
      <c r="J2614" s="1" t="n">
        <f aca="false">COUNTIF(I:I,I2614)</f>
        <v>1</v>
      </c>
      <c r="K2614" s="1" t="n">
        <v>0</v>
      </c>
      <c r="M2614" s="1" t="s">
        <v>23</v>
      </c>
      <c r="N2614" s="1" t="n">
        <v>70</v>
      </c>
      <c r="O2614" s="1" t="s">
        <v>14770</v>
      </c>
      <c r="P2614" s="1" t="n">
        <v>5774</v>
      </c>
      <c r="Q2614" s="1" t="s">
        <v>14771</v>
      </c>
      <c r="R2614" s="1" t="s">
        <v>14772</v>
      </c>
      <c r="S2614" s="1" t="s">
        <v>14773</v>
      </c>
      <c r="T2614" s="1" t="s">
        <v>5706</v>
      </c>
      <c r="U2614" s="1" t="s">
        <v>14774</v>
      </c>
    </row>
    <row r="2615" customFormat="false" ht="13.8" hidden="false" customHeight="false" outlineLevel="0" collapsed="false">
      <c r="A2615" s="1" t="n">
        <v>2614</v>
      </c>
      <c r="B2615" s="2" t="s">
        <v>14775</v>
      </c>
      <c r="C2615" s="1" t="n">
        <v>3</v>
      </c>
      <c r="D2615" s="1" t="n">
        <v>8</v>
      </c>
      <c r="E2615" s="1" t="n">
        <v>13</v>
      </c>
      <c r="F2615" s="1" t="n">
        <v>14</v>
      </c>
      <c r="G2615" s="1" t="n">
        <v>19</v>
      </c>
      <c r="H2615" s="1" t="n">
        <v>25</v>
      </c>
      <c r="I2615" s="1" t="str">
        <f aca="false">RIGHT(("0"&amp;C2615),2)&amp;RIGHT(("0"&amp;D2615),2)&amp;RIGHT(("0"&amp;E2615),2)&amp;RIGHT(("0"&amp;F2615),2)&amp;RIGHT(("0"&amp;G2615),2)&amp;RIGHT(("0"&amp;H2615),2)</f>
        <v>030813141925</v>
      </c>
      <c r="J2615" s="1" t="n">
        <f aca="false">COUNTIF(I:I,I2615)</f>
        <v>1</v>
      </c>
      <c r="K2615" s="1" t="n">
        <v>3</v>
      </c>
      <c r="L2615" s="1" t="s">
        <v>14776</v>
      </c>
      <c r="M2615" s="1" t="s">
        <v>14777</v>
      </c>
      <c r="N2615" s="1" t="n">
        <v>251</v>
      </c>
      <c r="O2615" s="1" t="s">
        <v>14778</v>
      </c>
      <c r="P2615" s="1" t="n">
        <v>12145</v>
      </c>
      <c r="Q2615" s="1" t="s">
        <v>14779</v>
      </c>
      <c r="R2615" s="1" t="s">
        <v>14780</v>
      </c>
      <c r="S2615" s="1" t="s">
        <v>14781</v>
      </c>
      <c r="T2615" s="1" t="s">
        <v>4304</v>
      </c>
      <c r="U2615" s="1" t="s">
        <v>14782</v>
      </c>
    </row>
    <row r="2616" customFormat="false" ht="13.8" hidden="false" customHeight="false" outlineLevel="0" collapsed="false">
      <c r="A2616" s="1" t="n">
        <v>2615</v>
      </c>
      <c r="B2616" s="2" t="s">
        <v>14783</v>
      </c>
      <c r="C2616" s="1" t="n">
        <v>5</v>
      </c>
      <c r="D2616" s="1" t="n">
        <v>7</v>
      </c>
      <c r="E2616" s="1" t="n">
        <v>22</v>
      </c>
      <c r="F2616" s="1" t="n">
        <v>23</v>
      </c>
      <c r="G2616" s="1" t="n">
        <v>41</v>
      </c>
      <c r="H2616" s="1" t="n">
        <v>59</v>
      </c>
      <c r="I2616" s="1" t="str">
        <f aca="false">RIGHT(("0"&amp;C2616),2)&amp;RIGHT(("0"&amp;D2616),2)&amp;RIGHT(("0"&amp;E2616),2)&amp;RIGHT(("0"&amp;F2616),2)&amp;RIGHT(("0"&amp;G2616),2)&amp;RIGHT(("0"&amp;H2616),2)</f>
        <v>050722234159</v>
      </c>
      <c r="J2616" s="1" t="n">
        <f aca="false">COUNTIF(I:I,I2616)</f>
        <v>1</v>
      </c>
      <c r="K2616" s="1" t="n">
        <v>0</v>
      </c>
      <c r="M2616" s="1" t="s">
        <v>23</v>
      </c>
      <c r="N2616" s="1" t="n">
        <v>82</v>
      </c>
      <c r="O2616" s="1" t="s">
        <v>14784</v>
      </c>
      <c r="P2616" s="1" t="n">
        <v>5737</v>
      </c>
      <c r="Q2616" s="1" t="s">
        <v>14785</v>
      </c>
      <c r="R2616" s="1" t="s">
        <v>14786</v>
      </c>
      <c r="S2616" s="1" t="s">
        <v>14787</v>
      </c>
      <c r="T2616" s="1" t="s">
        <v>4309</v>
      </c>
      <c r="U2616" s="1" t="s">
        <v>14788</v>
      </c>
    </row>
    <row r="2617" customFormat="false" ht="13.8" hidden="false" customHeight="false" outlineLevel="0" collapsed="false">
      <c r="A2617" s="1" t="n">
        <v>2616</v>
      </c>
      <c r="B2617" s="2" t="s">
        <v>14789</v>
      </c>
      <c r="C2617" s="1" t="n">
        <v>6</v>
      </c>
      <c r="D2617" s="1" t="n">
        <v>16</v>
      </c>
      <c r="E2617" s="1" t="n">
        <v>23</v>
      </c>
      <c r="F2617" s="1" t="n">
        <v>35</v>
      </c>
      <c r="G2617" s="1" t="n">
        <v>38</v>
      </c>
      <c r="H2617" s="1" t="n">
        <v>49</v>
      </c>
      <c r="I2617" s="1" t="str">
        <f aca="false">RIGHT(("0"&amp;C2617),2)&amp;RIGHT(("0"&amp;D2617),2)&amp;RIGHT(("0"&amp;E2617),2)&amp;RIGHT(("0"&amp;F2617),2)&amp;RIGHT(("0"&amp;G2617),2)&amp;RIGHT(("0"&amp;H2617),2)</f>
        <v>061623353849</v>
      </c>
      <c r="J2617" s="1" t="n">
        <f aca="false">COUNTIF(I:I,I2617)</f>
        <v>1</v>
      </c>
      <c r="K2617" s="1" t="n">
        <v>0</v>
      </c>
      <c r="M2617" s="1" t="s">
        <v>23</v>
      </c>
      <c r="N2617" s="1" t="n">
        <v>103</v>
      </c>
      <c r="O2617" s="1" t="s">
        <v>14790</v>
      </c>
      <c r="P2617" s="1" t="n">
        <v>6817</v>
      </c>
      <c r="Q2617" s="1" t="s">
        <v>14791</v>
      </c>
      <c r="R2617" s="1" t="s">
        <v>14792</v>
      </c>
      <c r="S2617" s="1" t="s">
        <v>14793</v>
      </c>
      <c r="T2617" s="1" t="s">
        <v>6559</v>
      </c>
      <c r="U2617" s="1" t="s">
        <v>14794</v>
      </c>
    </row>
    <row r="2618" customFormat="false" ht="13.8" hidden="false" customHeight="false" outlineLevel="0" collapsed="false">
      <c r="A2618" s="1" t="n">
        <v>2617</v>
      </c>
      <c r="B2618" s="2" t="s">
        <v>14795</v>
      </c>
      <c r="C2618" s="1" t="n">
        <v>3</v>
      </c>
      <c r="D2618" s="1" t="n">
        <v>14</v>
      </c>
      <c r="E2618" s="1" t="n">
        <v>36</v>
      </c>
      <c r="F2618" s="1" t="n">
        <v>42</v>
      </c>
      <c r="G2618" s="1" t="n">
        <v>43</v>
      </c>
      <c r="H2618" s="1" t="n">
        <v>44</v>
      </c>
      <c r="I2618" s="1" t="str">
        <f aca="false">RIGHT(("0"&amp;C2618),2)&amp;RIGHT(("0"&amp;D2618),2)&amp;RIGHT(("0"&amp;E2618),2)&amp;RIGHT(("0"&amp;F2618),2)&amp;RIGHT(("0"&amp;G2618),2)&amp;RIGHT(("0"&amp;H2618),2)</f>
        <v>031436424344</v>
      </c>
      <c r="J2618" s="1" t="n">
        <f aca="false">COUNTIF(I:I,I2618)</f>
        <v>1</v>
      </c>
      <c r="K2618" s="1" t="n">
        <v>0</v>
      </c>
      <c r="M2618" s="1" t="s">
        <v>23</v>
      </c>
      <c r="N2618" s="1" t="n">
        <v>83</v>
      </c>
      <c r="O2618" s="1" t="s">
        <v>14796</v>
      </c>
      <c r="P2618" s="1" t="n">
        <v>6354</v>
      </c>
      <c r="Q2618" s="1" t="s">
        <v>14797</v>
      </c>
      <c r="R2618" s="1" t="s">
        <v>14798</v>
      </c>
      <c r="S2618" s="1" t="s">
        <v>14799</v>
      </c>
      <c r="T2618" s="1" t="s">
        <v>8797</v>
      </c>
      <c r="U2618" s="1" t="s">
        <v>14800</v>
      </c>
    </row>
    <row r="2619" customFormat="false" ht="13.8" hidden="false" customHeight="false" outlineLevel="0" collapsed="false">
      <c r="A2619" s="1" t="n">
        <v>2618</v>
      </c>
      <c r="B2619" s="2" t="s">
        <v>14801</v>
      </c>
      <c r="C2619" s="1" t="n">
        <v>6</v>
      </c>
      <c r="D2619" s="1" t="n">
        <v>17</v>
      </c>
      <c r="E2619" s="1" t="n">
        <v>29</v>
      </c>
      <c r="F2619" s="1" t="n">
        <v>35</v>
      </c>
      <c r="G2619" s="1" t="n">
        <v>45</v>
      </c>
      <c r="H2619" s="1" t="n">
        <v>48</v>
      </c>
      <c r="I2619" s="1" t="str">
        <f aca="false">RIGHT(("0"&amp;C2619),2)&amp;RIGHT(("0"&amp;D2619),2)&amp;RIGHT(("0"&amp;E2619),2)&amp;RIGHT(("0"&amp;F2619),2)&amp;RIGHT(("0"&amp;G2619),2)&amp;RIGHT(("0"&amp;H2619),2)</f>
        <v>061729354548</v>
      </c>
      <c r="J2619" s="1" t="n">
        <f aca="false">COUNTIF(I:I,I2619)</f>
        <v>1</v>
      </c>
      <c r="K2619" s="1" t="n">
        <v>0</v>
      </c>
      <c r="M2619" s="1" t="s">
        <v>23</v>
      </c>
      <c r="N2619" s="1" t="n">
        <v>121</v>
      </c>
      <c r="O2619" s="1" t="s">
        <v>14802</v>
      </c>
      <c r="P2619" s="1" t="n">
        <v>9213</v>
      </c>
      <c r="Q2619" s="1" t="s">
        <v>14803</v>
      </c>
      <c r="R2619" s="1" t="s">
        <v>14804</v>
      </c>
      <c r="S2619" s="1" t="s">
        <v>14805</v>
      </c>
      <c r="T2619" s="1" t="s">
        <v>6097</v>
      </c>
      <c r="U2619" s="1" t="s">
        <v>14806</v>
      </c>
    </row>
    <row r="2620" customFormat="false" ht="13.8" hidden="false" customHeight="false" outlineLevel="0" collapsed="false">
      <c r="A2620" s="1" t="n">
        <v>2619</v>
      </c>
      <c r="B2620" s="2" t="s">
        <v>14807</v>
      </c>
      <c r="C2620" s="1" t="n">
        <v>5</v>
      </c>
      <c r="D2620" s="1" t="n">
        <v>36</v>
      </c>
      <c r="E2620" s="1" t="n">
        <v>39</v>
      </c>
      <c r="F2620" s="1" t="n">
        <v>41</v>
      </c>
      <c r="G2620" s="1" t="n">
        <v>44</v>
      </c>
      <c r="H2620" s="1" t="n">
        <v>50</v>
      </c>
      <c r="I2620" s="1" t="str">
        <f aca="false">RIGHT(("0"&amp;C2620),2)&amp;RIGHT(("0"&amp;D2620),2)&amp;RIGHT(("0"&amp;E2620),2)&amp;RIGHT(("0"&amp;F2620),2)&amp;RIGHT(("0"&amp;G2620),2)&amp;RIGHT(("0"&amp;H2620),2)</f>
        <v>053639414450</v>
      </c>
      <c r="J2620" s="1" t="n">
        <f aca="false">COUNTIF(I:I,I2620)</f>
        <v>1</v>
      </c>
      <c r="K2620" s="1" t="n">
        <v>0</v>
      </c>
      <c r="M2620" s="1" t="s">
        <v>23</v>
      </c>
      <c r="N2620" s="1" t="n">
        <v>83</v>
      </c>
      <c r="O2620" s="1" t="s">
        <v>14808</v>
      </c>
      <c r="P2620" s="1" t="n">
        <v>6849</v>
      </c>
      <c r="Q2620" s="1" t="s">
        <v>14809</v>
      </c>
      <c r="R2620" s="1" t="s">
        <v>14810</v>
      </c>
      <c r="S2620" s="1" t="s">
        <v>14811</v>
      </c>
      <c r="T2620" s="1" t="s">
        <v>6104</v>
      </c>
      <c r="U2620" s="1" t="s">
        <v>14812</v>
      </c>
    </row>
    <row r="2621" customFormat="false" ht="13.8" hidden="false" customHeight="false" outlineLevel="0" collapsed="false">
      <c r="A2621" s="1" t="n">
        <v>2620</v>
      </c>
      <c r="B2621" s="2" t="s">
        <v>14813</v>
      </c>
      <c r="C2621" s="1" t="n">
        <v>4</v>
      </c>
      <c r="D2621" s="1" t="n">
        <v>6</v>
      </c>
      <c r="E2621" s="1" t="n">
        <v>13</v>
      </c>
      <c r="F2621" s="1" t="n">
        <v>21</v>
      </c>
      <c r="G2621" s="1" t="n">
        <v>26</v>
      </c>
      <c r="H2621" s="1" t="n">
        <v>28</v>
      </c>
      <c r="I2621" s="1" t="str">
        <f aca="false">RIGHT(("0"&amp;C2621),2)&amp;RIGHT(("0"&amp;D2621),2)&amp;RIGHT(("0"&amp;E2621),2)&amp;RIGHT(("0"&amp;F2621),2)&amp;RIGHT(("0"&amp;G2621),2)&amp;RIGHT(("0"&amp;H2621),2)</f>
        <v>040613212628</v>
      </c>
      <c r="J2621" s="1" t="n">
        <f aca="false">COUNTIF(I:I,I2621)</f>
        <v>1</v>
      </c>
      <c r="K2621" s="1" t="n">
        <v>4</v>
      </c>
      <c r="L2621" s="1" t="s">
        <v>14814</v>
      </c>
      <c r="M2621" s="1" t="s">
        <v>14815</v>
      </c>
      <c r="N2621" s="1" t="n">
        <v>404</v>
      </c>
      <c r="O2621" s="1" t="s">
        <v>14816</v>
      </c>
      <c r="P2621" s="1" t="n">
        <v>21667</v>
      </c>
      <c r="Q2621" s="1" t="s">
        <v>14817</v>
      </c>
      <c r="R2621" s="1" t="s">
        <v>23</v>
      </c>
      <c r="S2621" s="1" t="s">
        <v>14818</v>
      </c>
      <c r="T2621" s="1" t="s">
        <v>4337</v>
      </c>
      <c r="U2621" s="1" t="s">
        <v>14819</v>
      </c>
    </row>
    <row r="2622" customFormat="false" ht="13.8" hidden="false" customHeight="false" outlineLevel="0" collapsed="false">
      <c r="A2622" s="1" t="n">
        <v>2621</v>
      </c>
      <c r="B2622" s="2" t="s">
        <v>14820</v>
      </c>
      <c r="C2622" s="1" t="n">
        <v>6</v>
      </c>
      <c r="D2622" s="1" t="n">
        <v>9</v>
      </c>
      <c r="E2622" s="1" t="n">
        <v>14</v>
      </c>
      <c r="F2622" s="1" t="n">
        <v>16</v>
      </c>
      <c r="G2622" s="1" t="n">
        <v>42</v>
      </c>
      <c r="H2622" s="1" t="n">
        <v>47</v>
      </c>
      <c r="I2622" s="1" t="str">
        <f aca="false">RIGHT(("0"&amp;C2622),2)&amp;RIGHT(("0"&amp;D2622),2)&amp;RIGHT(("0"&amp;E2622),2)&amp;RIGHT(("0"&amp;F2622),2)&amp;RIGHT(("0"&amp;G2622),2)&amp;RIGHT(("0"&amp;H2622),2)</f>
        <v>060914164247</v>
      </c>
      <c r="J2622" s="1" t="n">
        <f aca="false">COUNTIF(I:I,I2622)</f>
        <v>1</v>
      </c>
      <c r="K2622" s="1" t="n">
        <v>2</v>
      </c>
      <c r="L2622" s="1" t="s">
        <v>14821</v>
      </c>
      <c r="M2622" s="1" t="s">
        <v>14822</v>
      </c>
      <c r="N2622" s="1" t="n">
        <v>33</v>
      </c>
      <c r="O2622" s="1" t="s">
        <v>14823</v>
      </c>
      <c r="P2622" s="1" t="n">
        <v>3245</v>
      </c>
      <c r="Q2622" s="1" t="s">
        <v>14824</v>
      </c>
      <c r="R2622" s="1" t="s">
        <v>23</v>
      </c>
      <c r="S2622" s="1" t="s">
        <v>14825</v>
      </c>
      <c r="T2622" s="1" t="s">
        <v>4409</v>
      </c>
      <c r="U2622" s="1" t="s">
        <v>14826</v>
      </c>
    </row>
    <row r="2623" customFormat="false" ht="13.8" hidden="false" customHeight="false" outlineLevel="0" collapsed="false">
      <c r="A2623" s="1" t="n">
        <v>2622</v>
      </c>
      <c r="B2623" s="2" t="s">
        <v>14827</v>
      </c>
      <c r="C2623" s="1" t="n">
        <v>9</v>
      </c>
      <c r="D2623" s="1" t="n">
        <v>19</v>
      </c>
      <c r="E2623" s="1" t="n">
        <v>22</v>
      </c>
      <c r="F2623" s="1" t="n">
        <v>24</v>
      </c>
      <c r="G2623" s="1" t="n">
        <v>50</v>
      </c>
      <c r="H2623" s="1" t="n">
        <v>60</v>
      </c>
      <c r="I2623" s="1" t="str">
        <f aca="false">RIGHT(("0"&amp;C2623),2)&amp;RIGHT(("0"&amp;D2623),2)&amp;RIGHT(("0"&amp;E2623),2)&amp;RIGHT(("0"&amp;F2623),2)&amp;RIGHT(("0"&amp;G2623),2)&amp;RIGHT(("0"&amp;H2623),2)</f>
        <v>091922245060</v>
      </c>
      <c r="J2623" s="1" t="n">
        <f aca="false">COUNTIF(I:I,I2623)</f>
        <v>1</v>
      </c>
      <c r="K2623" s="1" t="n">
        <v>1</v>
      </c>
      <c r="L2623" s="1" t="s">
        <v>14828</v>
      </c>
      <c r="M2623" s="1" t="s">
        <v>14829</v>
      </c>
      <c r="N2623" s="1" t="n">
        <v>34</v>
      </c>
      <c r="O2623" s="1" t="s">
        <v>14830</v>
      </c>
      <c r="P2623" s="1" t="n">
        <v>3419</v>
      </c>
      <c r="Q2623" s="1" t="s">
        <v>14831</v>
      </c>
      <c r="R2623" s="1" t="s">
        <v>23</v>
      </c>
      <c r="S2623" s="1" t="s">
        <v>14832</v>
      </c>
      <c r="T2623" s="1" t="s">
        <v>473</v>
      </c>
      <c r="U2623" s="1" t="s">
        <v>14833</v>
      </c>
    </row>
    <row r="2624" customFormat="false" ht="13.8" hidden="false" customHeight="false" outlineLevel="0" collapsed="false">
      <c r="A2624" s="1" t="n">
        <v>2623</v>
      </c>
      <c r="B2624" s="2" t="s">
        <v>14834</v>
      </c>
      <c r="C2624" s="1" t="n">
        <v>10</v>
      </c>
      <c r="D2624" s="1" t="n">
        <v>15</v>
      </c>
      <c r="E2624" s="1" t="n">
        <v>20</v>
      </c>
      <c r="F2624" s="1" t="n">
        <v>35</v>
      </c>
      <c r="G2624" s="1" t="n">
        <v>37</v>
      </c>
      <c r="H2624" s="1" t="n">
        <v>59</v>
      </c>
      <c r="I2624" s="1" t="str">
        <f aca="false">RIGHT(("0"&amp;C2624),2)&amp;RIGHT(("0"&amp;D2624),2)&amp;RIGHT(("0"&amp;E2624),2)&amp;RIGHT(("0"&amp;F2624),2)&amp;RIGHT(("0"&amp;G2624),2)&amp;RIGHT(("0"&amp;H2624),2)</f>
        <v>101520353759</v>
      </c>
      <c r="J2624" s="1" t="n">
        <f aca="false">COUNTIF(I:I,I2624)</f>
        <v>1</v>
      </c>
      <c r="K2624" s="1" t="n">
        <v>0</v>
      </c>
      <c r="M2624" s="1" t="s">
        <v>23</v>
      </c>
      <c r="N2624" s="1" t="n">
        <v>17</v>
      </c>
      <c r="O2624" s="1" t="s">
        <v>14835</v>
      </c>
      <c r="P2624" s="1" t="n">
        <v>1967</v>
      </c>
      <c r="Q2624" s="1" t="s">
        <v>14836</v>
      </c>
      <c r="R2624" s="1" t="s">
        <v>14837</v>
      </c>
      <c r="S2624" s="1" t="s">
        <v>14838</v>
      </c>
      <c r="T2624" s="1" t="s">
        <v>7089</v>
      </c>
      <c r="U2624" s="1" t="s">
        <v>14839</v>
      </c>
    </row>
    <row r="2625" customFormat="false" ht="13.8" hidden="false" customHeight="false" outlineLevel="0" collapsed="false">
      <c r="A2625" s="1" t="n">
        <v>2624</v>
      </c>
      <c r="B2625" s="2" t="s">
        <v>14840</v>
      </c>
      <c r="C2625" s="1" t="n">
        <v>5</v>
      </c>
      <c r="D2625" s="1" t="n">
        <v>31</v>
      </c>
      <c r="E2625" s="1" t="n">
        <v>37</v>
      </c>
      <c r="F2625" s="1" t="n">
        <v>47</v>
      </c>
      <c r="G2625" s="1" t="n">
        <v>52</v>
      </c>
      <c r="H2625" s="1" t="n">
        <v>58</v>
      </c>
      <c r="I2625" s="1" t="str">
        <f aca="false">RIGHT(("0"&amp;C2625),2)&amp;RIGHT(("0"&amp;D2625),2)&amp;RIGHT(("0"&amp;E2625),2)&amp;RIGHT(("0"&amp;F2625),2)&amp;RIGHT(("0"&amp;G2625),2)&amp;RIGHT(("0"&amp;H2625),2)</f>
        <v>053137475258</v>
      </c>
      <c r="J2625" s="1" t="n">
        <f aca="false">COUNTIF(I:I,I2625)</f>
        <v>1</v>
      </c>
      <c r="K2625" s="1" t="n">
        <v>0</v>
      </c>
      <c r="M2625" s="1" t="s">
        <v>23</v>
      </c>
      <c r="N2625" s="1" t="n">
        <v>17</v>
      </c>
      <c r="O2625" s="1" t="s">
        <v>14841</v>
      </c>
      <c r="P2625" s="1" t="n">
        <v>1392</v>
      </c>
      <c r="Q2625" s="1" t="s">
        <v>14842</v>
      </c>
      <c r="R2625" s="1" t="s">
        <v>14843</v>
      </c>
      <c r="S2625" s="1" t="s">
        <v>14844</v>
      </c>
      <c r="T2625" s="1" t="s">
        <v>3892</v>
      </c>
      <c r="U2625" s="1" t="s">
        <v>14845</v>
      </c>
    </row>
    <row r="2626" customFormat="false" ht="13.8" hidden="false" customHeight="false" outlineLevel="0" collapsed="false">
      <c r="A2626" s="1" t="n">
        <v>2625</v>
      </c>
      <c r="B2626" s="2" t="s">
        <v>14846</v>
      </c>
      <c r="C2626" s="1" t="n">
        <v>9</v>
      </c>
      <c r="D2626" s="1" t="n">
        <v>10</v>
      </c>
      <c r="E2626" s="1" t="n">
        <v>35</v>
      </c>
      <c r="F2626" s="1" t="n">
        <v>44</v>
      </c>
      <c r="G2626" s="1" t="n">
        <v>55</v>
      </c>
      <c r="H2626" s="1" t="n">
        <v>58</v>
      </c>
      <c r="I2626" s="1" t="str">
        <f aca="false">RIGHT(("0"&amp;C2626),2)&amp;RIGHT(("0"&amp;D2626),2)&amp;RIGHT(("0"&amp;E2626),2)&amp;RIGHT(("0"&amp;F2626),2)&amp;RIGHT(("0"&amp;G2626),2)&amp;RIGHT(("0"&amp;H2626),2)</f>
        <v>091035445558</v>
      </c>
      <c r="J2626" s="1" t="n">
        <f aca="false">COUNTIF(I:I,I2626)</f>
        <v>1</v>
      </c>
      <c r="K2626" s="1" t="n">
        <v>0</v>
      </c>
      <c r="M2626" s="1" t="s">
        <v>23</v>
      </c>
      <c r="N2626" s="1" t="n">
        <v>47</v>
      </c>
      <c r="O2626" s="1" t="s">
        <v>14847</v>
      </c>
      <c r="P2626" s="1" t="n">
        <v>3624</v>
      </c>
      <c r="Q2626" s="1" t="s">
        <v>14848</v>
      </c>
      <c r="R2626" s="1" t="s">
        <v>14849</v>
      </c>
      <c r="S2626" s="1" t="s">
        <v>14850</v>
      </c>
      <c r="T2626" s="1" t="s">
        <v>6025</v>
      </c>
      <c r="U2626" s="1" t="s">
        <v>14851</v>
      </c>
    </row>
    <row r="2627" customFormat="false" ht="13.8" hidden="false" customHeight="false" outlineLevel="0" collapsed="false">
      <c r="A2627" s="1" t="n">
        <v>2626</v>
      </c>
      <c r="B2627" s="2" t="s">
        <v>14852</v>
      </c>
      <c r="C2627" s="1" t="n">
        <v>1</v>
      </c>
      <c r="D2627" s="1" t="n">
        <v>9</v>
      </c>
      <c r="E2627" s="1" t="n">
        <v>13</v>
      </c>
      <c r="F2627" s="1" t="n">
        <v>16</v>
      </c>
      <c r="G2627" s="1" t="n">
        <v>52</v>
      </c>
      <c r="H2627" s="1" t="n">
        <v>59</v>
      </c>
      <c r="I2627" s="1" t="str">
        <f aca="false">RIGHT(("0"&amp;C2627),2)&amp;RIGHT(("0"&amp;D2627),2)&amp;RIGHT(("0"&amp;E2627),2)&amp;RIGHT(("0"&amp;F2627),2)&amp;RIGHT(("0"&amp;G2627),2)&amp;RIGHT(("0"&amp;H2627),2)</f>
        <v>010913165259</v>
      </c>
      <c r="J2627" s="1" t="n">
        <f aca="false">COUNTIF(I:I,I2627)</f>
        <v>1</v>
      </c>
      <c r="K2627" s="1" t="n">
        <v>0</v>
      </c>
      <c r="M2627" s="1" t="s">
        <v>23</v>
      </c>
      <c r="N2627" s="1" t="n">
        <v>51</v>
      </c>
      <c r="O2627" s="1" t="s">
        <v>14853</v>
      </c>
      <c r="P2627" s="1" t="n">
        <v>3431</v>
      </c>
      <c r="Q2627" s="1" t="s">
        <v>14854</v>
      </c>
      <c r="R2627" s="1" t="s">
        <v>14855</v>
      </c>
      <c r="S2627" s="1" t="s">
        <v>14856</v>
      </c>
      <c r="T2627" s="1" t="s">
        <v>7301</v>
      </c>
      <c r="U2627" s="1" t="s">
        <v>14857</v>
      </c>
    </row>
    <row r="2628" customFormat="false" ht="13.8" hidden="false" customHeight="false" outlineLevel="0" collapsed="false">
      <c r="A2628" s="1" t="n">
        <v>2627</v>
      </c>
      <c r="B2628" s="2" t="s">
        <v>14858</v>
      </c>
      <c r="C2628" s="1" t="n">
        <v>13</v>
      </c>
      <c r="D2628" s="1" t="n">
        <v>25</v>
      </c>
      <c r="E2628" s="1" t="n">
        <v>31</v>
      </c>
      <c r="F2628" s="1" t="n">
        <v>43</v>
      </c>
      <c r="G2628" s="1" t="n">
        <v>57</v>
      </c>
      <c r="H2628" s="1" t="n">
        <v>58</v>
      </c>
      <c r="I2628" s="1" t="str">
        <f aca="false">RIGHT(("0"&amp;C2628),2)&amp;RIGHT(("0"&amp;D2628),2)&amp;RIGHT(("0"&amp;E2628),2)&amp;RIGHT(("0"&amp;F2628),2)&amp;RIGHT(("0"&amp;G2628),2)&amp;RIGHT(("0"&amp;H2628),2)</f>
        <v>132531435758</v>
      </c>
      <c r="J2628" s="1" t="n">
        <f aca="false">COUNTIF(I:I,I2628)</f>
        <v>1</v>
      </c>
      <c r="K2628" s="1" t="n">
        <v>0</v>
      </c>
      <c r="M2628" s="1" t="s">
        <v>23</v>
      </c>
      <c r="N2628" s="1" t="n">
        <v>56</v>
      </c>
      <c r="O2628" s="1" t="s">
        <v>14859</v>
      </c>
      <c r="P2628" s="1" t="n">
        <v>4691</v>
      </c>
      <c r="Q2628" s="1" t="s">
        <v>14860</v>
      </c>
      <c r="R2628" s="1" t="s">
        <v>14861</v>
      </c>
      <c r="S2628" s="1" t="s">
        <v>14862</v>
      </c>
      <c r="T2628" s="1" t="s">
        <v>7574</v>
      </c>
      <c r="U2628" s="1" t="s">
        <v>14863</v>
      </c>
    </row>
    <row r="2629" customFormat="false" ht="13.8" hidden="false" customHeight="false" outlineLevel="0" collapsed="false">
      <c r="A2629" s="1" t="n">
        <v>2628</v>
      </c>
      <c r="B2629" s="2" t="s">
        <v>14864</v>
      </c>
      <c r="C2629" s="1" t="n">
        <v>5</v>
      </c>
      <c r="D2629" s="1" t="n">
        <v>14</v>
      </c>
      <c r="E2629" s="1" t="n">
        <v>32</v>
      </c>
      <c r="F2629" s="1" t="n">
        <v>40</v>
      </c>
      <c r="G2629" s="1" t="n">
        <v>53</v>
      </c>
      <c r="H2629" s="1" t="n">
        <v>54</v>
      </c>
      <c r="I2629" s="1" t="str">
        <f aca="false">RIGHT(("0"&amp;C2629),2)&amp;RIGHT(("0"&amp;D2629),2)&amp;RIGHT(("0"&amp;E2629),2)&amp;RIGHT(("0"&amp;F2629),2)&amp;RIGHT(("0"&amp;G2629),2)&amp;RIGHT(("0"&amp;H2629),2)</f>
        <v>051432405354</v>
      </c>
      <c r="J2629" s="1" t="n">
        <f aca="false">COUNTIF(I:I,I2629)</f>
        <v>1</v>
      </c>
      <c r="K2629" s="1" t="n">
        <v>0</v>
      </c>
      <c r="M2629" s="1" t="s">
        <v>23</v>
      </c>
      <c r="N2629" s="1" t="n">
        <v>64</v>
      </c>
      <c r="O2629" s="1" t="s">
        <v>14865</v>
      </c>
      <c r="P2629" s="1" t="n">
        <v>5019</v>
      </c>
      <c r="Q2629" s="1" t="s">
        <v>14866</v>
      </c>
      <c r="R2629" s="1" t="s">
        <v>14867</v>
      </c>
      <c r="S2629" s="1" t="s">
        <v>14868</v>
      </c>
      <c r="T2629" s="1" t="s">
        <v>5255</v>
      </c>
      <c r="U2629" s="1" t="s">
        <v>14869</v>
      </c>
    </row>
    <row r="2630" customFormat="false" ht="13.8" hidden="false" customHeight="false" outlineLevel="0" collapsed="false">
      <c r="A2630" s="1" t="n">
        <v>2629</v>
      </c>
      <c r="B2630" s="2" t="s">
        <v>14870</v>
      </c>
      <c r="C2630" s="1" t="n">
        <v>11</v>
      </c>
      <c r="D2630" s="1" t="n">
        <v>32</v>
      </c>
      <c r="E2630" s="1" t="n">
        <v>35</v>
      </c>
      <c r="F2630" s="1" t="n">
        <v>40</v>
      </c>
      <c r="G2630" s="1" t="n">
        <v>41</v>
      </c>
      <c r="H2630" s="1" t="n">
        <v>48</v>
      </c>
      <c r="I2630" s="1" t="str">
        <f aca="false">RIGHT(("0"&amp;C2630),2)&amp;RIGHT(("0"&amp;D2630),2)&amp;RIGHT(("0"&amp;E2630),2)&amp;RIGHT(("0"&amp;F2630),2)&amp;RIGHT(("0"&amp;G2630),2)&amp;RIGHT(("0"&amp;H2630),2)</f>
        <v>113235404148</v>
      </c>
      <c r="J2630" s="1" t="n">
        <f aca="false">COUNTIF(I:I,I2630)</f>
        <v>1</v>
      </c>
      <c r="K2630" s="1" t="n">
        <v>0</v>
      </c>
      <c r="M2630" s="1" t="s">
        <v>23</v>
      </c>
      <c r="N2630" s="1" t="n">
        <v>49</v>
      </c>
      <c r="O2630" s="1" t="s">
        <v>14871</v>
      </c>
      <c r="P2630" s="1" t="n">
        <v>3184</v>
      </c>
      <c r="Q2630" s="1" t="s">
        <v>14872</v>
      </c>
      <c r="R2630" s="1" t="s">
        <v>14873</v>
      </c>
      <c r="S2630" s="1" t="s">
        <v>14874</v>
      </c>
      <c r="T2630" s="1" t="s">
        <v>6045</v>
      </c>
      <c r="U2630" s="1" t="s">
        <v>14875</v>
      </c>
    </row>
    <row r="2631" customFormat="false" ht="13.8" hidden="false" customHeight="false" outlineLevel="0" collapsed="false">
      <c r="A2631" s="1" t="n">
        <v>2630</v>
      </c>
      <c r="B2631" s="2" t="s">
        <v>14876</v>
      </c>
      <c r="C2631" s="1" t="n">
        <v>14</v>
      </c>
      <c r="D2631" s="1" t="n">
        <v>18</v>
      </c>
      <c r="E2631" s="1" t="n">
        <v>22</v>
      </c>
      <c r="F2631" s="1" t="n">
        <v>26</v>
      </c>
      <c r="G2631" s="1" t="n">
        <v>31</v>
      </c>
      <c r="H2631" s="1" t="n">
        <v>38</v>
      </c>
      <c r="I2631" s="1" t="str">
        <f aca="false">RIGHT(("0"&amp;C2631),2)&amp;RIGHT(("0"&amp;D2631),2)&amp;RIGHT(("0"&amp;E2631),2)&amp;RIGHT(("0"&amp;F2631),2)&amp;RIGHT(("0"&amp;G2631),2)&amp;RIGHT(("0"&amp;H2631),2)</f>
        <v>141822263138</v>
      </c>
      <c r="J2631" s="1" t="n">
        <f aca="false">COUNTIF(I:I,I2631)</f>
        <v>1</v>
      </c>
      <c r="K2631" s="1" t="n">
        <v>1</v>
      </c>
      <c r="L2631" s="1" t="s">
        <v>14877</v>
      </c>
      <c r="M2631" s="1" t="s">
        <v>14878</v>
      </c>
      <c r="N2631" s="1" t="n">
        <v>250</v>
      </c>
      <c r="O2631" s="1" t="s">
        <v>14879</v>
      </c>
      <c r="P2631" s="1" t="n">
        <v>9565</v>
      </c>
      <c r="Q2631" s="1" t="s">
        <v>14880</v>
      </c>
      <c r="R2631" s="1" t="s">
        <v>23</v>
      </c>
      <c r="S2631" s="1" t="s">
        <v>14881</v>
      </c>
      <c r="T2631" s="1" t="s">
        <v>473</v>
      </c>
      <c r="U2631" s="1" t="s">
        <v>14882</v>
      </c>
    </row>
    <row r="2632" customFormat="false" ht="13.8" hidden="false" customHeight="false" outlineLevel="0" collapsed="false">
      <c r="A2632" s="1" t="n">
        <v>2631</v>
      </c>
      <c r="B2632" s="2" t="s">
        <v>14883</v>
      </c>
      <c r="C2632" s="1" t="n">
        <v>14</v>
      </c>
      <c r="D2632" s="1" t="n">
        <v>26</v>
      </c>
      <c r="E2632" s="1" t="n">
        <v>36</v>
      </c>
      <c r="F2632" s="1" t="n">
        <v>39</v>
      </c>
      <c r="G2632" s="1" t="n">
        <v>50</v>
      </c>
      <c r="H2632" s="1" t="n">
        <v>53</v>
      </c>
      <c r="I2632" s="1" t="str">
        <f aca="false">RIGHT(("0"&amp;C2632),2)&amp;RIGHT(("0"&amp;D2632),2)&amp;RIGHT(("0"&amp;E2632),2)&amp;RIGHT(("0"&amp;F2632),2)&amp;RIGHT(("0"&amp;G2632),2)&amp;RIGHT(("0"&amp;H2632),2)</f>
        <v>142636395053</v>
      </c>
      <c r="J2632" s="1" t="n">
        <f aca="false">COUNTIF(I:I,I2632)</f>
        <v>1</v>
      </c>
      <c r="K2632" s="1" t="n">
        <v>0</v>
      </c>
      <c r="M2632" s="1" t="s">
        <v>23</v>
      </c>
      <c r="N2632" s="1" t="n">
        <v>17</v>
      </c>
      <c r="O2632" s="1" t="s">
        <v>14884</v>
      </c>
      <c r="P2632" s="1" t="n">
        <v>1333</v>
      </c>
      <c r="Q2632" s="1" t="s">
        <v>14885</v>
      </c>
      <c r="R2632" s="1" t="s">
        <v>14886</v>
      </c>
      <c r="S2632" s="1" t="s">
        <v>14887</v>
      </c>
      <c r="T2632" s="1" t="s">
        <v>4342</v>
      </c>
      <c r="U2632" s="1" t="s">
        <v>14888</v>
      </c>
    </row>
    <row r="2633" customFormat="false" ht="13.8" hidden="false" customHeight="false" outlineLevel="0" collapsed="false">
      <c r="A2633" s="1" t="n">
        <v>2632</v>
      </c>
      <c r="B2633" s="2" t="s">
        <v>14889</v>
      </c>
      <c r="C2633" s="1" t="n">
        <v>5</v>
      </c>
      <c r="D2633" s="1" t="n">
        <v>10</v>
      </c>
      <c r="E2633" s="1" t="n">
        <v>27</v>
      </c>
      <c r="F2633" s="1" t="n">
        <v>38</v>
      </c>
      <c r="G2633" s="1" t="n">
        <v>56</v>
      </c>
      <c r="H2633" s="1" t="n">
        <v>57</v>
      </c>
      <c r="I2633" s="1" t="str">
        <f aca="false">RIGHT(("0"&amp;C2633),2)&amp;RIGHT(("0"&amp;D2633),2)&amp;RIGHT(("0"&amp;E2633),2)&amp;RIGHT(("0"&amp;F2633),2)&amp;RIGHT(("0"&amp;G2633),2)&amp;RIGHT(("0"&amp;H2633),2)</f>
        <v>051027385657</v>
      </c>
      <c r="J2633" s="1" t="n">
        <f aca="false">COUNTIF(I:I,I2633)</f>
        <v>1</v>
      </c>
      <c r="K2633" s="1" t="n">
        <v>0</v>
      </c>
      <c r="M2633" s="1" t="s">
        <v>23</v>
      </c>
      <c r="N2633" s="1" t="n">
        <v>48</v>
      </c>
      <c r="O2633" s="1" t="s">
        <v>14890</v>
      </c>
      <c r="P2633" s="1" t="n">
        <v>2911</v>
      </c>
      <c r="Q2633" s="1" t="s">
        <v>14891</v>
      </c>
      <c r="R2633" s="1" t="s">
        <v>14892</v>
      </c>
      <c r="S2633" s="1" t="s">
        <v>14893</v>
      </c>
      <c r="T2633" s="1" t="s">
        <v>4190</v>
      </c>
      <c r="U2633" s="1" t="s">
        <v>14894</v>
      </c>
    </row>
    <row r="2634" customFormat="false" ht="13.8" hidden="false" customHeight="false" outlineLevel="0" collapsed="false">
      <c r="A2634" s="1" t="n">
        <v>2633</v>
      </c>
      <c r="B2634" s="2" t="s">
        <v>14895</v>
      </c>
      <c r="C2634" s="1" t="n">
        <v>2</v>
      </c>
      <c r="D2634" s="1" t="n">
        <v>23</v>
      </c>
      <c r="E2634" s="1" t="n">
        <v>25</v>
      </c>
      <c r="F2634" s="1" t="n">
        <v>33</v>
      </c>
      <c r="G2634" s="1" t="n">
        <v>45</v>
      </c>
      <c r="H2634" s="1" t="n">
        <v>54</v>
      </c>
      <c r="I2634" s="1" t="str">
        <f aca="false">RIGHT(("0"&amp;C2634),2)&amp;RIGHT(("0"&amp;D2634),2)&amp;RIGHT(("0"&amp;E2634),2)&amp;RIGHT(("0"&amp;F2634),2)&amp;RIGHT(("0"&amp;G2634),2)&amp;RIGHT(("0"&amp;H2634),2)</f>
        <v>022325334554</v>
      </c>
      <c r="J2634" s="1" t="n">
        <f aca="false">COUNTIF(I:I,I2634)</f>
        <v>1</v>
      </c>
      <c r="K2634" s="1" t="n">
        <v>0</v>
      </c>
      <c r="M2634" s="1" t="s">
        <v>23</v>
      </c>
      <c r="N2634" s="1" t="n">
        <v>47</v>
      </c>
      <c r="O2634" s="1" t="s">
        <v>14896</v>
      </c>
      <c r="P2634" s="1" t="n">
        <v>4112</v>
      </c>
      <c r="Q2634" s="1" t="s">
        <v>14897</v>
      </c>
      <c r="R2634" s="1" t="s">
        <v>14898</v>
      </c>
      <c r="S2634" s="1" t="s">
        <v>14899</v>
      </c>
      <c r="T2634" s="1" t="s">
        <v>7044</v>
      </c>
      <c r="U2634" s="1" t="s">
        <v>14900</v>
      </c>
    </row>
    <row r="2635" customFormat="false" ht="13.8" hidden="false" customHeight="false" outlineLevel="0" collapsed="false">
      <c r="A2635" s="1" t="n">
        <v>2634</v>
      </c>
      <c r="B2635" s="2" t="s">
        <v>14901</v>
      </c>
      <c r="C2635" s="1" t="n">
        <v>8</v>
      </c>
      <c r="D2635" s="1" t="n">
        <v>27</v>
      </c>
      <c r="E2635" s="1" t="n">
        <v>28</v>
      </c>
      <c r="F2635" s="1" t="n">
        <v>32</v>
      </c>
      <c r="G2635" s="1" t="n">
        <v>48</v>
      </c>
      <c r="H2635" s="1" t="n">
        <v>56</v>
      </c>
      <c r="I2635" s="1" t="str">
        <f aca="false">RIGHT(("0"&amp;C2635),2)&amp;RIGHT(("0"&amp;D2635),2)&amp;RIGHT(("0"&amp;E2635),2)&amp;RIGHT(("0"&amp;F2635),2)&amp;RIGHT(("0"&amp;G2635),2)&amp;RIGHT(("0"&amp;H2635),2)</f>
        <v>082728324856</v>
      </c>
      <c r="J2635" s="1" t="n">
        <f aca="false">COUNTIF(I:I,I2635)</f>
        <v>1</v>
      </c>
      <c r="K2635" s="1" t="n">
        <v>0</v>
      </c>
      <c r="M2635" s="1" t="s">
        <v>23</v>
      </c>
      <c r="N2635" s="1" t="n">
        <v>34</v>
      </c>
      <c r="O2635" s="1" t="s">
        <v>14902</v>
      </c>
      <c r="P2635" s="1" t="n">
        <v>3001</v>
      </c>
      <c r="Q2635" s="1" t="s">
        <v>14903</v>
      </c>
      <c r="R2635" s="1" t="s">
        <v>14904</v>
      </c>
      <c r="S2635" s="1" t="s">
        <v>14905</v>
      </c>
      <c r="T2635" s="1" t="s">
        <v>4968</v>
      </c>
      <c r="U2635" s="1" t="s">
        <v>14906</v>
      </c>
    </row>
    <row r="2636" customFormat="false" ht="13.8" hidden="false" customHeight="false" outlineLevel="0" collapsed="false">
      <c r="A2636" s="1" t="n">
        <v>2635</v>
      </c>
      <c r="B2636" s="2" t="s">
        <v>14907</v>
      </c>
      <c r="C2636" s="1" t="n">
        <v>6</v>
      </c>
      <c r="D2636" s="1" t="n">
        <v>11</v>
      </c>
      <c r="E2636" s="1" t="n">
        <v>29</v>
      </c>
      <c r="F2636" s="1" t="n">
        <v>37</v>
      </c>
      <c r="G2636" s="1" t="n">
        <v>56</v>
      </c>
      <c r="H2636" s="1" t="n">
        <v>58</v>
      </c>
      <c r="I2636" s="1" t="str">
        <f aca="false">RIGHT(("0"&amp;C2636),2)&amp;RIGHT(("0"&amp;D2636),2)&amp;RIGHT(("0"&amp;E2636),2)&amp;RIGHT(("0"&amp;F2636),2)&amp;RIGHT(("0"&amp;G2636),2)&amp;RIGHT(("0"&amp;H2636),2)</f>
        <v>061129375658</v>
      </c>
      <c r="J2636" s="1" t="n">
        <f aca="false">COUNTIF(I:I,I2636)</f>
        <v>1</v>
      </c>
      <c r="K2636" s="1" t="n">
        <v>0</v>
      </c>
      <c r="M2636" s="1" t="s">
        <v>23</v>
      </c>
      <c r="N2636" s="1" t="n">
        <v>58</v>
      </c>
      <c r="O2636" s="1" t="s">
        <v>14908</v>
      </c>
      <c r="P2636" s="1" t="n">
        <v>3627</v>
      </c>
      <c r="Q2636" s="1" t="s">
        <v>14909</v>
      </c>
      <c r="R2636" s="1" t="s">
        <v>14910</v>
      </c>
      <c r="S2636" s="1" t="s">
        <v>14911</v>
      </c>
      <c r="T2636" s="1" t="s">
        <v>4309</v>
      </c>
      <c r="U2636" s="1" t="s">
        <v>14912</v>
      </c>
    </row>
    <row r="2637" customFormat="false" ht="13.8" hidden="false" customHeight="false" outlineLevel="0" collapsed="false">
      <c r="A2637" s="1" t="n">
        <v>2636</v>
      </c>
      <c r="B2637" s="2" t="s">
        <v>14913</v>
      </c>
      <c r="C2637" s="1" t="n">
        <v>5</v>
      </c>
      <c r="D2637" s="1" t="n">
        <v>16</v>
      </c>
      <c r="E2637" s="1" t="n">
        <v>38</v>
      </c>
      <c r="F2637" s="1" t="n">
        <v>42</v>
      </c>
      <c r="G2637" s="1" t="n">
        <v>43</v>
      </c>
      <c r="H2637" s="1" t="n">
        <v>48</v>
      </c>
      <c r="I2637" s="1" t="str">
        <f aca="false">RIGHT(("0"&amp;C2637),2)&amp;RIGHT(("0"&amp;D2637),2)&amp;RIGHT(("0"&amp;E2637),2)&amp;RIGHT(("0"&amp;F2637),2)&amp;RIGHT(("0"&amp;G2637),2)&amp;RIGHT(("0"&amp;H2637),2)</f>
        <v>051638424348</v>
      </c>
      <c r="J2637" s="1" t="n">
        <f aca="false">COUNTIF(I:I,I2637)</f>
        <v>1</v>
      </c>
      <c r="K2637" s="1" t="n">
        <v>1</v>
      </c>
      <c r="L2637" s="1" t="s">
        <v>14914</v>
      </c>
      <c r="M2637" s="1" t="s">
        <v>14915</v>
      </c>
      <c r="N2637" s="1" t="n">
        <v>49</v>
      </c>
      <c r="O2637" s="1" t="s">
        <v>14916</v>
      </c>
      <c r="P2637" s="1" t="n">
        <v>4597</v>
      </c>
      <c r="Q2637" s="1" t="s">
        <v>14917</v>
      </c>
      <c r="R2637" s="1" t="s">
        <v>23</v>
      </c>
      <c r="S2637" s="1" t="s">
        <v>14918</v>
      </c>
      <c r="T2637" s="1" t="s">
        <v>473</v>
      </c>
      <c r="U2637" s="1" t="s">
        <v>14919</v>
      </c>
    </row>
    <row r="2638" customFormat="false" ht="13.8" hidden="false" customHeight="false" outlineLevel="0" collapsed="false">
      <c r="A2638" s="1" t="n">
        <v>2637</v>
      </c>
      <c r="B2638" s="2" t="s">
        <v>14920</v>
      </c>
      <c r="C2638" s="1" t="n">
        <v>1</v>
      </c>
      <c r="D2638" s="1" t="n">
        <v>2</v>
      </c>
      <c r="E2638" s="1" t="n">
        <v>10</v>
      </c>
      <c r="F2638" s="1" t="n">
        <v>32</v>
      </c>
      <c r="G2638" s="1" t="n">
        <v>34</v>
      </c>
      <c r="H2638" s="1" t="n">
        <v>59</v>
      </c>
      <c r="I2638" s="1" t="str">
        <f aca="false">RIGHT(("0"&amp;C2638),2)&amp;RIGHT(("0"&amp;D2638),2)&amp;RIGHT(("0"&amp;E2638),2)&amp;RIGHT(("0"&amp;F2638),2)&amp;RIGHT(("0"&amp;G2638),2)&amp;RIGHT(("0"&amp;H2638),2)</f>
        <v>010210323459</v>
      </c>
      <c r="J2638" s="1" t="n">
        <f aca="false">COUNTIF(I:I,I2638)</f>
        <v>1</v>
      </c>
      <c r="K2638" s="1" t="n">
        <v>0</v>
      </c>
      <c r="M2638" s="1" t="s">
        <v>23</v>
      </c>
      <c r="N2638" s="1" t="n">
        <v>36</v>
      </c>
      <c r="O2638" s="1" t="s">
        <v>14921</v>
      </c>
      <c r="P2638" s="1" t="n">
        <v>3112</v>
      </c>
      <c r="Q2638" s="1" t="s">
        <v>14922</v>
      </c>
      <c r="R2638" s="1" t="s">
        <v>14923</v>
      </c>
      <c r="S2638" s="1" t="s">
        <v>14924</v>
      </c>
      <c r="T2638" s="1" t="s">
        <v>7748</v>
      </c>
      <c r="U2638" s="1" t="s">
        <v>14925</v>
      </c>
    </row>
    <row r="2639" customFormat="false" ht="13.8" hidden="false" customHeight="false" outlineLevel="0" collapsed="false">
      <c r="A2639" s="1" t="n">
        <v>2638</v>
      </c>
      <c r="B2639" s="2" t="s">
        <v>14926</v>
      </c>
      <c r="C2639" s="1" t="n">
        <v>9</v>
      </c>
      <c r="D2639" s="1" t="n">
        <v>30</v>
      </c>
      <c r="E2639" s="1" t="n">
        <v>34</v>
      </c>
      <c r="F2639" s="1" t="n">
        <v>44</v>
      </c>
      <c r="G2639" s="1" t="n">
        <v>54</v>
      </c>
      <c r="H2639" s="1" t="n">
        <v>55</v>
      </c>
      <c r="I2639" s="1" t="str">
        <f aca="false">RIGHT(("0"&amp;C2639),2)&amp;RIGHT(("0"&amp;D2639),2)&amp;RIGHT(("0"&amp;E2639),2)&amp;RIGHT(("0"&amp;F2639),2)&amp;RIGHT(("0"&amp;G2639),2)&amp;RIGHT(("0"&amp;H2639),2)</f>
        <v>093034445455</v>
      </c>
      <c r="J2639" s="1" t="n">
        <f aca="false">COUNTIF(I:I,I2639)</f>
        <v>1</v>
      </c>
      <c r="K2639" s="1" t="n">
        <v>0</v>
      </c>
      <c r="M2639" s="1" t="s">
        <v>23</v>
      </c>
      <c r="N2639" s="1" t="n">
        <v>15</v>
      </c>
      <c r="O2639" s="1" t="s">
        <v>14927</v>
      </c>
      <c r="P2639" s="1" t="n">
        <v>1319</v>
      </c>
      <c r="Q2639" s="1" t="s">
        <v>14928</v>
      </c>
      <c r="R2639" s="1" t="s">
        <v>14929</v>
      </c>
      <c r="S2639" s="1" t="s">
        <v>14930</v>
      </c>
      <c r="T2639" s="1" t="s">
        <v>4190</v>
      </c>
      <c r="U2639" s="1" t="s">
        <v>14931</v>
      </c>
    </row>
    <row r="2640" customFormat="false" ht="13.8" hidden="false" customHeight="false" outlineLevel="0" collapsed="false">
      <c r="A2640" s="1" t="n">
        <v>2639</v>
      </c>
      <c r="B2640" s="2" t="s">
        <v>14932</v>
      </c>
      <c r="C2640" s="1" t="n">
        <v>2</v>
      </c>
      <c r="D2640" s="1" t="n">
        <v>8</v>
      </c>
      <c r="E2640" s="1" t="n">
        <v>11</v>
      </c>
      <c r="F2640" s="1" t="n">
        <v>22</v>
      </c>
      <c r="G2640" s="1" t="n">
        <v>48</v>
      </c>
      <c r="H2640" s="1" t="n">
        <v>49</v>
      </c>
      <c r="I2640" s="1" t="str">
        <f aca="false">RIGHT(("0"&amp;C2640),2)&amp;RIGHT(("0"&amp;D2640),2)&amp;RIGHT(("0"&amp;E2640),2)&amp;RIGHT(("0"&amp;F2640),2)&amp;RIGHT(("0"&amp;G2640),2)&amp;RIGHT(("0"&amp;H2640),2)</f>
        <v>020811224849</v>
      </c>
      <c r="J2640" s="1" t="n">
        <f aca="false">COUNTIF(I:I,I2640)</f>
        <v>1</v>
      </c>
      <c r="K2640" s="1" t="n">
        <v>0</v>
      </c>
      <c r="M2640" s="1" t="s">
        <v>23</v>
      </c>
      <c r="N2640" s="1" t="n">
        <v>86</v>
      </c>
      <c r="O2640" s="1" t="s">
        <v>14933</v>
      </c>
      <c r="P2640" s="1" t="n">
        <v>6619</v>
      </c>
      <c r="Q2640" s="1" t="s">
        <v>14934</v>
      </c>
      <c r="R2640" s="1" t="s">
        <v>14935</v>
      </c>
      <c r="S2640" s="1" t="s">
        <v>14936</v>
      </c>
      <c r="T2640" s="1" t="s">
        <v>5321</v>
      </c>
      <c r="U2640" s="1" t="s">
        <v>14937</v>
      </c>
    </row>
    <row r="2641" customFormat="false" ht="13.8" hidden="false" customHeight="false" outlineLevel="0" collapsed="false">
      <c r="A2641" s="1" t="n">
        <v>2640</v>
      </c>
      <c r="B2641" s="2" t="s">
        <v>14938</v>
      </c>
      <c r="C2641" s="1" t="n">
        <v>4</v>
      </c>
      <c r="D2641" s="1" t="n">
        <v>8</v>
      </c>
      <c r="E2641" s="1" t="n">
        <v>10</v>
      </c>
      <c r="F2641" s="1" t="n">
        <v>27</v>
      </c>
      <c r="G2641" s="1" t="n">
        <v>28</v>
      </c>
      <c r="H2641" s="1" t="n">
        <v>32</v>
      </c>
      <c r="I2641" s="1" t="str">
        <f aca="false">RIGHT(("0"&amp;C2641),2)&amp;RIGHT(("0"&amp;D2641),2)&amp;RIGHT(("0"&amp;E2641),2)&amp;RIGHT(("0"&amp;F2641),2)&amp;RIGHT(("0"&amp;G2641),2)&amp;RIGHT(("0"&amp;H2641),2)</f>
        <v>040810272832</v>
      </c>
      <c r="J2641" s="1" t="n">
        <f aca="false">COUNTIF(I:I,I2641)</f>
        <v>1</v>
      </c>
      <c r="K2641" s="1" t="n">
        <v>0</v>
      </c>
      <c r="M2641" s="1" t="s">
        <v>23</v>
      </c>
      <c r="N2641" s="1" t="n">
        <v>109</v>
      </c>
      <c r="O2641" s="1" t="s">
        <v>14939</v>
      </c>
      <c r="P2641" s="1" t="n">
        <v>6453</v>
      </c>
      <c r="Q2641" s="1" t="s">
        <v>14940</v>
      </c>
      <c r="R2641" s="1" t="s">
        <v>14941</v>
      </c>
      <c r="S2641" s="1" t="s">
        <v>14942</v>
      </c>
      <c r="T2641" s="1" t="s">
        <v>4304</v>
      </c>
      <c r="U2641" s="1" t="s">
        <v>14943</v>
      </c>
    </row>
    <row r="2642" customFormat="false" ht="13.8" hidden="false" customHeight="false" outlineLevel="0" collapsed="false">
      <c r="A2642" s="1" t="n">
        <v>2641</v>
      </c>
      <c r="B2642" s="2" t="s">
        <v>14944</v>
      </c>
      <c r="C2642" s="1" t="n">
        <v>9</v>
      </c>
      <c r="D2642" s="1" t="n">
        <v>24</v>
      </c>
      <c r="E2642" s="1" t="n">
        <v>34</v>
      </c>
      <c r="F2642" s="1" t="n">
        <v>39</v>
      </c>
      <c r="G2642" s="1" t="n">
        <v>45</v>
      </c>
      <c r="H2642" s="1" t="n">
        <v>50</v>
      </c>
      <c r="I2642" s="1" t="str">
        <f aca="false">RIGHT(("0"&amp;C2642),2)&amp;RIGHT(("0"&amp;D2642),2)&amp;RIGHT(("0"&amp;E2642),2)&amp;RIGHT(("0"&amp;F2642),2)&amp;RIGHT(("0"&amp;G2642),2)&amp;RIGHT(("0"&amp;H2642),2)</f>
        <v>092434394550</v>
      </c>
      <c r="J2642" s="1" t="n">
        <f aca="false">COUNTIF(I:I,I2642)</f>
        <v>1</v>
      </c>
      <c r="K2642" s="1" t="n">
        <v>1</v>
      </c>
      <c r="L2642" s="1" t="s">
        <v>12490</v>
      </c>
      <c r="M2642" s="1" t="s">
        <v>14945</v>
      </c>
      <c r="N2642" s="1" t="n">
        <v>32</v>
      </c>
      <c r="O2642" s="1" t="s">
        <v>14946</v>
      </c>
      <c r="P2642" s="1" t="n">
        <v>2766</v>
      </c>
      <c r="Q2642" s="1" t="s">
        <v>14947</v>
      </c>
      <c r="R2642" s="1" t="s">
        <v>23</v>
      </c>
      <c r="S2642" s="1" t="s">
        <v>14948</v>
      </c>
      <c r="T2642" s="1" t="s">
        <v>473</v>
      </c>
      <c r="U2642" s="1" t="s">
        <v>14949</v>
      </c>
    </row>
    <row r="2643" customFormat="false" ht="13.8" hidden="false" customHeight="false" outlineLevel="0" collapsed="false">
      <c r="A2643" s="1" t="n">
        <v>2642</v>
      </c>
      <c r="B2643" s="2" t="s">
        <v>14950</v>
      </c>
      <c r="C2643" s="1" t="n">
        <v>8</v>
      </c>
      <c r="D2643" s="1" t="n">
        <v>13</v>
      </c>
      <c r="E2643" s="1" t="n">
        <v>31</v>
      </c>
      <c r="F2643" s="1" t="n">
        <v>33</v>
      </c>
      <c r="G2643" s="1" t="n">
        <v>49</v>
      </c>
      <c r="H2643" s="1" t="n">
        <v>50</v>
      </c>
      <c r="I2643" s="1" t="str">
        <f aca="false">RIGHT(("0"&amp;C2643),2)&amp;RIGHT(("0"&amp;D2643),2)&amp;RIGHT(("0"&amp;E2643),2)&amp;RIGHT(("0"&amp;F2643),2)&amp;RIGHT(("0"&amp;G2643),2)&amp;RIGHT(("0"&amp;H2643),2)</f>
        <v>081331334950</v>
      </c>
      <c r="J2643" s="1" t="n">
        <f aca="false">COUNTIF(I:I,I2643)</f>
        <v>1</v>
      </c>
      <c r="K2643" s="1" t="n">
        <v>0</v>
      </c>
      <c r="M2643" s="1" t="s">
        <v>23</v>
      </c>
      <c r="N2643" s="1" t="n">
        <v>55</v>
      </c>
      <c r="O2643" s="1" t="s">
        <v>14951</v>
      </c>
      <c r="P2643" s="1" t="n">
        <v>3107</v>
      </c>
      <c r="Q2643" s="1" t="s">
        <v>14952</v>
      </c>
      <c r="R2643" s="1" t="s">
        <v>14953</v>
      </c>
      <c r="S2643" s="1" t="s">
        <v>14954</v>
      </c>
      <c r="T2643" s="1" t="s">
        <v>5931</v>
      </c>
      <c r="U2643" s="1" t="s">
        <v>14955</v>
      </c>
    </row>
    <row r="2644" customFormat="false" ht="13.8" hidden="false" customHeight="false" outlineLevel="0" collapsed="false">
      <c r="A2644" s="1" t="n">
        <v>2643</v>
      </c>
      <c r="B2644" s="2" t="s">
        <v>14956</v>
      </c>
      <c r="C2644" s="1" t="n">
        <v>2</v>
      </c>
      <c r="D2644" s="1" t="n">
        <v>10</v>
      </c>
      <c r="E2644" s="1" t="n">
        <v>29</v>
      </c>
      <c r="F2644" s="1" t="n">
        <v>31</v>
      </c>
      <c r="G2644" s="1" t="n">
        <v>56</v>
      </c>
      <c r="H2644" s="1" t="n">
        <v>59</v>
      </c>
      <c r="I2644" s="1" t="str">
        <f aca="false">RIGHT(("0"&amp;C2644),2)&amp;RIGHT(("0"&amp;D2644),2)&amp;RIGHT(("0"&amp;E2644),2)&amp;RIGHT(("0"&amp;F2644),2)&amp;RIGHT(("0"&amp;G2644),2)&amp;RIGHT(("0"&amp;H2644),2)</f>
        <v>021029315659</v>
      </c>
      <c r="J2644" s="1" t="n">
        <f aca="false">COUNTIF(I:I,I2644)</f>
        <v>1</v>
      </c>
      <c r="K2644" s="1" t="n">
        <v>0</v>
      </c>
      <c r="M2644" s="1" t="s">
        <v>23</v>
      </c>
      <c r="N2644" s="1" t="n">
        <v>39</v>
      </c>
      <c r="O2644" s="1" t="s">
        <v>14957</v>
      </c>
      <c r="P2644" s="1" t="n">
        <v>2457</v>
      </c>
      <c r="Q2644" s="1" t="s">
        <v>14958</v>
      </c>
      <c r="R2644" s="1" t="s">
        <v>14959</v>
      </c>
      <c r="S2644" s="1" t="s">
        <v>14960</v>
      </c>
      <c r="T2644" s="1" t="s">
        <v>3727</v>
      </c>
      <c r="U2644" s="1" t="s">
        <v>14961</v>
      </c>
    </row>
    <row r="2645" customFormat="false" ht="13.8" hidden="false" customHeight="false" outlineLevel="0" collapsed="false">
      <c r="A2645" s="1" t="n">
        <v>2644</v>
      </c>
      <c r="B2645" s="2" t="s">
        <v>14962</v>
      </c>
      <c r="C2645" s="1" t="n">
        <v>4</v>
      </c>
      <c r="D2645" s="1" t="n">
        <v>17</v>
      </c>
      <c r="E2645" s="1" t="n">
        <v>22</v>
      </c>
      <c r="F2645" s="1" t="n">
        <v>28</v>
      </c>
      <c r="G2645" s="1" t="n">
        <v>30</v>
      </c>
      <c r="H2645" s="1" t="n">
        <v>49</v>
      </c>
      <c r="I2645" s="1" t="str">
        <f aca="false">RIGHT(("0"&amp;C2645),2)&amp;RIGHT(("0"&amp;D2645),2)&amp;RIGHT(("0"&amp;E2645),2)&amp;RIGHT(("0"&amp;F2645),2)&amp;RIGHT(("0"&amp;G2645),2)&amp;RIGHT(("0"&amp;H2645),2)</f>
        <v>041722283049</v>
      </c>
      <c r="J2645" s="1" t="n">
        <f aca="false">COUNTIF(I:I,I2645)</f>
        <v>1</v>
      </c>
      <c r="K2645" s="1" t="n">
        <v>0</v>
      </c>
      <c r="M2645" s="1" t="s">
        <v>23</v>
      </c>
      <c r="N2645" s="1" t="n">
        <v>89</v>
      </c>
      <c r="O2645" s="1" t="s">
        <v>14963</v>
      </c>
      <c r="P2645" s="1" t="n">
        <v>7255</v>
      </c>
      <c r="Q2645" s="1" t="s">
        <v>14964</v>
      </c>
      <c r="R2645" s="1" t="s">
        <v>14965</v>
      </c>
      <c r="S2645" s="1" t="s">
        <v>14966</v>
      </c>
      <c r="T2645" s="1" t="s">
        <v>5686</v>
      </c>
      <c r="U2645" s="1" t="s">
        <v>14967</v>
      </c>
    </row>
    <row r="2646" customFormat="false" ht="13.8" hidden="false" customHeight="false" outlineLevel="0" collapsed="false">
      <c r="A2646" s="1" t="n">
        <v>2645</v>
      </c>
      <c r="B2646" s="2" t="s">
        <v>14968</v>
      </c>
      <c r="C2646" s="1" t="n">
        <v>8</v>
      </c>
      <c r="D2646" s="1" t="n">
        <v>22</v>
      </c>
      <c r="E2646" s="1" t="n">
        <v>34</v>
      </c>
      <c r="F2646" s="1" t="n">
        <v>42</v>
      </c>
      <c r="G2646" s="1" t="n">
        <v>51</v>
      </c>
      <c r="H2646" s="1" t="n">
        <v>59</v>
      </c>
      <c r="I2646" s="1" t="str">
        <f aca="false">RIGHT(("0"&amp;C2646),2)&amp;RIGHT(("0"&amp;D2646),2)&amp;RIGHT(("0"&amp;E2646),2)&amp;RIGHT(("0"&amp;F2646),2)&amp;RIGHT(("0"&amp;G2646),2)&amp;RIGHT(("0"&amp;H2646),2)</f>
        <v>082234425159</v>
      </c>
      <c r="J2646" s="1" t="n">
        <f aca="false">COUNTIF(I:I,I2646)</f>
        <v>1</v>
      </c>
      <c r="K2646" s="1" t="n">
        <v>0</v>
      </c>
      <c r="M2646" s="1" t="s">
        <v>23</v>
      </c>
      <c r="N2646" s="1" t="n">
        <v>55</v>
      </c>
      <c r="O2646" s="1" t="s">
        <v>14969</v>
      </c>
      <c r="P2646" s="1" t="n">
        <v>3566</v>
      </c>
      <c r="Q2646" s="1" t="s">
        <v>14970</v>
      </c>
      <c r="R2646" s="1" t="s">
        <v>14971</v>
      </c>
      <c r="S2646" s="1" t="s">
        <v>14972</v>
      </c>
      <c r="T2646" s="1" t="s">
        <v>4309</v>
      </c>
      <c r="U2646" s="1" t="s">
        <v>14973</v>
      </c>
    </row>
    <row r="2647" customFormat="false" ht="13.8" hidden="false" customHeight="false" outlineLevel="0" collapsed="false">
      <c r="A2647" s="1" t="n">
        <v>2646</v>
      </c>
      <c r="B2647" s="2" t="s">
        <v>14974</v>
      </c>
      <c r="C2647" s="1" t="n">
        <v>18</v>
      </c>
      <c r="D2647" s="1" t="n">
        <v>28</v>
      </c>
      <c r="E2647" s="1" t="n">
        <v>30</v>
      </c>
      <c r="F2647" s="1" t="n">
        <v>39</v>
      </c>
      <c r="G2647" s="1" t="n">
        <v>41</v>
      </c>
      <c r="H2647" s="1" t="n">
        <v>58</v>
      </c>
      <c r="I2647" s="1" t="str">
        <f aca="false">RIGHT(("0"&amp;C2647),2)&amp;RIGHT(("0"&amp;D2647),2)&amp;RIGHT(("0"&amp;E2647),2)&amp;RIGHT(("0"&amp;F2647),2)&amp;RIGHT(("0"&amp;G2647),2)&amp;RIGHT(("0"&amp;H2647),2)</f>
        <v>182830394158</v>
      </c>
      <c r="J2647" s="1" t="n">
        <f aca="false">COUNTIF(I:I,I2647)</f>
        <v>1</v>
      </c>
      <c r="K2647" s="1" t="n">
        <v>0</v>
      </c>
      <c r="M2647" s="1" t="s">
        <v>23</v>
      </c>
      <c r="N2647" s="1" t="n">
        <v>30</v>
      </c>
      <c r="O2647" s="1" t="s">
        <v>14975</v>
      </c>
      <c r="P2647" s="1" t="n">
        <v>2705</v>
      </c>
      <c r="Q2647" s="1" t="s">
        <v>14976</v>
      </c>
      <c r="R2647" s="1" t="s">
        <v>14977</v>
      </c>
      <c r="S2647" s="1" t="s">
        <v>14978</v>
      </c>
      <c r="T2647" s="1" t="s">
        <v>4314</v>
      </c>
      <c r="U2647" s="1" t="s">
        <v>14979</v>
      </c>
    </row>
    <row r="2648" customFormat="false" ht="13.8" hidden="false" customHeight="false" outlineLevel="0" collapsed="false">
      <c r="A2648" s="1" t="n">
        <v>2647</v>
      </c>
      <c r="B2648" s="2" t="s">
        <v>14980</v>
      </c>
      <c r="C2648" s="1" t="n">
        <v>9</v>
      </c>
      <c r="D2648" s="1" t="n">
        <v>33</v>
      </c>
      <c r="E2648" s="1" t="n">
        <v>39</v>
      </c>
      <c r="F2648" s="1" t="n">
        <v>43</v>
      </c>
      <c r="G2648" s="1" t="n">
        <v>50</v>
      </c>
      <c r="H2648" s="1" t="n">
        <v>54</v>
      </c>
      <c r="I2648" s="1" t="str">
        <f aca="false">RIGHT(("0"&amp;C2648),2)&amp;RIGHT(("0"&amp;D2648),2)&amp;RIGHT(("0"&amp;E2648),2)&amp;RIGHT(("0"&amp;F2648),2)&amp;RIGHT(("0"&amp;G2648),2)&amp;RIGHT(("0"&amp;H2648),2)</f>
        <v>093339435054</v>
      </c>
      <c r="J2648" s="1" t="n">
        <f aca="false">COUNTIF(I:I,I2648)</f>
        <v>1</v>
      </c>
      <c r="K2648" s="1" t="n">
        <v>0</v>
      </c>
      <c r="M2648" s="1" t="s">
        <v>23</v>
      </c>
      <c r="N2648" s="1" t="n">
        <v>46</v>
      </c>
      <c r="O2648" s="1" t="s">
        <v>14981</v>
      </c>
      <c r="P2648" s="1" t="n">
        <v>3784</v>
      </c>
      <c r="Q2648" s="1" t="s">
        <v>14982</v>
      </c>
      <c r="R2648" s="1" t="s">
        <v>14983</v>
      </c>
      <c r="S2648" s="1" t="s">
        <v>14984</v>
      </c>
      <c r="T2648" s="1" t="s">
        <v>4727</v>
      </c>
      <c r="U2648" s="1" t="s">
        <v>14985</v>
      </c>
    </row>
    <row r="2649" customFormat="false" ht="13.8" hidden="false" customHeight="false" outlineLevel="0" collapsed="false">
      <c r="A2649" s="1" t="n">
        <v>2648</v>
      </c>
      <c r="B2649" s="2" t="s">
        <v>14986</v>
      </c>
      <c r="C2649" s="1" t="n">
        <v>20</v>
      </c>
      <c r="D2649" s="1" t="n">
        <v>44</v>
      </c>
      <c r="E2649" s="1" t="n">
        <v>45</v>
      </c>
      <c r="F2649" s="1" t="n">
        <v>46</v>
      </c>
      <c r="G2649" s="1" t="n">
        <v>56</v>
      </c>
      <c r="H2649" s="1" t="n">
        <v>59</v>
      </c>
      <c r="I2649" s="1" t="str">
        <f aca="false">RIGHT(("0"&amp;C2649),2)&amp;RIGHT(("0"&amp;D2649),2)&amp;RIGHT(("0"&amp;E2649),2)&amp;RIGHT(("0"&amp;F2649),2)&amp;RIGHT(("0"&amp;G2649),2)&amp;RIGHT(("0"&amp;H2649),2)</f>
        <v>204445465659</v>
      </c>
      <c r="J2649" s="1" t="n">
        <f aca="false">COUNTIF(I:I,I2649)</f>
        <v>1</v>
      </c>
      <c r="K2649" s="1" t="n">
        <v>0</v>
      </c>
      <c r="M2649" s="1" t="s">
        <v>23</v>
      </c>
      <c r="N2649" s="1" t="n">
        <v>38</v>
      </c>
      <c r="O2649" s="1" t="s">
        <v>14987</v>
      </c>
      <c r="P2649" s="1" t="n">
        <v>2775</v>
      </c>
      <c r="Q2649" s="1" t="s">
        <v>14988</v>
      </c>
      <c r="R2649" s="1" t="s">
        <v>14989</v>
      </c>
      <c r="S2649" s="1" t="s">
        <v>14990</v>
      </c>
      <c r="T2649" s="1" t="s">
        <v>8797</v>
      </c>
      <c r="U2649" s="1" t="s">
        <v>14991</v>
      </c>
    </row>
    <row r="2650" customFormat="false" ht="13.8" hidden="false" customHeight="false" outlineLevel="0" collapsed="false">
      <c r="A2650" s="1" t="n">
        <v>2649</v>
      </c>
      <c r="B2650" s="2" t="s">
        <v>14992</v>
      </c>
      <c r="C2650" s="1" t="n">
        <v>6</v>
      </c>
      <c r="D2650" s="1" t="n">
        <v>11</v>
      </c>
      <c r="E2650" s="1" t="n">
        <v>26</v>
      </c>
      <c r="F2650" s="1" t="n">
        <v>32</v>
      </c>
      <c r="G2650" s="1" t="n">
        <v>46</v>
      </c>
      <c r="H2650" s="1" t="n">
        <v>56</v>
      </c>
      <c r="I2650" s="1" t="str">
        <f aca="false">RIGHT(("0"&amp;C2650),2)&amp;RIGHT(("0"&amp;D2650),2)&amp;RIGHT(("0"&amp;E2650),2)&amp;RIGHT(("0"&amp;F2650),2)&amp;RIGHT(("0"&amp;G2650),2)&amp;RIGHT(("0"&amp;H2650),2)</f>
        <v>061126324656</v>
      </c>
      <c r="J2650" s="1" t="n">
        <f aca="false">COUNTIF(I:I,I2650)</f>
        <v>1</v>
      </c>
      <c r="K2650" s="1" t="n">
        <v>0</v>
      </c>
      <c r="M2650" s="1" t="s">
        <v>23</v>
      </c>
      <c r="N2650" s="1" t="n">
        <v>76</v>
      </c>
      <c r="O2650" s="1" t="s">
        <v>14993</v>
      </c>
      <c r="P2650" s="1" t="n">
        <v>6117</v>
      </c>
      <c r="Q2650" s="1" t="s">
        <v>14994</v>
      </c>
      <c r="R2650" s="1" t="s">
        <v>14995</v>
      </c>
      <c r="S2650" s="1" t="s">
        <v>14996</v>
      </c>
      <c r="T2650" s="1" t="s">
        <v>9814</v>
      </c>
      <c r="U2650" s="1" t="s">
        <v>14997</v>
      </c>
    </row>
    <row r="2651" customFormat="false" ht="13.8" hidden="false" customHeight="false" outlineLevel="0" collapsed="false">
      <c r="A2651" s="1" t="n">
        <v>2650</v>
      </c>
      <c r="B2651" s="2" t="s">
        <v>14998</v>
      </c>
      <c r="C2651" s="1" t="n">
        <v>9</v>
      </c>
      <c r="D2651" s="1" t="n">
        <v>18</v>
      </c>
      <c r="E2651" s="1" t="n">
        <v>29</v>
      </c>
      <c r="F2651" s="1" t="n">
        <v>37</v>
      </c>
      <c r="G2651" s="1" t="n">
        <v>39</v>
      </c>
      <c r="H2651" s="1" t="n">
        <v>58</v>
      </c>
      <c r="I2651" s="1" t="str">
        <f aca="false">RIGHT(("0"&amp;C2651),2)&amp;RIGHT(("0"&amp;D2651),2)&amp;RIGHT(("0"&amp;E2651),2)&amp;RIGHT(("0"&amp;F2651),2)&amp;RIGHT(("0"&amp;G2651),2)&amp;RIGHT(("0"&amp;H2651),2)</f>
        <v>091829373958</v>
      </c>
      <c r="J2651" s="1" t="n">
        <f aca="false">COUNTIF(I:I,I2651)</f>
        <v>1</v>
      </c>
      <c r="K2651" s="1" t="n">
        <v>0</v>
      </c>
      <c r="M2651" s="1" t="s">
        <v>23</v>
      </c>
      <c r="N2651" s="1" t="n">
        <v>136</v>
      </c>
      <c r="O2651" s="1" t="s">
        <v>14999</v>
      </c>
      <c r="P2651" s="1" t="n">
        <v>7564</v>
      </c>
      <c r="Q2651" s="1" t="s">
        <v>15000</v>
      </c>
      <c r="R2651" s="1" t="s">
        <v>15001</v>
      </c>
      <c r="S2651" s="1" t="s">
        <v>15002</v>
      </c>
      <c r="T2651" s="1" t="s">
        <v>8343</v>
      </c>
      <c r="U2651" s="1" t="s">
        <v>15003</v>
      </c>
    </row>
    <row r="2652" customFormat="false" ht="13.8" hidden="false" customHeight="false" outlineLevel="0" collapsed="false">
      <c r="A2652" s="1" t="n">
        <v>2651</v>
      </c>
      <c r="B2652" s="2" t="s">
        <v>15004</v>
      </c>
      <c r="C2652" s="1" t="n">
        <v>6</v>
      </c>
      <c r="D2652" s="1" t="n">
        <v>23</v>
      </c>
      <c r="E2652" s="1" t="n">
        <v>35</v>
      </c>
      <c r="F2652" s="1" t="n">
        <v>36</v>
      </c>
      <c r="G2652" s="1" t="n">
        <v>37</v>
      </c>
      <c r="H2652" s="1" t="n">
        <v>59</v>
      </c>
      <c r="I2652" s="1" t="str">
        <f aca="false">RIGHT(("0"&amp;C2652),2)&amp;RIGHT(("0"&amp;D2652),2)&amp;RIGHT(("0"&amp;E2652),2)&amp;RIGHT(("0"&amp;F2652),2)&amp;RIGHT(("0"&amp;G2652),2)&amp;RIGHT(("0"&amp;H2652),2)</f>
        <v>062335363759</v>
      </c>
      <c r="J2652" s="1" t="n">
        <f aca="false">COUNTIF(I:I,I2652)</f>
        <v>1</v>
      </c>
      <c r="K2652" s="1" t="n">
        <v>1</v>
      </c>
      <c r="L2652" s="1" t="s">
        <v>15005</v>
      </c>
      <c r="M2652" s="1" t="s">
        <v>15006</v>
      </c>
      <c r="N2652" s="1" t="n">
        <v>190</v>
      </c>
      <c r="O2652" s="1" t="s">
        <v>15007</v>
      </c>
      <c r="P2652" s="1" t="n">
        <v>12147</v>
      </c>
      <c r="Q2652" s="1" t="s">
        <v>15008</v>
      </c>
      <c r="R2652" s="1" t="s">
        <v>23</v>
      </c>
      <c r="S2652" s="1" t="s">
        <v>15009</v>
      </c>
      <c r="T2652" s="1" t="s">
        <v>4337</v>
      </c>
      <c r="U2652" s="1" t="s">
        <v>15010</v>
      </c>
    </row>
    <row r="2653" customFormat="false" ht="13.8" hidden="false" customHeight="false" outlineLevel="0" collapsed="false">
      <c r="A2653" s="1" t="n">
        <v>2652</v>
      </c>
      <c r="B2653" s="2" t="s">
        <v>15011</v>
      </c>
      <c r="C2653" s="1" t="n">
        <v>13</v>
      </c>
      <c r="D2653" s="1" t="n">
        <v>23</v>
      </c>
      <c r="E2653" s="1" t="n">
        <v>26</v>
      </c>
      <c r="F2653" s="1" t="n">
        <v>29</v>
      </c>
      <c r="G2653" s="1" t="n">
        <v>45</v>
      </c>
      <c r="H2653" s="1" t="n">
        <v>59</v>
      </c>
      <c r="I2653" s="1" t="str">
        <f aca="false">RIGHT(("0"&amp;C2653),2)&amp;RIGHT(("0"&amp;D2653),2)&amp;RIGHT(("0"&amp;E2653),2)&amp;RIGHT(("0"&amp;F2653),2)&amp;RIGHT(("0"&amp;G2653),2)&amp;RIGHT(("0"&amp;H2653),2)</f>
        <v>132326294559</v>
      </c>
      <c r="J2653" s="1" t="n">
        <f aca="false">COUNTIF(I:I,I2653)</f>
        <v>1</v>
      </c>
      <c r="K2653" s="1" t="n">
        <v>0</v>
      </c>
      <c r="M2653" s="1" t="s">
        <v>23</v>
      </c>
      <c r="N2653" s="1" t="n">
        <v>76</v>
      </c>
      <c r="O2653" s="1" t="s">
        <v>15012</v>
      </c>
      <c r="P2653" s="1" t="n">
        <v>4089</v>
      </c>
      <c r="Q2653" s="1" t="s">
        <v>15013</v>
      </c>
      <c r="R2653" s="1" t="s">
        <v>15014</v>
      </c>
      <c r="S2653" s="1" t="s">
        <v>15015</v>
      </c>
      <c r="T2653" s="1" t="s">
        <v>4190</v>
      </c>
      <c r="U2653" s="1" t="s">
        <v>15016</v>
      </c>
    </row>
    <row r="2654" customFormat="false" ht="13.8" hidden="false" customHeight="false" outlineLevel="0" collapsed="false">
      <c r="A2654" s="1" t="n">
        <v>2653</v>
      </c>
      <c r="B2654" s="2" t="s">
        <v>15017</v>
      </c>
      <c r="C2654" s="1" t="n">
        <v>14</v>
      </c>
      <c r="D2654" s="1" t="n">
        <v>32</v>
      </c>
      <c r="E2654" s="1" t="n">
        <v>41</v>
      </c>
      <c r="F2654" s="1" t="n">
        <v>43</v>
      </c>
      <c r="G2654" s="1" t="n">
        <v>48</v>
      </c>
      <c r="H2654" s="1" t="n">
        <v>60</v>
      </c>
      <c r="I2654" s="1" t="str">
        <f aca="false">RIGHT(("0"&amp;C2654),2)&amp;RIGHT(("0"&amp;D2654),2)&amp;RIGHT(("0"&amp;E2654),2)&amp;RIGHT(("0"&amp;F2654),2)&amp;RIGHT(("0"&amp;G2654),2)&amp;RIGHT(("0"&amp;H2654),2)</f>
        <v>143241434860</v>
      </c>
      <c r="J2654" s="1" t="n">
        <f aca="false">COUNTIF(I:I,I2654)</f>
        <v>1</v>
      </c>
      <c r="K2654" s="1" t="n">
        <v>0</v>
      </c>
      <c r="M2654" s="1" t="s">
        <v>23</v>
      </c>
      <c r="N2654" s="1" t="n">
        <v>31</v>
      </c>
      <c r="O2654" s="1" t="s">
        <v>15018</v>
      </c>
      <c r="P2654" s="1" t="n">
        <v>1965</v>
      </c>
      <c r="Q2654" s="1" t="s">
        <v>15019</v>
      </c>
      <c r="R2654" s="1" t="s">
        <v>15020</v>
      </c>
      <c r="S2654" s="1" t="s">
        <v>15021</v>
      </c>
      <c r="T2654" s="1" t="s">
        <v>3727</v>
      </c>
      <c r="U2654" s="1" t="s">
        <v>15022</v>
      </c>
    </row>
    <row r="2655" customFormat="false" ht="13.8" hidden="false" customHeight="false" outlineLevel="0" collapsed="false">
      <c r="A2655" s="1" t="n">
        <v>2654</v>
      </c>
      <c r="B2655" s="2" t="s">
        <v>15023</v>
      </c>
      <c r="C2655" s="1" t="n">
        <v>11</v>
      </c>
      <c r="D2655" s="1" t="n">
        <v>17</v>
      </c>
      <c r="E2655" s="1" t="n">
        <v>23</v>
      </c>
      <c r="F2655" s="1" t="n">
        <v>36</v>
      </c>
      <c r="G2655" s="1" t="n">
        <v>47</v>
      </c>
      <c r="H2655" s="1" t="n">
        <v>51</v>
      </c>
      <c r="I2655" s="1" t="str">
        <f aca="false">RIGHT(("0"&amp;C2655),2)&amp;RIGHT(("0"&amp;D2655),2)&amp;RIGHT(("0"&amp;E2655),2)&amp;RIGHT(("0"&amp;F2655),2)&amp;RIGHT(("0"&amp;G2655),2)&amp;RIGHT(("0"&amp;H2655),2)</f>
        <v>111723364751</v>
      </c>
      <c r="J2655" s="1" t="n">
        <f aca="false">COUNTIF(I:I,I2655)</f>
        <v>1</v>
      </c>
      <c r="K2655" s="1" t="n">
        <v>1</v>
      </c>
      <c r="L2655" s="1" t="s">
        <v>15024</v>
      </c>
      <c r="M2655" s="1" t="s">
        <v>15025</v>
      </c>
      <c r="N2655" s="1" t="n">
        <v>66</v>
      </c>
      <c r="O2655" s="1" t="s">
        <v>15026</v>
      </c>
      <c r="P2655" s="1" t="n">
        <v>4104</v>
      </c>
      <c r="Q2655" s="1" t="s">
        <v>15027</v>
      </c>
      <c r="R2655" s="1" t="s">
        <v>15028</v>
      </c>
      <c r="S2655" s="1" t="s">
        <v>15029</v>
      </c>
      <c r="T2655" s="1" t="s">
        <v>3892</v>
      </c>
      <c r="U2655" s="1" t="s">
        <v>15030</v>
      </c>
    </row>
    <row r="2656" customFormat="false" ht="13.8" hidden="false" customHeight="false" outlineLevel="0" collapsed="false">
      <c r="A2656" s="1" t="n">
        <v>2655</v>
      </c>
      <c r="B2656" s="2" t="s">
        <v>15031</v>
      </c>
      <c r="C2656" s="1" t="n">
        <v>10</v>
      </c>
      <c r="D2656" s="1" t="n">
        <v>23</v>
      </c>
      <c r="E2656" s="1" t="n">
        <v>30</v>
      </c>
      <c r="F2656" s="1" t="n">
        <v>31</v>
      </c>
      <c r="G2656" s="1" t="n">
        <v>49</v>
      </c>
      <c r="H2656" s="1" t="n">
        <v>56</v>
      </c>
      <c r="I2656" s="1" t="str">
        <f aca="false">RIGHT(("0"&amp;C2656),2)&amp;RIGHT(("0"&amp;D2656),2)&amp;RIGHT(("0"&amp;E2656),2)&amp;RIGHT(("0"&amp;F2656),2)&amp;RIGHT(("0"&amp;G2656),2)&amp;RIGHT(("0"&amp;H2656),2)</f>
        <v>102330314956</v>
      </c>
      <c r="J2656" s="1" t="n">
        <f aca="false">COUNTIF(I:I,I2656)</f>
        <v>1</v>
      </c>
      <c r="K2656" s="1" t="n">
        <v>0</v>
      </c>
      <c r="M2656" s="1" t="s">
        <v>23</v>
      </c>
      <c r="N2656" s="1" t="n">
        <v>57</v>
      </c>
      <c r="O2656" s="1" t="s">
        <v>15032</v>
      </c>
      <c r="P2656" s="1" t="n">
        <v>3909</v>
      </c>
      <c r="Q2656" s="1" t="s">
        <v>15033</v>
      </c>
      <c r="R2656" s="1" t="s">
        <v>15034</v>
      </c>
      <c r="S2656" s="1" t="s">
        <v>15035</v>
      </c>
      <c r="T2656" s="1" t="s">
        <v>6025</v>
      </c>
      <c r="U2656" s="1" t="s">
        <v>15036</v>
      </c>
    </row>
    <row r="2657" customFormat="false" ht="13.8" hidden="false" customHeight="false" outlineLevel="0" collapsed="false">
      <c r="A2657" s="1" t="n">
        <v>2656</v>
      </c>
      <c r="B2657" s="2" t="s">
        <v>15037</v>
      </c>
      <c r="C2657" s="1" t="n">
        <v>20</v>
      </c>
      <c r="D2657" s="1" t="n">
        <v>24</v>
      </c>
      <c r="E2657" s="1" t="n">
        <v>27</v>
      </c>
      <c r="F2657" s="1" t="n">
        <v>46</v>
      </c>
      <c r="G2657" s="1" t="n">
        <v>57</v>
      </c>
      <c r="H2657" s="1" t="n">
        <v>58</v>
      </c>
      <c r="I2657" s="1" t="str">
        <f aca="false">RIGHT(("0"&amp;C2657),2)&amp;RIGHT(("0"&amp;D2657),2)&amp;RIGHT(("0"&amp;E2657),2)&amp;RIGHT(("0"&amp;F2657),2)&amp;RIGHT(("0"&amp;G2657),2)&amp;RIGHT(("0"&amp;H2657),2)</f>
        <v>202427465758</v>
      </c>
      <c r="J2657" s="1" t="n">
        <f aca="false">COUNTIF(I:I,I2657)</f>
        <v>1</v>
      </c>
      <c r="K2657" s="1" t="n">
        <v>0</v>
      </c>
      <c r="M2657" s="1" t="s">
        <v>23</v>
      </c>
      <c r="N2657" s="1" t="n">
        <v>62</v>
      </c>
      <c r="O2657" s="1" t="s">
        <v>15038</v>
      </c>
      <c r="P2657" s="1" t="n">
        <v>3946</v>
      </c>
      <c r="Q2657" s="1" t="s">
        <v>15039</v>
      </c>
      <c r="R2657" s="1" t="s">
        <v>15040</v>
      </c>
      <c r="S2657" s="1" t="s">
        <v>15041</v>
      </c>
      <c r="T2657" s="1" t="s">
        <v>6032</v>
      </c>
      <c r="U2657" s="1" t="s">
        <v>15042</v>
      </c>
    </row>
    <row r="2658" customFormat="false" ht="13.8" hidden="false" customHeight="false" outlineLevel="0" collapsed="false">
      <c r="A2658" s="1" t="n">
        <v>2657</v>
      </c>
      <c r="B2658" s="2" t="s">
        <v>15043</v>
      </c>
      <c r="C2658" s="1" t="n">
        <v>7</v>
      </c>
      <c r="D2658" s="1" t="n">
        <v>27</v>
      </c>
      <c r="E2658" s="1" t="n">
        <v>32</v>
      </c>
      <c r="F2658" s="1" t="n">
        <v>33</v>
      </c>
      <c r="G2658" s="1" t="n">
        <v>36</v>
      </c>
      <c r="H2658" s="1" t="n">
        <v>53</v>
      </c>
      <c r="I2658" s="1" t="str">
        <f aca="false">RIGHT(("0"&amp;C2658),2)&amp;RIGHT(("0"&amp;D2658),2)&amp;RIGHT(("0"&amp;E2658),2)&amp;RIGHT(("0"&amp;F2658),2)&amp;RIGHT(("0"&amp;G2658),2)&amp;RIGHT(("0"&amp;H2658),2)</f>
        <v>072732333653</v>
      </c>
      <c r="J2658" s="1" t="n">
        <f aca="false">COUNTIF(I:I,I2658)</f>
        <v>1</v>
      </c>
      <c r="K2658" s="1" t="n">
        <v>0</v>
      </c>
      <c r="M2658" s="1" t="s">
        <v>23</v>
      </c>
      <c r="N2658" s="1" t="n">
        <v>76</v>
      </c>
      <c r="O2658" s="1" t="s">
        <v>15044</v>
      </c>
      <c r="P2658" s="1" t="n">
        <v>7214</v>
      </c>
      <c r="Q2658" s="1" t="s">
        <v>15045</v>
      </c>
      <c r="R2658" s="1" t="s">
        <v>15046</v>
      </c>
      <c r="S2658" s="1" t="s">
        <v>15047</v>
      </c>
      <c r="T2658" s="1" t="s">
        <v>14423</v>
      </c>
      <c r="U2658" s="1" t="s">
        <v>15048</v>
      </c>
    </row>
    <row r="2659" customFormat="false" ht="13.8" hidden="false" customHeight="false" outlineLevel="0" collapsed="false">
      <c r="A2659" s="1" t="n">
        <v>2658</v>
      </c>
      <c r="B2659" s="2" t="s">
        <v>15049</v>
      </c>
      <c r="C2659" s="1" t="n">
        <v>5</v>
      </c>
      <c r="D2659" s="1" t="n">
        <v>13</v>
      </c>
      <c r="E2659" s="1" t="n">
        <v>39</v>
      </c>
      <c r="F2659" s="1" t="n">
        <v>51</v>
      </c>
      <c r="G2659" s="1" t="n">
        <v>58</v>
      </c>
      <c r="H2659" s="1" t="n">
        <v>60</v>
      </c>
      <c r="I2659" s="1" t="str">
        <f aca="false">RIGHT(("0"&amp;C2659),2)&amp;RIGHT(("0"&amp;D2659),2)&amp;RIGHT(("0"&amp;E2659),2)&amp;RIGHT(("0"&amp;F2659),2)&amp;RIGHT(("0"&amp;G2659),2)&amp;RIGHT(("0"&amp;H2659),2)</f>
        <v>051339515860</v>
      </c>
      <c r="J2659" s="1" t="n">
        <f aca="false">COUNTIF(I:I,I2659)</f>
        <v>1</v>
      </c>
      <c r="K2659" s="1" t="n">
        <v>1</v>
      </c>
      <c r="L2659" s="1" t="s">
        <v>15050</v>
      </c>
      <c r="M2659" s="1" t="s">
        <v>15051</v>
      </c>
      <c r="N2659" s="1" t="n">
        <v>78</v>
      </c>
      <c r="O2659" s="1" t="s">
        <v>15052</v>
      </c>
      <c r="P2659" s="1" t="n">
        <v>4750</v>
      </c>
      <c r="Q2659" s="1" t="s">
        <v>15053</v>
      </c>
      <c r="R2659" s="1" t="s">
        <v>23</v>
      </c>
      <c r="S2659" s="1" t="s">
        <v>15054</v>
      </c>
      <c r="T2659" s="1" t="s">
        <v>4337</v>
      </c>
      <c r="U2659" s="1" t="s">
        <v>15055</v>
      </c>
    </row>
    <row r="2660" customFormat="false" ht="13.8" hidden="false" customHeight="false" outlineLevel="0" collapsed="false">
      <c r="A2660" s="1" t="n">
        <v>2659</v>
      </c>
      <c r="B2660" s="2" t="s">
        <v>15056</v>
      </c>
      <c r="C2660" s="1" t="n">
        <v>11</v>
      </c>
      <c r="D2660" s="1" t="n">
        <v>36</v>
      </c>
      <c r="E2660" s="1" t="n">
        <v>46</v>
      </c>
      <c r="F2660" s="1" t="n">
        <v>53</v>
      </c>
      <c r="G2660" s="1" t="n">
        <v>55</v>
      </c>
      <c r="H2660" s="1" t="n">
        <v>60</v>
      </c>
      <c r="I2660" s="1" t="str">
        <f aca="false">RIGHT(("0"&amp;C2660),2)&amp;RIGHT(("0"&amp;D2660),2)&amp;RIGHT(("0"&amp;E2660),2)&amp;RIGHT(("0"&amp;F2660),2)&amp;RIGHT(("0"&amp;G2660),2)&amp;RIGHT(("0"&amp;H2660),2)</f>
        <v>113646535560</v>
      </c>
      <c r="J2660" s="1" t="n">
        <f aca="false">COUNTIF(I:I,I2660)</f>
        <v>1</v>
      </c>
      <c r="K2660" s="1" t="n">
        <v>0</v>
      </c>
      <c r="M2660" s="1" t="s">
        <v>23</v>
      </c>
      <c r="N2660" s="1" t="n">
        <v>23</v>
      </c>
      <c r="O2660" s="1" t="s">
        <v>15057</v>
      </c>
      <c r="P2660" s="1" t="n">
        <v>1291</v>
      </c>
      <c r="Q2660" s="1" t="s">
        <v>15058</v>
      </c>
      <c r="R2660" s="1" t="s">
        <v>15059</v>
      </c>
      <c r="S2660" s="1" t="s">
        <v>15060</v>
      </c>
      <c r="T2660" s="1" t="s">
        <v>4213</v>
      </c>
      <c r="U2660" s="1" t="s">
        <v>15061</v>
      </c>
    </row>
    <row r="2661" customFormat="false" ht="13.8" hidden="false" customHeight="false" outlineLevel="0" collapsed="false">
      <c r="A2661" s="1" t="n">
        <v>2660</v>
      </c>
      <c r="B2661" s="2" t="s">
        <v>15062</v>
      </c>
      <c r="C2661" s="1" t="n">
        <v>6</v>
      </c>
      <c r="D2661" s="1" t="n">
        <v>12</v>
      </c>
      <c r="E2661" s="1" t="n">
        <v>13</v>
      </c>
      <c r="F2661" s="1" t="n">
        <v>20</v>
      </c>
      <c r="G2661" s="1" t="n">
        <v>38</v>
      </c>
      <c r="H2661" s="1" t="n">
        <v>60</v>
      </c>
      <c r="I2661" s="1" t="str">
        <f aca="false">RIGHT(("0"&amp;C2661),2)&amp;RIGHT(("0"&amp;D2661),2)&amp;RIGHT(("0"&amp;E2661),2)&amp;RIGHT(("0"&amp;F2661),2)&amp;RIGHT(("0"&amp;G2661),2)&amp;RIGHT(("0"&amp;H2661),2)</f>
        <v>061213203860</v>
      </c>
      <c r="J2661" s="1" t="n">
        <f aca="false">COUNTIF(I:I,I2661)</f>
        <v>1</v>
      </c>
      <c r="K2661" s="1" t="n">
        <v>0</v>
      </c>
      <c r="M2661" s="1" t="s">
        <v>23</v>
      </c>
      <c r="N2661" s="1" t="n">
        <v>57</v>
      </c>
      <c r="O2661" s="1" t="s">
        <v>15063</v>
      </c>
      <c r="P2661" s="1" t="n">
        <v>4376</v>
      </c>
      <c r="Q2661" s="1" t="s">
        <v>15064</v>
      </c>
      <c r="R2661" s="1" t="s">
        <v>15065</v>
      </c>
      <c r="S2661" s="1" t="s">
        <v>15066</v>
      </c>
      <c r="T2661" s="1" t="s">
        <v>4935</v>
      </c>
      <c r="U2661" s="1" t="s">
        <v>15067</v>
      </c>
    </row>
    <row r="2662" customFormat="false" ht="13.8" hidden="false" customHeight="false" outlineLevel="0" collapsed="false">
      <c r="A2662" s="1" t="n">
        <v>2661</v>
      </c>
      <c r="B2662" s="2" t="s">
        <v>15068</v>
      </c>
      <c r="C2662" s="1" t="n">
        <v>6</v>
      </c>
      <c r="D2662" s="1" t="n">
        <v>30</v>
      </c>
      <c r="E2662" s="1" t="n">
        <v>35</v>
      </c>
      <c r="F2662" s="1" t="n">
        <v>38</v>
      </c>
      <c r="G2662" s="1" t="n">
        <v>41</v>
      </c>
      <c r="H2662" s="1" t="n">
        <v>56</v>
      </c>
      <c r="I2662" s="1" t="str">
        <f aca="false">RIGHT(("0"&amp;C2662),2)&amp;RIGHT(("0"&amp;D2662),2)&amp;RIGHT(("0"&amp;E2662),2)&amp;RIGHT(("0"&amp;F2662),2)&amp;RIGHT(("0"&amp;G2662),2)&amp;RIGHT(("0"&amp;H2662),2)</f>
        <v>063035384156</v>
      </c>
      <c r="J2662" s="1" t="n">
        <f aca="false">COUNTIF(I:I,I2662)</f>
        <v>1</v>
      </c>
      <c r="K2662" s="1" t="n">
        <v>0</v>
      </c>
      <c r="M2662" s="1" t="s">
        <v>23</v>
      </c>
      <c r="N2662" s="1" t="n">
        <v>28</v>
      </c>
      <c r="O2662" s="1" t="s">
        <v>15069</v>
      </c>
      <c r="P2662" s="1" t="n">
        <v>2544</v>
      </c>
      <c r="Q2662" s="1" t="s">
        <v>15070</v>
      </c>
      <c r="R2662" s="1" t="s">
        <v>15071</v>
      </c>
      <c r="S2662" s="1" t="s">
        <v>15072</v>
      </c>
      <c r="T2662" s="1" t="s">
        <v>6025</v>
      </c>
      <c r="U2662" s="1" t="s">
        <v>15073</v>
      </c>
    </row>
    <row r="2663" customFormat="false" ht="13.8" hidden="false" customHeight="false" outlineLevel="0" collapsed="false">
      <c r="A2663" s="1" t="n">
        <v>2662</v>
      </c>
      <c r="B2663" s="2" t="s">
        <v>15074</v>
      </c>
      <c r="C2663" s="1" t="n">
        <v>17</v>
      </c>
      <c r="D2663" s="1" t="n">
        <v>20</v>
      </c>
      <c r="E2663" s="1" t="n">
        <v>31</v>
      </c>
      <c r="F2663" s="1" t="n">
        <v>34</v>
      </c>
      <c r="G2663" s="1" t="n">
        <v>40</v>
      </c>
      <c r="H2663" s="1" t="n">
        <v>42</v>
      </c>
      <c r="I2663" s="1" t="str">
        <f aca="false">RIGHT(("0"&amp;C2663),2)&amp;RIGHT(("0"&amp;D2663),2)&amp;RIGHT(("0"&amp;E2663),2)&amp;RIGHT(("0"&amp;F2663),2)&amp;RIGHT(("0"&amp;G2663),2)&amp;RIGHT(("0"&amp;H2663),2)</f>
        <v>172031344042</v>
      </c>
      <c r="J2663" s="1" t="n">
        <f aca="false">COUNTIF(I:I,I2663)</f>
        <v>1</v>
      </c>
      <c r="K2663" s="1" t="n">
        <v>1</v>
      </c>
      <c r="L2663" s="1" t="s">
        <v>12490</v>
      </c>
      <c r="M2663" s="1" t="s">
        <v>15075</v>
      </c>
      <c r="N2663" s="1" t="n">
        <v>40</v>
      </c>
      <c r="O2663" s="1" t="s">
        <v>15076</v>
      </c>
      <c r="P2663" s="1" t="n">
        <v>3003</v>
      </c>
      <c r="Q2663" s="1" t="s">
        <v>15077</v>
      </c>
      <c r="R2663" s="1" t="s">
        <v>23</v>
      </c>
      <c r="S2663" s="1" t="s">
        <v>15078</v>
      </c>
      <c r="T2663" s="1" t="s">
        <v>473</v>
      </c>
      <c r="U2663" s="1" t="s">
        <v>15079</v>
      </c>
    </row>
    <row r="2664" customFormat="false" ht="13.8" hidden="false" customHeight="false" outlineLevel="0" collapsed="false">
      <c r="A2664" s="1" t="n">
        <v>2663</v>
      </c>
      <c r="B2664" s="2" t="s">
        <v>15080</v>
      </c>
      <c r="C2664" s="1" t="n">
        <v>7</v>
      </c>
      <c r="D2664" s="1" t="n">
        <v>11</v>
      </c>
      <c r="E2664" s="1" t="n">
        <v>27</v>
      </c>
      <c r="F2664" s="1" t="n">
        <v>41</v>
      </c>
      <c r="G2664" s="1" t="n">
        <v>56</v>
      </c>
      <c r="H2664" s="1" t="n">
        <v>59</v>
      </c>
      <c r="I2664" s="1" t="str">
        <f aca="false">RIGHT(("0"&amp;C2664),2)&amp;RIGHT(("0"&amp;D2664),2)&amp;RIGHT(("0"&amp;E2664),2)&amp;RIGHT(("0"&amp;F2664),2)&amp;RIGHT(("0"&amp;G2664),2)&amp;RIGHT(("0"&amp;H2664),2)</f>
        <v>071127415659</v>
      </c>
      <c r="J2664" s="1" t="n">
        <f aca="false">COUNTIF(I:I,I2664)</f>
        <v>1</v>
      </c>
      <c r="K2664" s="1" t="n">
        <v>0</v>
      </c>
      <c r="M2664" s="1" t="s">
        <v>23</v>
      </c>
      <c r="N2664" s="1" t="n">
        <v>42</v>
      </c>
      <c r="O2664" s="1" t="s">
        <v>15081</v>
      </c>
      <c r="P2664" s="1" t="n">
        <v>2764</v>
      </c>
      <c r="Q2664" s="1" t="s">
        <v>15082</v>
      </c>
      <c r="R2664" s="1" t="s">
        <v>15083</v>
      </c>
      <c r="S2664" s="1" t="s">
        <v>15084</v>
      </c>
      <c r="T2664" s="1" t="s">
        <v>4232</v>
      </c>
      <c r="U2664" s="1" t="s">
        <v>15085</v>
      </c>
    </row>
    <row r="2665" customFormat="false" ht="13.8" hidden="false" customHeight="false" outlineLevel="0" collapsed="false">
      <c r="A2665" s="1" t="n">
        <v>2664</v>
      </c>
      <c r="B2665" s="2" t="s">
        <v>15086</v>
      </c>
      <c r="C2665" s="1" t="n">
        <v>12</v>
      </c>
      <c r="D2665" s="1" t="n">
        <v>15</v>
      </c>
      <c r="E2665" s="1" t="n">
        <v>17</v>
      </c>
      <c r="F2665" s="1" t="n">
        <v>30</v>
      </c>
      <c r="G2665" s="1" t="n">
        <v>40</v>
      </c>
      <c r="H2665" s="1" t="n">
        <v>52</v>
      </c>
      <c r="I2665" s="1" t="str">
        <f aca="false">RIGHT(("0"&amp;C2665),2)&amp;RIGHT(("0"&amp;D2665),2)&amp;RIGHT(("0"&amp;E2665),2)&amp;RIGHT(("0"&amp;F2665),2)&amp;RIGHT(("0"&amp;G2665),2)&amp;RIGHT(("0"&amp;H2665),2)</f>
        <v>121517304052</v>
      </c>
      <c r="J2665" s="1" t="n">
        <f aca="false">COUNTIF(I:I,I2665)</f>
        <v>1</v>
      </c>
      <c r="K2665" s="1" t="n">
        <v>0</v>
      </c>
      <c r="M2665" s="1" t="s">
        <v>23</v>
      </c>
      <c r="N2665" s="1" t="n">
        <v>24</v>
      </c>
      <c r="O2665" s="1" t="s">
        <v>15087</v>
      </c>
      <c r="P2665" s="1" t="n">
        <v>1798</v>
      </c>
      <c r="Q2665" s="1" t="s">
        <v>15088</v>
      </c>
      <c r="R2665" s="1" t="s">
        <v>15089</v>
      </c>
      <c r="S2665" s="1" t="s">
        <v>15090</v>
      </c>
      <c r="T2665" s="1" t="s">
        <v>5281</v>
      </c>
      <c r="U2665" s="1" t="s">
        <v>15091</v>
      </c>
    </row>
    <row r="2666" customFormat="false" ht="13.8" hidden="false" customHeight="false" outlineLevel="0" collapsed="false">
      <c r="A2666" s="1" t="n">
        <v>2665</v>
      </c>
      <c r="B2666" s="2" t="s">
        <v>15092</v>
      </c>
      <c r="C2666" s="1" t="n">
        <v>3</v>
      </c>
      <c r="D2666" s="1" t="n">
        <v>14</v>
      </c>
      <c r="E2666" s="1" t="n">
        <v>21</v>
      </c>
      <c r="F2666" s="1" t="n">
        <v>22</v>
      </c>
      <c r="G2666" s="1" t="n">
        <v>37</v>
      </c>
      <c r="H2666" s="1" t="n">
        <v>39</v>
      </c>
      <c r="I2666" s="1" t="str">
        <f aca="false">RIGHT(("0"&amp;C2666),2)&amp;RIGHT(("0"&amp;D2666),2)&amp;RIGHT(("0"&amp;E2666),2)&amp;RIGHT(("0"&amp;F2666),2)&amp;RIGHT(("0"&amp;G2666),2)&amp;RIGHT(("0"&amp;H2666),2)</f>
        <v>031421223739</v>
      </c>
      <c r="J2666" s="1" t="n">
        <f aca="false">COUNTIF(I:I,I2666)</f>
        <v>1</v>
      </c>
      <c r="K2666" s="1" t="n">
        <v>0</v>
      </c>
      <c r="M2666" s="1" t="s">
        <v>23</v>
      </c>
      <c r="N2666" s="1" t="n">
        <v>56</v>
      </c>
      <c r="O2666" s="1" t="s">
        <v>15093</v>
      </c>
      <c r="P2666" s="1" t="n">
        <v>3900</v>
      </c>
      <c r="Q2666" s="1" t="s">
        <v>15094</v>
      </c>
      <c r="R2666" s="1" t="s">
        <v>15095</v>
      </c>
      <c r="S2666" s="1" t="s">
        <v>15096</v>
      </c>
      <c r="T2666" s="1" t="s">
        <v>3892</v>
      </c>
      <c r="U2666" s="1" t="s">
        <v>15097</v>
      </c>
    </row>
    <row r="2667" customFormat="false" ht="13.8" hidden="false" customHeight="false" outlineLevel="0" collapsed="false">
      <c r="A2667" s="1" t="n">
        <v>2666</v>
      </c>
      <c r="B2667" s="2" t="s">
        <v>15098</v>
      </c>
      <c r="C2667" s="1" t="n">
        <v>5</v>
      </c>
      <c r="D2667" s="1" t="n">
        <v>25</v>
      </c>
      <c r="E2667" s="1" t="n">
        <v>29</v>
      </c>
      <c r="F2667" s="1" t="n">
        <v>30</v>
      </c>
      <c r="G2667" s="1" t="n">
        <v>43</v>
      </c>
      <c r="H2667" s="1" t="n">
        <v>47</v>
      </c>
      <c r="I2667" s="1" t="str">
        <f aca="false">RIGHT(("0"&amp;C2667),2)&amp;RIGHT(("0"&amp;D2667),2)&amp;RIGHT(("0"&amp;E2667),2)&amp;RIGHT(("0"&amp;F2667),2)&amp;RIGHT(("0"&amp;G2667),2)&amp;RIGHT(("0"&amp;H2667),2)</f>
        <v>052529304347</v>
      </c>
      <c r="J2667" s="1" t="n">
        <f aca="false">COUNTIF(I:I,I2667)</f>
        <v>1</v>
      </c>
      <c r="K2667" s="1" t="n">
        <v>1</v>
      </c>
      <c r="L2667" s="1" t="s">
        <v>15099</v>
      </c>
      <c r="M2667" s="1" t="s">
        <v>15100</v>
      </c>
      <c r="N2667" s="1" t="n">
        <v>70</v>
      </c>
      <c r="O2667" s="1" t="s">
        <v>15101</v>
      </c>
      <c r="P2667" s="1" t="n">
        <v>4455</v>
      </c>
      <c r="Q2667" s="1" t="s">
        <v>15102</v>
      </c>
      <c r="R2667" s="1" t="s">
        <v>23</v>
      </c>
      <c r="S2667" s="1" t="s">
        <v>15103</v>
      </c>
      <c r="T2667" s="1" t="s">
        <v>473</v>
      </c>
      <c r="U2667" s="1" t="s">
        <v>15104</v>
      </c>
    </row>
    <row r="2668" customFormat="false" ht="13.8" hidden="false" customHeight="false" outlineLevel="0" collapsed="false">
      <c r="A2668" s="1" t="n">
        <v>2667</v>
      </c>
      <c r="B2668" s="2" t="s">
        <v>15105</v>
      </c>
      <c r="C2668" s="1" t="n">
        <v>1</v>
      </c>
      <c r="D2668" s="1" t="n">
        <v>4</v>
      </c>
      <c r="E2668" s="1" t="n">
        <v>8</v>
      </c>
      <c r="F2668" s="1" t="n">
        <v>21</v>
      </c>
      <c r="G2668" s="1" t="n">
        <v>46</v>
      </c>
      <c r="H2668" s="1" t="n">
        <v>51</v>
      </c>
      <c r="I2668" s="1" t="str">
        <f aca="false">RIGHT(("0"&amp;C2668),2)&amp;RIGHT(("0"&amp;D2668),2)&amp;RIGHT(("0"&amp;E2668),2)&amp;RIGHT(("0"&amp;F2668),2)&amp;RIGHT(("0"&amp;G2668),2)&amp;RIGHT(("0"&amp;H2668),2)</f>
        <v>010408214651</v>
      </c>
      <c r="J2668" s="1" t="n">
        <f aca="false">COUNTIF(I:I,I2668)</f>
        <v>1</v>
      </c>
      <c r="K2668" s="1" t="n">
        <v>0</v>
      </c>
      <c r="M2668" s="1" t="s">
        <v>23</v>
      </c>
      <c r="N2668" s="1" t="n">
        <v>65</v>
      </c>
      <c r="O2668" s="1" t="s">
        <v>15106</v>
      </c>
      <c r="P2668" s="1" t="n">
        <v>2005</v>
      </c>
      <c r="Q2668" s="1" t="s">
        <v>15107</v>
      </c>
      <c r="R2668" s="1" t="s">
        <v>15108</v>
      </c>
      <c r="S2668" s="1" t="s">
        <v>15109</v>
      </c>
      <c r="T2668" s="1" t="s">
        <v>4232</v>
      </c>
      <c r="U2668" s="1" t="s">
        <v>15110</v>
      </c>
    </row>
    <row r="2669" customFormat="false" ht="13.8" hidden="false" customHeight="false" outlineLevel="0" collapsed="false">
      <c r="A2669" s="1" t="n">
        <v>2668</v>
      </c>
      <c r="B2669" s="2" t="s">
        <v>15111</v>
      </c>
      <c r="C2669" s="1" t="n">
        <v>1</v>
      </c>
      <c r="D2669" s="1" t="n">
        <v>27</v>
      </c>
      <c r="E2669" s="1" t="n">
        <v>30</v>
      </c>
      <c r="F2669" s="1" t="n">
        <v>41</v>
      </c>
      <c r="G2669" s="1" t="n">
        <v>46</v>
      </c>
      <c r="H2669" s="1" t="n">
        <v>57</v>
      </c>
      <c r="I2669" s="1" t="str">
        <f aca="false">RIGHT(("0"&amp;C2669),2)&amp;RIGHT(("0"&amp;D2669),2)&amp;RIGHT(("0"&amp;E2669),2)&amp;RIGHT(("0"&amp;F2669),2)&amp;RIGHT(("0"&amp;G2669),2)&amp;RIGHT(("0"&amp;H2669),2)</f>
        <v>012730414657</v>
      </c>
      <c r="J2669" s="1" t="n">
        <f aca="false">COUNTIF(I:I,I2669)</f>
        <v>1</v>
      </c>
      <c r="K2669" s="1" t="n">
        <v>0</v>
      </c>
      <c r="M2669" s="1" t="s">
        <v>23</v>
      </c>
      <c r="N2669" s="1" t="n">
        <v>16</v>
      </c>
      <c r="O2669" s="1" t="s">
        <v>15112</v>
      </c>
      <c r="P2669" s="1" t="n">
        <v>1307</v>
      </c>
      <c r="Q2669" s="1" t="s">
        <v>15113</v>
      </c>
      <c r="R2669" s="1" t="s">
        <v>15114</v>
      </c>
      <c r="S2669" s="1" t="s">
        <v>15115</v>
      </c>
      <c r="T2669" s="1" t="s">
        <v>4195</v>
      </c>
      <c r="U2669" s="1" t="s">
        <v>15116</v>
      </c>
    </row>
    <row r="2670" customFormat="false" ht="13.8" hidden="false" customHeight="false" outlineLevel="0" collapsed="false">
      <c r="A2670" s="1" t="n">
        <v>2669</v>
      </c>
      <c r="B2670" s="2" t="s">
        <v>15117</v>
      </c>
      <c r="C2670" s="1" t="n">
        <v>4</v>
      </c>
      <c r="D2670" s="1" t="n">
        <v>7</v>
      </c>
      <c r="E2670" s="1" t="n">
        <v>16</v>
      </c>
      <c r="F2670" s="1" t="n">
        <v>35</v>
      </c>
      <c r="G2670" s="1" t="n">
        <v>46</v>
      </c>
      <c r="H2670" s="1" t="n">
        <v>54</v>
      </c>
      <c r="I2670" s="1" t="str">
        <f aca="false">RIGHT(("0"&amp;C2670),2)&amp;RIGHT(("0"&amp;D2670),2)&amp;RIGHT(("0"&amp;E2670),2)&amp;RIGHT(("0"&amp;F2670),2)&amp;RIGHT(("0"&amp;G2670),2)&amp;RIGHT(("0"&amp;H2670),2)</f>
        <v>040716354654</v>
      </c>
      <c r="J2670" s="1" t="n">
        <f aca="false">COUNTIF(I:I,I2670)</f>
        <v>1</v>
      </c>
      <c r="K2670" s="1" t="n">
        <v>0</v>
      </c>
      <c r="M2670" s="1" t="s">
        <v>23</v>
      </c>
      <c r="N2670" s="1" t="n">
        <v>64</v>
      </c>
      <c r="O2670" s="1" t="s">
        <v>15118</v>
      </c>
      <c r="P2670" s="1" t="n">
        <v>3317</v>
      </c>
      <c r="Q2670" s="1" t="s">
        <v>15119</v>
      </c>
      <c r="R2670" s="1" t="s">
        <v>15120</v>
      </c>
      <c r="S2670" s="1" t="s">
        <v>15121</v>
      </c>
      <c r="T2670" s="1" t="s">
        <v>15122</v>
      </c>
      <c r="U2670" s="1" t="s">
        <v>15120</v>
      </c>
    </row>
    <row r="2671" customFormat="false" ht="13.8" hidden="false" customHeight="false" outlineLevel="0" collapsed="false">
      <c r="A2671" s="1" t="n">
        <v>2670</v>
      </c>
      <c r="B2671" s="2" t="s">
        <v>15123</v>
      </c>
      <c r="C2671" s="1" t="n">
        <v>21</v>
      </c>
      <c r="D2671" s="1" t="n">
        <v>24</v>
      </c>
      <c r="E2671" s="1" t="n">
        <v>33</v>
      </c>
      <c r="F2671" s="1" t="n">
        <v>41</v>
      </c>
      <c r="G2671" s="1" t="n">
        <v>48</v>
      </c>
      <c r="H2671" s="1" t="n">
        <v>56</v>
      </c>
      <c r="I2671" s="1" t="str">
        <f aca="false">RIGHT(("0"&amp;C2671),2)&amp;RIGHT(("0"&amp;D2671),2)&amp;RIGHT(("0"&amp;E2671),2)&amp;RIGHT(("0"&amp;F2671),2)&amp;RIGHT(("0"&amp;G2671),2)&amp;RIGHT(("0"&amp;H2671),2)</f>
        <v>212433414856</v>
      </c>
      <c r="J2671" s="1" t="n">
        <f aca="false">COUNTIF(I:I,I2671)</f>
        <v>1</v>
      </c>
      <c r="K2671" s="1" t="n">
        <v>5</v>
      </c>
      <c r="L2671" s="1" t="s">
        <v>15124</v>
      </c>
      <c r="M2671" s="1" t="s">
        <v>15125</v>
      </c>
      <c r="N2671" s="1" t="n">
        <v>1996</v>
      </c>
      <c r="O2671" s="1" t="s">
        <v>15126</v>
      </c>
      <c r="P2671" s="1" t="n">
        <v>164379</v>
      </c>
      <c r="Q2671" s="1" t="s">
        <v>15127</v>
      </c>
      <c r="R2671" s="1" t="s">
        <v>23</v>
      </c>
      <c r="S2671" s="1" t="s">
        <v>15128</v>
      </c>
      <c r="T2671" s="1" t="s">
        <v>473</v>
      </c>
      <c r="U2671" s="1" t="s">
        <v>23</v>
      </c>
    </row>
    <row r="2672" customFormat="false" ht="13.8" hidden="false" customHeight="false" outlineLevel="0" collapsed="false">
      <c r="A2672" s="1" t="n">
        <v>2671</v>
      </c>
      <c r="B2672" s="2" t="s">
        <v>15129</v>
      </c>
      <c r="C2672" s="1" t="n">
        <v>16</v>
      </c>
      <c r="D2672" s="1" t="n">
        <v>19</v>
      </c>
      <c r="E2672" s="1" t="n">
        <v>43</v>
      </c>
      <c r="F2672" s="1" t="n">
        <v>53</v>
      </c>
      <c r="G2672" s="1" t="n">
        <v>57</v>
      </c>
      <c r="H2672" s="1" t="n">
        <v>58</v>
      </c>
      <c r="I2672" s="1" t="str">
        <f aca="false">RIGHT(("0"&amp;C2672),2)&amp;RIGHT(("0"&amp;D2672),2)&amp;RIGHT(("0"&amp;E2672),2)&amp;RIGHT(("0"&amp;F2672),2)&amp;RIGHT(("0"&amp;G2672),2)&amp;RIGHT(("0"&amp;H2672),2)</f>
        <v>161943535758</v>
      </c>
      <c r="J2672" s="1" t="n">
        <f aca="false">COUNTIF(I:I,I2672)</f>
        <v>1</v>
      </c>
      <c r="K2672" s="1" t="n">
        <v>0</v>
      </c>
      <c r="M2672" s="1" t="s">
        <v>23</v>
      </c>
      <c r="N2672" s="1" t="n">
        <v>16</v>
      </c>
      <c r="O2672" s="1" t="s">
        <v>15130</v>
      </c>
      <c r="P2672" s="1" t="n">
        <v>1481</v>
      </c>
      <c r="Q2672" s="1" t="s">
        <v>15131</v>
      </c>
      <c r="R2672" s="1" t="s">
        <v>15132</v>
      </c>
      <c r="S2672" s="1" t="s">
        <v>15133</v>
      </c>
      <c r="T2672" s="1" t="s">
        <v>5931</v>
      </c>
      <c r="U2672" s="1" t="s">
        <v>15134</v>
      </c>
    </row>
    <row r="2673" customFormat="false" ht="13.8" hidden="false" customHeight="false" outlineLevel="0" collapsed="false">
      <c r="A2673" s="1" t="n">
        <v>2672</v>
      </c>
      <c r="B2673" s="2" t="s">
        <v>15135</v>
      </c>
      <c r="C2673" s="1" t="n">
        <v>10</v>
      </c>
      <c r="D2673" s="1" t="n">
        <v>13</v>
      </c>
      <c r="E2673" s="1" t="n">
        <v>20</v>
      </c>
      <c r="F2673" s="1" t="n">
        <v>40</v>
      </c>
      <c r="G2673" s="1" t="n">
        <v>43</v>
      </c>
      <c r="H2673" s="1" t="n">
        <v>56</v>
      </c>
      <c r="I2673" s="1" t="str">
        <f aca="false">RIGHT(("0"&amp;C2673),2)&amp;RIGHT(("0"&amp;D2673),2)&amp;RIGHT(("0"&amp;E2673),2)&amp;RIGHT(("0"&amp;F2673),2)&amp;RIGHT(("0"&amp;G2673),2)&amp;RIGHT(("0"&amp;H2673),2)</f>
        <v>101320404356</v>
      </c>
      <c r="J2673" s="1" t="n">
        <f aca="false">COUNTIF(I:I,I2673)</f>
        <v>1</v>
      </c>
      <c r="K2673" s="1" t="n">
        <v>1</v>
      </c>
      <c r="L2673" s="1" t="s">
        <v>5310</v>
      </c>
      <c r="M2673" s="1" t="s">
        <v>15136</v>
      </c>
      <c r="N2673" s="1" t="n">
        <v>22</v>
      </c>
      <c r="O2673" s="1" t="s">
        <v>15137</v>
      </c>
      <c r="P2673" s="1" t="n">
        <v>2413</v>
      </c>
      <c r="Q2673" s="1" t="s">
        <v>15138</v>
      </c>
      <c r="R2673" s="1" t="s">
        <v>23</v>
      </c>
      <c r="S2673" s="1" t="s">
        <v>15139</v>
      </c>
      <c r="T2673" s="1" t="s">
        <v>473</v>
      </c>
      <c r="U2673" s="1" t="s">
        <v>15140</v>
      </c>
    </row>
    <row r="2674" customFormat="false" ht="13.8" hidden="false" customHeight="false" outlineLevel="0" collapsed="false">
      <c r="A2674" s="1" t="n">
        <v>2673</v>
      </c>
      <c r="B2674" s="2" t="s">
        <v>15141</v>
      </c>
      <c r="C2674" s="1" t="n">
        <v>4</v>
      </c>
      <c r="D2674" s="1" t="n">
        <v>27</v>
      </c>
      <c r="E2674" s="1" t="n">
        <v>35</v>
      </c>
      <c r="F2674" s="1" t="n">
        <v>45</v>
      </c>
      <c r="G2674" s="1" t="n">
        <v>52</v>
      </c>
      <c r="H2674" s="1" t="n">
        <v>56</v>
      </c>
      <c r="I2674" s="1" t="str">
        <f aca="false">RIGHT(("0"&amp;C2674),2)&amp;RIGHT(("0"&amp;D2674),2)&amp;RIGHT(("0"&amp;E2674),2)&amp;RIGHT(("0"&amp;F2674),2)&amp;RIGHT(("0"&amp;G2674),2)&amp;RIGHT(("0"&amp;H2674),2)</f>
        <v>042735455256</v>
      </c>
      <c r="J2674" s="1" t="n">
        <f aca="false">COUNTIF(I:I,I2674)</f>
        <v>1</v>
      </c>
      <c r="K2674" s="1" t="n">
        <v>0</v>
      </c>
      <c r="M2674" s="1" t="s">
        <v>23</v>
      </c>
      <c r="N2674" s="1" t="n">
        <v>19</v>
      </c>
      <c r="O2674" s="1" t="s">
        <v>15142</v>
      </c>
      <c r="P2674" s="1" t="n">
        <v>1547</v>
      </c>
      <c r="Q2674" s="1" t="s">
        <v>15143</v>
      </c>
      <c r="R2674" s="1" t="s">
        <v>15144</v>
      </c>
      <c r="S2674" s="1" t="s">
        <v>15145</v>
      </c>
      <c r="T2674" s="1" t="s">
        <v>7089</v>
      </c>
      <c r="U2674" s="1" t="s">
        <v>15146</v>
      </c>
    </row>
    <row r="2675" customFormat="false" ht="13.8" hidden="false" customHeight="false" outlineLevel="0" collapsed="false">
      <c r="A2675" s="1" t="n">
        <v>2674</v>
      </c>
      <c r="B2675" s="2" t="s">
        <v>15147</v>
      </c>
      <c r="C2675" s="1" t="n">
        <v>8</v>
      </c>
      <c r="D2675" s="1" t="n">
        <v>14</v>
      </c>
      <c r="E2675" s="1" t="n">
        <v>15</v>
      </c>
      <c r="F2675" s="1" t="n">
        <v>21</v>
      </c>
      <c r="G2675" s="1" t="n">
        <v>23</v>
      </c>
      <c r="H2675" s="1" t="n">
        <v>46</v>
      </c>
      <c r="I2675" s="1" t="str">
        <f aca="false">RIGHT(("0"&amp;C2675),2)&amp;RIGHT(("0"&amp;D2675),2)&amp;RIGHT(("0"&amp;E2675),2)&amp;RIGHT(("0"&amp;F2675),2)&amp;RIGHT(("0"&amp;G2675),2)&amp;RIGHT(("0"&amp;H2675),2)</f>
        <v>081415212346</v>
      </c>
      <c r="J2675" s="1" t="n">
        <f aca="false">COUNTIF(I:I,I2675)</f>
        <v>1</v>
      </c>
      <c r="K2675" s="1" t="n">
        <v>0</v>
      </c>
      <c r="M2675" s="1" t="s">
        <v>23</v>
      </c>
      <c r="N2675" s="1" t="n">
        <v>49</v>
      </c>
      <c r="O2675" s="1" t="s">
        <v>15148</v>
      </c>
      <c r="P2675" s="1" t="n">
        <v>2605</v>
      </c>
      <c r="Q2675" s="1" t="s">
        <v>15149</v>
      </c>
      <c r="R2675" s="1" t="s">
        <v>15150</v>
      </c>
      <c r="S2675" s="1" t="s">
        <v>15151</v>
      </c>
      <c r="T2675" s="1" t="s">
        <v>3928</v>
      </c>
      <c r="U2675" s="1" t="s">
        <v>15152</v>
      </c>
    </row>
    <row r="2676" customFormat="false" ht="13.8" hidden="false" customHeight="false" outlineLevel="0" collapsed="false">
      <c r="A2676" s="1" t="n">
        <v>2675</v>
      </c>
      <c r="B2676" s="2" t="s">
        <v>15153</v>
      </c>
      <c r="C2676" s="1" t="n">
        <v>1</v>
      </c>
      <c r="D2676" s="1" t="n">
        <v>26</v>
      </c>
      <c r="E2676" s="1" t="n">
        <v>31</v>
      </c>
      <c r="F2676" s="1" t="n">
        <v>34</v>
      </c>
      <c r="G2676" s="1" t="n">
        <v>42</v>
      </c>
      <c r="H2676" s="1" t="n">
        <v>45</v>
      </c>
      <c r="I2676" s="1" t="str">
        <f aca="false">RIGHT(("0"&amp;C2676),2)&amp;RIGHT(("0"&amp;D2676),2)&amp;RIGHT(("0"&amp;E2676),2)&amp;RIGHT(("0"&amp;F2676),2)&amp;RIGHT(("0"&amp;G2676),2)&amp;RIGHT(("0"&amp;H2676),2)</f>
        <v>012631344245</v>
      </c>
      <c r="J2676" s="1" t="n">
        <f aca="false">COUNTIF(I:I,I2676)</f>
        <v>1</v>
      </c>
      <c r="K2676" s="1" t="n">
        <v>0</v>
      </c>
      <c r="M2676" s="1" t="s">
        <v>23</v>
      </c>
      <c r="N2676" s="1" t="n">
        <v>19</v>
      </c>
      <c r="O2676" s="1" t="s">
        <v>15154</v>
      </c>
      <c r="P2676" s="1" t="n">
        <v>2148</v>
      </c>
      <c r="Q2676" s="1" t="s">
        <v>15155</v>
      </c>
      <c r="R2676" s="1" t="s">
        <v>15156</v>
      </c>
      <c r="S2676" s="1" t="s">
        <v>15157</v>
      </c>
      <c r="T2676" s="1" t="s">
        <v>4299</v>
      </c>
      <c r="U2676" s="1" t="s">
        <v>15158</v>
      </c>
    </row>
    <row r="2677" customFormat="false" ht="13.8" hidden="false" customHeight="false" outlineLevel="0" collapsed="false">
      <c r="A2677" s="1" t="n">
        <v>2676</v>
      </c>
      <c r="B2677" s="2" t="s">
        <v>15159</v>
      </c>
      <c r="C2677" s="1" t="n">
        <v>4</v>
      </c>
      <c r="D2677" s="1" t="n">
        <v>6</v>
      </c>
      <c r="E2677" s="1" t="n">
        <v>14</v>
      </c>
      <c r="F2677" s="1" t="n">
        <v>19</v>
      </c>
      <c r="G2677" s="1" t="n">
        <v>22</v>
      </c>
      <c r="H2677" s="1" t="n">
        <v>29</v>
      </c>
      <c r="I2677" s="1" t="str">
        <f aca="false">RIGHT(("0"&amp;C2677),2)&amp;RIGHT(("0"&amp;D2677),2)&amp;RIGHT(("0"&amp;E2677),2)&amp;RIGHT(("0"&amp;F2677),2)&amp;RIGHT(("0"&amp;G2677),2)&amp;RIGHT(("0"&amp;H2677),2)</f>
        <v>040614192229</v>
      </c>
      <c r="J2677" s="1" t="n">
        <f aca="false">COUNTIF(I:I,I2677)</f>
        <v>1</v>
      </c>
      <c r="K2677" s="1" t="n">
        <v>0</v>
      </c>
      <c r="M2677" s="1" t="s">
        <v>23</v>
      </c>
      <c r="N2677" s="1" t="n">
        <v>70</v>
      </c>
      <c r="O2677" s="1" t="s">
        <v>15160</v>
      </c>
      <c r="P2677" s="1" t="n">
        <v>4664</v>
      </c>
      <c r="Q2677" s="1" t="s">
        <v>15161</v>
      </c>
      <c r="R2677" s="1" t="s">
        <v>15162</v>
      </c>
      <c r="S2677" s="1" t="s">
        <v>15163</v>
      </c>
      <c r="T2677" s="1" t="s">
        <v>5281</v>
      </c>
      <c r="U2677" s="1" t="s">
        <v>15164</v>
      </c>
    </row>
    <row r="2678" customFormat="false" ht="13.8" hidden="false" customHeight="false" outlineLevel="0" collapsed="false">
      <c r="A2678" s="1" t="n">
        <v>2677</v>
      </c>
      <c r="B2678" s="2" t="s">
        <v>15165</v>
      </c>
      <c r="C2678" s="1" t="n">
        <v>3</v>
      </c>
      <c r="D2678" s="1" t="n">
        <v>7</v>
      </c>
      <c r="E2678" s="1" t="n">
        <v>32</v>
      </c>
      <c r="F2678" s="1" t="n">
        <v>34</v>
      </c>
      <c r="G2678" s="1" t="n">
        <v>42</v>
      </c>
      <c r="H2678" s="1" t="n">
        <v>54</v>
      </c>
      <c r="I2678" s="1" t="str">
        <f aca="false">RIGHT(("0"&amp;C2678),2)&amp;RIGHT(("0"&amp;D2678),2)&amp;RIGHT(("0"&amp;E2678),2)&amp;RIGHT(("0"&amp;F2678),2)&amp;RIGHT(("0"&amp;G2678),2)&amp;RIGHT(("0"&amp;H2678),2)</f>
        <v>030732344254</v>
      </c>
      <c r="J2678" s="1" t="n">
        <f aca="false">COUNTIF(I:I,I2678)</f>
        <v>1</v>
      </c>
      <c r="K2678" s="1" t="n">
        <v>0</v>
      </c>
      <c r="M2678" s="1" t="s">
        <v>23</v>
      </c>
      <c r="N2678" s="1" t="n">
        <v>47</v>
      </c>
      <c r="O2678" s="1" t="s">
        <v>15166</v>
      </c>
      <c r="P2678" s="1" t="n">
        <v>3870</v>
      </c>
      <c r="Q2678" s="1" t="s">
        <v>15167</v>
      </c>
      <c r="R2678" s="1" t="s">
        <v>15168</v>
      </c>
      <c r="S2678" s="1" t="s">
        <v>15169</v>
      </c>
      <c r="T2678" s="1" t="s">
        <v>6018</v>
      </c>
      <c r="U2678" s="1" t="s">
        <v>15170</v>
      </c>
    </row>
    <row r="2679" customFormat="false" ht="13.8" hidden="false" customHeight="false" outlineLevel="0" collapsed="false">
      <c r="A2679" s="1" t="n">
        <v>2678</v>
      </c>
      <c r="B2679" s="2" t="s">
        <v>15171</v>
      </c>
      <c r="C2679" s="1" t="n">
        <v>10</v>
      </c>
      <c r="D2679" s="1" t="n">
        <v>13</v>
      </c>
      <c r="E2679" s="1" t="n">
        <v>16</v>
      </c>
      <c r="F2679" s="1" t="n">
        <v>18</v>
      </c>
      <c r="G2679" s="1" t="n">
        <v>37</v>
      </c>
      <c r="H2679" s="1" t="n">
        <v>54</v>
      </c>
      <c r="I2679" s="1" t="str">
        <f aca="false">RIGHT(("0"&amp;C2679),2)&amp;RIGHT(("0"&amp;D2679),2)&amp;RIGHT(("0"&amp;E2679),2)&amp;RIGHT(("0"&amp;F2679),2)&amp;RIGHT(("0"&amp;G2679),2)&amp;RIGHT(("0"&amp;H2679),2)</f>
        <v>101316183754</v>
      </c>
      <c r="J2679" s="1" t="n">
        <f aca="false">COUNTIF(I:I,I2679)</f>
        <v>1</v>
      </c>
      <c r="K2679" s="1" t="n">
        <v>0</v>
      </c>
      <c r="M2679" s="1" t="s">
        <v>23</v>
      </c>
      <c r="N2679" s="1" t="n">
        <v>76</v>
      </c>
      <c r="O2679" s="1" t="s">
        <v>15172</v>
      </c>
      <c r="P2679" s="1" t="n">
        <v>5455</v>
      </c>
      <c r="Q2679" s="1" t="s">
        <v>15173</v>
      </c>
      <c r="R2679" s="1" t="s">
        <v>15174</v>
      </c>
      <c r="S2679" s="1" t="s">
        <v>15175</v>
      </c>
      <c r="T2679" s="1" t="s">
        <v>5294</v>
      </c>
      <c r="U2679" s="1" t="s">
        <v>15176</v>
      </c>
    </row>
    <row r="2680" customFormat="false" ht="13.8" hidden="false" customHeight="false" outlineLevel="0" collapsed="false">
      <c r="A2680" s="1" t="n">
        <v>2679</v>
      </c>
      <c r="B2680" s="2" t="s">
        <v>15177</v>
      </c>
      <c r="C2680" s="1" t="n">
        <v>7</v>
      </c>
      <c r="D2680" s="1" t="n">
        <v>18</v>
      </c>
      <c r="E2680" s="1" t="n">
        <v>20</v>
      </c>
      <c r="F2680" s="1" t="n">
        <v>26</v>
      </c>
      <c r="G2680" s="1" t="n">
        <v>38</v>
      </c>
      <c r="H2680" s="1" t="n">
        <v>51</v>
      </c>
      <c r="I2680" s="1" t="str">
        <f aca="false">RIGHT(("0"&amp;C2680),2)&amp;RIGHT(("0"&amp;D2680),2)&amp;RIGHT(("0"&amp;E2680),2)&amp;RIGHT(("0"&amp;F2680),2)&amp;RIGHT(("0"&amp;G2680),2)&amp;RIGHT(("0"&amp;H2680),2)</f>
        <v>071820263851</v>
      </c>
      <c r="J2680" s="1" t="n">
        <f aca="false">COUNTIF(I:I,I2680)</f>
        <v>1</v>
      </c>
      <c r="K2680" s="1" t="n">
        <v>0</v>
      </c>
      <c r="M2680" s="1" t="s">
        <v>23</v>
      </c>
      <c r="N2680" s="1" t="n">
        <v>50</v>
      </c>
      <c r="O2680" s="1" t="s">
        <v>15178</v>
      </c>
      <c r="P2680" s="1" t="n">
        <v>3438</v>
      </c>
      <c r="Q2680" s="1" t="s">
        <v>15179</v>
      </c>
      <c r="R2680" s="1" t="s">
        <v>15180</v>
      </c>
      <c r="S2680" s="1" t="s">
        <v>15181</v>
      </c>
      <c r="T2680" s="1" t="s">
        <v>10065</v>
      </c>
      <c r="U2680" s="1" t="s">
        <v>15182</v>
      </c>
    </row>
    <row r="2681" customFormat="false" ht="13.8" hidden="false" customHeight="false" outlineLevel="0" collapsed="false">
      <c r="A2681" s="1" t="n">
        <v>2680</v>
      </c>
      <c r="B2681" s="2" t="s">
        <v>15183</v>
      </c>
      <c r="C2681" s="1" t="n">
        <v>3</v>
      </c>
      <c r="D2681" s="1" t="n">
        <v>11</v>
      </c>
      <c r="E2681" s="1" t="n">
        <v>42</v>
      </c>
      <c r="F2681" s="1" t="n">
        <v>45</v>
      </c>
      <c r="G2681" s="1" t="n">
        <v>46</v>
      </c>
      <c r="H2681" s="1" t="n">
        <v>57</v>
      </c>
      <c r="I2681" s="1" t="str">
        <f aca="false">RIGHT(("0"&amp;C2681),2)&amp;RIGHT(("0"&amp;D2681),2)&amp;RIGHT(("0"&amp;E2681),2)&amp;RIGHT(("0"&amp;F2681),2)&amp;RIGHT(("0"&amp;G2681),2)&amp;RIGHT(("0"&amp;H2681),2)</f>
        <v>031142454657</v>
      </c>
      <c r="J2681" s="1" t="n">
        <f aca="false">COUNTIF(I:I,I2681)</f>
        <v>1</v>
      </c>
      <c r="K2681" s="1" t="n">
        <v>0</v>
      </c>
      <c r="M2681" s="1" t="s">
        <v>23</v>
      </c>
      <c r="N2681" s="1" t="n">
        <v>70</v>
      </c>
      <c r="O2681" s="1" t="s">
        <v>15184</v>
      </c>
      <c r="P2681" s="1" t="n">
        <v>4756</v>
      </c>
      <c r="Q2681" s="1" t="s">
        <v>15185</v>
      </c>
      <c r="R2681" s="1" t="s">
        <v>15186</v>
      </c>
      <c r="S2681" s="1" t="s">
        <v>15187</v>
      </c>
      <c r="T2681" s="1" t="s">
        <v>9211</v>
      </c>
      <c r="U2681" s="1" t="s">
        <v>15188</v>
      </c>
    </row>
    <row r="2682" customFormat="false" ht="13.8" hidden="false" customHeight="false" outlineLevel="0" collapsed="false">
      <c r="A2682" s="1" t="n">
        <v>2681</v>
      </c>
      <c r="B2682" s="2" t="s">
        <v>15189</v>
      </c>
      <c r="C2682" s="1" t="n">
        <v>10</v>
      </c>
      <c r="D2682" s="1" t="n">
        <v>20</v>
      </c>
      <c r="E2682" s="1" t="n">
        <v>30</v>
      </c>
      <c r="F2682" s="1" t="n">
        <v>42</v>
      </c>
      <c r="G2682" s="1" t="n">
        <v>47</v>
      </c>
      <c r="H2682" s="1" t="n">
        <v>53</v>
      </c>
      <c r="I2682" s="1" t="str">
        <f aca="false">RIGHT(("0"&amp;C2682),2)&amp;RIGHT(("0"&amp;D2682),2)&amp;RIGHT(("0"&amp;E2682),2)&amp;RIGHT(("0"&amp;F2682),2)&amp;RIGHT(("0"&amp;G2682),2)&amp;RIGHT(("0"&amp;H2682),2)</f>
        <v>102030424753</v>
      </c>
      <c r="J2682" s="1" t="n">
        <f aca="false">COUNTIF(I:I,I2682)</f>
        <v>1</v>
      </c>
      <c r="K2682" s="1" t="n">
        <v>0</v>
      </c>
      <c r="M2682" s="1" t="s">
        <v>23</v>
      </c>
      <c r="N2682" s="1" t="n">
        <v>73</v>
      </c>
      <c r="O2682" s="1" t="s">
        <v>15190</v>
      </c>
      <c r="P2682" s="1" t="n">
        <v>5852</v>
      </c>
      <c r="Q2682" s="1" t="s">
        <v>15191</v>
      </c>
      <c r="R2682" s="1" t="s">
        <v>15192</v>
      </c>
      <c r="S2682" s="1" t="s">
        <v>15193</v>
      </c>
      <c r="T2682" s="1" t="s">
        <v>15194</v>
      </c>
      <c r="U2682" s="1" t="s">
        <v>15195</v>
      </c>
    </row>
    <row r="2683" customFormat="false" ht="13.8" hidden="false" customHeight="false" outlineLevel="0" collapsed="false">
      <c r="A2683" s="1" t="n">
        <v>2682</v>
      </c>
      <c r="B2683" s="2" t="s">
        <v>15196</v>
      </c>
      <c r="C2683" s="1" t="n">
        <v>4</v>
      </c>
      <c r="D2683" s="1" t="n">
        <v>17</v>
      </c>
      <c r="E2683" s="1" t="n">
        <v>29</v>
      </c>
      <c r="F2683" s="1" t="n">
        <v>30</v>
      </c>
      <c r="G2683" s="1" t="n">
        <v>52</v>
      </c>
      <c r="H2683" s="1" t="n">
        <v>58</v>
      </c>
      <c r="I2683" s="1" t="str">
        <f aca="false">RIGHT(("0"&amp;C2683),2)&amp;RIGHT(("0"&amp;D2683),2)&amp;RIGHT(("0"&amp;E2683),2)&amp;RIGHT(("0"&amp;F2683),2)&amp;RIGHT(("0"&amp;G2683),2)&amp;RIGHT(("0"&amp;H2683),2)</f>
        <v>041729305258</v>
      </c>
      <c r="J2683" s="1" t="n">
        <f aca="false">COUNTIF(I:I,I2683)</f>
        <v>1</v>
      </c>
      <c r="K2683" s="1" t="n">
        <v>0</v>
      </c>
      <c r="M2683" s="1" t="s">
        <v>23</v>
      </c>
      <c r="N2683" s="1" t="n">
        <v>83</v>
      </c>
      <c r="O2683" s="1" t="s">
        <v>15197</v>
      </c>
      <c r="P2683" s="1" t="n">
        <v>5942</v>
      </c>
      <c r="Q2683" s="1" t="s">
        <v>15198</v>
      </c>
      <c r="R2683" s="1" t="s">
        <v>15199</v>
      </c>
      <c r="S2683" s="1" t="s">
        <v>15200</v>
      </c>
      <c r="T2683" s="1" t="s">
        <v>15201</v>
      </c>
      <c r="U2683" s="1" t="s">
        <v>15202</v>
      </c>
    </row>
    <row r="2684" customFormat="false" ht="13.8" hidden="false" customHeight="false" outlineLevel="0" collapsed="false">
      <c r="A2684" s="1" t="n">
        <v>2683</v>
      </c>
      <c r="B2684" s="2" t="s">
        <v>15203</v>
      </c>
      <c r="C2684" s="1" t="n">
        <v>1</v>
      </c>
      <c r="D2684" s="1" t="n">
        <v>3</v>
      </c>
      <c r="E2684" s="1" t="n">
        <v>23</v>
      </c>
      <c r="F2684" s="1" t="n">
        <v>27</v>
      </c>
      <c r="G2684" s="1" t="n">
        <v>47</v>
      </c>
      <c r="H2684" s="1" t="n">
        <v>57</v>
      </c>
      <c r="I2684" s="1" t="str">
        <f aca="false">RIGHT(("0"&amp;C2684),2)&amp;RIGHT(("0"&amp;D2684),2)&amp;RIGHT(("0"&amp;E2684),2)&amp;RIGHT(("0"&amp;F2684),2)&amp;RIGHT(("0"&amp;G2684),2)&amp;RIGHT(("0"&amp;H2684),2)</f>
        <v>010323274757</v>
      </c>
      <c r="J2684" s="1" t="n">
        <f aca="false">COUNTIF(I:I,I2684)</f>
        <v>1</v>
      </c>
      <c r="K2684" s="1" t="n">
        <v>0</v>
      </c>
      <c r="M2684" s="1" t="s">
        <v>23</v>
      </c>
      <c r="N2684" s="1" t="n">
        <v>124</v>
      </c>
      <c r="O2684" s="1" t="s">
        <v>15204</v>
      </c>
      <c r="P2684" s="1" t="n">
        <v>8280</v>
      </c>
      <c r="Q2684" s="1" t="s">
        <v>15205</v>
      </c>
      <c r="R2684" s="1" t="s">
        <v>15206</v>
      </c>
      <c r="S2684" s="1" t="s">
        <v>15207</v>
      </c>
      <c r="T2684" s="1" t="s">
        <v>12809</v>
      </c>
      <c r="U2684" s="1" t="s">
        <v>15208</v>
      </c>
    </row>
    <row r="2685" customFormat="false" ht="13.8" hidden="false" customHeight="false" outlineLevel="0" collapsed="false">
      <c r="A2685" s="1" t="n">
        <v>2684</v>
      </c>
      <c r="B2685" s="2" t="s">
        <v>15209</v>
      </c>
      <c r="C2685" s="1" t="n">
        <v>17</v>
      </c>
      <c r="D2685" s="1" t="n">
        <v>26</v>
      </c>
      <c r="E2685" s="1" t="n">
        <v>45</v>
      </c>
      <c r="F2685" s="1" t="n">
        <v>46</v>
      </c>
      <c r="G2685" s="1" t="n">
        <v>48</v>
      </c>
      <c r="H2685" s="1" t="n">
        <v>53</v>
      </c>
      <c r="I2685" s="1" t="str">
        <f aca="false">RIGHT(("0"&amp;C2685),2)&amp;RIGHT(("0"&amp;D2685),2)&amp;RIGHT(("0"&amp;E2685),2)&amp;RIGHT(("0"&amp;F2685),2)&amp;RIGHT(("0"&amp;G2685),2)&amp;RIGHT(("0"&amp;H2685),2)</f>
        <v>172645464853</v>
      </c>
      <c r="J2685" s="1" t="n">
        <f aca="false">COUNTIF(I:I,I2685)</f>
        <v>1</v>
      </c>
      <c r="K2685" s="1" t="n">
        <v>1</v>
      </c>
      <c r="L2685" s="1" t="s">
        <v>12668</v>
      </c>
      <c r="M2685" s="1" t="s">
        <v>15210</v>
      </c>
      <c r="N2685" s="1" t="n">
        <v>109</v>
      </c>
      <c r="O2685" s="1" t="s">
        <v>15211</v>
      </c>
      <c r="P2685" s="1" t="n">
        <v>8288</v>
      </c>
      <c r="Q2685" s="1" t="s">
        <v>15212</v>
      </c>
      <c r="R2685" s="1" t="s">
        <v>15213</v>
      </c>
      <c r="S2685" s="1" t="s">
        <v>15214</v>
      </c>
      <c r="T2685" s="1" t="s">
        <v>4935</v>
      </c>
      <c r="U2685" s="1" t="s">
        <v>15215</v>
      </c>
    </row>
    <row r="2686" customFormat="false" ht="13.8" hidden="false" customHeight="false" outlineLevel="0" collapsed="false">
      <c r="A2686" s="1" t="n">
        <v>2685</v>
      </c>
      <c r="B2686" s="2" t="s">
        <v>15216</v>
      </c>
      <c r="C2686" s="1" t="n">
        <v>9</v>
      </c>
      <c r="D2686" s="1" t="n">
        <v>16</v>
      </c>
      <c r="E2686" s="1" t="n">
        <v>31</v>
      </c>
      <c r="F2686" s="1" t="n">
        <v>46</v>
      </c>
      <c r="G2686" s="1" t="n">
        <v>47</v>
      </c>
      <c r="H2686" s="1" t="n">
        <v>51</v>
      </c>
      <c r="I2686" s="1" t="str">
        <f aca="false">RIGHT(("0"&amp;C2686),2)&amp;RIGHT(("0"&amp;D2686),2)&amp;RIGHT(("0"&amp;E2686),2)&amp;RIGHT(("0"&amp;F2686),2)&amp;RIGHT(("0"&amp;G2686),2)&amp;RIGHT(("0"&amp;H2686),2)</f>
        <v>091631464751</v>
      </c>
      <c r="J2686" s="1" t="n">
        <f aca="false">COUNTIF(I:I,I2686)</f>
        <v>1</v>
      </c>
      <c r="K2686" s="1" t="n">
        <v>0</v>
      </c>
      <c r="M2686" s="1" t="s">
        <v>23</v>
      </c>
      <c r="N2686" s="1" t="n">
        <v>28</v>
      </c>
      <c r="O2686" s="1" t="s">
        <v>15217</v>
      </c>
      <c r="P2686" s="1" t="n">
        <v>2743</v>
      </c>
      <c r="Q2686" s="1" t="s">
        <v>15218</v>
      </c>
      <c r="R2686" s="1" t="s">
        <v>15219</v>
      </c>
      <c r="S2686" s="1" t="s">
        <v>15220</v>
      </c>
      <c r="T2686" s="1" t="s">
        <v>5294</v>
      </c>
      <c r="U2686" s="1" t="s">
        <v>15221</v>
      </c>
    </row>
    <row r="2687" customFormat="false" ht="13.8" hidden="false" customHeight="false" outlineLevel="0" collapsed="false">
      <c r="A2687" s="1" t="n">
        <v>2686</v>
      </c>
      <c r="B2687" s="2" t="s">
        <v>15222</v>
      </c>
      <c r="C2687" s="1" t="n">
        <v>6</v>
      </c>
      <c r="D2687" s="1" t="n">
        <v>12</v>
      </c>
      <c r="E2687" s="1" t="n">
        <v>20</v>
      </c>
      <c r="F2687" s="1" t="n">
        <v>41</v>
      </c>
      <c r="G2687" s="1" t="n">
        <v>43</v>
      </c>
      <c r="H2687" s="1" t="n">
        <v>59</v>
      </c>
      <c r="I2687" s="1" t="str">
        <f aca="false">RIGHT(("0"&amp;C2687),2)&amp;RIGHT(("0"&amp;D2687),2)&amp;RIGHT(("0"&amp;E2687),2)&amp;RIGHT(("0"&amp;F2687),2)&amp;RIGHT(("0"&amp;G2687),2)&amp;RIGHT(("0"&amp;H2687),2)</f>
        <v>061220414359</v>
      </c>
      <c r="J2687" s="1" t="n">
        <f aca="false">COUNTIF(I:I,I2687)</f>
        <v>1</v>
      </c>
      <c r="K2687" s="1" t="n">
        <v>0</v>
      </c>
      <c r="M2687" s="1" t="s">
        <v>23</v>
      </c>
      <c r="N2687" s="1" t="n">
        <v>56</v>
      </c>
      <c r="O2687" s="1" t="s">
        <v>15223</v>
      </c>
      <c r="P2687" s="1" t="n">
        <v>3301</v>
      </c>
      <c r="Q2687" s="1" t="s">
        <v>15224</v>
      </c>
      <c r="R2687" s="1" t="s">
        <v>15225</v>
      </c>
      <c r="S2687" s="1" t="s">
        <v>15226</v>
      </c>
      <c r="T2687" s="1" t="s">
        <v>8236</v>
      </c>
      <c r="U2687" s="1" t="s">
        <v>15227</v>
      </c>
    </row>
    <row r="2688" customFormat="false" ht="13.8" hidden="false" customHeight="false" outlineLevel="0" collapsed="false">
      <c r="A2688" s="1" t="n">
        <v>2687</v>
      </c>
      <c r="B2688" s="2" t="s">
        <v>15228</v>
      </c>
      <c r="C2688" s="1" t="n">
        <v>2</v>
      </c>
      <c r="D2688" s="1" t="n">
        <v>4</v>
      </c>
      <c r="E2688" s="1" t="n">
        <v>24</v>
      </c>
      <c r="F2688" s="1" t="n">
        <v>30</v>
      </c>
      <c r="G2688" s="1" t="n">
        <v>34</v>
      </c>
      <c r="H2688" s="1" t="n">
        <v>50</v>
      </c>
      <c r="I2688" s="1" t="str">
        <f aca="false">RIGHT(("0"&amp;C2688),2)&amp;RIGHT(("0"&amp;D2688),2)&amp;RIGHT(("0"&amp;E2688),2)&amp;RIGHT(("0"&amp;F2688),2)&amp;RIGHT(("0"&amp;G2688),2)&amp;RIGHT(("0"&amp;H2688),2)</f>
        <v>020424303450</v>
      </c>
      <c r="J2688" s="1" t="n">
        <f aca="false">COUNTIF(I:I,I2688)</f>
        <v>1</v>
      </c>
      <c r="K2688" s="1" t="n">
        <v>0</v>
      </c>
      <c r="M2688" s="1" t="s">
        <v>23</v>
      </c>
      <c r="N2688" s="1" t="n">
        <v>50</v>
      </c>
      <c r="O2688" s="1" t="s">
        <v>15229</v>
      </c>
      <c r="P2688" s="1" t="n">
        <v>4178</v>
      </c>
      <c r="Q2688" s="1" t="s">
        <v>15230</v>
      </c>
      <c r="R2688" s="1" t="s">
        <v>15231</v>
      </c>
      <c r="S2688" s="1" t="s">
        <v>15232</v>
      </c>
      <c r="T2688" s="1" t="s">
        <v>6084</v>
      </c>
      <c r="U2688" s="1" t="s">
        <v>15233</v>
      </c>
    </row>
    <row r="2689" customFormat="false" ht="13.8" hidden="false" customHeight="false" outlineLevel="0" collapsed="false">
      <c r="A2689" s="1" t="n">
        <v>2688</v>
      </c>
      <c r="B2689" s="2" t="s">
        <v>15234</v>
      </c>
      <c r="C2689" s="1" t="n">
        <v>12</v>
      </c>
      <c r="D2689" s="1" t="n">
        <v>17</v>
      </c>
      <c r="E2689" s="1" t="n">
        <v>33</v>
      </c>
      <c r="F2689" s="1" t="n">
        <v>41</v>
      </c>
      <c r="G2689" s="1" t="n">
        <v>46</v>
      </c>
      <c r="H2689" s="1" t="n">
        <v>54</v>
      </c>
      <c r="I2689" s="1" t="str">
        <f aca="false">RIGHT(("0"&amp;C2689),2)&amp;RIGHT(("0"&amp;D2689),2)&amp;RIGHT(("0"&amp;E2689),2)&amp;RIGHT(("0"&amp;F2689),2)&amp;RIGHT(("0"&amp;G2689),2)&amp;RIGHT(("0"&amp;H2689),2)</f>
        <v>121733414654</v>
      </c>
      <c r="J2689" s="1" t="n">
        <f aca="false">COUNTIF(I:I,I2689)</f>
        <v>1</v>
      </c>
      <c r="K2689" s="1" t="n">
        <v>0</v>
      </c>
      <c r="M2689" s="1" t="s">
        <v>23</v>
      </c>
      <c r="N2689" s="1" t="n">
        <v>108</v>
      </c>
      <c r="O2689" s="1" t="s">
        <v>15235</v>
      </c>
      <c r="P2689" s="1" t="n">
        <v>6720</v>
      </c>
      <c r="Q2689" s="1" t="s">
        <v>15236</v>
      </c>
      <c r="R2689" s="1" t="s">
        <v>15237</v>
      </c>
      <c r="S2689" s="1" t="s">
        <v>15238</v>
      </c>
      <c r="T2689" s="1" t="s">
        <v>10065</v>
      </c>
      <c r="U2689" s="1" t="s">
        <v>15239</v>
      </c>
    </row>
    <row r="2690" customFormat="false" ht="13.8" hidden="false" customHeight="false" outlineLevel="0" collapsed="false">
      <c r="A2690" s="1" t="n">
        <v>2689</v>
      </c>
      <c r="B2690" s="2" t="s">
        <v>15240</v>
      </c>
      <c r="C2690" s="1" t="n">
        <v>9</v>
      </c>
      <c r="D2690" s="1" t="n">
        <v>16</v>
      </c>
      <c r="E2690" s="1" t="n">
        <v>20</v>
      </c>
      <c r="F2690" s="1" t="n">
        <v>47</v>
      </c>
      <c r="G2690" s="1" t="n">
        <v>48</v>
      </c>
      <c r="H2690" s="1" t="n">
        <v>52</v>
      </c>
      <c r="I2690" s="1" t="str">
        <f aca="false">RIGHT(("0"&amp;C2690),2)&amp;RIGHT(("0"&amp;D2690),2)&amp;RIGHT(("0"&amp;E2690),2)&amp;RIGHT(("0"&amp;F2690),2)&amp;RIGHT(("0"&amp;G2690),2)&amp;RIGHT(("0"&amp;H2690),2)</f>
        <v>091620474852</v>
      </c>
      <c r="J2690" s="1" t="n">
        <f aca="false">COUNTIF(I:I,I2690)</f>
        <v>1</v>
      </c>
      <c r="K2690" s="1" t="n">
        <v>0</v>
      </c>
      <c r="M2690" s="1" t="s">
        <v>23</v>
      </c>
      <c r="N2690" s="1" t="n">
        <v>65</v>
      </c>
      <c r="O2690" s="1" t="s">
        <v>15241</v>
      </c>
      <c r="P2690" s="1" t="n">
        <v>4926</v>
      </c>
      <c r="Q2690" s="1" t="s">
        <v>15242</v>
      </c>
      <c r="R2690" s="1" t="s">
        <v>15243</v>
      </c>
      <c r="S2690" s="1" t="s">
        <v>15244</v>
      </c>
      <c r="T2690" s="1" t="s">
        <v>15245</v>
      </c>
      <c r="U2690" s="1" t="s">
        <v>15246</v>
      </c>
    </row>
    <row r="2691" customFormat="false" ht="13.8" hidden="false" customHeight="false" outlineLevel="0" collapsed="false">
      <c r="A2691" s="1" t="n">
        <v>2690</v>
      </c>
      <c r="B2691" s="2" t="s">
        <v>15247</v>
      </c>
      <c r="C2691" s="1" t="n">
        <v>9</v>
      </c>
      <c r="D2691" s="1" t="n">
        <v>28</v>
      </c>
      <c r="E2691" s="1" t="n">
        <v>33</v>
      </c>
      <c r="F2691" s="1" t="n">
        <v>43</v>
      </c>
      <c r="G2691" s="1" t="n">
        <v>45</v>
      </c>
      <c r="H2691" s="1" t="n">
        <v>55</v>
      </c>
      <c r="I2691" s="1" t="str">
        <f aca="false">RIGHT(("0"&amp;C2691),2)&amp;RIGHT(("0"&amp;D2691),2)&amp;RIGHT(("0"&amp;E2691),2)&amp;RIGHT(("0"&amp;F2691),2)&amp;RIGHT(("0"&amp;G2691),2)&amp;RIGHT(("0"&amp;H2691),2)</f>
        <v>092833434555</v>
      </c>
      <c r="J2691" s="1" t="n">
        <f aca="false">COUNTIF(I:I,I2691)</f>
        <v>1</v>
      </c>
      <c r="K2691" s="1" t="n">
        <v>0</v>
      </c>
      <c r="M2691" s="1" t="s">
        <v>23</v>
      </c>
      <c r="N2691" s="1" t="n">
        <v>67</v>
      </c>
      <c r="O2691" s="1" t="s">
        <v>15248</v>
      </c>
      <c r="P2691" s="1" t="n">
        <v>6540</v>
      </c>
      <c r="Q2691" s="1" t="s">
        <v>15249</v>
      </c>
      <c r="R2691" s="1" t="s">
        <v>15250</v>
      </c>
      <c r="S2691" s="1" t="s">
        <v>15251</v>
      </c>
      <c r="T2691" s="1" t="s">
        <v>10525</v>
      </c>
      <c r="U2691" s="1" t="s">
        <v>15252</v>
      </c>
    </row>
    <row r="2692" customFormat="false" ht="13.8" hidden="false" customHeight="false" outlineLevel="0" collapsed="false">
      <c r="A2692" s="1" t="n">
        <v>2691</v>
      </c>
      <c r="B2692" s="2" t="s">
        <v>15253</v>
      </c>
      <c r="C2692" s="1" t="n">
        <v>13</v>
      </c>
      <c r="D2692" s="1" t="n">
        <v>15</v>
      </c>
      <c r="E2692" s="1" t="n">
        <v>28</v>
      </c>
      <c r="F2692" s="1" t="n">
        <v>37</v>
      </c>
      <c r="G2692" s="1" t="n">
        <v>40</v>
      </c>
      <c r="H2692" s="1" t="n">
        <v>57</v>
      </c>
      <c r="I2692" s="1" t="str">
        <f aca="false">RIGHT(("0"&amp;C2692),2)&amp;RIGHT(("0"&amp;D2692),2)&amp;RIGHT(("0"&amp;E2692),2)&amp;RIGHT(("0"&amp;F2692),2)&amp;RIGHT(("0"&amp;G2692),2)&amp;RIGHT(("0"&amp;H2692),2)</f>
        <v>131528374057</v>
      </c>
      <c r="J2692" s="1" t="n">
        <f aca="false">COUNTIF(I:I,I2692)</f>
        <v>1</v>
      </c>
      <c r="K2692" s="1" t="n">
        <v>0</v>
      </c>
      <c r="M2692" s="1" t="s">
        <v>23</v>
      </c>
      <c r="N2692" s="1" t="n">
        <v>77</v>
      </c>
      <c r="O2692" s="1" t="s">
        <v>15254</v>
      </c>
      <c r="P2692" s="1" t="n">
        <v>6572</v>
      </c>
      <c r="Q2692" s="1" t="s">
        <v>15255</v>
      </c>
      <c r="R2692" s="1" t="s">
        <v>15256</v>
      </c>
      <c r="S2692" s="1" t="s">
        <v>15257</v>
      </c>
      <c r="T2692" s="1" t="s">
        <v>9509</v>
      </c>
      <c r="U2692" s="1" t="s">
        <v>15258</v>
      </c>
    </row>
    <row r="2693" customFormat="false" ht="13.8" hidden="false" customHeight="false" outlineLevel="0" collapsed="false">
      <c r="A2693" s="1" t="n">
        <v>2692</v>
      </c>
      <c r="B2693" s="2" t="s">
        <v>15259</v>
      </c>
      <c r="C2693" s="1" t="n">
        <v>9</v>
      </c>
      <c r="D2693" s="1" t="n">
        <v>33</v>
      </c>
      <c r="E2693" s="1" t="n">
        <v>45</v>
      </c>
      <c r="F2693" s="1" t="n">
        <v>55</v>
      </c>
      <c r="G2693" s="1" t="n">
        <v>56</v>
      </c>
      <c r="H2693" s="1" t="n">
        <v>59</v>
      </c>
      <c r="I2693" s="1" t="str">
        <f aca="false">RIGHT(("0"&amp;C2693),2)&amp;RIGHT(("0"&amp;D2693),2)&amp;RIGHT(("0"&amp;E2693),2)&amp;RIGHT(("0"&amp;F2693),2)&amp;RIGHT(("0"&amp;G2693),2)&amp;RIGHT(("0"&amp;H2693),2)</f>
        <v>093345555659</v>
      </c>
      <c r="J2693" s="1" t="n">
        <f aca="false">COUNTIF(I:I,I2693)</f>
        <v>1</v>
      </c>
      <c r="K2693" s="1" t="n">
        <v>0</v>
      </c>
      <c r="M2693" s="1" t="s">
        <v>23</v>
      </c>
      <c r="N2693" s="1" t="n">
        <v>152</v>
      </c>
      <c r="O2693" s="1" t="s">
        <v>15260</v>
      </c>
      <c r="P2693" s="1" t="n">
        <v>14561</v>
      </c>
      <c r="Q2693" s="1" t="s">
        <v>15261</v>
      </c>
      <c r="R2693" s="1" t="s">
        <v>15262</v>
      </c>
      <c r="S2693" s="1" t="s">
        <v>15263</v>
      </c>
      <c r="T2693" s="1" t="s">
        <v>5601</v>
      </c>
      <c r="U2693" s="1" t="s">
        <v>15264</v>
      </c>
    </row>
    <row r="2694" customFormat="false" ht="13.8" hidden="false" customHeight="false" outlineLevel="0" collapsed="false">
      <c r="A2694" s="1" t="n">
        <v>2693</v>
      </c>
      <c r="B2694" s="2" t="s">
        <v>15265</v>
      </c>
      <c r="C2694" s="1" t="n">
        <v>11</v>
      </c>
      <c r="D2694" s="1" t="n">
        <v>29</v>
      </c>
      <c r="E2694" s="1" t="n">
        <v>44</v>
      </c>
      <c r="F2694" s="1" t="n">
        <v>45</v>
      </c>
      <c r="G2694" s="1" t="n">
        <v>46</v>
      </c>
      <c r="H2694" s="1" t="n">
        <v>50</v>
      </c>
      <c r="I2694" s="1" t="str">
        <f aca="false">RIGHT(("0"&amp;C2694),2)&amp;RIGHT(("0"&amp;D2694),2)&amp;RIGHT(("0"&amp;E2694),2)&amp;RIGHT(("0"&amp;F2694),2)&amp;RIGHT(("0"&amp;G2694),2)&amp;RIGHT(("0"&amp;H2694),2)</f>
        <v>112944454650</v>
      </c>
      <c r="J2694" s="1" t="n">
        <f aca="false">COUNTIF(I:I,I2694)</f>
        <v>1</v>
      </c>
      <c r="K2694" s="1" t="n">
        <v>0</v>
      </c>
      <c r="M2694" s="1" t="s">
        <v>23</v>
      </c>
      <c r="N2694" s="1" t="n">
        <v>117</v>
      </c>
      <c r="O2694" s="1" t="s">
        <v>15266</v>
      </c>
      <c r="P2694" s="1" t="n">
        <v>6988</v>
      </c>
      <c r="Q2694" s="1" t="s">
        <v>15267</v>
      </c>
      <c r="R2694" s="1" t="s">
        <v>15268</v>
      </c>
      <c r="S2694" s="1" t="s">
        <v>15269</v>
      </c>
      <c r="T2694" s="1" t="s">
        <v>8849</v>
      </c>
      <c r="U2694" s="1" t="s">
        <v>15270</v>
      </c>
    </row>
    <row r="2695" customFormat="false" ht="13.8" hidden="false" customHeight="false" outlineLevel="0" collapsed="false">
      <c r="A2695" s="1" t="n">
        <v>2694</v>
      </c>
      <c r="B2695" s="2" t="s">
        <v>15271</v>
      </c>
      <c r="C2695" s="1" t="n">
        <v>7</v>
      </c>
      <c r="D2695" s="1" t="n">
        <v>20</v>
      </c>
      <c r="E2695" s="1" t="n">
        <v>22</v>
      </c>
      <c r="F2695" s="1" t="n">
        <v>29</v>
      </c>
      <c r="G2695" s="1" t="n">
        <v>41</v>
      </c>
      <c r="H2695" s="1" t="n">
        <v>58</v>
      </c>
      <c r="I2695" s="1" t="str">
        <f aca="false">RIGHT(("0"&amp;C2695),2)&amp;RIGHT(("0"&amp;D2695),2)&amp;RIGHT(("0"&amp;E2695),2)&amp;RIGHT(("0"&amp;F2695),2)&amp;RIGHT(("0"&amp;G2695),2)&amp;RIGHT(("0"&amp;H2695),2)</f>
        <v>072022294158</v>
      </c>
      <c r="J2695" s="1" t="n">
        <f aca="false">COUNTIF(I:I,I2695)</f>
        <v>1</v>
      </c>
      <c r="K2695" s="1" t="n">
        <v>0</v>
      </c>
      <c r="M2695" s="1" t="s">
        <v>23</v>
      </c>
      <c r="N2695" s="1" t="n">
        <v>152</v>
      </c>
      <c r="O2695" s="1" t="s">
        <v>15272</v>
      </c>
      <c r="P2695" s="1" t="n">
        <v>10083</v>
      </c>
      <c r="Q2695" s="1" t="s">
        <v>15273</v>
      </c>
      <c r="R2695" s="1" t="s">
        <v>15274</v>
      </c>
      <c r="S2695" s="1" t="s">
        <v>15275</v>
      </c>
      <c r="T2695" s="1" t="s">
        <v>15276</v>
      </c>
      <c r="U2695" s="1" t="s">
        <v>15277</v>
      </c>
    </row>
    <row r="2696" customFormat="false" ht="13.8" hidden="false" customHeight="false" outlineLevel="0" collapsed="false">
      <c r="A2696" s="1" t="n">
        <v>2695</v>
      </c>
      <c r="B2696" s="2" t="s">
        <v>15278</v>
      </c>
      <c r="C2696" s="1" t="n">
        <v>15</v>
      </c>
      <c r="D2696" s="1" t="n">
        <v>17</v>
      </c>
      <c r="E2696" s="1" t="n">
        <v>32</v>
      </c>
      <c r="F2696" s="1" t="n">
        <v>33</v>
      </c>
      <c r="G2696" s="1" t="n">
        <v>34</v>
      </c>
      <c r="H2696" s="1" t="n">
        <v>40</v>
      </c>
      <c r="I2696" s="1" t="str">
        <f aca="false">RIGHT(("0"&amp;C2696),2)&amp;RIGHT(("0"&amp;D2696),2)&amp;RIGHT(("0"&amp;E2696),2)&amp;RIGHT(("0"&amp;F2696),2)&amp;RIGHT(("0"&amp;G2696),2)&amp;RIGHT(("0"&amp;H2696),2)</f>
        <v>151732333440</v>
      </c>
      <c r="J2696" s="1" t="n">
        <f aca="false">COUNTIF(I:I,I2696)</f>
        <v>1</v>
      </c>
      <c r="K2696" s="1" t="n">
        <v>0</v>
      </c>
      <c r="M2696" s="1" t="s">
        <v>23</v>
      </c>
      <c r="N2696" s="1" t="n">
        <v>249</v>
      </c>
      <c r="O2696" s="1" t="s">
        <v>15279</v>
      </c>
      <c r="P2696" s="1" t="n">
        <v>15891</v>
      </c>
      <c r="Q2696" s="1" t="s">
        <v>14200</v>
      </c>
      <c r="R2696" s="1" t="s">
        <v>15280</v>
      </c>
      <c r="S2696" s="1" t="s">
        <v>15281</v>
      </c>
      <c r="T2696" s="1" t="s">
        <v>15282</v>
      </c>
      <c r="U2696" s="1" t="s">
        <v>15283</v>
      </c>
      <c r="V2696" s="1" t="s">
        <v>15284</v>
      </c>
    </row>
    <row r="2697" customFormat="false" ht="13.8" hidden="false" customHeight="false" outlineLevel="0" collapsed="false">
      <c r="A2697" s="1" t="n">
        <v>2696</v>
      </c>
      <c r="B2697" s="2" t="s">
        <v>15285</v>
      </c>
      <c r="C2697" s="1" t="n">
        <v>4</v>
      </c>
      <c r="D2697" s="1" t="n">
        <v>13</v>
      </c>
      <c r="E2697" s="1" t="n">
        <v>18</v>
      </c>
      <c r="F2697" s="1" t="n">
        <v>39</v>
      </c>
      <c r="G2697" s="1" t="n">
        <v>55</v>
      </c>
      <c r="H2697" s="1" t="n">
        <v>59</v>
      </c>
      <c r="I2697" s="1" t="str">
        <f aca="false">RIGHT(("0"&amp;C2697),2)&amp;RIGHT(("0"&amp;D2697),2)&amp;RIGHT(("0"&amp;E2697),2)&amp;RIGHT(("0"&amp;F2697),2)&amp;RIGHT(("0"&amp;G2697),2)&amp;RIGHT(("0"&amp;H2697),2)</f>
        <v>041318395559</v>
      </c>
      <c r="J2697" s="1" t="n">
        <f aca="false">COUNTIF(I:I,I2697)</f>
        <v>1</v>
      </c>
      <c r="K2697" s="1" t="n">
        <v>1</v>
      </c>
      <c r="L2697" s="1" t="s">
        <v>15005</v>
      </c>
      <c r="M2697" s="1" t="s">
        <v>15286</v>
      </c>
      <c r="N2697" s="1" t="n">
        <v>287</v>
      </c>
      <c r="O2697" s="1" t="s">
        <v>15287</v>
      </c>
      <c r="P2697" s="1" t="n">
        <v>16669</v>
      </c>
      <c r="Q2697" s="1" t="s">
        <v>15288</v>
      </c>
      <c r="R2697" s="1" t="s">
        <v>23</v>
      </c>
      <c r="S2697" s="1" t="s">
        <v>15289</v>
      </c>
      <c r="T2697" s="1" t="s">
        <v>4337</v>
      </c>
      <c r="U2697" s="1" t="s">
        <v>15290</v>
      </c>
    </row>
    <row r="2698" customFormat="false" ht="13.8" hidden="false" customHeight="false" outlineLevel="0" collapsed="false">
      <c r="A2698" s="1" t="n">
        <v>2697</v>
      </c>
      <c r="B2698" s="2" t="s">
        <v>15291</v>
      </c>
      <c r="C2698" s="1" t="n">
        <v>10</v>
      </c>
      <c r="D2698" s="1" t="n">
        <v>11</v>
      </c>
      <c r="E2698" s="1" t="n">
        <v>13</v>
      </c>
      <c r="F2698" s="1" t="n">
        <v>25</v>
      </c>
      <c r="G2698" s="1" t="n">
        <v>27</v>
      </c>
      <c r="H2698" s="1" t="n">
        <v>42</v>
      </c>
      <c r="I2698" s="1" t="str">
        <f aca="false">RIGHT(("0"&amp;C2698),2)&amp;RIGHT(("0"&amp;D2698),2)&amp;RIGHT(("0"&amp;E2698),2)&amp;RIGHT(("0"&amp;F2698),2)&amp;RIGHT(("0"&amp;G2698),2)&amp;RIGHT(("0"&amp;H2698),2)</f>
        <v>101113252742</v>
      </c>
      <c r="J2698" s="1" t="n">
        <f aca="false">COUNTIF(I:I,I2698)</f>
        <v>1</v>
      </c>
      <c r="K2698" s="1" t="n">
        <v>0</v>
      </c>
      <c r="M2698" s="1" t="s">
        <v>23</v>
      </c>
      <c r="N2698" s="1" t="n">
        <v>98</v>
      </c>
      <c r="O2698" s="1" t="s">
        <v>15292</v>
      </c>
      <c r="P2698" s="1" t="n">
        <v>4663</v>
      </c>
      <c r="Q2698" s="1" t="s">
        <v>15293</v>
      </c>
      <c r="R2698" s="1" t="s">
        <v>15294</v>
      </c>
      <c r="S2698" s="1" t="s">
        <v>15295</v>
      </c>
      <c r="T2698" s="1" t="s">
        <v>4991</v>
      </c>
      <c r="U2698" s="1" t="s">
        <v>15296</v>
      </c>
    </row>
    <row r="2699" customFormat="false" ht="13.8" hidden="false" customHeight="false" outlineLevel="0" collapsed="false">
      <c r="A2699" s="1" t="n">
        <v>2698</v>
      </c>
      <c r="B2699" s="2" t="s">
        <v>15297</v>
      </c>
      <c r="C2699" s="1" t="n">
        <v>2</v>
      </c>
      <c r="D2699" s="1" t="n">
        <v>18</v>
      </c>
      <c r="E2699" s="1" t="n">
        <v>19</v>
      </c>
      <c r="F2699" s="1" t="n">
        <v>35</v>
      </c>
      <c r="G2699" s="1" t="n">
        <v>45</v>
      </c>
      <c r="H2699" s="1" t="n">
        <v>60</v>
      </c>
      <c r="I2699" s="1" t="str">
        <f aca="false">RIGHT(("0"&amp;C2699),2)&amp;RIGHT(("0"&amp;D2699),2)&amp;RIGHT(("0"&amp;E2699),2)&amp;RIGHT(("0"&amp;F2699),2)&amp;RIGHT(("0"&amp;G2699),2)&amp;RIGHT(("0"&amp;H2699),2)</f>
        <v>021819354560</v>
      </c>
      <c r="J2699" s="1" t="n">
        <f aca="false">COUNTIF(I:I,I2699)</f>
        <v>1</v>
      </c>
      <c r="K2699" s="1" t="n">
        <v>0</v>
      </c>
      <c r="M2699" s="1" t="s">
        <v>23</v>
      </c>
      <c r="N2699" s="1" t="n">
        <v>43</v>
      </c>
      <c r="O2699" s="1" t="s">
        <v>15298</v>
      </c>
      <c r="P2699" s="1" t="n">
        <v>3144</v>
      </c>
      <c r="Q2699" s="1" t="s">
        <v>15299</v>
      </c>
      <c r="R2699" s="1" t="s">
        <v>15300</v>
      </c>
      <c r="S2699" s="1" t="s">
        <v>15301</v>
      </c>
      <c r="T2699" s="1" t="s">
        <v>3727</v>
      </c>
      <c r="U2699" s="1" t="s">
        <v>15302</v>
      </c>
    </row>
    <row r="2700" customFormat="false" ht="13.8" hidden="false" customHeight="false" outlineLevel="0" collapsed="false">
      <c r="A2700" s="1" t="n">
        <v>2699</v>
      </c>
      <c r="B2700" s="2" t="s">
        <v>15303</v>
      </c>
      <c r="C2700" s="1" t="n">
        <v>9</v>
      </c>
      <c r="D2700" s="1" t="n">
        <v>23</v>
      </c>
      <c r="E2700" s="1" t="n">
        <v>31</v>
      </c>
      <c r="F2700" s="1" t="n">
        <v>49</v>
      </c>
      <c r="G2700" s="1" t="n">
        <v>54</v>
      </c>
      <c r="H2700" s="1" t="n">
        <v>58</v>
      </c>
      <c r="I2700" s="1" t="str">
        <f aca="false">RIGHT(("0"&amp;C2700),2)&amp;RIGHT(("0"&amp;D2700),2)&amp;RIGHT(("0"&amp;E2700),2)&amp;RIGHT(("0"&amp;F2700),2)&amp;RIGHT(("0"&amp;G2700),2)&amp;RIGHT(("0"&amp;H2700),2)</f>
        <v>092331495458</v>
      </c>
      <c r="J2700" s="1" t="n">
        <f aca="false">COUNTIF(I:I,I2700)</f>
        <v>1</v>
      </c>
      <c r="K2700" s="1" t="n">
        <v>0</v>
      </c>
      <c r="M2700" s="1" t="s">
        <v>23</v>
      </c>
      <c r="N2700" s="1" t="n">
        <v>43</v>
      </c>
      <c r="O2700" s="1" t="s">
        <v>15304</v>
      </c>
      <c r="P2700" s="1" t="n">
        <v>2883</v>
      </c>
      <c r="Q2700" s="1" t="s">
        <v>15305</v>
      </c>
      <c r="R2700" s="1" t="s">
        <v>15306</v>
      </c>
      <c r="S2700" s="1" t="s">
        <v>15307</v>
      </c>
      <c r="T2700" s="1" t="s">
        <v>6559</v>
      </c>
      <c r="U2700" s="1" t="s">
        <v>15308</v>
      </c>
    </row>
    <row r="2701" customFormat="false" ht="13.8" hidden="false" customHeight="false" outlineLevel="0" collapsed="false">
      <c r="A2701" s="1" t="n">
        <v>2700</v>
      </c>
      <c r="B2701" s="2" t="s">
        <v>15309</v>
      </c>
      <c r="C2701" s="1" t="n">
        <v>1</v>
      </c>
      <c r="D2701" s="1" t="n">
        <v>11</v>
      </c>
      <c r="E2701" s="1" t="n">
        <v>19</v>
      </c>
      <c r="F2701" s="1" t="n">
        <v>20</v>
      </c>
      <c r="G2701" s="1" t="n">
        <v>28</v>
      </c>
      <c r="H2701" s="1" t="n">
        <v>48</v>
      </c>
      <c r="I2701" s="1" t="str">
        <f aca="false">RIGHT(("0"&amp;C2701),2)&amp;RIGHT(("0"&amp;D2701),2)&amp;RIGHT(("0"&amp;E2701),2)&amp;RIGHT(("0"&amp;F2701),2)&amp;RIGHT(("0"&amp;G2701),2)&amp;RIGHT(("0"&amp;H2701),2)</f>
        <v>011119202848</v>
      </c>
      <c r="J2701" s="1" t="n">
        <f aca="false">COUNTIF(I:I,I2701)</f>
        <v>1</v>
      </c>
      <c r="K2701" s="1" t="n">
        <v>0</v>
      </c>
      <c r="M2701" s="1" t="s">
        <v>23</v>
      </c>
      <c r="N2701" s="1" t="n">
        <v>86</v>
      </c>
      <c r="O2701" s="1" t="s">
        <v>15310</v>
      </c>
      <c r="P2701" s="1" t="n">
        <v>4852</v>
      </c>
      <c r="Q2701" s="1" t="s">
        <v>15311</v>
      </c>
      <c r="R2701" s="1" t="s">
        <v>15312</v>
      </c>
      <c r="S2701" s="1" t="s">
        <v>15313</v>
      </c>
      <c r="T2701" s="1" t="s">
        <v>10065</v>
      </c>
      <c r="U2701" s="1" t="s">
        <v>15314</v>
      </c>
    </row>
    <row r="2702" customFormat="false" ht="13.8" hidden="false" customHeight="false" outlineLevel="0" collapsed="false">
      <c r="A2702" s="1" t="n">
        <v>2701</v>
      </c>
      <c r="B2702" s="2" t="s">
        <v>15315</v>
      </c>
      <c r="C2702" s="1" t="n">
        <v>6</v>
      </c>
      <c r="D2702" s="1" t="n">
        <v>15</v>
      </c>
      <c r="E2702" s="1" t="n">
        <v>18</v>
      </c>
      <c r="F2702" s="1" t="n">
        <v>31</v>
      </c>
      <c r="G2702" s="1" t="n">
        <v>32</v>
      </c>
      <c r="H2702" s="1" t="n">
        <v>47</v>
      </c>
      <c r="I2702" s="1" t="str">
        <f aca="false">RIGHT(("0"&amp;C2702),2)&amp;RIGHT(("0"&amp;D2702),2)&amp;RIGHT(("0"&amp;E2702),2)&amp;RIGHT(("0"&amp;F2702),2)&amp;RIGHT(("0"&amp;G2702),2)&amp;RIGHT(("0"&amp;H2702),2)</f>
        <v>061518313247</v>
      </c>
      <c r="J2702" s="1" t="n">
        <f aca="false">COUNTIF(I:I,I2702)</f>
        <v>1</v>
      </c>
      <c r="K2702" s="1" t="n">
        <v>0</v>
      </c>
      <c r="M2702" s="1" t="s">
        <v>23</v>
      </c>
      <c r="N2702" s="1" t="n">
        <v>72</v>
      </c>
      <c r="O2702" s="1" t="s">
        <v>15316</v>
      </c>
      <c r="P2702" s="1" t="n">
        <v>5712</v>
      </c>
      <c r="Q2702" s="1" t="s">
        <v>15317</v>
      </c>
      <c r="R2702" s="1" t="s">
        <v>15318</v>
      </c>
      <c r="S2702" s="1" t="s">
        <v>15319</v>
      </c>
      <c r="T2702" s="1" t="s">
        <v>8835</v>
      </c>
      <c r="U2702" s="1" t="s">
        <v>15320</v>
      </c>
    </row>
    <row r="2703" customFormat="false" ht="13.8" hidden="false" customHeight="false" outlineLevel="0" collapsed="false">
      <c r="A2703" s="1" t="n">
        <v>2702</v>
      </c>
      <c r="B2703" s="2" t="s">
        <v>15321</v>
      </c>
      <c r="C2703" s="1" t="n">
        <v>6</v>
      </c>
      <c r="D2703" s="1" t="n">
        <v>13</v>
      </c>
      <c r="E2703" s="1" t="n">
        <v>20</v>
      </c>
      <c r="F2703" s="1" t="n">
        <v>34</v>
      </c>
      <c r="G2703" s="1" t="n">
        <v>40</v>
      </c>
      <c r="H2703" s="1" t="n">
        <v>46</v>
      </c>
      <c r="I2703" s="1" t="str">
        <f aca="false">RIGHT(("0"&amp;C2703),2)&amp;RIGHT(("0"&amp;D2703),2)&amp;RIGHT(("0"&amp;E2703),2)&amp;RIGHT(("0"&amp;F2703),2)&amp;RIGHT(("0"&amp;G2703),2)&amp;RIGHT(("0"&amp;H2703),2)</f>
        <v>061320344046</v>
      </c>
      <c r="J2703" s="1" t="n">
        <f aca="false">COUNTIF(I:I,I2703)</f>
        <v>1</v>
      </c>
      <c r="K2703" s="1" t="n">
        <v>0</v>
      </c>
      <c r="M2703" s="1" t="s">
        <v>23</v>
      </c>
      <c r="N2703" s="1" t="n">
        <v>67</v>
      </c>
      <c r="O2703" s="1" t="s">
        <v>15322</v>
      </c>
      <c r="P2703" s="1" t="n">
        <v>4694</v>
      </c>
      <c r="Q2703" s="1" t="s">
        <v>15323</v>
      </c>
      <c r="R2703" s="1" t="s">
        <v>15324</v>
      </c>
      <c r="S2703" s="1" t="s">
        <v>15325</v>
      </c>
      <c r="T2703" s="1" t="s">
        <v>6097</v>
      </c>
      <c r="U2703" s="1" t="s">
        <v>15326</v>
      </c>
    </row>
    <row r="2704" customFormat="false" ht="13.8" hidden="false" customHeight="false" outlineLevel="0" collapsed="false">
      <c r="A2704" s="1" t="n">
        <v>2703</v>
      </c>
      <c r="B2704" s="2" t="s">
        <v>15327</v>
      </c>
      <c r="C2704" s="1" t="n">
        <v>3</v>
      </c>
      <c r="D2704" s="1" t="n">
        <v>7</v>
      </c>
      <c r="E2704" s="1" t="n">
        <v>11</v>
      </c>
      <c r="F2704" s="1" t="n">
        <v>35</v>
      </c>
      <c r="G2704" s="1" t="n">
        <v>38</v>
      </c>
      <c r="H2704" s="1" t="n">
        <v>56</v>
      </c>
      <c r="I2704" s="1" t="str">
        <f aca="false">RIGHT(("0"&amp;C2704),2)&amp;RIGHT(("0"&amp;D2704),2)&amp;RIGHT(("0"&amp;E2704),2)&amp;RIGHT(("0"&amp;F2704),2)&amp;RIGHT(("0"&amp;G2704),2)&amp;RIGHT(("0"&amp;H2704),2)</f>
        <v>030711353856</v>
      </c>
      <c r="J2704" s="1" t="n">
        <f aca="false">COUNTIF(I:I,I2704)</f>
        <v>1</v>
      </c>
      <c r="K2704" s="1" t="n">
        <v>0</v>
      </c>
      <c r="M2704" s="1" t="s">
        <v>23</v>
      </c>
      <c r="N2704" s="1" t="n">
        <v>172</v>
      </c>
      <c r="O2704" s="1" t="s">
        <v>15328</v>
      </c>
      <c r="P2704" s="1" t="n">
        <v>9237</v>
      </c>
      <c r="Q2704" s="1" t="s">
        <v>15329</v>
      </c>
      <c r="R2704" s="1" t="s">
        <v>15330</v>
      </c>
      <c r="S2704" s="1" t="s">
        <v>15331</v>
      </c>
      <c r="T2704" s="1" t="s">
        <v>15201</v>
      </c>
      <c r="U2704" s="1" t="s">
        <v>15332</v>
      </c>
    </row>
    <row r="2705" customFormat="false" ht="13.8" hidden="false" customHeight="false" outlineLevel="0" collapsed="false">
      <c r="A2705" s="1" t="n">
        <v>2704</v>
      </c>
      <c r="B2705" s="2" t="s">
        <v>15333</v>
      </c>
      <c r="C2705" s="1" t="n">
        <v>3</v>
      </c>
      <c r="D2705" s="1" t="n">
        <v>7</v>
      </c>
      <c r="E2705" s="1" t="n">
        <v>10</v>
      </c>
      <c r="F2705" s="1" t="n">
        <v>25</v>
      </c>
      <c r="G2705" s="1" t="n">
        <v>31</v>
      </c>
      <c r="H2705" s="1" t="n">
        <v>52</v>
      </c>
      <c r="I2705" s="1" t="str">
        <f aca="false">RIGHT(("0"&amp;C2705),2)&amp;RIGHT(("0"&amp;D2705),2)&amp;RIGHT(("0"&amp;E2705),2)&amp;RIGHT(("0"&amp;F2705),2)&amp;RIGHT(("0"&amp;G2705),2)&amp;RIGHT(("0"&amp;H2705),2)</f>
        <v>030710253152</v>
      </c>
      <c r="J2705" s="1" t="n">
        <f aca="false">COUNTIF(I:I,I2705)</f>
        <v>1</v>
      </c>
      <c r="K2705" s="1" t="n">
        <v>0</v>
      </c>
      <c r="M2705" s="1" t="s">
        <v>23</v>
      </c>
      <c r="N2705" s="1" t="n">
        <v>216</v>
      </c>
      <c r="O2705" s="1" t="s">
        <v>15334</v>
      </c>
      <c r="P2705" s="1" t="n">
        <v>11623</v>
      </c>
      <c r="Q2705" s="1" t="s">
        <v>15335</v>
      </c>
      <c r="R2705" s="1" t="s">
        <v>15336</v>
      </c>
      <c r="S2705" s="1" t="s">
        <v>15337</v>
      </c>
      <c r="T2705" s="1" t="s">
        <v>5601</v>
      </c>
      <c r="U2705" s="1" t="s">
        <v>15338</v>
      </c>
    </row>
    <row r="2706" customFormat="false" ht="13.8" hidden="false" customHeight="false" outlineLevel="0" collapsed="false">
      <c r="A2706" s="1" t="n">
        <v>2705</v>
      </c>
      <c r="B2706" s="2" t="s">
        <v>15339</v>
      </c>
      <c r="C2706" s="1" t="n">
        <v>2</v>
      </c>
      <c r="D2706" s="1" t="n">
        <v>16</v>
      </c>
      <c r="E2706" s="1" t="n">
        <v>22</v>
      </c>
      <c r="F2706" s="1" t="n">
        <v>27</v>
      </c>
      <c r="G2706" s="1" t="n">
        <v>35</v>
      </c>
      <c r="H2706" s="1" t="n">
        <v>47</v>
      </c>
      <c r="I2706" s="1" t="str">
        <f aca="false">RIGHT(("0"&amp;C2706),2)&amp;RIGHT(("0"&amp;D2706),2)&amp;RIGHT(("0"&amp;E2706),2)&amp;RIGHT(("0"&amp;F2706),2)&amp;RIGHT(("0"&amp;G2706),2)&amp;RIGHT(("0"&amp;H2706),2)</f>
        <v>021622273547</v>
      </c>
      <c r="J2706" s="1" t="n">
        <f aca="false">COUNTIF(I:I,I2706)</f>
        <v>1</v>
      </c>
      <c r="K2706" s="1" t="n">
        <v>1</v>
      </c>
      <c r="L2706" s="1" t="s">
        <v>5728</v>
      </c>
      <c r="M2706" s="1" t="s">
        <v>15340</v>
      </c>
      <c r="N2706" s="1" t="n">
        <v>182</v>
      </c>
      <c r="O2706" s="1" t="s">
        <v>15341</v>
      </c>
      <c r="P2706" s="1" t="n">
        <v>10213</v>
      </c>
      <c r="Q2706" s="1" t="s">
        <v>15342</v>
      </c>
      <c r="R2706" s="1" t="s">
        <v>23</v>
      </c>
      <c r="S2706" s="1" t="s">
        <v>15343</v>
      </c>
      <c r="T2706" s="1" t="s">
        <v>4409</v>
      </c>
      <c r="U2706" s="1" t="s">
        <v>15344</v>
      </c>
    </row>
    <row r="2707" customFormat="false" ht="13.8" hidden="false" customHeight="false" outlineLevel="0" collapsed="false">
      <c r="A2707" s="1" t="n">
        <v>2706</v>
      </c>
      <c r="B2707" s="2" t="s">
        <v>15345</v>
      </c>
      <c r="C2707" s="1" t="n">
        <v>10</v>
      </c>
      <c r="D2707" s="1" t="n">
        <v>11</v>
      </c>
      <c r="E2707" s="1" t="n">
        <v>17</v>
      </c>
      <c r="F2707" s="1" t="n">
        <v>24</v>
      </c>
      <c r="G2707" s="1" t="n">
        <v>30</v>
      </c>
      <c r="H2707" s="1" t="n">
        <v>45</v>
      </c>
      <c r="I2707" s="1" t="str">
        <f aca="false">RIGHT(("0"&amp;C2707),2)&amp;RIGHT(("0"&amp;D2707),2)&amp;RIGHT(("0"&amp;E2707),2)&amp;RIGHT(("0"&amp;F2707),2)&amp;RIGHT(("0"&amp;G2707),2)&amp;RIGHT(("0"&amp;H2707),2)</f>
        <v>101117243045</v>
      </c>
      <c r="J2707" s="1" t="n">
        <f aca="false">COUNTIF(I:I,I2707)</f>
        <v>1</v>
      </c>
      <c r="K2707" s="1" t="n">
        <v>0</v>
      </c>
      <c r="M2707" s="1" t="s">
        <v>23</v>
      </c>
      <c r="N2707" s="1" t="n">
        <v>66</v>
      </c>
      <c r="O2707" s="1" t="s">
        <v>15346</v>
      </c>
      <c r="P2707" s="1" t="n">
        <v>5332</v>
      </c>
      <c r="Q2707" s="1" t="s">
        <v>15347</v>
      </c>
      <c r="R2707" s="1" t="s">
        <v>15348</v>
      </c>
      <c r="S2707" s="1" t="s">
        <v>15349</v>
      </c>
      <c r="T2707" s="1" t="s">
        <v>12264</v>
      </c>
      <c r="U2707" s="1" t="s">
        <v>15350</v>
      </c>
    </row>
    <row r="2708" customFormat="false" ht="13.8" hidden="false" customHeight="false" outlineLevel="0" collapsed="false">
      <c r="A2708" s="1" t="n">
        <v>2707</v>
      </c>
      <c r="B2708" s="2" t="s">
        <v>15351</v>
      </c>
      <c r="C2708" s="1" t="n">
        <v>7</v>
      </c>
      <c r="D2708" s="1" t="n">
        <v>9</v>
      </c>
      <c r="E2708" s="1" t="n">
        <v>11</v>
      </c>
      <c r="F2708" s="1" t="n">
        <v>39</v>
      </c>
      <c r="G2708" s="1" t="n">
        <v>54</v>
      </c>
      <c r="H2708" s="1" t="n">
        <v>57</v>
      </c>
      <c r="I2708" s="1" t="str">
        <f aca="false">RIGHT(("0"&amp;C2708),2)&amp;RIGHT(("0"&amp;D2708),2)&amp;RIGHT(("0"&amp;E2708),2)&amp;RIGHT(("0"&amp;F2708),2)&amp;RIGHT(("0"&amp;G2708),2)&amp;RIGHT(("0"&amp;H2708),2)</f>
        <v>070911395457</v>
      </c>
      <c r="J2708" s="1" t="n">
        <f aca="false">COUNTIF(I:I,I2708)</f>
        <v>1</v>
      </c>
      <c r="K2708" s="1" t="n">
        <v>0</v>
      </c>
      <c r="M2708" s="1" t="s">
        <v>23</v>
      </c>
      <c r="N2708" s="1" t="n">
        <v>43</v>
      </c>
      <c r="O2708" s="1" t="s">
        <v>15352</v>
      </c>
      <c r="P2708" s="1" t="n">
        <v>3349</v>
      </c>
      <c r="Q2708" s="1" t="s">
        <v>15353</v>
      </c>
      <c r="R2708" s="1" t="s">
        <v>15354</v>
      </c>
      <c r="S2708" s="1" t="s">
        <v>15355</v>
      </c>
      <c r="T2708" s="1" t="s">
        <v>4531</v>
      </c>
      <c r="U2708" s="1" t="s">
        <v>15356</v>
      </c>
    </row>
    <row r="2709" customFormat="false" ht="13.8" hidden="false" customHeight="false" outlineLevel="0" collapsed="false">
      <c r="A2709" s="1" t="n">
        <v>2708</v>
      </c>
      <c r="B2709" s="2" t="s">
        <v>15357</v>
      </c>
      <c r="C2709" s="1" t="n">
        <v>10</v>
      </c>
      <c r="D2709" s="1" t="n">
        <v>11</v>
      </c>
      <c r="E2709" s="1" t="n">
        <v>12</v>
      </c>
      <c r="F2709" s="1" t="n">
        <v>19</v>
      </c>
      <c r="G2709" s="1" t="n">
        <v>23</v>
      </c>
      <c r="H2709" s="1" t="n">
        <v>28</v>
      </c>
      <c r="I2709" s="1" t="str">
        <f aca="false">RIGHT(("0"&amp;C2709),2)&amp;RIGHT(("0"&amp;D2709),2)&amp;RIGHT(("0"&amp;E2709),2)&amp;RIGHT(("0"&amp;F2709),2)&amp;RIGHT(("0"&amp;G2709),2)&amp;RIGHT(("0"&amp;H2709),2)</f>
        <v>101112192328</v>
      </c>
      <c r="J2709" s="1" t="n">
        <f aca="false">COUNTIF(I:I,I2709)</f>
        <v>1</v>
      </c>
      <c r="K2709" s="1" t="n">
        <v>0</v>
      </c>
      <c r="M2709" s="1" t="s">
        <v>23</v>
      </c>
      <c r="N2709" s="1" t="n">
        <v>126</v>
      </c>
      <c r="O2709" s="1" t="s">
        <v>15358</v>
      </c>
      <c r="P2709" s="1" t="n">
        <v>5990</v>
      </c>
      <c r="Q2709" s="1" t="s">
        <v>15359</v>
      </c>
      <c r="R2709" s="1" t="s">
        <v>15360</v>
      </c>
      <c r="S2709" s="1" t="s">
        <v>15361</v>
      </c>
      <c r="T2709" s="1" t="s">
        <v>8124</v>
      </c>
      <c r="U2709" s="1" t="s">
        <v>15362</v>
      </c>
    </row>
    <row r="2710" customFormat="false" ht="13.8" hidden="false" customHeight="false" outlineLevel="0" collapsed="false">
      <c r="A2710" s="1" t="n">
        <v>2709</v>
      </c>
      <c r="B2710" s="2" t="s">
        <v>15363</v>
      </c>
      <c r="C2710" s="1" t="n">
        <v>12</v>
      </c>
      <c r="D2710" s="1" t="n">
        <v>22</v>
      </c>
      <c r="E2710" s="1" t="n">
        <v>23</v>
      </c>
      <c r="F2710" s="1" t="n">
        <v>24</v>
      </c>
      <c r="G2710" s="1" t="n">
        <v>47</v>
      </c>
      <c r="H2710" s="1" t="n">
        <v>53</v>
      </c>
      <c r="I2710" s="1" t="str">
        <f aca="false">RIGHT(("0"&amp;C2710),2)&amp;RIGHT(("0"&amp;D2710),2)&amp;RIGHT(("0"&amp;E2710),2)&amp;RIGHT(("0"&amp;F2710),2)&amp;RIGHT(("0"&amp;G2710),2)&amp;RIGHT(("0"&amp;H2710),2)</f>
        <v>122223244753</v>
      </c>
      <c r="J2710" s="1" t="n">
        <f aca="false">COUNTIF(I:I,I2710)</f>
        <v>1</v>
      </c>
      <c r="K2710" s="1" t="n">
        <v>0</v>
      </c>
      <c r="M2710" s="1" t="s">
        <v>23</v>
      </c>
      <c r="N2710" s="1" t="n">
        <v>62</v>
      </c>
      <c r="O2710" s="1" t="s">
        <v>15364</v>
      </c>
      <c r="P2710" s="1" t="n">
        <v>4628</v>
      </c>
      <c r="Q2710" s="1" t="s">
        <v>15365</v>
      </c>
      <c r="R2710" s="1" t="s">
        <v>15366</v>
      </c>
      <c r="S2710" s="1" t="s">
        <v>15367</v>
      </c>
      <c r="T2710" s="1" t="s">
        <v>6032</v>
      </c>
      <c r="U2710" s="1" t="s">
        <v>15368</v>
      </c>
    </row>
    <row r="2711" customFormat="false" ht="13.8" hidden="false" customHeight="false" outlineLevel="0" collapsed="false">
      <c r="A2711" s="1" t="n">
        <v>2710</v>
      </c>
      <c r="B2711" s="2" t="s">
        <v>15369</v>
      </c>
      <c r="C2711" s="1" t="n">
        <v>5</v>
      </c>
      <c r="D2711" s="1" t="n">
        <v>6</v>
      </c>
      <c r="E2711" s="1" t="n">
        <v>25</v>
      </c>
      <c r="F2711" s="1" t="n">
        <v>42</v>
      </c>
      <c r="G2711" s="1" t="n">
        <v>44</v>
      </c>
      <c r="H2711" s="1" t="n">
        <v>50</v>
      </c>
      <c r="I2711" s="1" t="str">
        <f aca="false">RIGHT(("0"&amp;C2711),2)&amp;RIGHT(("0"&amp;D2711),2)&amp;RIGHT(("0"&amp;E2711),2)&amp;RIGHT(("0"&amp;F2711),2)&amp;RIGHT(("0"&amp;G2711),2)&amp;RIGHT(("0"&amp;H2711),2)</f>
        <v>050625424450</v>
      </c>
      <c r="J2711" s="1" t="n">
        <f aca="false">COUNTIF(I:I,I2711)</f>
        <v>1</v>
      </c>
      <c r="K2711" s="1" t="n">
        <v>0</v>
      </c>
      <c r="M2711" s="1" t="s">
        <v>23</v>
      </c>
      <c r="N2711" s="1" t="n">
        <v>49</v>
      </c>
      <c r="O2711" s="1" t="s">
        <v>15370</v>
      </c>
      <c r="P2711" s="1" t="n">
        <v>3968</v>
      </c>
      <c r="Q2711" s="1" t="s">
        <v>15371</v>
      </c>
      <c r="R2711" s="1" t="s">
        <v>15372</v>
      </c>
      <c r="S2711" s="1" t="s">
        <v>15373</v>
      </c>
      <c r="T2711" s="1" t="s">
        <v>6559</v>
      </c>
      <c r="U2711" s="1" t="s">
        <v>15374</v>
      </c>
    </row>
    <row r="2712" customFormat="false" ht="13.8" hidden="false" customHeight="false" outlineLevel="0" collapsed="false">
      <c r="A2712" s="1" t="n">
        <v>2711</v>
      </c>
      <c r="B2712" s="2" t="s">
        <v>15375</v>
      </c>
      <c r="C2712" s="1" t="n">
        <v>14</v>
      </c>
      <c r="D2712" s="1" t="n">
        <v>36</v>
      </c>
      <c r="E2712" s="1" t="n">
        <v>38</v>
      </c>
      <c r="F2712" s="1" t="n">
        <v>46</v>
      </c>
      <c r="G2712" s="1" t="n">
        <v>55</v>
      </c>
      <c r="H2712" s="1" t="n">
        <v>60</v>
      </c>
      <c r="I2712" s="1" t="str">
        <f aca="false">RIGHT(("0"&amp;C2712),2)&amp;RIGHT(("0"&amp;D2712),2)&amp;RIGHT(("0"&amp;E2712),2)&amp;RIGHT(("0"&amp;F2712),2)&amp;RIGHT(("0"&amp;G2712),2)&amp;RIGHT(("0"&amp;H2712),2)</f>
        <v>143638465560</v>
      </c>
      <c r="J2712" s="1" t="n">
        <f aca="false">COUNTIF(I:I,I2712)</f>
        <v>1</v>
      </c>
      <c r="K2712" s="1" t="n">
        <v>0</v>
      </c>
      <c r="M2712" s="1" t="s">
        <v>23</v>
      </c>
      <c r="N2712" s="1" t="n">
        <v>69</v>
      </c>
      <c r="O2712" s="1" t="s">
        <v>15376</v>
      </c>
      <c r="P2712" s="1" t="n">
        <v>4507</v>
      </c>
      <c r="Q2712" s="1" t="s">
        <v>15377</v>
      </c>
      <c r="R2712" s="1" t="s">
        <v>15378</v>
      </c>
      <c r="S2712" s="1" t="s">
        <v>15379</v>
      </c>
      <c r="T2712" s="1" t="s">
        <v>5307</v>
      </c>
      <c r="U2712" s="1" t="s">
        <v>15380</v>
      </c>
    </row>
    <row r="2713" customFormat="false" ht="13.8" hidden="false" customHeight="false" outlineLevel="0" collapsed="false">
      <c r="A2713" s="1" t="n">
        <v>2712</v>
      </c>
      <c r="B2713" s="2" t="s">
        <v>15381</v>
      </c>
      <c r="C2713" s="1" t="n">
        <v>7</v>
      </c>
      <c r="D2713" s="1" t="n">
        <v>15</v>
      </c>
      <c r="E2713" s="1" t="n">
        <v>19</v>
      </c>
      <c r="F2713" s="1" t="n">
        <v>35</v>
      </c>
      <c r="G2713" s="1" t="n">
        <v>40</v>
      </c>
      <c r="H2713" s="1" t="n">
        <v>42</v>
      </c>
      <c r="I2713" s="1" t="str">
        <f aca="false">RIGHT(("0"&amp;C2713),2)&amp;RIGHT(("0"&amp;D2713),2)&amp;RIGHT(("0"&amp;E2713),2)&amp;RIGHT(("0"&amp;F2713),2)&amp;RIGHT(("0"&amp;G2713),2)&amp;RIGHT(("0"&amp;H2713),2)</f>
        <v>071519354042</v>
      </c>
      <c r="J2713" s="1" t="n">
        <f aca="false">COUNTIF(I:I,I2713)</f>
        <v>1</v>
      </c>
      <c r="K2713" s="1" t="n">
        <v>0</v>
      </c>
      <c r="M2713" s="1" t="s">
        <v>23</v>
      </c>
      <c r="N2713" s="1" t="n">
        <v>99</v>
      </c>
      <c r="O2713" s="1" t="s">
        <v>15382</v>
      </c>
      <c r="P2713" s="1" t="n">
        <v>6276</v>
      </c>
      <c r="Q2713" s="1" t="s">
        <v>15383</v>
      </c>
      <c r="R2713" s="1" t="s">
        <v>15384</v>
      </c>
      <c r="S2713" s="1" t="s">
        <v>15385</v>
      </c>
      <c r="T2713" s="1" t="s">
        <v>15386</v>
      </c>
      <c r="U2713" s="1" t="s">
        <v>15387</v>
      </c>
    </row>
    <row r="2714" customFormat="false" ht="13.8" hidden="false" customHeight="false" outlineLevel="0" collapsed="false">
      <c r="A2714" s="1" t="n">
        <v>2713</v>
      </c>
      <c r="B2714" s="2" t="s">
        <v>15388</v>
      </c>
      <c r="C2714" s="1" t="n">
        <v>9</v>
      </c>
      <c r="D2714" s="1" t="n">
        <v>23</v>
      </c>
      <c r="E2714" s="1" t="n">
        <v>25</v>
      </c>
      <c r="F2714" s="1" t="n">
        <v>26</v>
      </c>
      <c r="G2714" s="1" t="n">
        <v>35</v>
      </c>
      <c r="H2714" s="1" t="n">
        <v>58</v>
      </c>
      <c r="I2714" s="1" t="str">
        <f aca="false">RIGHT(("0"&amp;C2714),2)&amp;RIGHT(("0"&amp;D2714),2)&amp;RIGHT(("0"&amp;E2714),2)&amp;RIGHT(("0"&amp;F2714),2)&amp;RIGHT(("0"&amp;G2714),2)&amp;RIGHT(("0"&amp;H2714),2)</f>
        <v>092325263558</v>
      </c>
      <c r="J2714" s="1" t="n">
        <f aca="false">COUNTIF(I:I,I2714)</f>
        <v>1</v>
      </c>
      <c r="K2714" s="1" t="n">
        <v>0</v>
      </c>
      <c r="M2714" s="1" t="s">
        <v>23</v>
      </c>
      <c r="N2714" s="1" t="n">
        <v>66</v>
      </c>
      <c r="O2714" s="1" t="s">
        <v>15389</v>
      </c>
      <c r="P2714" s="1" t="n">
        <v>4712</v>
      </c>
      <c r="Q2714" s="1" t="s">
        <v>15390</v>
      </c>
      <c r="R2714" s="1" t="s">
        <v>15391</v>
      </c>
      <c r="S2714" s="1" t="s">
        <v>15392</v>
      </c>
      <c r="T2714" s="1" t="s">
        <v>6566</v>
      </c>
      <c r="U2714" s="1" t="s">
        <v>15393</v>
      </c>
    </row>
    <row r="2715" customFormat="false" ht="13.8" hidden="false" customHeight="false" outlineLevel="0" collapsed="false">
      <c r="A2715" s="1" t="n">
        <v>2714</v>
      </c>
      <c r="B2715" s="2" t="s">
        <v>15394</v>
      </c>
      <c r="C2715" s="1" t="n">
        <v>16</v>
      </c>
      <c r="D2715" s="1" t="n">
        <v>17</v>
      </c>
      <c r="E2715" s="1" t="n">
        <v>42</v>
      </c>
      <c r="F2715" s="1" t="n">
        <v>45</v>
      </c>
      <c r="G2715" s="1" t="n">
        <v>52</v>
      </c>
      <c r="H2715" s="1" t="n">
        <v>57</v>
      </c>
      <c r="I2715" s="1" t="str">
        <f aca="false">RIGHT(("0"&amp;C2715),2)&amp;RIGHT(("0"&amp;D2715),2)&amp;RIGHT(("0"&amp;E2715),2)&amp;RIGHT(("0"&amp;F2715),2)&amp;RIGHT(("0"&amp;G2715),2)&amp;RIGHT(("0"&amp;H2715),2)</f>
        <v>161742455257</v>
      </c>
      <c r="J2715" s="1" t="n">
        <f aca="false">COUNTIF(I:I,I2715)</f>
        <v>1</v>
      </c>
      <c r="K2715" s="1" t="n">
        <v>0</v>
      </c>
      <c r="M2715" s="1" t="s">
        <v>23</v>
      </c>
      <c r="N2715" s="1" t="n">
        <v>78</v>
      </c>
      <c r="O2715" s="1" t="s">
        <v>15395</v>
      </c>
      <c r="P2715" s="1" t="n">
        <v>4882</v>
      </c>
      <c r="Q2715" s="1" t="s">
        <v>15396</v>
      </c>
      <c r="R2715" s="1" t="s">
        <v>15397</v>
      </c>
      <c r="S2715" s="1" t="s">
        <v>15398</v>
      </c>
      <c r="T2715" s="1" t="s">
        <v>9535</v>
      </c>
      <c r="U2715" s="1" t="s">
        <v>15399</v>
      </c>
    </row>
    <row r="2716" customFormat="false" ht="13.8" hidden="false" customHeight="false" outlineLevel="0" collapsed="false">
      <c r="A2716" s="1" t="n">
        <v>2715</v>
      </c>
      <c r="B2716" s="2" t="s">
        <v>15400</v>
      </c>
      <c r="C2716" s="1" t="n">
        <v>7</v>
      </c>
      <c r="D2716" s="1" t="n">
        <v>19</v>
      </c>
      <c r="E2716" s="1" t="n">
        <v>25</v>
      </c>
      <c r="F2716" s="1" t="n">
        <v>46</v>
      </c>
      <c r="G2716" s="1" t="n">
        <v>50</v>
      </c>
      <c r="H2716" s="1" t="n">
        <v>53</v>
      </c>
      <c r="I2716" s="1" t="str">
        <f aca="false">RIGHT(("0"&amp;C2716),2)&amp;RIGHT(("0"&amp;D2716),2)&amp;RIGHT(("0"&amp;E2716),2)&amp;RIGHT(("0"&amp;F2716),2)&amp;RIGHT(("0"&amp;G2716),2)&amp;RIGHT(("0"&amp;H2716),2)</f>
        <v>071925465053</v>
      </c>
      <c r="J2716" s="1" t="n">
        <f aca="false">COUNTIF(I:I,I2716)</f>
        <v>1</v>
      </c>
      <c r="K2716" s="1" t="n">
        <v>1</v>
      </c>
      <c r="L2716" s="1" t="s">
        <v>5310</v>
      </c>
      <c r="M2716" s="1" t="s">
        <v>15401</v>
      </c>
      <c r="N2716" s="1" t="n">
        <v>145</v>
      </c>
      <c r="O2716" s="1" t="s">
        <v>15402</v>
      </c>
      <c r="P2716" s="1" t="n">
        <v>8367</v>
      </c>
      <c r="Q2716" s="1" t="s">
        <v>15403</v>
      </c>
      <c r="R2716" s="1" t="s">
        <v>23</v>
      </c>
      <c r="S2716" s="1" t="s">
        <v>15404</v>
      </c>
      <c r="T2716" s="1" t="s">
        <v>4337</v>
      </c>
      <c r="U2716" s="1" t="s">
        <v>15405</v>
      </c>
    </row>
    <row r="2717" customFormat="false" ht="13.8" hidden="false" customHeight="false" outlineLevel="0" collapsed="false">
      <c r="A2717" s="1" t="n">
        <v>2716</v>
      </c>
      <c r="B2717" s="2" t="s">
        <v>15406</v>
      </c>
      <c r="C2717" s="1" t="n">
        <v>5</v>
      </c>
      <c r="D2717" s="1" t="n">
        <v>20</v>
      </c>
      <c r="E2717" s="1" t="n">
        <v>27</v>
      </c>
      <c r="F2717" s="1" t="n">
        <v>28</v>
      </c>
      <c r="G2717" s="1" t="n">
        <v>48</v>
      </c>
      <c r="H2717" s="1" t="n">
        <v>49</v>
      </c>
      <c r="I2717" s="1" t="str">
        <f aca="false">RIGHT(("0"&amp;C2717),2)&amp;RIGHT(("0"&amp;D2717),2)&amp;RIGHT(("0"&amp;E2717),2)&amp;RIGHT(("0"&amp;F2717),2)&amp;RIGHT(("0"&amp;G2717),2)&amp;RIGHT(("0"&amp;H2717),2)</f>
        <v>052027284849</v>
      </c>
      <c r="J2717" s="1" t="n">
        <f aca="false">COUNTIF(I:I,I2717)</f>
        <v>1</v>
      </c>
      <c r="K2717" s="1" t="n">
        <v>0</v>
      </c>
      <c r="M2717" s="1" t="s">
        <v>23</v>
      </c>
      <c r="N2717" s="1" t="n">
        <v>24</v>
      </c>
      <c r="O2717" s="1" t="s">
        <v>15407</v>
      </c>
      <c r="P2717" s="1" t="n">
        <v>1750</v>
      </c>
      <c r="Q2717" s="1" t="s">
        <v>15408</v>
      </c>
      <c r="R2717" s="1" t="s">
        <v>15409</v>
      </c>
      <c r="S2717" s="1" t="s">
        <v>15410</v>
      </c>
      <c r="T2717" s="1" t="s">
        <v>4342</v>
      </c>
      <c r="U2717" s="1" t="s">
        <v>15411</v>
      </c>
    </row>
    <row r="2718" customFormat="false" ht="13.8" hidden="false" customHeight="false" outlineLevel="0" collapsed="false">
      <c r="A2718" s="1" t="n">
        <v>2717</v>
      </c>
      <c r="B2718" s="2" t="s">
        <v>15412</v>
      </c>
      <c r="C2718" s="1" t="n">
        <v>6</v>
      </c>
      <c r="D2718" s="1" t="n">
        <v>22</v>
      </c>
      <c r="E2718" s="1" t="n">
        <v>34</v>
      </c>
      <c r="F2718" s="1" t="n">
        <v>36</v>
      </c>
      <c r="G2718" s="1" t="n">
        <v>44</v>
      </c>
      <c r="H2718" s="1" t="n">
        <v>50</v>
      </c>
      <c r="I2718" s="1" t="str">
        <f aca="false">RIGHT(("0"&amp;C2718),2)&amp;RIGHT(("0"&amp;D2718),2)&amp;RIGHT(("0"&amp;E2718),2)&amp;RIGHT(("0"&amp;F2718),2)&amp;RIGHT(("0"&amp;G2718),2)&amp;RIGHT(("0"&amp;H2718),2)</f>
        <v>062234364450</v>
      </c>
      <c r="J2718" s="1" t="n">
        <f aca="false">COUNTIF(I:I,I2718)</f>
        <v>1</v>
      </c>
      <c r="K2718" s="1" t="n">
        <v>1</v>
      </c>
      <c r="L2718" s="1" t="s">
        <v>12490</v>
      </c>
      <c r="M2718" s="1" t="s">
        <v>15413</v>
      </c>
      <c r="N2718" s="1" t="n">
        <v>31</v>
      </c>
      <c r="O2718" s="1" t="s">
        <v>15414</v>
      </c>
      <c r="P2718" s="1" t="n">
        <v>1883</v>
      </c>
      <c r="Q2718" s="1" t="s">
        <v>15415</v>
      </c>
      <c r="R2718" s="1" t="s">
        <v>23</v>
      </c>
      <c r="S2718" s="1" t="s">
        <v>15416</v>
      </c>
      <c r="T2718" s="1" t="s">
        <v>473</v>
      </c>
      <c r="U2718" s="1" t="s">
        <v>15417</v>
      </c>
    </row>
    <row r="2719" customFormat="false" ht="13.8" hidden="false" customHeight="false" outlineLevel="0" collapsed="false">
      <c r="A2719" s="1" t="n">
        <v>2718</v>
      </c>
      <c r="B2719" s="2" t="s">
        <v>15418</v>
      </c>
      <c r="C2719" s="1" t="n">
        <v>6</v>
      </c>
      <c r="D2719" s="1" t="n">
        <v>30</v>
      </c>
      <c r="E2719" s="1" t="n">
        <v>34</v>
      </c>
      <c r="F2719" s="1" t="n">
        <v>41</v>
      </c>
      <c r="G2719" s="1" t="n">
        <v>46</v>
      </c>
      <c r="H2719" s="1" t="n">
        <v>59</v>
      </c>
      <c r="I2719" s="1" t="str">
        <f aca="false">RIGHT(("0"&amp;C2719),2)&amp;RIGHT(("0"&amp;D2719),2)&amp;RIGHT(("0"&amp;E2719),2)&amp;RIGHT(("0"&amp;F2719),2)&amp;RIGHT(("0"&amp;G2719),2)&amp;RIGHT(("0"&amp;H2719),2)</f>
        <v>063034414659</v>
      </c>
      <c r="J2719" s="1" t="n">
        <f aca="false">COUNTIF(I:I,I2719)</f>
        <v>1</v>
      </c>
      <c r="K2719" s="1" t="n">
        <v>0</v>
      </c>
      <c r="M2719" s="1" t="s">
        <v>23</v>
      </c>
      <c r="N2719" s="1" t="n">
        <v>21</v>
      </c>
      <c r="O2719" s="1" t="s">
        <v>15419</v>
      </c>
      <c r="P2719" s="1" t="n">
        <v>1731</v>
      </c>
      <c r="Q2719" s="1" t="s">
        <v>15420</v>
      </c>
      <c r="R2719" s="1" t="s">
        <v>15421</v>
      </c>
      <c r="S2719" s="1" t="s">
        <v>15422</v>
      </c>
      <c r="T2719" s="1" t="s">
        <v>5931</v>
      </c>
      <c r="U2719" s="1" t="s">
        <v>15423</v>
      </c>
    </row>
    <row r="2720" customFormat="false" ht="13.8" hidden="false" customHeight="false" outlineLevel="0" collapsed="false">
      <c r="A2720" s="1" t="n">
        <v>2719</v>
      </c>
      <c r="B2720" s="2" t="s">
        <v>15424</v>
      </c>
      <c r="C2720" s="1" t="n">
        <v>16</v>
      </c>
      <c r="D2720" s="1" t="n">
        <v>25</v>
      </c>
      <c r="E2720" s="1" t="n">
        <v>27</v>
      </c>
      <c r="F2720" s="1" t="n">
        <v>30</v>
      </c>
      <c r="G2720" s="1" t="n">
        <v>42</v>
      </c>
      <c r="H2720" s="1" t="n">
        <v>48</v>
      </c>
      <c r="I2720" s="1" t="str">
        <f aca="false">RIGHT(("0"&amp;C2720),2)&amp;RIGHT(("0"&amp;D2720),2)&amp;RIGHT(("0"&amp;E2720),2)&amp;RIGHT(("0"&amp;F2720),2)&amp;RIGHT(("0"&amp;G2720),2)&amp;RIGHT(("0"&amp;H2720),2)</f>
        <v>162527304248</v>
      </c>
      <c r="J2720" s="1" t="n">
        <f aca="false">COUNTIF(I:I,I2720)</f>
        <v>1</v>
      </c>
      <c r="K2720" s="1" t="n">
        <v>0</v>
      </c>
      <c r="M2720" s="1" t="s">
        <v>23</v>
      </c>
      <c r="N2720" s="1" t="n">
        <v>39</v>
      </c>
      <c r="O2720" s="1" t="s">
        <v>15425</v>
      </c>
      <c r="P2720" s="1" t="n">
        <v>2110</v>
      </c>
      <c r="Q2720" s="1" t="s">
        <v>15426</v>
      </c>
      <c r="R2720" s="1" t="s">
        <v>15427</v>
      </c>
      <c r="S2720" s="1" t="s">
        <v>15428</v>
      </c>
      <c r="T2720" s="1" t="s">
        <v>5242</v>
      </c>
      <c r="U2720" s="1" t="s">
        <v>15429</v>
      </c>
    </row>
    <row r="2721" customFormat="false" ht="13.8" hidden="false" customHeight="false" outlineLevel="0" collapsed="false">
      <c r="A2721" s="1" t="n">
        <v>2720</v>
      </c>
      <c r="B2721" s="2" t="s">
        <v>15430</v>
      </c>
      <c r="C2721" s="1" t="n">
        <v>8</v>
      </c>
      <c r="D2721" s="1" t="n">
        <v>15</v>
      </c>
      <c r="E2721" s="1" t="n">
        <v>16</v>
      </c>
      <c r="F2721" s="1" t="n">
        <v>23</v>
      </c>
      <c r="G2721" s="1" t="n">
        <v>42</v>
      </c>
      <c r="H2721" s="1" t="n">
        <v>43</v>
      </c>
      <c r="I2721" s="1" t="str">
        <f aca="false">RIGHT(("0"&amp;C2721),2)&amp;RIGHT(("0"&amp;D2721),2)&amp;RIGHT(("0"&amp;E2721),2)&amp;RIGHT(("0"&amp;F2721),2)&amp;RIGHT(("0"&amp;G2721),2)&amp;RIGHT(("0"&amp;H2721),2)</f>
        <v>081516234243</v>
      </c>
      <c r="J2721" s="1" t="n">
        <f aca="false">COUNTIF(I:I,I2721)</f>
        <v>1</v>
      </c>
      <c r="K2721" s="1" t="n">
        <v>0</v>
      </c>
      <c r="M2721" s="1" t="s">
        <v>23</v>
      </c>
      <c r="N2721" s="1" t="n">
        <v>2967</v>
      </c>
      <c r="O2721" s="1" t="s">
        <v>15431</v>
      </c>
      <c r="P2721" s="1" t="n">
        <v>6884</v>
      </c>
      <c r="Q2721" s="1" t="s">
        <v>15432</v>
      </c>
      <c r="R2721" s="1" t="s">
        <v>15433</v>
      </c>
      <c r="S2721" s="1" t="s">
        <v>15434</v>
      </c>
      <c r="T2721" s="1" t="s">
        <v>6025</v>
      </c>
      <c r="U2721" s="1" t="s">
        <v>15435</v>
      </c>
    </row>
    <row r="2722" customFormat="false" ht="13.8" hidden="false" customHeight="false" outlineLevel="0" collapsed="false">
      <c r="A2722" s="1" t="n">
        <v>2721</v>
      </c>
      <c r="B2722" s="2" t="s">
        <v>15436</v>
      </c>
      <c r="C2722" s="1" t="n">
        <v>9</v>
      </c>
      <c r="D2722" s="1" t="n">
        <v>10</v>
      </c>
      <c r="E2722" s="1" t="n">
        <v>11</v>
      </c>
      <c r="F2722" s="1" t="n">
        <v>25</v>
      </c>
      <c r="G2722" s="1" t="n">
        <v>46</v>
      </c>
      <c r="H2722" s="1" t="n">
        <v>48</v>
      </c>
      <c r="I2722" s="1" t="str">
        <f aca="false">RIGHT(("0"&amp;C2722),2)&amp;RIGHT(("0"&amp;D2722),2)&amp;RIGHT(("0"&amp;E2722),2)&amp;RIGHT(("0"&amp;F2722),2)&amp;RIGHT(("0"&amp;G2722),2)&amp;RIGHT(("0"&amp;H2722),2)</f>
        <v>091011254648</v>
      </c>
      <c r="J2722" s="1" t="n">
        <f aca="false">COUNTIF(I:I,I2722)</f>
        <v>1</v>
      </c>
      <c r="K2722" s="1" t="n">
        <v>0</v>
      </c>
      <c r="M2722" s="1" t="s">
        <v>23</v>
      </c>
      <c r="N2722" s="1" t="n">
        <v>81</v>
      </c>
      <c r="O2722" s="1" t="s">
        <v>15437</v>
      </c>
      <c r="P2722" s="1" t="n">
        <v>5339</v>
      </c>
      <c r="Q2722" s="1" t="s">
        <v>14170</v>
      </c>
      <c r="R2722" s="1" t="s">
        <v>15438</v>
      </c>
      <c r="S2722" s="1" t="s">
        <v>15439</v>
      </c>
      <c r="T2722" s="1" t="s">
        <v>4309</v>
      </c>
      <c r="U2722" s="1" t="s">
        <v>15440</v>
      </c>
    </row>
    <row r="2723" customFormat="false" ht="13.8" hidden="false" customHeight="false" outlineLevel="0" collapsed="false">
      <c r="A2723" s="1" t="n">
        <v>2722</v>
      </c>
      <c r="B2723" s="2" t="s">
        <v>15441</v>
      </c>
      <c r="C2723" s="1" t="n">
        <v>19</v>
      </c>
      <c r="D2723" s="1" t="n">
        <v>23</v>
      </c>
      <c r="E2723" s="1" t="n">
        <v>25</v>
      </c>
      <c r="F2723" s="1" t="n">
        <v>36</v>
      </c>
      <c r="G2723" s="1" t="n">
        <v>44</v>
      </c>
      <c r="H2723" s="1" t="n">
        <v>46</v>
      </c>
      <c r="I2723" s="1" t="str">
        <f aca="false">RIGHT(("0"&amp;C2723),2)&amp;RIGHT(("0"&amp;D2723),2)&amp;RIGHT(("0"&amp;E2723),2)&amp;RIGHT(("0"&amp;F2723),2)&amp;RIGHT(("0"&amp;G2723),2)&amp;RIGHT(("0"&amp;H2723),2)</f>
        <v>192325364446</v>
      </c>
      <c r="J2723" s="1" t="n">
        <f aca="false">COUNTIF(I:I,I2723)</f>
        <v>1</v>
      </c>
      <c r="K2723" s="1" t="n">
        <v>0</v>
      </c>
      <c r="M2723" s="1" t="s">
        <v>23</v>
      </c>
      <c r="N2723" s="1" t="n">
        <v>72</v>
      </c>
      <c r="O2723" s="1" t="s">
        <v>15442</v>
      </c>
      <c r="P2723" s="1" t="n">
        <v>5080</v>
      </c>
      <c r="Q2723" s="1" t="s">
        <v>15443</v>
      </c>
      <c r="R2723" s="1" t="s">
        <v>15444</v>
      </c>
      <c r="S2723" s="1" t="s">
        <v>15445</v>
      </c>
      <c r="T2723" s="1" t="s">
        <v>5782</v>
      </c>
      <c r="U2723" s="1" t="s">
        <v>15446</v>
      </c>
    </row>
    <row r="2724" customFormat="false" ht="13.8" hidden="false" customHeight="false" outlineLevel="0" collapsed="false">
      <c r="A2724" s="1" t="n">
        <v>2723</v>
      </c>
      <c r="B2724" s="2" t="s">
        <v>15447</v>
      </c>
      <c r="C2724" s="1" t="n">
        <v>6</v>
      </c>
      <c r="D2724" s="1" t="n">
        <v>12</v>
      </c>
      <c r="E2724" s="1" t="n">
        <v>19</v>
      </c>
      <c r="F2724" s="1" t="n">
        <v>28</v>
      </c>
      <c r="G2724" s="1" t="n">
        <v>50</v>
      </c>
      <c r="H2724" s="1" t="n">
        <v>60</v>
      </c>
      <c r="I2724" s="1" t="str">
        <f aca="false">RIGHT(("0"&amp;C2724),2)&amp;RIGHT(("0"&amp;D2724),2)&amp;RIGHT(("0"&amp;E2724),2)&amp;RIGHT(("0"&amp;F2724),2)&amp;RIGHT(("0"&amp;G2724),2)&amp;RIGHT(("0"&amp;H2724),2)</f>
        <v>061219285060</v>
      </c>
      <c r="J2724" s="1" t="n">
        <f aca="false">COUNTIF(I:I,I2724)</f>
        <v>1</v>
      </c>
      <c r="K2724" s="1" t="n">
        <v>1</v>
      </c>
      <c r="L2724" s="1" t="s">
        <v>15448</v>
      </c>
      <c r="M2724" s="1" t="s">
        <v>15449</v>
      </c>
      <c r="N2724" s="1" t="n">
        <v>100</v>
      </c>
      <c r="O2724" s="1" t="s">
        <v>15450</v>
      </c>
      <c r="P2724" s="1" t="n">
        <v>6090</v>
      </c>
      <c r="Q2724" s="1" t="s">
        <v>15451</v>
      </c>
      <c r="R2724" s="1" t="s">
        <v>23</v>
      </c>
      <c r="S2724" s="1" t="s">
        <v>15452</v>
      </c>
      <c r="T2724" s="1" t="s">
        <v>4256</v>
      </c>
      <c r="U2724" s="1" t="s">
        <v>15453</v>
      </c>
    </row>
    <row r="2725" customFormat="false" ht="13.8" hidden="false" customHeight="false" outlineLevel="0" collapsed="false">
      <c r="A2725" s="1" t="n">
        <v>2724</v>
      </c>
      <c r="B2725" s="2" t="s">
        <v>15454</v>
      </c>
      <c r="C2725" s="1" t="n">
        <v>11</v>
      </c>
      <c r="D2725" s="1" t="n">
        <v>21</v>
      </c>
      <c r="E2725" s="1" t="n">
        <v>24</v>
      </c>
      <c r="F2725" s="1" t="n">
        <v>26</v>
      </c>
      <c r="G2725" s="1" t="n">
        <v>42</v>
      </c>
      <c r="H2725" s="1" t="n">
        <v>54</v>
      </c>
      <c r="I2725" s="1" t="str">
        <f aca="false">RIGHT(("0"&amp;C2725),2)&amp;RIGHT(("0"&amp;D2725),2)&amp;RIGHT(("0"&amp;E2725),2)&amp;RIGHT(("0"&amp;F2725),2)&amp;RIGHT(("0"&amp;G2725),2)&amp;RIGHT(("0"&amp;H2725),2)</f>
        <v>112124264254</v>
      </c>
      <c r="J2725" s="1" t="n">
        <f aca="false">COUNTIF(I:I,I2725)</f>
        <v>1</v>
      </c>
      <c r="K2725" s="1" t="n">
        <v>0</v>
      </c>
      <c r="M2725" s="1" t="s">
        <v>23</v>
      </c>
      <c r="N2725" s="1" t="n">
        <v>28</v>
      </c>
      <c r="O2725" s="1" t="s">
        <v>15455</v>
      </c>
      <c r="P2725" s="1" t="n">
        <v>1955</v>
      </c>
      <c r="Q2725" s="1" t="s">
        <v>15456</v>
      </c>
      <c r="R2725" s="1" t="s">
        <v>15457</v>
      </c>
      <c r="S2725" s="1" t="s">
        <v>15458</v>
      </c>
      <c r="T2725" s="1" t="s">
        <v>4718</v>
      </c>
      <c r="U2725" s="1" t="s">
        <v>15459</v>
      </c>
    </row>
    <row r="2726" customFormat="false" ht="13.8" hidden="false" customHeight="false" outlineLevel="0" collapsed="false">
      <c r="A2726" s="1" t="n">
        <v>2725</v>
      </c>
      <c r="B2726" s="2" t="s">
        <v>15460</v>
      </c>
      <c r="C2726" s="1" t="n">
        <v>2</v>
      </c>
      <c r="D2726" s="1" t="n">
        <v>10</v>
      </c>
      <c r="E2726" s="1" t="n">
        <v>32</v>
      </c>
      <c r="F2726" s="1" t="n">
        <v>33</v>
      </c>
      <c r="G2726" s="1" t="n">
        <v>38</v>
      </c>
      <c r="H2726" s="1" t="n">
        <v>47</v>
      </c>
      <c r="I2726" s="1" t="str">
        <f aca="false">RIGHT(("0"&amp;C2726),2)&amp;RIGHT(("0"&amp;D2726),2)&amp;RIGHT(("0"&amp;E2726),2)&amp;RIGHT(("0"&amp;F2726),2)&amp;RIGHT(("0"&amp;G2726),2)&amp;RIGHT(("0"&amp;H2726),2)</f>
        <v>021032333847</v>
      </c>
      <c r="J2726" s="1" t="n">
        <f aca="false">COUNTIF(I:I,I2726)</f>
        <v>1</v>
      </c>
      <c r="K2726" s="1" t="n">
        <v>0</v>
      </c>
      <c r="M2726" s="1" t="s">
        <v>23</v>
      </c>
      <c r="N2726" s="1" t="n">
        <v>41</v>
      </c>
      <c r="O2726" s="1" t="s">
        <v>15461</v>
      </c>
      <c r="P2726" s="1" t="n">
        <v>3204</v>
      </c>
      <c r="Q2726" s="1" t="s">
        <v>15462</v>
      </c>
      <c r="R2726" s="1" t="s">
        <v>15463</v>
      </c>
      <c r="S2726" s="1" t="s">
        <v>15464</v>
      </c>
      <c r="T2726" s="1" t="s">
        <v>3892</v>
      </c>
      <c r="U2726" s="1" t="s">
        <v>15465</v>
      </c>
    </row>
    <row r="2727" customFormat="false" ht="13.8" hidden="false" customHeight="false" outlineLevel="0" collapsed="false">
      <c r="A2727" s="1" t="n">
        <v>2726</v>
      </c>
      <c r="B2727" s="2" t="s">
        <v>15466</v>
      </c>
      <c r="C2727" s="1" t="n">
        <v>27</v>
      </c>
      <c r="D2727" s="1" t="n">
        <v>45</v>
      </c>
      <c r="E2727" s="1" t="n">
        <v>49</v>
      </c>
      <c r="F2727" s="1" t="n">
        <v>53</v>
      </c>
      <c r="G2727" s="1" t="n">
        <v>55</v>
      </c>
      <c r="H2727" s="1" t="n">
        <v>59</v>
      </c>
      <c r="I2727" s="1" t="str">
        <f aca="false">RIGHT(("0"&amp;C2727),2)&amp;RIGHT(("0"&amp;D2727),2)&amp;RIGHT(("0"&amp;E2727),2)&amp;RIGHT(("0"&amp;F2727),2)&amp;RIGHT(("0"&amp;G2727),2)&amp;RIGHT(("0"&amp;H2727),2)</f>
        <v>274549535559</v>
      </c>
      <c r="J2727" s="1" t="n">
        <f aca="false">COUNTIF(I:I,I2727)</f>
        <v>1</v>
      </c>
      <c r="K2727" s="1" t="n">
        <v>0</v>
      </c>
      <c r="M2727" s="1" t="s">
        <v>23</v>
      </c>
      <c r="N2727" s="1" t="n">
        <v>48</v>
      </c>
      <c r="O2727" s="1" t="s">
        <v>15467</v>
      </c>
      <c r="P2727" s="1" t="n">
        <v>3858</v>
      </c>
      <c r="Q2727" s="1" t="s">
        <v>15468</v>
      </c>
      <c r="R2727" s="1" t="s">
        <v>15469</v>
      </c>
      <c r="S2727" s="1" t="s">
        <v>15470</v>
      </c>
      <c r="T2727" s="1" t="s">
        <v>6025</v>
      </c>
      <c r="U2727" s="1" t="s">
        <v>15471</v>
      </c>
    </row>
    <row r="2728" customFormat="false" ht="13.8" hidden="false" customHeight="false" outlineLevel="0" collapsed="false">
      <c r="A2728" s="1" t="n">
        <v>2727</v>
      </c>
      <c r="B2728" s="2" t="s">
        <v>15472</v>
      </c>
      <c r="C2728" s="1" t="n">
        <v>4</v>
      </c>
      <c r="D2728" s="1" t="n">
        <v>32</v>
      </c>
      <c r="E2728" s="1" t="n">
        <v>39</v>
      </c>
      <c r="F2728" s="1" t="n">
        <v>48</v>
      </c>
      <c r="G2728" s="1" t="n">
        <v>51</v>
      </c>
      <c r="H2728" s="1" t="n">
        <v>57</v>
      </c>
      <c r="I2728" s="1" t="str">
        <f aca="false">RIGHT(("0"&amp;C2728),2)&amp;RIGHT(("0"&amp;D2728),2)&amp;RIGHT(("0"&amp;E2728),2)&amp;RIGHT(("0"&amp;F2728),2)&amp;RIGHT(("0"&amp;G2728),2)&amp;RIGHT(("0"&amp;H2728),2)</f>
        <v>043239485157</v>
      </c>
      <c r="J2728" s="1" t="n">
        <f aca="false">COUNTIF(I:I,I2728)</f>
        <v>1</v>
      </c>
      <c r="K2728" s="1" t="n">
        <v>0</v>
      </c>
      <c r="M2728" s="1" t="s">
        <v>23</v>
      </c>
      <c r="N2728" s="1" t="n">
        <v>58</v>
      </c>
      <c r="O2728" s="1" t="s">
        <v>15473</v>
      </c>
      <c r="P2728" s="1" t="n">
        <v>3350</v>
      </c>
      <c r="Q2728" s="1" t="s">
        <v>15474</v>
      </c>
      <c r="R2728" s="1" t="s">
        <v>15475</v>
      </c>
      <c r="S2728" s="1" t="s">
        <v>15476</v>
      </c>
      <c r="T2728" s="1" t="s">
        <v>7301</v>
      </c>
      <c r="U2728" s="1" t="s">
        <v>15477</v>
      </c>
    </row>
    <row r="2729" customFormat="false" ht="13.8" hidden="false" customHeight="false" outlineLevel="0" collapsed="false">
      <c r="A2729" s="1" t="n">
        <v>2728</v>
      </c>
      <c r="B2729" s="2" t="s">
        <v>15478</v>
      </c>
      <c r="C2729" s="1" t="n">
        <v>2</v>
      </c>
      <c r="D2729" s="1" t="n">
        <v>9</v>
      </c>
      <c r="E2729" s="1" t="n">
        <v>11</v>
      </c>
      <c r="F2729" s="1" t="n">
        <v>25</v>
      </c>
      <c r="G2729" s="1" t="n">
        <v>43</v>
      </c>
      <c r="H2729" s="1" t="n">
        <v>51</v>
      </c>
      <c r="I2729" s="1" t="str">
        <f aca="false">RIGHT(("0"&amp;C2729),2)&amp;RIGHT(("0"&amp;D2729),2)&amp;RIGHT(("0"&amp;E2729),2)&amp;RIGHT(("0"&amp;F2729),2)&amp;RIGHT(("0"&amp;G2729),2)&amp;RIGHT(("0"&amp;H2729),2)</f>
        <v>020911254351</v>
      </c>
      <c r="J2729" s="1" t="n">
        <f aca="false">COUNTIF(I:I,I2729)</f>
        <v>1</v>
      </c>
      <c r="K2729" s="1" t="n">
        <v>0</v>
      </c>
      <c r="M2729" s="1" t="s">
        <v>23</v>
      </c>
      <c r="N2729" s="1" t="n">
        <v>83</v>
      </c>
      <c r="O2729" s="1" t="s">
        <v>15479</v>
      </c>
      <c r="P2729" s="1" t="n">
        <v>4779</v>
      </c>
      <c r="Q2729" s="1" t="s">
        <v>15480</v>
      </c>
      <c r="R2729" s="1" t="s">
        <v>15481</v>
      </c>
      <c r="S2729" s="1" t="s">
        <v>15482</v>
      </c>
      <c r="T2729" s="1" t="s">
        <v>5782</v>
      </c>
      <c r="U2729" s="1" t="s">
        <v>15483</v>
      </c>
    </row>
    <row r="2730" customFormat="false" ht="13.8" hidden="false" customHeight="false" outlineLevel="0" collapsed="false">
      <c r="A2730" s="1" t="n">
        <v>2729</v>
      </c>
      <c r="B2730" s="2" t="s">
        <v>15484</v>
      </c>
      <c r="C2730" s="1" t="n">
        <v>20</v>
      </c>
      <c r="D2730" s="1" t="n">
        <v>27</v>
      </c>
      <c r="E2730" s="1" t="n">
        <v>41</v>
      </c>
      <c r="F2730" s="1" t="n">
        <v>47</v>
      </c>
      <c r="G2730" s="1" t="n">
        <v>53</v>
      </c>
      <c r="H2730" s="1" t="n">
        <v>54</v>
      </c>
      <c r="I2730" s="1" t="str">
        <f aca="false">RIGHT(("0"&amp;C2730),2)&amp;RIGHT(("0"&amp;D2730),2)&amp;RIGHT(("0"&amp;E2730),2)&amp;RIGHT(("0"&amp;F2730),2)&amp;RIGHT(("0"&amp;G2730),2)&amp;RIGHT(("0"&amp;H2730),2)</f>
        <v>202741475354</v>
      </c>
      <c r="J2730" s="1" t="n">
        <f aca="false">COUNTIF(I:I,I2730)</f>
        <v>1</v>
      </c>
      <c r="K2730" s="1" t="n">
        <v>0</v>
      </c>
      <c r="M2730" s="1" t="s">
        <v>23</v>
      </c>
      <c r="N2730" s="1" t="n">
        <v>59</v>
      </c>
      <c r="O2730" s="1" t="s">
        <v>15485</v>
      </c>
      <c r="P2730" s="1" t="n">
        <v>3760</v>
      </c>
      <c r="Q2730" s="1" t="s">
        <v>15486</v>
      </c>
      <c r="R2730" s="1" t="s">
        <v>15487</v>
      </c>
      <c r="S2730" s="1" t="s">
        <v>15488</v>
      </c>
      <c r="T2730" s="1" t="s">
        <v>6097</v>
      </c>
      <c r="U2730" s="1" t="s">
        <v>15489</v>
      </c>
    </row>
    <row r="2731" customFormat="false" ht="13.8" hidden="false" customHeight="false" outlineLevel="0" collapsed="false">
      <c r="A2731" s="1" t="n">
        <v>2730</v>
      </c>
      <c r="B2731" s="2" t="s">
        <v>15490</v>
      </c>
      <c r="C2731" s="1" t="n">
        <v>7</v>
      </c>
      <c r="D2731" s="1" t="n">
        <v>24</v>
      </c>
      <c r="E2731" s="1" t="n">
        <v>29</v>
      </c>
      <c r="F2731" s="1" t="n">
        <v>41</v>
      </c>
      <c r="G2731" s="1" t="n">
        <v>46</v>
      </c>
      <c r="H2731" s="1" t="n">
        <v>60</v>
      </c>
      <c r="I2731" s="1" t="str">
        <f aca="false">RIGHT(("0"&amp;C2731),2)&amp;RIGHT(("0"&amp;D2731),2)&amp;RIGHT(("0"&amp;E2731),2)&amp;RIGHT(("0"&amp;F2731),2)&amp;RIGHT(("0"&amp;G2731),2)&amp;RIGHT(("0"&amp;H2731),2)</f>
        <v>072429414660</v>
      </c>
      <c r="J2731" s="1" t="n">
        <f aca="false">COUNTIF(I:I,I2731)</f>
        <v>1</v>
      </c>
      <c r="K2731" s="1" t="n">
        <v>0</v>
      </c>
      <c r="M2731" s="1" t="s">
        <v>23</v>
      </c>
      <c r="N2731" s="1" t="n">
        <v>97</v>
      </c>
      <c r="O2731" s="1" t="s">
        <v>15491</v>
      </c>
      <c r="P2731" s="1" t="n">
        <v>5209</v>
      </c>
      <c r="Q2731" s="1" t="s">
        <v>15492</v>
      </c>
      <c r="R2731" s="1" t="s">
        <v>15493</v>
      </c>
      <c r="S2731" s="1" t="s">
        <v>15494</v>
      </c>
      <c r="T2731" s="1" t="s">
        <v>8842</v>
      </c>
      <c r="U2731" s="1" t="s">
        <v>15495</v>
      </c>
    </row>
    <row r="2732" customFormat="false" ht="13.8" hidden="false" customHeight="false" outlineLevel="0" collapsed="false">
      <c r="A2732" s="1" t="n">
        <v>2731</v>
      </c>
      <c r="B2732" s="2" t="s">
        <v>15496</v>
      </c>
      <c r="C2732" s="1" t="n">
        <v>4</v>
      </c>
      <c r="D2732" s="1" t="n">
        <v>12</v>
      </c>
      <c r="E2732" s="1" t="n">
        <v>32</v>
      </c>
      <c r="F2732" s="1" t="n">
        <v>45</v>
      </c>
      <c r="G2732" s="1" t="n">
        <v>49</v>
      </c>
      <c r="H2732" s="1" t="n">
        <v>58</v>
      </c>
      <c r="I2732" s="1" t="str">
        <f aca="false">RIGHT(("0"&amp;C2732),2)&amp;RIGHT(("0"&amp;D2732),2)&amp;RIGHT(("0"&amp;E2732),2)&amp;RIGHT(("0"&amp;F2732),2)&amp;RIGHT(("0"&amp;G2732),2)&amp;RIGHT(("0"&amp;H2732),2)</f>
        <v>041232454958</v>
      </c>
      <c r="J2732" s="1" t="n">
        <f aca="false">COUNTIF(I:I,I2732)</f>
        <v>1</v>
      </c>
      <c r="K2732" s="1" t="n">
        <v>0</v>
      </c>
      <c r="M2732" s="1" t="s">
        <v>23</v>
      </c>
      <c r="N2732" s="1" t="n">
        <v>126</v>
      </c>
      <c r="O2732" s="1" t="s">
        <v>15497</v>
      </c>
      <c r="P2732" s="1" t="n">
        <v>9008</v>
      </c>
      <c r="Q2732" s="1" t="s">
        <v>15498</v>
      </c>
      <c r="R2732" s="1" t="s">
        <v>15499</v>
      </c>
      <c r="S2732" s="1" t="s">
        <v>15500</v>
      </c>
      <c r="T2732" s="1" t="s">
        <v>12809</v>
      </c>
      <c r="U2732" s="1" t="s">
        <v>15501</v>
      </c>
    </row>
    <row r="2733" customFormat="false" ht="13.8" hidden="false" customHeight="false" outlineLevel="0" collapsed="false">
      <c r="A2733" s="1" t="n">
        <v>2732</v>
      </c>
      <c r="B2733" s="2" t="s">
        <v>15502</v>
      </c>
      <c r="C2733" s="1" t="n">
        <v>1</v>
      </c>
      <c r="D2733" s="1" t="n">
        <v>3</v>
      </c>
      <c r="E2733" s="1" t="n">
        <v>16</v>
      </c>
      <c r="F2733" s="1" t="n">
        <v>18</v>
      </c>
      <c r="G2733" s="1" t="n">
        <v>49</v>
      </c>
      <c r="H2733" s="1" t="n">
        <v>60</v>
      </c>
      <c r="I2733" s="1" t="str">
        <f aca="false">RIGHT(("0"&amp;C2733),2)&amp;RIGHT(("0"&amp;D2733),2)&amp;RIGHT(("0"&amp;E2733),2)&amp;RIGHT(("0"&amp;F2733),2)&amp;RIGHT(("0"&amp;G2733),2)&amp;RIGHT(("0"&amp;H2733),2)</f>
        <v>010316184960</v>
      </c>
      <c r="J2733" s="1" t="n">
        <f aca="false">COUNTIF(I:I,I2733)</f>
        <v>1</v>
      </c>
      <c r="K2733" s="1" t="n">
        <v>0</v>
      </c>
      <c r="M2733" s="1" t="s">
        <v>23</v>
      </c>
      <c r="N2733" s="1" t="n">
        <v>94</v>
      </c>
      <c r="O2733" s="1" t="s">
        <v>15503</v>
      </c>
      <c r="P2733" s="1" t="n">
        <v>6173</v>
      </c>
      <c r="Q2733" s="1" t="s">
        <v>15504</v>
      </c>
      <c r="R2733" s="1" t="s">
        <v>15505</v>
      </c>
      <c r="S2733" s="1" t="s">
        <v>15506</v>
      </c>
      <c r="T2733" s="1" t="s">
        <v>9535</v>
      </c>
      <c r="U2733" s="1" t="s">
        <v>15507</v>
      </c>
    </row>
    <row r="2734" customFormat="false" ht="13.8" hidden="false" customHeight="false" outlineLevel="0" collapsed="false">
      <c r="A2734" s="1" t="n">
        <v>2733</v>
      </c>
      <c r="B2734" s="2" t="s">
        <v>15508</v>
      </c>
      <c r="C2734" s="1" t="n">
        <v>14</v>
      </c>
      <c r="D2734" s="1" t="n">
        <v>20</v>
      </c>
      <c r="E2734" s="1" t="n">
        <v>21</v>
      </c>
      <c r="F2734" s="1" t="n">
        <v>39</v>
      </c>
      <c r="G2734" s="1" t="n">
        <v>44</v>
      </c>
      <c r="H2734" s="1" t="n">
        <v>56</v>
      </c>
      <c r="I2734" s="1" t="str">
        <f aca="false">RIGHT(("0"&amp;C2734),2)&amp;RIGHT(("0"&amp;D2734),2)&amp;RIGHT(("0"&amp;E2734),2)&amp;RIGHT(("0"&amp;F2734),2)&amp;RIGHT(("0"&amp;G2734),2)&amp;RIGHT(("0"&amp;H2734),2)</f>
        <v>142021394456</v>
      </c>
      <c r="J2734" s="1" t="n">
        <f aca="false">COUNTIF(I:I,I2734)</f>
        <v>1</v>
      </c>
      <c r="K2734" s="1" t="n">
        <v>0</v>
      </c>
      <c r="M2734" s="1" t="s">
        <v>23</v>
      </c>
      <c r="N2734" s="1" t="n">
        <v>117</v>
      </c>
      <c r="O2734" s="1" t="s">
        <v>15509</v>
      </c>
      <c r="P2734" s="1" t="n">
        <v>7450</v>
      </c>
      <c r="Q2734" s="1" t="s">
        <v>15510</v>
      </c>
      <c r="R2734" s="1" t="s">
        <v>15511</v>
      </c>
      <c r="S2734" s="1" t="s">
        <v>15512</v>
      </c>
      <c r="T2734" s="1" t="s">
        <v>15513</v>
      </c>
      <c r="U2734" s="1" t="s">
        <v>15514</v>
      </c>
    </row>
    <row r="2735" customFormat="false" ht="13.8" hidden="false" customHeight="false" outlineLevel="0" collapsed="false">
      <c r="A2735" s="1" t="n">
        <v>2734</v>
      </c>
      <c r="B2735" s="2" t="s">
        <v>15515</v>
      </c>
      <c r="C2735" s="1" t="n">
        <v>21</v>
      </c>
      <c r="D2735" s="1" t="n">
        <v>27</v>
      </c>
      <c r="E2735" s="1" t="n">
        <v>35</v>
      </c>
      <c r="F2735" s="1" t="n">
        <v>48</v>
      </c>
      <c r="G2735" s="1" t="n">
        <v>59</v>
      </c>
      <c r="H2735" s="1" t="n">
        <v>60</v>
      </c>
      <c r="I2735" s="1" t="str">
        <f aca="false">RIGHT(("0"&amp;C2735),2)&amp;RIGHT(("0"&amp;D2735),2)&amp;RIGHT(("0"&amp;E2735),2)&amp;RIGHT(("0"&amp;F2735),2)&amp;RIGHT(("0"&amp;G2735),2)&amp;RIGHT(("0"&amp;H2735),2)</f>
        <v>212735485960</v>
      </c>
      <c r="J2735" s="1" t="n">
        <f aca="false">COUNTIF(I:I,I2735)</f>
        <v>1</v>
      </c>
      <c r="K2735" s="1" t="n">
        <v>1</v>
      </c>
      <c r="L2735" s="1" t="s">
        <v>7934</v>
      </c>
      <c r="M2735" s="1" t="s">
        <v>15516</v>
      </c>
      <c r="N2735" s="1" t="n">
        <v>137</v>
      </c>
      <c r="O2735" s="1" t="s">
        <v>15517</v>
      </c>
      <c r="P2735" s="1" t="n">
        <v>7811</v>
      </c>
      <c r="Q2735" s="1" t="s">
        <v>15518</v>
      </c>
      <c r="R2735" s="1" t="s">
        <v>15519</v>
      </c>
      <c r="S2735" s="1" t="s">
        <v>15520</v>
      </c>
      <c r="T2735" s="1" t="s">
        <v>4968</v>
      </c>
      <c r="U2735" s="1" t="s">
        <v>15521</v>
      </c>
    </row>
    <row r="2736" customFormat="false" ht="13.8" hidden="false" customHeight="false" outlineLevel="0" collapsed="false">
      <c r="A2736" s="1" t="n">
        <v>2735</v>
      </c>
      <c r="B2736" s="2" t="s">
        <v>15522</v>
      </c>
      <c r="C2736" s="1" t="n">
        <v>5</v>
      </c>
      <c r="D2736" s="1" t="n">
        <v>33</v>
      </c>
      <c r="E2736" s="1" t="n">
        <v>46</v>
      </c>
      <c r="F2736" s="1" t="n">
        <v>47</v>
      </c>
      <c r="G2736" s="1" t="n">
        <v>53</v>
      </c>
      <c r="H2736" s="1" t="n">
        <v>59</v>
      </c>
      <c r="I2736" s="1" t="str">
        <f aca="false">RIGHT(("0"&amp;C2736),2)&amp;RIGHT(("0"&amp;D2736),2)&amp;RIGHT(("0"&amp;E2736),2)&amp;RIGHT(("0"&amp;F2736),2)&amp;RIGHT(("0"&amp;G2736),2)&amp;RIGHT(("0"&amp;H2736),2)</f>
        <v>053346475359</v>
      </c>
      <c r="J2736" s="1" t="n">
        <f aca="false">COUNTIF(I:I,I2736)</f>
        <v>1</v>
      </c>
      <c r="K2736" s="1" t="n">
        <v>0</v>
      </c>
      <c r="M2736" s="1" t="s">
        <v>23</v>
      </c>
      <c r="N2736" s="1" t="n">
        <v>62</v>
      </c>
      <c r="O2736" s="1" t="s">
        <v>15523</v>
      </c>
      <c r="P2736" s="1" t="n">
        <v>4504</v>
      </c>
      <c r="Q2736" s="1" t="s">
        <v>15524</v>
      </c>
      <c r="R2736" s="1" t="s">
        <v>15525</v>
      </c>
      <c r="S2736" s="1" t="s">
        <v>15526</v>
      </c>
      <c r="T2736" s="1" t="s">
        <v>4309</v>
      </c>
      <c r="U2736" s="1" t="s">
        <v>15527</v>
      </c>
    </row>
    <row r="2737" customFormat="false" ht="13.8" hidden="false" customHeight="false" outlineLevel="0" collapsed="false">
      <c r="A2737" s="1" t="n">
        <v>2736</v>
      </c>
      <c r="B2737" s="2" t="s">
        <v>15528</v>
      </c>
      <c r="C2737" s="1" t="n">
        <v>11</v>
      </c>
      <c r="D2737" s="1" t="n">
        <v>17</v>
      </c>
      <c r="E2737" s="1" t="n">
        <v>24</v>
      </c>
      <c r="F2737" s="1" t="n">
        <v>26</v>
      </c>
      <c r="G2737" s="1" t="n">
        <v>35</v>
      </c>
      <c r="H2737" s="1" t="n">
        <v>43</v>
      </c>
      <c r="I2737" s="1" t="str">
        <f aca="false">RIGHT(("0"&amp;C2737),2)&amp;RIGHT(("0"&amp;D2737),2)&amp;RIGHT(("0"&amp;E2737),2)&amp;RIGHT(("0"&amp;F2737),2)&amp;RIGHT(("0"&amp;G2737),2)&amp;RIGHT(("0"&amp;H2737),2)</f>
        <v>111724263543</v>
      </c>
      <c r="J2737" s="1" t="n">
        <f aca="false">COUNTIF(I:I,I2737)</f>
        <v>1</v>
      </c>
      <c r="K2737" s="1" t="n">
        <v>0</v>
      </c>
      <c r="M2737" s="1" t="s">
        <v>23</v>
      </c>
      <c r="N2737" s="1" t="n">
        <v>69</v>
      </c>
      <c r="O2737" s="1" t="s">
        <v>15529</v>
      </c>
      <c r="P2737" s="1" t="n">
        <v>4581</v>
      </c>
      <c r="Q2737" s="1" t="s">
        <v>15530</v>
      </c>
      <c r="R2737" s="1" t="s">
        <v>15531</v>
      </c>
      <c r="S2737" s="1" t="s">
        <v>15532</v>
      </c>
      <c r="T2737" s="1" t="s">
        <v>5782</v>
      </c>
      <c r="U2737" s="1" t="s">
        <v>15533</v>
      </c>
    </row>
    <row r="2738" customFormat="false" ht="13.8" hidden="false" customHeight="false" outlineLevel="0" collapsed="false">
      <c r="A2738" s="1" t="n">
        <v>2737</v>
      </c>
      <c r="B2738" s="2" t="s">
        <v>15534</v>
      </c>
      <c r="C2738" s="1" t="n">
        <v>16</v>
      </c>
      <c r="D2738" s="1" t="n">
        <v>20</v>
      </c>
      <c r="E2738" s="1" t="n">
        <v>30</v>
      </c>
      <c r="F2738" s="1" t="n">
        <v>34</v>
      </c>
      <c r="G2738" s="1" t="n">
        <v>37</v>
      </c>
      <c r="H2738" s="1" t="n">
        <v>45</v>
      </c>
      <c r="I2738" s="1" t="str">
        <f aca="false">RIGHT(("0"&amp;C2738),2)&amp;RIGHT(("0"&amp;D2738),2)&amp;RIGHT(("0"&amp;E2738),2)&amp;RIGHT(("0"&amp;F2738),2)&amp;RIGHT(("0"&amp;G2738),2)&amp;RIGHT(("0"&amp;H2738),2)</f>
        <v>162030343745</v>
      </c>
      <c r="J2738" s="1" t="n">
        <f aca="false">COUNTIF(I:I,I2738)</f>
        <v>1</v>
      </c>
      <c r="K2738" s="1" t="n">
        <v>0</v>
      </c>
      <c r="M2738" s="1" t="s">
        <v>23</v>
      </c>
      <c r="N2738" s="1" t="n">
        <v>67</v>
      </c>
      <c r="O2738" s="1" t="s">
        <v>15535</v>
      </c>
      <c r="P2738" s="1" t="n">
        <v>4208</v>
      </c>
      <c r="Q2738" s="1" t="s">
        <v>15536</v>
      </c>
      <c r="R2738" s="1" t="s">
        <v>15537</v>
      </c>
      <c r="S2738" s="1" t="s">
        <v>15538</v>
      </c>
      <c r="T2738" s="1" t="s">
        <v>6084</v>
      </c>
      <c r="U2738" s="1" t="s">
        <v>15539</v>
      </c>
    </row>
    <row r="2739" customFormat="false" ht="13.8" hidden="false" customHeight="false" outlineLevel="0" collapsed="false">
      <c r="A2739" s="1" t="n">
        <v>2738</v>
      </c>
      <c r="B2739" s="2" t="s">
        <v>15540</v>
      </c>
      <c r="C2739" s="1" t="n">
        <v>2</v>
      </c>
      <c r="D2739" s="1" t="n">
        <v>19</v>
      </c>
      <c r="E2739" s="1" t="n">
        <v>25</v>
      </c>
      <c r="F2739" s="1" t="n">
        <v>44</v>
      </c>
      <c r="G2739" s="1" t="n">
        <v>46</v>
      </c>
      <c r="H2739" s="1" t="n">
        <v>60</v>
      </c>
      <c r="I2739" s="1" t="str">
        <f aca="false">RIGHT(("0"&amp;C2739),2)&amp;RIGHT(("0"&amp;D2739),2)&amp;RIGHT(("0"&amp;E2739),2)&amp;RIGHT(("0"&amp;F2739),2)&amp;RIGHT(("0"&amp;G2739),2)&amp;RIGHT(("0"&amp;H2739),2)</f>
        <v>021925444660</v>
      </c>
      <c r="J2739" s="1" t="n">
        <f aca="false">COUNTIF(I:I,I2739)</f>
        <v>1</v>
      </c>
      <c r="K2739" s="1" t="n">
        <v>0</v>
      </c>
      <c r="M2739" s="1" t="s">
        <v>23</v>
      </c>
      <c r="N2739" s="1" t="n">
        <v>75</v>
      </c>
      <c r="O2739" s="1" t="s">
        <v>15541</v>
      </c>
      <c r="P2739" s="1" t="n">
        <v>5607</v>
      </c>
      <c r="Q2739" s="1" t="s">
        <v>15542</v>
      </c>
      <c r="R2739" s="1" t="s">
        <v>15543</v>
      </c>
      <c r="S2739" s="1" t="s">
        <v>15544</v>
      </c>
      <c r="T2739" s="1" t="s">
        <v>8797</v>
      </c>
      <c r="U2739" s="1" t="s">
        <v>15545</v>
      </c>
    </row>
    <row r="2740" customFormat="false" ht="13.8" hidden="false" customHeight="false" outlineLevel="0" collapsed="false">
      <c r="A2740" s="1" t="n">
        <v>2739</v>
      </c>
      <c r="B2740" s="2" t="s">
        <v>15546</v>
      </c>
      <c r="C2740" s="1" t="n">
        <v>19</v>
      </c>
      <c r="D2740" s="1" t="n">
        <v>25</v>
      </c>
      <c r="E2740" s="1" t="n">
        <v>37</v>
      </c>
      <c r="F2740" s="1" t="n">
        <v>45</v>
      </c>
      <c r="G2740" s="1" t="n">
        <v>47</v>
      </c>
      <c r="H2740" s="1" t="n">
        <v>53</v>
      </c>
      <c r="I2740" s="1" t="str">
        <f aca="false">RIGHT(("0"&amp;C2740),2)&amp;RIGHT(("0"&amp;D2740),2)&amp;RIGHT(("0"&amp;E2740),2)&amp;RIGHT(("0"&amp;F2740),2)&amp;RIGHT(("0"&amp;G2740),2)&amp;RIGHT(("0"&amp;H2740),2)</f>
        <v>192537454753</v>
      </c>
      <c r="J2740" s="1" t="n">
        <f aca="false">COUNTIF(I:I,I2740)</f>
        <v>1</v>
      </c>
      <c r="K2740" s="1" t="n">
        <v>0</v>
      </c>
      <c r="M2740" s="1" t="s">
        <v>23</v>
      </c>
      <c r="N2740" s="1" t="n">
        <v>79</v>
      </c>
      <c r="O2740" s="1" t="s">
        <v>15547</v>
      </c>
      <c r="P2740" s="1" t="n">
        <v>4990</v>
      </c>
      <c r="Q2740" s="1" t="s">
        <v>15548</v>
      </c>
      <c r="R2740" s="1" t="s">
        <v>15549</v>
      </c>
      <c r="S2740" s="1" t="s">
        <v>15550</v>
      </c>
      <c r="T2740" s="1" t="s">
        <v>15551</v>
      </c>
      <c r="U2740" s="1" t="s">
        <v>15552</v>
      </c>
    </row>
    <row r="2741" customFormat="false" ht="13.8" hidden="false" customHeight="false" outlineLevel="0" collapsed="false">
      <c r="A2741" s="1" t="n">
        <v>2740</v>
      </c>
      <c r="B2741" s="2" t="s">
        <v>15553</v>
      </c>
      <c r="C2741" s="1" t="n">
        <v>13</v>
      </c>
      <c r="D2741" s="1" t="n">
        <v>16</v>
      </c>
      <c r="E2741" s="1" t="n">
        <v>17</v>
      </c>
      <c r="F2741" s="1" t="n">
        <v>34</v>
      </c>
      <c r="G2741" s="1" t="n">
        <v>41</v>
      </c>
      <c r="H2741" s="1" t="n">
        <v>47</v>
      </c>
      <c r="I2741" s="1" t="str">
        <f aca="false">RIGHT(("0"&amp;C2741),2)&amp;RIGHT(("0"&amp;D2741),2)&amp;RIGHT(("0"&amp;E2741),2)&amp;RIGHT(("0"&amp;F2741),2)&amp;RIGHT(("0"&amp;G2741),2)&amp;RIGHT(("0"&amp;H2741),2)</f>
        <v>131617344147</v>
      </c>
      <c r="J2741" s="1" t="n">
        <f aca="false">COUNTIF(I:I,I2741)</f>
        <v>1</v>
      </c>
      <c r="K2741" s="1" t="n">
        <v>0</v>
      </c>
      <c r="M2741" s="1" t="s">
        <v>23</v>
      </c>
      <c r="N2741" s="1" t="n">
        <v>108</v>
      </c>
      <c r="O2741" s="1" t="s">
        <v>15554</v>
      </c>
      <c r="P2741" s="1" t="n">
        <v>6950</v>
      </c>
      <c r="Q2741" s="1" t="s">
        <v>15555</v>
      </c>
      <c r="R2741" s="1" t="s">
        <v>15556</v>
      </c>
      <c r="S2741" s="1" t="s">
        <v>15557</v>
      </c>
      <c r="T2741" s="1" t="s">
        <v>15558</v>
      </c>
      <c r="U2741" s="1" t="s">
        <v>15559</v>
      </c>
    </row>
    <row r="2742" customFormat="false" ht="13.8" hidden="false" customHeight="false" outlineLevel="0" collapsed="false">
      <c r="A2742" s="1" t="n">
        <v>2741</v>
      </c>
      <c r="B2742" s="2" t="s">
        <v>15560</v>
      </c>
      <c r="C2742" s="1" t="n">
        <v>1</v>
      </c>
      <c r="D2742" s="1" t="n">
        <v>33</v>
      </c>
      <c r="E2742" s="1" t="n">
        <v>35</v>
      </c>
      <c r="F2742" s="1" t="n">
        <v>39</v>
      </c>
      <c r="G2742" s="1" t="n">
        <v>42</v>
      </c>
      <c r="H2742" s="1" t="n">
        <v>56</v>
      </c>
      <c r="I2742" s="1" t="str">
        <f aca="false">RIGHT(("0"&amp;C2742),2)&amp;RIGHT(("0"&amp;D2742),2)&amp;RIGHT(("0"&amp;E2742),2)&amp;RIGHT(("0"&amp;F2742),2)&amp;RIGHT(("0"&amp;G2742),2)&amp;RIGHT(("0"&amp;H2742),2)</f>
        <v>013335394256</v>
      </c>
      <c r="J2742" s="1" t="n">
        <f aca="false">COUNTIF(I:I,I2742)</f>
        <v>1</v>
      </c>
      <c r="K2742" s="1" t="n">
        <v>0</v>
      </c>
      <c r="M2742" s="1" t="s">
        <v>23</v>
      </c>
      <c r="N2742" s="1" t="n">
        <v>53</v>
      </c>
      <c r="O2742" s="1" t="s">
        <v>15561</v>
      </c>
      <c r="P2742" s="1" t="n">
        <v>4953</v>
      </c>
      <c r="Q2742" s="1" t="s">
        <v>15562</v>
      </c>
      <c r="R2742" s="1" t="s">
        <v>15563</v>
      </c>
      <c r="S2742" s="1" t="s">
        <v>15564</v>
      </c>
      <c r="T2742" s="1" t="s">
        <v>9535</v>
      </c>
      <c r="U2742" s="1" t="s">
        <v>15565</v>
      </c>
    </row>
    <row r="2743" customFormat="false" ht="13.8" hidden="false" customHeight="false" outlineLevel="0" collapsed="false">
      <c r="A2743" s="1" t="n">
        <v>2742</v>
      </c>
      <c r="B2743" s="2" t="s">
        <v>15566</v>
      </c>
      <c r="C2743" s="1" t="n">
        <v>2</v>
      </c>
      <c r="D2743" s="1" t="n">
        <v>11</v>
      </c>
      <c r="E2743" s="1" t="n">
        <v>25</v>
      </c>
      <c r="F2743" s="1" t="n">
        <v>32</v>
      </c>
      <c r="G2743" s="1" t="n">
        <v>37</v>
      </c>
      <c r="H2743" s="1" t="n">
        <v>57</v>
      </c>
      <c r="I2743" s="1" t="str">
        <f aca="false">RIGHT(("0"&amp;C2743),2)&amp;RIGHT(("0"&amp;D2743),2)&amp;RIGHT(("0"&amp;E2743),2)&amp;RIGHT(("0"&amp;F2743),2)&amp;RIGHT(("0"&amp;G2743),2)&amp;RIGHT(("0"&amp;H2743),2)</f>
        <v>021125323757</v>
      </c>
      <c r="J2743" s="1" t="n">
        <f aca="false">COUNTIF(I:I,I2743)</f>
        <v>1</v>
      </c>
      <c r="K2743" s="1" t="n">
        <v>0</v>
      </c>
      <c r="M2743" s="1" t="s">
        <v>23</v>
      </c>
      <c r="N2743" s="1" t="n">
        <v>100</v>
      </c>
      <c r="O2743" s="1" t="s">
        <v>15567</v>
      </c>
      <c r="P2743" s="1" t="n">
        <v>6897</v>
      </c>
      <c r="Q2743" s="1" t="s">
        <v>15568</v>
      </c>
      <c r="R2743" s="1" t="s">
        <v>15569</v>
      </c>
      <c r="S2743" s="1" t="s">
        <v>15570</v>
      </c>
      <c r="T2743" s="1" t="s">
        <v>9509</v>
      </c>
      <c r="U2743" s="1" t="s">
        <v>15571</v>
      </c>
    </row>
    <row r="2744" customFormat="false" ht="13.8" hidden="false" customHeight="false" outlineLevel="0" collapsed="false">
      <c r="A2744" s="1" t="n">
        <v>2743</v>
      </c>
      <c r="B2744" s="2" t="s">
        <v>15572</v>
      </c>
      <c r="C2744" s="1" t="n">
        <v>13</v>
      </c>
      <c r="D2744" s="1" t="n">
        <v>25</v>
      </c>
      <c r="E2744" s="1" t="n">
        <v>27</v>
      </c>
      <c r="F2744" s="1" t="n">
        <v>30</v>
      </c>
      <c r="G2744" s="1" t="n">
        <v>37</v>
      </c>
      <c r="H2744" s="1" t="n">
        <v>53</v>
      </c>
      <c r="I2744" s="1" t="str">
        <f aca="false">RIGHT(("0"&amp;C2744),2)&amp;RIGHT(("0"&amp;D2744),2)&amp;RIGHT(("0"&amp;E2744),2)&amp;RIGHT(("0"&amp;F2744),2)&amp;RIGHT(("0"&amp;G2744),2)&amp;RIGHT(("0"&amp;H2744),2)</f>
        <v>132527303753</v>
      </c>
      <c r="J2744" s="1" t="n">
        <f aca="false">COUNTIF(I:I,I2744)</f>
        <v>1</v>
      </c>
      <c r="K2744" s="1" t="n">
        <v>0</v>
      </c>
      <c r="M2744" s="1" t="s">
        <v>23</v>
      </c>
      <c r="N2744" s="1" t="n">
        <v>147</v>
      </c>
      <c r="O2744" s="1" t="s">
        <v>15573</v>
      </c>
      <c r="P2744" s="1" t="n">
        <v>9980</v>
      </c>
      <c r="Q2744" s="1" t="s">
        <v>15574</v>
      </c>
      <c r="R2744" s="1" t="s">
        <v>15575</v>
      </c>
      <c r="S2744" s="1" t="s">
        <v>15576</v>
      </c>
      <c r="T2744" s="1" t="s">
        <v>5601</v>
      </c>
      <c r="U2744" s="1" t="s">
        <v>15577</v>
      </c>
    </row>
    <row r="2745" customFormat="false" ht="13.8" hidden="false" customHeight="false" outlineLevel="0" collapsed="false">
      <c r="A2745" s="1" t="n">
        <v>2744</v>
      </c>
      <c r="B2745" s="2" t="s">
        <v>15578</v>
      </c>
      <c r="C2745" s="1" t="n">
        <v>10</v>
      </c>
      <c r="D2745" s="1" t="n">
        <v>25</v>
      </c>
      <c r="E2745" s="1" t="n">
        <v>26</v>
      </c>
      <c r="F2745" s="1" t="n">
        <v>33</v>
      </c>
      <c r="G2745" s="1" t="n">
        <v>34</v>
      </c>
      <c r="H2745" s="1" t="n">
        <v>38</v>
      </c>
      <c r="I2745" s="1" t="str">
        <f aca="false">RIGHT(("0"&amp;C2745),2)&amp;RIGHT(("0"&amp;D2745),2)&amp;RIGHT(("0"&amp;E2745),2)&amp;RIGHT(("0"&amp;F2745),2)&amp;RIGHT(("0"&amp;G2745),2)&amp;RIGHT(("0"&amp;H2745),2)</f>
        <v>102526333438</v>
      </c>
      <c r="J2745" s="1" t="n">
        <f aca="false">COUNTIF(I:I,I2745)</f>
        <v>1</v>
      </c>
      <c r="K2745" s="1" t="n">
        <v>0</v>
      </c>
      <c r="M2745" s="1" t="s">
        <v>23</v>
      </c>
      <c r="N2745" s="1" t="n">
        <v>102</v>
      </c>
      <c r="O2745" s="1" t="s">
        <v>15579</v>
      </c>
      <c r="P2745" s="1" t="n">
        <v>8310</v>
      </c>
      <c r="Q2745" s="1" t="s">
        <v>15580</v>
      </c>
      <c r="R2745" s="1" t="s">
        <v>15581</v>
      </c>
      <c r="S2745" s="1" t="s">
        <v>15582</v>
      </c>
      <c r="T2745" s="1" t="s">
        <v>6916</v>
      </c>
      <c r="U2745" s="1" t="s">
        <v>15583</v>
      </c>
    </row>
    <row r="2746" customFormat="false" ht="13.8" hidden="false" customHeight="false" outlineLevel="0" collapsed="false">
      <c r="A2746" s="1" t="n">
        <v>2745</v>
      </c>
      <c r="B2746" s="2" t="s">
        <v>15584</v>
      </c>
      <c r="C2746" s="1" t="n">
        <v>2</v>
      </c>
      <c r="D2746" s="1" t="n">
        <v>5</v>
      </c>
      <c r="E2746" s="1" t="n">
        <v>7</v>
      </c>
      <c r="F2746" s="1" t="n">
        <v>11</v>
      </c>
      <c r="G2746" s="1" t="n">
        <v>52</v>
      </c>
      <c r="H2746" s="1" t="n">
        <v>57</v>
      </c>
      <c r="I2746" s="1" t="str">
        <f aca="false">RIGHT(("0"&amp;C2746),2)&amp;RIGHT(("0"&amp;D2746),2)&amp;RIGHT(("0"&amp;E2746),2)&amp;RIGHT(("0"&amp;F2746),2)&amp;RIGHT(("0"&amp;G2746),2)&amp;RIGHT(("0"&amp;H2746),2)</f>
        <v>020507115257</v>
      </c>
      <c r="J2746" s="1" t="n">
        <f aca="false">COUNTIF(I:I,I2746)</f>
        <v>1</v>
      </c>
      <c r="K2746" s="1" t="n">
        <v>3</v>
      </c>
      <c r="L2746" s="1" t="s">
        <v>15585</v>
      </c>
      <c r="M2746" s="1" t="s">
        <v>15586</v>
      </c>
      <c r="N2746" s="1" t="n">
        <v>317</v>
      </c>
      <c r="O2746" s="1" t="s">
        <v>15587</v>
      </c>
      <c r="P2746" s="1" t="n">
        <v>14270</v>
      </c>
      <c r="Q2746" s="1" t="s">
        <v>15588</v>
      </c>
      <c r="R2746" s="1" t="s">
        <v>23</v>
      </c>
      <c r="S2746" s="1" t="s">
        <v>15589</v>
      </c>
      <c r="T2746" s="1" t="s">
        <v>4337</v>
      </c>
      <c r="U2746" s="1" t="s">
        <v>15590</v>
      </c>
    </row>
    <row r="2747" customFormat="false" ht="13.8" hidden="false" customHeight="false" outlineLevel="0" collapsed="false">
      <c r="A2747" s="1" t="n">
        <v>2746</v>
      </c>
      <c r="B2747" s="2" t="s">
        <v>15591</v>
      </c>
      <c r="C2747" s="1" t="n">
        <v>22</v>
      </c>
      <c r="D2747" s="1" t="n">
        <v>27</v>
      </c>
      <c r="E2747" s="1" t="n">
        <v>30</v>
      </c>
      <c r="F2747" s="1" t="n">
        <v>43</v>
      </c>
      <c r="G2747" s="1" t="n">
        <v>51</v>
      </c>
      <c r="H2747" s="1" t="n">
        <v>56</v>
      </c>
      <c r="I2747" s="1" t="str">
        <f aca="false">RIGHT(("0"&amp;C2747),2)&amp;RIGHT(("0"&amp;D2747),2)&amp;RIGHT(("0"&amp;E2747),2)&amp;RIGHT(("0"&amp;F2747),2)&amp;RIGHT(("0"&amp;G2747),2)&amp;RIGHT(("0"&amp;H2747),2)</f>
        <v>222730435156</v>
      </c>
      <c r="J2747" s="1" t="n">
        <f aca="false">COUNTIF(I:I,I2747)</f>
        <v>1</v>
      </c>
      <c r="K2747" s="1" t="n">
        <v>0</v>
      </c>
      <c r="M2747" s="1" t="s">
        <v>23</v>
      </c>
      <c r="N2747" s="1" t="n">
        <v>35</v>
      </c>
      <c r="O2747" s="1" t="s">
        <v>15592</v>
      </c>
      <c r="P2747" s="1" t="n">
        <v>2485</v>
      </c>
      <c r="Q2747" s="1" t="s">
        <v>15593</v>
      </c>
      <c r="R2747" s="1" t="s">
        <v>15594</v>
      </c>
      <c r="S2747" s="1" t="s">
        <v>15595</v>
      </c>
      <c r="T2747" s="1" t="s">
        <v>4190</v>
      </c>
      <c r="U2747" s="1" t="s">
        <v>15596</v>
      </c>
    </row>
    <row r="2748" customFormat="false" ht="13.8" hidden="false" customHeight="false" outlineLevel="0" collapsed="false">
      <c r="A2748" s="1" t="n">
        <v>2747</v>
      </c>
      <c r="B2748" s="2" t="s">
        <v>15597</v>
      </c>
      <c r="C2748" s="1" t="n">
        <v>14</v>
      </c>
      <c r="D2748" s="1" t="n">
        <v>17</v>
      </c>
      <c r="E2748" s="1" t="n">
        <v>24</v>
      </c>
      <c r="F2748" s="1" t="n">
        <v>28</v>
      </c>
      <c r="G2748" s="1" t="n">
        <v>36</v>
      </c>
      <c r="H2748" s="1" t="n">
        <v>45</v>
      </c>
      <c r="I2748" s="1" t="str">
        <f aca="false">RIGHT(("0"&amp;C2748),2)&amp;RIGHT(("0"&amp;D2748),2)&amp;RIGHT(("0"&amp;E2748),2)&amp;RIGHT(("0"&amp;F2748),2)&amp;RIGHT(("0"&amp;G2748),2)&amp;RIGHT(("0"&amp;H2748),2)</f>
        <v>141724283645</v>
      </c>
      <c r="J2748" s="1" t="n">
        <f aca="false">COUNTIF(I:I,I2748)</f>
        <v>1</v>
      </c>
      <c r="K2748" s="1" t="n">
        <v>0</v>
      </c>
      <c r="M2748" s="1" t="s">
        <v>23</v>
      </c>
      <c r="N2748" s="1" t="n">
        <v>108</v>
      </c>
      <c r="O2748" s="1" t="s">
        <v>15598</v>
      </c>
      <c r="P2748" s="1" t="n">
        <v>4472</v>
      </c>
      <c r="Q2748" s="1" t="s">
        <v>15599</v>
      </c>
      <c r="R2748" s="1" t="s">
        <v>15600</v>
      </c>
      <c r="S2748" s="1" t="s">
        <v>15601</v>
      </c>
      <c r="T2748" s="1" t="s">
        <v>3602</v>
      </c>
      <c r="U2748" s="1" t="s">
        <v>15602</v>
      </c>
    </row>
    <row r="2749" customFormat="false" ht="13.8" hidden="false" customHeight="false" outlineLevel="0" collapsed="false">
      <c r="A2749" s="1" t="n">
        <v>2748</v>
      </c>
      <c r="B2749" s="2" t="s">
        <v>15603</v>
      </c>
      <c r="C2749" s="1" t="n">
        <v>19</v>
      </c>
      <c r="D2749" s="1" t="n">
        <v>32</v>
      </c>
      <c r="E2749" s="1" t="n">
        <v>43</v>
      </c>
      <c r="F2749" s="1" t="n">
        <v>46</v>
      </c>
      <c r="G2749" s="1" t="n">
        <v>50</v>
      </c>
      <c r="H2749" s="1" t="n">
        <v>52</v>
      </c>
      <c r="I2749" s="1" t="str">
        <f aca="false">RIGHT(("0"&amp;C2749),2)&amp;RIGHT(("0"&amp;D2749),2)&amp;RIGHT(("0"&amp;E2749),2)&amp;RIGHT(("0"&amp;F2749),2)&amp;RIGHT(("0"&amp;G2749),2)&amp;RIGHT(("0"&amp;H2749),2)</f>
        <v>193243465052</v>
      </c>
      <c r="J2749" s="1" t="n">
        <f aca="false">COUNTIF(I:I,I2749)</f>
        <v>1</v>
      </c>
      <c r="K2749" s="1" t="n">
        <v>0</v>
      </c>
      <c r="M2749" s="1" t="s">
        <v>23</v>
      </c>
      <c r="N2749" s="1" t="n">
        <v>41</v>
      </c>
      <c r="O2749" s="1" t="s">
        <v>15604</v>
      </c>
      <c r="P2749" s="1" t="n">
        <v>2911</v>
      </c>
      <c r="Q2749" s="1" t="s">
        <v>15605</v>
      </c>
      <c r="R2749" s="1" t="s">
        <v>15606</v>
      </c>
      <c r="S2749" s="1" t="s">
        <v>15607</v>
      </c>
      <c r="T2749" s="1" t="s">
        <v>4299</v>
      </c>
      <c r="U2749" s="1" t="s">
        <v>15608</v>
      </c>
    </row>
    <row r="2750" customFormat="false" ht="13.8" hidden="false" customHeight="false" outlineLevel="0" collapsed="false">
      <c r="A2750" s="1" t="n">
        <v>2749</v>
      </c>
      <c r="B2750" s="2" t="s">
        <v>15609</v>
      </c>
      <c r="C2750" s="1" t="n">
        <v>8</v>
      </c>
      <c r="D2750" s="1" t="n">
        <v>25</v>
      </c>
      <c r="E2750" s="1" t="n">
        <v>27</v>
      </c>
      <c r="F2750" s="1" t="n">
        <v>38</v>
      </c>
      <c r="G2750" s="1" t="n">
        <v>43</v>
      </c>
      <c r="H2750" s="1" t="n">
        <v>44</v>
      </c>
      <c r="I2750" s="1" t="str">
        <f aca="false">RIGHT(("0"&amp;C2750),2)&amp;RIGHT(("0"&amp;D2750),2)&amp;RIGHT(("0"&amp;E2750),2)&amp;RIGHT(("0"&amp;F2750),2)&amp;RIGHT(("0"&amp;G2750),2)&amp;RIGHT(("0"&amp;H2750),2)</f>
        <v>082527384344</v>
      </c>
      <c r="J2750" s="1" t="n">
        <f aca="false">COUNTIF(I:I,I2750)</f>
        <v>1</v>
      </c>
      <c r="K2750" s="1" t="n">
        <v>0</v>
      </c>
      <c r="M2750" s="1" t="s">
        <v>23</v>
      </c>
      <c r="N2750" s="1" t="n">
        <v>43</v>
      </c>
      <c r="O2750" s="1" t="s">
        <v>15610</v>
      </c>
      <c r="P2750" s="1" t="n">
        <v>3843</v>
      </c>
      <c r="Q2750" s="1" t="s">
        <v>15611</v>
      </c>
      <c r="R2750" s="1" t="s">
        <v>15612</v>
      </c>
      <c r="S2750" s="1" t="s">
        <v>15613</v>
      </c>
      <c r="T2750" s="1" t="s">
        <v>5782</v>
      </c>
      <c r="U2750" s="1" t="s">
        <v>15614</v>
      </c>
    </row>
    <row r="2751" customFormat="false" ht="13.8" hidden="false" customHeight="false" outlineLevel="0" collapsed="false">
      <c r="A2751" s="1" t="n">
        <v>2750</v>
      </c>
      <c r="B2751" s="2" t="s">
        <v>15615</v>
      </c>
      <c r="C2751" s="1" t="n">
        <v>7</v>
      </c>
      <c r="D2751" s="1" t="n">
        <v>11</v>
      </c>
      <c r="E2751" s="1" t="n">
        <v>12</v>
      </c>
      <c r="F2751" s="1" t="n">
        <v>19</v>
      </c>
      <c r="G2751" s="1" t="n">
        <v>36</v>
      </c>
      <c r="H2751" s="1" t="n">
        <v>52</v>
      </c>
      <c r="I2751" s="1" t="str">
        <f aca="false">RIGHT(("0"&amp;C2751),2)&amp;RIGHT(("0"&amp;D2751),2)&amp;RIGHT(("0"&amp;E2751),2)&amp;RIGHT(("0"&amp;F2751),2)&amp;RIGHT(("0"&amp;G2751),2)&amp;RIGHT(("0"&amp;H2751),2)</f>
        <v>071112193652</v>
      </c>
      <c r="J2751" s="1" t="n">
        <f aca="false">COUNTIF(I:I,I2751)</f>
        <v>1</v>
      </c>
      <c r="K2751" s="1" t="n">
        <v>0</v>
      </c>
      <c r="M2751" s="1" t="s">
        <v>23</v>
      </c>
      <c r="N2751" s="1" t="n">
        <v>201</v>
      </c>
      <c r="O2751" s="1" t="s">
        <v>15616</v>
      </c>
      <c r="P2751" s="1" t="n">
        <v>5899</v>
      </c>
      <c r="Q2751" s="1" t="s">
        <v>15617</v>
      </c>
      <c r="R2751" s="1" t="s">
        <v>15618</v>
      </c>
      <c r="S2751" s="1" t="s">
        <v>15619</v>
      </c>
      <c r="T2751" s="1" t="s">
        <v>6084</v>
      </c>
      <c r="U2751" s="1" t="s">
        <v>15620</v>
      </c>
    </row>
    <row r="2752" customFormat="false" ht="13.8" hidden="false" customHeight="false" outlineLevel="0" collapsed="false">
      <c r="A2752" s="1" t="n">
        <v>2751</v>
      </c>
      <c r="B2752" s="2" t="s">
        <v>15621</v>
      </c>
      <c r="C2752" s="1" t="n">
        <v>4</v>
      </c>
      <c r="D2752" s="1" t="n">
        <v>13</v>
      </c>
      <c r="E2752" s="1" t="n">
        <v>18</v>
      </c>
      <c r="F2752" s="1" t="n">
        <v>42</v>
      </c>
      <c r="G2752" s="1" t="n">
        <v>52</v>
      </c>
      <c r="H2752" s="1" t="n">
        <v>53</v>
      </c>
      <c r="I2752" s="1" t="str">
        <f aca="false">RIGHT(("0"&amp;C2752),2)&amp;RIGHT(("0"&amp;D2752),2)&amp;RIGHT(("0"&amp;E2752),2)&amp;RIGHT(("0"&amp;F2752),2)&amp;RIGHT(("0"&amp;G2752),2)&amp;RIGHT(("0"&amp;H2752),2)</f>
        <v>041318425253</v>
      </c>
      <c r="J2752" s="1" t="n">
        <f aca="false">COUNTIF(I:I,I2752)</f>
        <v>1</v>
      </c>
      <c r="K2752" s="1" t="n">
        <v>0</v>
      </c>
      <c r="M2752" s="1" t="s">
        <v>23</v>
      </c>
      <c r="N2752" s="1" t="n">
        <v>60</v>
      </c>
      <c r="O2752" s="1" t="s">
        <v>15622</v>
      </c>
      <c r="P2752" s="1" t="n">
        <v>4978</v>
      </c>
      <c r="Q2752" s="1" t="s">
        <v>15623</v>
      </c>
      <c r="R2752" s="1" t="s">
        <v>15624</v>
      </c>
      <c r="S2752" s="1" t="s">
        <v>15625</v>
      </c>
      <c r="T2752" s="1" t="s">
        <v>5699</v>
      </c>
      <c r="U2752" s="1" t="s">
        <v>15626</v>
      </c>
    </row>
    <row r="2753" customFormat="false" ht="13.8" hidden="false" customHeight="false" outlineLevel="0" collapsed="false">
      <c r="A2753" s="1" t="n">
        <v>2752</v>
      </c>
      <c r="B2753" s="2" t="s">
        <v>15627</v>
      </c>
      <c r="C2753" s="1" t="n">
        <v>4</v>
      </c>
      <c r="D2753" s="1" t="n">
        <v>15</v>
      </c>
      <c r="E2753" s="1" t="n">
        <v>24</v>
      </c>
      <c r="F2753" s="1" t="n">
        <v>40</v>
      </c>
      <c r="G2753" s="1" t="n">
        <v>44</v>
      </c>
      <c r="H2753" s="1" t="n">
        <v>47</v>
      </c>
      <c r="I2753" s="1" t="str">
        <f aca="false">RIGHT(("0"&amp;C2753),2)&amp;RIGHT(("0"&amp;D2753),2)&amp;RIGHT(("0"&amp;E2753),2)&amp;RIGHT(("0"&amp;F2753),2)&amp;RIGHT(("0"&amp;G2753),2)&amp;RIGHT(("0"&amp;H2753),2)</f>
        <v>041524404447</v>
      </c>
      <c r="J2753" s="1" t="n">
        <f aca="false">COUNTIF(I:I,I2753)</f>
        <v>1</v>
      </c>
      <c r="K2753" s="1" t="n">
        <v>0</v>
      </c>
      <c r="M2753" s="1" t="s">
        <v>23</v>
      </c>
      <c r="N2753" s="1" t="n">
        <v>65</v>
      </c>
      <c r="O2753" s="1" t="s">
        <v>15628</v>
      </c>
      <c r="P2753" s="1" t="n">
        <v>4346</v>
      </c>
      <c r="Q2753" s="1" t="s">
        <v>15629</v>
      </c>
      <c r="R2753" s="1" t="s">
        <v>15630</v>
      </c>
      <c r="S2753" s="1" t="s">
        <v>15631</v>
      </c>
      <c r="T2753" s="1" t="s">
        <v>9211</v>
      </c>
      <c r="U2753" s="1" t="s">
        <v>15632</v>
      </c>
    </row>
    <row r="2754" customFormat="false" ht="13.8" hidden="false" customHeight="false" outlineLevel="0" collapsed="false">
      <c r="A2754" s="1" t="n">
        <v>2753</v>
      </c>
      <c r="B2754" s="2" t="s">
        <v>15633</v>
      </c>
      <c r="C2754" s="1" t="n">
        <v>6</v>
      </c>
      <c r="D2754" s="1" t="n">
        <v>26</v>
      </c>
      <c r="E2754" s="1" t="n">
        <v>31</v>
      </c>
      <c r="F2754" s="1" t="n">
        <v>46</v>
      </c>
      <c r="G2754" s="1" t="n">
        <v>52</v>
      </c>
      <c r="H2754" s="1" t="n">
        <v>55</v>
      </c>
      <c r="I2754" s="1" t="str">
        <f aca="false">RIGHT(("0"&amp;C2754),2)&amp;RIGHT(("0"&amp;D2754),2)&amp;RIGHT(("0"&amp;E2754),2)&amp;RIGHT(("0"&amp;F2754),2)&amp;RIGHT(("0"&amp;G2754),2)&amp;RIGHT(("0"&amp;H2754),2)</f>
        <v>062631465255</v>
      </c>
      <c r="J2754" s="1" t="n">
        <f aca="false">COUNTIF(I:I,I2754)</f>
        <v>1</v>
      </c>
      <c r="K2754" s="1" t="n">
        <v>0</v>
      </c>
      <c r="M2754" s="1" t="s">
        <v>23</v>
      </c>
      <c r="N2754" s="1" t="n">
        <v>45</v>
      </c>
      <c r="O2754" s="1" t="s">
        <v>15634</v>
      </c>
      <c r="P2754" s="1" t="n">
        <v>3695</v>
      </c>
      <c r="Q2754" s="1" t="s">
        <v>15635</v>
      </c>
      <c r="R2754" s="1" t="s">
        <v>15636</v>
      </c>
      <c r="S2754" s="1" t="s">
        <v>15637</v>
      </c>
      <c r="T2754" s="1" t="s">
        <v>6566</v>
      </c>
      <c r="U2754" s="1" t="s">
        <v>15638</v>
      </c>
    </row>
    <row r="2755" customFormat="false" ht="13.8" hidden="false" customHeight="false" outlineLevel="0" collapsed="false">
      <c r="A2755" s="1" t="n">
        <v>2754</v>
      </c>
      <c r="B2755" s="2" t="s">
        <v>15639</v>
      </c>
      <c r="C2755" s="1" t="n">
        <v>10</v>
      </c>
      <c r="D2755" s="1" t="n">
        <v>14</v>
      </c>
      <c r="E2755" s="1" t="n">
        <v>44</v>
      </c>
      <c r="F2755" s="1" t="n">
        <v>55</v>
      </c>
      <c r="G2755" s="1" t="n">
        <v>56</v>
      </c>
      <c r="H2755" s="1" t="n">
        <v>58</v>
      </c>
      <c r="I2755" s="1" t="str">
        <f aca="false">RIGHT(("0"&amp;C2755),2)&amp;RIGHT(("0"&amp;D2755),2)&amp;RIGHT(("0"&amp;E2755),2)&amp;RIGHT(("0"&amp;F2755),2)&amp;RIGHT(("0"&amp;G2755),2)&amp;RIGHT(("0"&amp;H2755),2)</f>
        <v>101444555658</v>
      </c>
      <c r="J2755" s="1" t="n">
        <f aca="false">COUNTIF(I:I,I2755)</f>
        <v>1</v>
      </c>
      <c r="K2755" s="1" t="n">
        <v>0</v>
      </c>
      <c r="M2755" s="1" t="s">
        <v>23</v>
      </c>
      <c r="N2755" s="1" t="n">
        <v>66</v>
      </c>
      <c r="O2755" s="1" t="s">
        <v>15640</v>
      </c>
      <c r="P2755" s="1" t="n">
        <v>5216</v>
      </c>
      <c r="Q2755" s="1" t="s">
        <v>15641</v>
      </c>
      <c r="R2755" s="1" t="s">
        <v>15642</v>
      </c>
      <c r="S2755" s="1" t="s">
        <v>15643</v>
      </c>
      <c r="T2755" s="1" t="s">
        <v>9535</v>
      </c>
      <c r="U2755" s="1" t="s">
        <v>15644</v>
      </c>
    </row>
    <row r="2756" customFormat="false" ht="13.8" hidden="false" customHeight="false" outlineLevel="0" collapsed="false">
      <c r="A2756" s="1" t="n">
        <v>2755</v>
      </c>
      <c r="B2756" s="2" t="s">
        <v>15645</v>
      </c>
      <c r="C2756" s="1" t="n">
        <v>7</v>
      </c>
      <c r="D2756" s="1" t="n">
        <v>13</v>
      </c>
      <c r="E2756" s="1" t="n">
        <v>17</v>
      </c>
      <c r="F2756" s="1" t="n">
        <v>33</v>
      </c>
      <c r="G2756" s="1" t="n">
        <v>41</v>
      </c>
      <c r="H2756" s="1" t="n">
        <v>58</v>
      </c>
      <c r="I2756" s="1" t="str">
        <f aca="false">RIGHT(("0"&amp;C2756),2)&amp;RIGHT(("0"&amp;D2756),2)&amp;RIGHT(("0"&amp;E2756),2)&amp;RIGHT(("0"&amp;F2756),2)&amp;RIGHT(("0"&amp;G2756),2)&amp;RIGHT(("0"&amp;H2756),2)</f>
        <v>071317334158</v>
      </c>
      <c r="J2756" s="1" t="n">
        <f aca="false">COUNTIF(I:I,I2756)</f>
        <v>1</v>
      </c>
      <c r="K2756" s="1" t="n">
        <v>3</v>
      </c>
      <c r="L2756" s="1" t="s">
        <v>15646</v>
      </c>
      <c r="M2756" s="1" t="s">
        <v>15647</v>
      </c>
      <c r="N2756" s="1" t="n">
        <v>253</v>
      </c>
      <c r="O2756" s="1" t="s">
        <v>15648</v>
      </c>
      <c r="P2756" s="1" t="n">
        <v>13415</v>
      </c>
      <c r="Q2756" s="1" t="s">
        <v>15649</v>
      </c>
      <c r="R2756" s="1" t="s">
        <v>23</v>
      </c>
      <c r="S2756" s="1" t="s">
        <v>15650</v>
      </c>
      <c r="T2756" s="1" t="s">
        <v>4337</v>
      </c>
      <c r="U2756" s="1" t="s">
        <v>15651</v>
      </c>
    </row>
    <row r="2757" customFormat="false" ht="13.8" hidden="false" customHeight="false" outlineLevel="0" collapsed="false">
      <c r="A2757" s="1" t="n">
        <v>2756</v>
      </c>
      <c r="B2757" s="2" t="s">
        <v>15652</v>
      </c>
      <c r="C2757" s="1" t="n">
        <v>1</v>
      </c>
      <c r="D2757" s="1" t="n">
        <v>6</v>
      </c>
      <c r="E2757" s="1" t="n">
        <v>13</v>
      </c>
      <c r="F2757" s="1" t="n">
        <v>18</v>
      </c>
      <c r="G2757" s="1" t="n">
        <v>43</v>
      </c>
      <c r="H2757" s="1" t="n">
        <v>46</v>
      </c>
      <c r="I2757" s="1" t="str">
        <f aca="false">RIGHT(("0"&amp;C2757),2)&amp;RIGHT(("0"&amp;D2757),2)&amp;RIGHT(("0"&amp;E2757),2)&amp;RIGHT(("0"&amp;F2757),2)&amp;RIGHT(("0"&amp;G2757),2)&amp;RIGHT(("0"&amp;H2757),2)</f>
        <v>010613184346</v>
      </c>
      <c r="J2757" s="1" t="n">
        <f aca="false">COUNTIF(I:I,I2757)</f>
        <v>1</v>
      </c>
      <c r="K2757" s="1" t="n">
        <v>0</v>
      </c>
      <c r="M2757" s="1" t="s">
        <v>23</v>
      </c>
      <c r="N2757" s="1" t="n">
        <v>48</v>
      </c>
      <c r="O2757" s="1" t="s">
        <v>15653</v>
      </c>
      <c r="P2757" s="1" t="n">
        <v>2714</v>
      </c>
      <c r="Q2757" s="1" t="s">
        <v>15654</v>
      </c>
      <c r="R2757" s="1" t="s">
        <v>15655</v>
      </c>
      <c r="S2757" s="1" t="s">
        <v>15656</v>
      </c>
      <c r="T2757" s="1" t="s">
        <v>5931</v>
      </c>
      <c r="U2757" s="1" t="s">
        <v>15657</v>
      </c>
    </row>
    <row r="2758" customFormat="false" ht="13.8" hidden="false" customHeight="false" outlineLevel="0" collapsed="false">
      <c r="A2758" s="1" t="n">
        <v>2757</v>
      </c>
      <c r="B2758" s="2" t="s">
        <v>15658</v>
      </c>
      <c r="C2758" s="1" t="n">
        <v>1</v>
      </c>
      <c r="D2758" s="1" t="n">
        <v>21</v>
      </c>
      <c r="E2758" s="1" t="n">
        <v>37</v>
      </c>
      <c r="F2758" s="1" t="n">
        <v>40</v>
      </c>
      <c r="G2758" s="1" t="n">
        <v>51</v>
      </c>
      <c r="H2758" s="1" t="n">
        <v>54</v>
      </c>
      <c r="I2758" s="1" t="str">
        <f aca="false">RIGHT(("0"&amp;C2758),2)&amp;RIGHT(("0"&amp;D2758),2)&amp;RIGHT(("0"&amp;E2758),2)&amp;RIGHT(("0"&amp;F2758),2)&amp;RIGHT(("0"&amp;G2758),2)&amp;RIGHT(("0"&amp;H2758),2)</f>
        <v>012137405154</v>
      </c>
      <c r="J2758" s="1" t="n">
        <f aca="false">COUNTIF(I:I,I2758)</f>
        <v>1</v>
      </c>
      <c r="K2758" s="1" t="n">
        <v>0</v>
      </c>
      <c r="M2758" s="1" t="s">
        <v>23</v>
      </c>
      <c r="N2758" s="1" t="n">
        <v>32</v>
      </c>
      <c r="O2758" s="1" t="s">
        <v>15659</v>
      </c>
      <c r="P2758" s="1" t="n">
        <v>2000</v>
      </c>
      <c r="Q2758" s="1" t="s">
        <v>15660</v>
      </c>
      <c r="R2758" s="1" t="s">
        <v>15661</v>
      </c>
      <c r="S2758" s="1" t="s">
        <v>15662</v>
      </c>
      <c r="T2758" s="1" t="s">
        <v>3727</v>
      </c>
      <c r="U2758" s="1" t="s">
        <v>15663</v>
      </c>
    </row>
    <row r="2759" customFormat="false" ht="13.8" hidden="false" customHeight="false" outlineLevel="0" collapsed="false">
      <c r="A2759" s="1" t="n">
        <v>2758</v>
      </c>
      <c r="B2759" s="2" t="s">
        <v>15664</v>
      </c>
      <c r="C2759" s="1" t="n">
        <v>19</v>
      </c>
      <c r="D2759" s="1" t="n">
        <v>35</v>
      </c>
      <c r="E2759" s="1" t="n">
        <v>36</v>
      </c>
      <c r="F2759" s="1" t="n">
        <v>37</v>
      </c>
      <c r="G2759" s="1" t="n">
        <v>41</v>
      </c>
      <c r="H2759" s="1" t="n">
        <v>60</v>
      </c>
      <c r="I2759" s="1" t="str">
        <f aca="false">RIGHT(("0"&amp;C2759),2)&amp;RIGHT(("0"&amp;D2759),2)&amp;RIGHT(("0"&amp;E2759),2)&amp;RIGHT(("0"&amp;F2759),2)&amp;RIGHT(("0"&amp;G2759),2)&amp;RIGHT(("0"&amp;H2759),2)</f>
        <v>193536374160</v>
      </c>
      <c r="J2759" s="1" t="n">
        <f aca="false">COUNTIF(I:I,I2759)</f>
        <v>1</v>
      </c>
      <c r="K2759" s="1" t="n">
        <v>0</v>
      </c>
      <c r="M2759" s="1" t="s">
        <v>23</v>
      </c>
      <c r="N2759" s="1" t="n">
        <v>31</v>
      </c>
      <c r="O2759" s="1" t="s">
        <v>15665</v>
      </c>
      <c r="P2759" s="1" t="n">
        <v>2157</v>
      </c>
      <c r="Q2759" s="1" t="s">
        <v>15666</v>
      </c>
      <c r="R2759" s="1" t="s">
        <v>15667</v>
      </c>
      <c r="S2759" s="1" t="s">
        <v>15668</v>
      </c>
      <c r="T2759" s="1" t="s">
        <v>3928</v>
      </c>
      <c r="U2759" s="1" t="s">
        <v>15669</v>
      </c>
    </row>
    <row r="2760" customFormat="false" ht="13.8" hidden="false" customHeight="false" outlineLevel="0" collapsed="false">
      <c r="A2760" s="1" t="n">
        <v>2759</v>
      </c>
      <c r="B2760" s="2" t="s">
        <v>15670</v>
      </c>
      <c r="C2760" s="1" t="n">
        <v>3</v>
      </c>
      <c r="D2760" s="1" t="n">
        <v>10</v>
      </c>
      <c r="E2760" s="1" t="n">
        <v>38</v>
      </c>
      <c r="F2760" s="1" t="n">
        <v>40</v>
      </c>
      <c r="G2760" s="1" t="n">
        <v>48</v>
      </c>
      <c r="H2760" s="1" t="n">
        <v>59</v>
      </c>
      <c r="I2760" s="1" t="str">
        <f aca="false">RIGHT(("0"&amp;C2760),2)&amp;RIGHT(("0"&amp;D2760),2)&amp;RIGHT(("0"&amp;E2760),2)&amp;RIGHT(("0"&amp;F2760),2)&amp;RIGHT(("0"&amp;G2760),2)&amp;RIGHT(("0"&amp;H2760),2)</f>
        <v>031038404859</v>
      </c>
      <c r="J2760" s="1" t="n">
        <f aca="false">COUNTIF(I:I,I2760)</f>
        <v>1</v>
      </c>
      <c r="K2760" s="1" t="n">
        <v>0</v>
      </c>
      <c r="M2760" s="1" t="s">
        <v>23</v>
      </c>
      <c r="N2760" s="1" t="n">
        <v>27</v>
      </c>
      <c r="O2760" s="1" t="s">
        <v>15671</v>
      </c>
      <c r="P2760" s="1" t="n">
        <v>2555</v>
      </c>
      <c r="Q2760" s="1" t="s">
        <v>15672</v>
      </c>
      <c r="R2760" s="1" t="s">
        <v>15673</v>
      </c>
      <c r="S2760" s="1" t="s">
        <v>15674</v>
      </c>
      <c r="T2760" s="1" t="s">
        <v>5294</v>
      </c>
      <c r="U2760" s="1" t="s">
        <v>15675</v>
      </c>
    </row>
    <row r="2761" customFormat="false" ht="13.8" hidden="false" customHeight="false" outlineLevel="0" collapsed="false">
      <c r="A2761" s="1" t="n">
        <v>2760</v>
      </c>
      <c r="B2761" s="2" t="s">
        <v>15676</v>
      </c>
      <c r="C2761" s="1" t="n">
        <v>8</v>
      </c>
      <c r="D2761" s="1" t="n">
        <v>11</v>
      </c>
      <c r="E2761" s="1" t="n">
        <v>19</v>
      </c>
      <c r="F2761" s="1" t="n">
        <v>39</v>
      </c>
      <c r="G2761" s="1" t="n">
        <v>47</v>
      </c>
      <c r="H2761" s="1" t="n">
        <v>48</v>
      </c>
      <c r="I2761" s="1" t="str">
        <f aca="false">RIGHT(("0"&amp;C2761),2)&amp;RIGHT(("0"&amp;D2761),2)&amp;RIGHT(("0"&amp;E2761),2)&amp;RIGHT(("0"&amp;F2761),2)&amp;RIGHT(("0"&amp;G2761),2)&amp;RIGHT(("0"&amp;H2761),2)</f>
        <v>081119394748</v>
      </c>
      <c r="J2761" s="1" t="n">
        <f aca="false">COUNTIF(I:I,I2761)</f>
        <v>1</v>
      </c>
      <c r="K2761" s="1" t="n">
        <v>0</v>
      </c>
      <c r="M2761" s="1" t="s">
        <v>23</v>
      </c>
      <c r="N2761" s="1" t="n">
        <v>57</v>
      </c>
      <c r="O2761" s="1" t="s">
        <v>15677</v>
      </c>
      <c r="P2761" s="1" t="n">
        <v>4957</v>
      </c>
      <c r="Q2761" s="1" t="s">
        <v>15678</v>
      </c>
      <c r="R2761" s="1" t="s">
        <v>15679</v>
      </c>
      <c r="S2761" s="1" t="s">
        <v>15680</v>
      </c>
      <c r="T2761" s="1" t="s">
        <v>6032</v>
      </c>
      <c r="U2761" s="1" t="s">
        <v>15681</v>
      </c>
    </row>
    <row r="2762" customFormat="false" ht="13.8" hidden="false" customHeight="false" outlineLevel="0" collapsed="false">
      <c r="A2762" s="1" t="n">
        <v>2761</v>
      </c>
      <c r="B2762" s="2" t="s">
        <v>15682</v>
      </c>
      <c r="C2762" s="1" t="n">
        <v>3</v>
      </c>
      <c r="D2762" s="1" t="n">
        <v>22</v>
      </c>
      <c r="E2762" s="1" t="n">
        <v>34</v>
      </c>
      <c r="F2762" s="1" t="n">
        <v>44</v>
      </c>
      <c r="G2762" s="1" t="n">
        <v>49</v>
      </c>
      <c r="H2762" s="1" t="n">
        <v>57</v>
      </c>
      <c r="I2762" s="1" t="str">
        <f aca="false">RIGHT(("0"&amp;C2762),2)&amp;RIGHT(("0"&amp;D2762),2)&amp;RIGHT(("0"&amp;E2762),2)&amp;RIGHT(("0"&amp;F2762),2)&amp;RIGHT(("0"&amp;G2762),2)&amp;RIGHT(("0"&amp;H2762),2)</f>
        <v>032234444957</v>
      </c>
      <c r="J2762" s="1" t="n">
        <f aca="false">COUNTIF(I:I,I2762)</f>
        <v>1</v>
      </c>
      <c r="K2762" s="1" t="n">
        <v>0</v>
      </c>
      <c r="M2762" s="1" t="s">
        <v>23</v>
      </c>
      <c r="N2762" s="1" t="n">
        <v>73</v>
      </c>
      <c r="O2762" s="1" t="s">
        <v>15683</v>
      </c>
      <c r="P2762" s="1" t="n">
        <v>4643</v>
      </c>
      <c r="Q2762" s="1" t="s">
        <v>15684</v>
      </c>
      <c r="R2762" s="1" t="s">
        <v>15685</v>
      </c>
      <c r="S2762" s="1" t="s">
        <v>15686</v>
      </c>
      <c r="T2762" s="1" t="s">
        <v>6559</v>
      </c>
      <c r="U2762" s="1" t="s">
        <v>15687</v>
      </c>
    </row>
    <row r="2763" customFormat="false" ht="13.8" hidden="false" customHeight="false" outlineLevel="0" collapsed="false">
      <c r="A2763" s="1" t="n">
        <v>2762</v>
      </c>
      <c r="B2763" s="2" t="s">
        <v>15688</v>
      </c>
      <c r="C2763" s="1" t="n">
        <v>1</v>
      </c>
      <c r="D2763" s="1" t="n">
        <v>17</v>
      </c>
      <c r="E2763" s="1" t="n">
        <v>30</v>
      </c>
      <c r="F2763" s="1" t="n">
        <v>40</v>
      </c>
      <c r="G2763" s="1" t="n">
        <v>48</v>
      </c>
      <c r="H2763" s="1" t="n">
        <v>50</v>
      </c>
      <c r="I2763" s="1" t="str">
        <f aca="false">RIGHT(("0"&amp;C2763),2)&amp;RIGHT(("0"&amp;D2763),2)&amp;RIGHT(("0"&amp;E2763),2)&amp;RIGHT(("0"&amp;F2763),2)&amp;RIGHT(("0"&amp;G2763),2)&amp;RIGHT(("0"&amp;H2763),2)</f>
        <v>011730404850</v>
      </c>
      <c r="J2763" s="1" t="n">
        <f aca="false">COUNTIF(I:I,I2763)</f>
        <v>1</v>
      </c>
      <c r="K2763" s="1" t="n">
        <v>0</v>
      </c>
      <c r="M2763" s="1" t="s">
        <v>23</v>
      </c>
      <c r="N2763" s="1" t="n">
        <v>43</v>
      </c>
      <c r="O2763" s="1" t="s">
        <v>15689</v>
      </c>
      <c r="P2763" s="1" t="n">
        <v>3574</v>
      </c>
      <c r="Q2763" s="1" t="s">
        <v>15690</v>
      </c>
      <c r="R2763" s="1" t="s">
        <v>15691</v>
      </c>
      <c r="S2763" s="1" t="s">
        <v>15692</v>
      </c>
      <c r="T2763" s="1" t="s">
        <v>5255</v>
      </c>
      <c r="U2763" s="1" t="s">
        <v>15693</v>
      </c>
    </row>
    <row r="2764" customFormat="false" ht="13.8" hidden="false" customHeight="false" outlineLevel="0" collapsed="false">
      <c r="A2764" s="1" t="n">
        <v>2763</v>
      </c>
      <c r="B2764" s="2" t="s">
        <v>15694</v>
      </c>
      <c r="C2764" s="1" t="n">
        <v>15</v>
      </c>
      <c r="D2764" s="1" t="n">
        <v>16</v>
      </c>
      <c r="E2764" s="1" t="n">
        <v>19</v>
      </c>
      <c r="F2764" s="1" t="n">
        <v>43</v>
      </c>
      <c r="G2764" s="1" t="n">
        <v>44</v>
      </c>
      <c r="H2764" s="1" t="n">
        <v>49</v>
      </c>
      <c r="I2764" s="1" t="str">
        <f aca="false">RIGHT(("0"&amp;C2764),2)&amp;RIGHT(("0"&amp;D2764),2)&amp;RIGHT(("0"&amp;E2764),2)&amp;RIGHT(("0"&amp;F2764),2)&amp;RIGHT(("0"&amp;G2764),2)&amp;RIGHT(("0"&amp;H2764),2)</f>
        <v>151619434449</v>
      </c>
      <c r="J2764" s="1" t="n">
        <f aca="false">COUNTIF(I:I,I2764)</f>
        <v>1</v>
      </c>
      <c r="K2764" s="1" t="n">
        <v>0</v>
      </c>
      <c r="M2764" s="1" t="s">
        <v>23</v>
      </c>
      <c r="N2764" s="1" t="n">
        <v>52</v>
      </c>
      <c r="O2764" s="1" t="s">
        <v>15695</v>
      </c>
      <c r="P2764" s="1" t="n">
        <v>4751</v>
      </c>
      <c r="Q2764" s="1" t="s">
        <v>15696</v>
      </c>
      <c r="R2764" s="1" t="s">
        <v>15697</v>
      </c>
      <c r="S2764" s="1" t="s">
        <v>15698</v>
      </c>
      <c r="T2764" s="1" t="s">
        <v>9211</v>
      </c>
      <c r="U2764" s="1" t="s">
        <v>15699</v>
      </c>
    </row>
    <row r="2765" customFormat="false" ht="13.8" hidden="false" customHeight="false" outlineLevel="0" collapsed="false">
      <c r="A2765" s="1" t="n">
        <v>2764</v>
      </c>
      <c r="B2765" s="2" t="s">
        <v>15700</v>
      </c>
      <c r="C2765" s="1" t="n">
        <v>20</v>
      </c>
      <c r="D2765" s="1" t="n">
        <v>31</v>
      </c>
      <c r="E2765" s="1" t="n">
        <v>34</v>
      </c>
      <c r="F2765" s="1" t="n">
        <v>38</v>
      </c>
      <c r="G2765" s="1" t="n">
        <v>42</v>
      </c>
      <c r="H2765" s="1" t="n">
        <v>51</v>
      </c>
      <c r="I2765" s="1" t="str">
        <f aca="false">RIGHT(("0"&amp;C2765),2)&amp;RIGHT(("0"&amp;D2765),2)&amp;RIGHT(("0"&amp;E2765),2)&amp;RIGHT(("0"&amp;F2765),2)&amp;RIGHT(("0"&amp;G2765),2)&amp;RIGHT(("0"&amp;H2765),2)</f>
        <v>203134384251</v>
      </c>
      <c r="J2765" s="1" t="n">
        <f aca="false">COUNTIF(I:I,I2765)</f>
        <v>1</v>
      </c>
      <c r="K2765" s="1" t="n">
        <v>1</v>
      </c>
      <c r="L2765" s="1" t="s">
        <v>15701</v>
      </c>
      <c r="M2765" s="1" t="s">
        <v>15702</v>
      </c>
      <c r="N2765" s="1" t="n">
        <v>62</v>
      </c>
      <c r="O2765" s="1" t="s">
        <v>15703</v>
      </c>
      <c r="P2765" s="1" t="n">
        <v>3343</v>
      </c>
      <c r="Q2765" s="1" t="s">
        <v>15704</v>
      </c>
      <c r="R2765" s="1" t="s">
        <v>15705</v>
      </c>
      <c r="S2765" s="1" t="s">
        <v>15706</v>
      </c>
      <c r="T2765" s="1" t="s">
        <v>3892</v>
      </c>
      <c r="U2765" s="1" t="s">
        <v>15707</v>
      </c>
    </row>
    <row r="2766" customFormat="false" ht="13.8" hidden="false" customHeight="false" outlineLevel="0" collapsed="false">
      <c r="A2766" s="1" t="n">
        <v>2765</v>
      </c>
      <c r="B2766" s="2" t="s">
        <v>15708</v>
      </c>
      <c r="C2766" s="1" t="n">
        <v>8</v>
      </c>
      <c r="D2766" s="1" t="n">
        <v>12</v>
      </c>
      <c r="E2766" s="1" t="n">
        <v>34</v>
      </c>
      <c r="F2766" s="1" t="n">
        <v>39</v>
      </c>
      <c r="G2766" s="1" t="n">
        <v>43</v>
      </c>
      <c r="H2766" s="1" t="n">
        <v>47</v>
      </c>
      <c r="I2766" s="1" t="str">
        <f aca="false">RIGHT(("0"&amp;C2766),2)&amp;RIGHT(("0"&amp;D2766),2)&amp;RIGHT(("0"&amp;E2766),2)&amp;RIGHT(("0"&amp;F2766),2)&amp;RIGHT(("0"&amp;G2766),2)&amp;RIGHT(("0"&amp;H2766),2)</f>
        <v>081234394347</v>
      </c>
      <c r="J2766" s="1" t="n">
        <f aca="false">COUNTIF(I:I,I2766)</f>
        <v>1</v>
      </c>
      <c r="K2766" s="1" t="n">
        <v>0</v>
      </c>
      <c r="M2766" s="1" t="s">
        <v>23</v>
      </c>
      <c r="N2766" s="1" t="n">
        <v>66</v>
      </c>
      <c r="O2766" s="1" t="s">
        <v>15709</v>
      </c>
      <c r="P2766" s="1" t="n">
        <v>3707</v>
      </c>
      <c r="Q2766" s="1" t="s">
        <v>15710</v>
      </c>
      <c r="R2766" s="1" t="s">
        <v>15711</v>
      </c>
      <c r="S2766" s="1" t="s">
        <v>15712</v>
      </c>
      <c r="T2766" s="1" t="s">
        <v>4304</v>
      </c>
      <c r="U2766" s="1" t="s">
        <v>15713</v>
      </c>
    </row>
    <row r="2767" customFormat="false" ht="13.8" hidden="false" customHeight="false" outlineLevel="0" collapsed="false">
      <c r="A2767" s="1" t="n">
        <v>2766</v>
      </c>
      <c r="B2767" s="2" t="s">
        <v>15714</v>
      </c>
      <c r="C2767" s="1" t="n">
        <v>9</v>
      </c>
      <c r="D2767" s="1" t="n">
        <v>10</v>
      </c>
      <c r="E2767" s="1" t="n">
        <v>34</v>
      </c>
      <c r="F2767" s="1" t="n">
        <v>36</v>
      </c>
      <c r="G2767" s="1" t="n">
        <v>38</v>
      </c>
      <c r="H2767" s="1" t="n">
        <v>44</v>
      </c>
      <c r="I2767" s="1" t="str">
        <f aca="false">RIGHT(("0"&amp;C2767),2)&amp;RIGHT(("0"&amp;D2767),2)&amp;RIGHT(("0"&amp;E2767),2)&amp;RIGHT(("0"&amp;F2767),2)&amp;RIGHT(("0"&amp;G2767),2)&amp;RIGHT(("0"&amp;H2767),2)</f>
        <v>091034363844</v>
      </c>
      <c r="J2767" s="1" t="n">
        <f aca="false">COUNTIF(I:I,I2767)</f>
        <v>1</v>
      </c>
      <c r="K2767" s="1" t="n">
        <v>2</v>
      </c>
      <c r="L2767" s="1" t="s">
        <v>15715</v>
      </c>
      <c r="M2767" s="1" t="s">
        <v>15716</v>
      </c>
      <c r="N2767" s="1" t="n">
        <v>54</v>
      </c>
      <c r="O2767" s="1" t="s">
        <v>15717</v>
      </c>
      <c r="P2767" s="1" t="n">
        <v>4329</v>
      </c>
      <c r="Q2767" s="1" t="s">
        <v>15718</v>
      </c>
      <c r="R2767" s="1" t="s">
        <v>23</v>
      </c>
      <c r="S2767" s="1" t="s">
        <v>15719</v>
      </c>
      <c r="T2767" s="1" t="s">
        <v>4337</v>
      </c>
      <c r="U2767" s="1" t="s">
        <v>15720</v>
      </c>
    </row>
    <row r="2768" customFormat="false" ht="13.8" hidden="false" customHeight="false" outlineLevel="0" collapsed="false">
      <c r="A2768" s="1" t="n">
        <v>2767</v>
      </c>
      <c r="B2768" s="2" t="s">
        <v>15721</v>
      </c>
      <c r="C2768" s="1" t="n">
        <v>14</v>
      </c>
      <c r="D2768" s="1" t="n">
        <v>21</v>
      </c>
      <c r="E2768" s="1" t="n">
        <v>42</v>
      </c>
      <c r="F2768" s="1" t="n">
        <v>47</v>
      </c>
      <c r="G2768" s="1" t="n">
        <v>50</v>
      </c>
      <c r="H2768" s="1" t="n">
        <v>59</v>
      </c>
      <c r="I2768" s="1" t="str">
        <f aca="false">RIGHT(("0"&amp;C2768),2)&amp;RIGHT(("0"&amp;D2768),2)&amp;RIGHT(("0"&amp;E2768),2)&amp;RIGHT(("0"&amp;F2768),2)&amp;RIGHT(("0"&amp;G2768),2)&amp;RIGHT(("0"&amp;H2768),2)</f>
        <v>142142475059</v>
      </c>
      <c r="J2768" s="1" t="n">
        <f aca="false">COUNTIF(I:I,I2768)</f>
        <v>1</v>
      </c>
      <c r="K2768" s="1" t="n">
        <v>0</v>
      </c>
      <c r="M2768" s="1" t="s">
        <v>23</v>
      </c>
      <c r="N2768" s="1" t="n">
        <v>24</v>
      </c>
      <c r="O2768" s="1" t="s">
        <v>15722</v>
      </c>
      <c r="P2768" s="1" t="n">
        <v>1487</v>
      </c>
      <c r="Q2768" s="1" t="s">
        <v>15723</v>
      </c>
      <c r="R2768" s="1" t="s">
        <v>15724</v>
      </c>
      <c r="S2768" s="1" t="s">
        <v>15725</v>
      </c>
      <c r="T2768" s="1" t="s">
        <v>5931</v>
      </c>
      <c r="U2768" s="1" t="s">
        <v>15726</v>
      </c>
    </row>
    <row r="2769" customFormat="false" ht="13.8" hidden="false" customHeight="false" outlineLevel="0" collapsed="false">
      <c r="A2769" s="1" t="n">
        <v>2768</v>
      </c>
      <c r="B2769" s="2" t="s">
        <v>15727</v>
      </c>
      <c r="C2769" s="1" t="n">
        <v>2</v>
      </c>
      <c r="D2769" s="1" t="n">
        <v>12</v>
      </c>
      <c r="E2769" s="1" t="n">
        <v>18</v>
      </c>
      <c r="F2769" s="1" t="n">
        <v>28</v>
      </c>
      <c r="G2769" s="1" t="n">
        <v>32</v>
      </c>
      <c r="H2769" s="1" t="n">
        <v>33</v>
      </c>
      <c r="I2769" s="1" t="str">
        <f aca="false">RIGHT(("0"&amp;C2769),2)&amp;RIGHT(("0"&amp;D2769),2)&amp;RIGHT(("0"&amp;E2769),2)&amp;RIGHT(("0"&amp;F2769),2)&amp;RIGHT(("0"&amp;G2769),2)&amp;RIGHT(("0"&amp;H2769),2)</f>
        <v>021218283233</v>
      </c>
      <c r="J2769" s="1" t="n">
        <f aca="false">COUNTIF(I:I,I2769)</f>
        <v>1</v>
      </c>
      <c r="K2769" s="1" t="n">
        <v>0</v>
      </c>
      <c r="M2769" s="1" t="s">
        <v>23</v>
      </c>
      <c r="N2769" s="1" t="n">
        <v>36</v>
      </c>
      <c r="O2769" s="1" t="s">
        <v>15728</v>
      </c>
      <c r="P2769" s="1" t="n">
        <v>3474</v>
      </c>
      <c r="Q2769" s="1" t="s">
        <v>15729</v>
      </c>
      <c r="R2769" s="1" t="s">
        <v>15730</v>
      </c>
      <c r="S2769" s="1" t="s">
        <v>15731</v>
      </c>
      <c r="T2769" s="1" t="s">
        <v>5969</v>
      </c>
      <c r="U2769" s="1" t="s">
        <v>15732</v>
      </c>
    </row>
    <row r="2770" customFormat="false" ht="13.8" hidden="false" customHeight="false" outlineLevel="0" collapsed="false">
      <c r="A2770" s="1" t="n">
        <v>2769</v>
      </c>
      <c r="B2770" s="2" t="s">
        <v>15733</v>
      </c>
      <c r="C2770" s="1" t="n">
        <v>10</v>
      </c>
      <c r="D2770" s="1" t="n">
        <v>16</v>
      </c>
      <c r="E2770" s="1" t="n">
        <v>35</v>
      </c>
      <c r="F2770" s="1" t="n">
        <v>46</v>
      </c>
      <c r="G2770" s="1" t="n">
        <v>49</v>
      </c>
      <c r="H2770" s="1" t="n">
        <v>60</v>
      </c>
      <c r="I2770" s="1" t="str">
        <f aca="false">RIGHT(("0"&amp;C2770),2)&amp;RIGHT(("0"&amp;D2770),2)&amp;RIGHT(("0"&amp;E2770),2)&amp;RIGHT(("0"&amp;F2770),2)&amp;RIGHT(("0"&amp;G2770),2)&amp;RIGHT(("0"&amp;H2770),2)</f>
        <v>101635464960</v>
      </c>
      <c r="J2770" s="1" t="n">
        <f aca="false">COUNTIF(I:I,I2770)</f>
        <v>1</v>
      </c>
      <c r="K2770" s="1" t="n">
        <v>0</v>
      </c>
      <c r="M2770" s="1" t="s">
        <v>23</v>
      </c>
      <c r="N2770" s="1" t="n">
        <v>25</v>
      </c>
      <c r="O2770" s="1" t="s">
        <v>15734</v>
      </c>
      <c r="P2770" s="1" t="n">
        <v>2725</v>
      </c>
      <c r="Q2770" s="1" t="s">
        <v>15735</v>
      </c>
      <c r="R2770" s="1" t="s">
        <v>15736</v>
      </c>
      <c r="S2770" s="1" t="s">
        <v>15737</v>
      </c>
      <c r="T2770" s="1" t="s">
        <v>3892</v>
      </c>
      <c r="U2770" s="1" t="s">
        <v>15738</v>
      </c>
    </row>
    <row r="2771" customFormat="false" ht="13.8" hidden="false" customHeight="false" outlineLevel="0" collapsed="false">
      <c r="A2771" s="1" t="n">
        <v>2770</v>
      </c>
      <c r="B2771" s="2" t="s">
        <v>15739</v>
      </c>
      <c r="C2771" s="1" t="n">
        <v>21</v>
      </c>
      <c r="D2771" s="1" t="n">
        <v>28</v>
      </c>
      <c r="E2771" s="1" t="n">
        <v>37</v>
      </c>
      <c r="F2771" s="1" t="n">
        <v>44</v>
      </c>
      <c r="G2771" s="1" t="n">
        <v>50</v>
      </c>
      <c r="H2771" s="1" t="n">
        <v>60</v>
      </c>
      <c r="I2771" s="1" t="str">
        <f aca="false">RIGHT(("0"&amp;C2771),2)&amp;RIGHT(("0"&amp;D2771),2)&amp;RIGHT(("0"&amp;E2771),2)&amp;RIGHT(("0"&amp;F2771),2)&amp;RIGHT(("0"&amp;G2771),2)&amp;RIGHT(("0"&amp;H2771),2)</f>
        <v>212837445060</v>
      </c>
      <c r="J2771" s="1" t="n">
        <f aca="false">COUNTIF(I:I,I2771)</f>
        <v>1</v>
      </c>
      <c r="K2771" s="1" t="n">
        <v>0</v>
      </c>
      <c r="M2771" s="1" t="s">
        <v>23</v>
      </c>
      <c r="N2771" s="1" t="n">
        <v>35</v>
      </c>
      <c r="O2771" s="1" t="s">
        <v>15740</v>
      </c>
      <c r="P2771" s="1" t="n">
        <v>2345</v>
      </c>
      <c r="Q2771" s="1" t="s">
        <v>15741</v>
      </c>
      <c r="R2771" s="1" t="s">
        <v>15742</v>
      </c>
      <c r="S2771" s="1" t="s">
        <v>15743</v>
      </c>
      <c r="T2771" s="1" t="s">
        <v>4304</v>
      </c>
      <c r="U2771" s="1" t="s">
        <v>15744</v>
      </c>
    </row>
    <row r="2772" customFormat="false" ht="13.8" hidden="false" customHeight="false" outlineLevel="0" collapsed="false">
      <c r="A2772" s="1" t="n">
        <v>2771</v>
      </c>
      <c r="B2772" s="2" t="s">
        <v>15745</v>
      </c>
      <c r="C2772" s="1" t="n">
        <v>7</v>
      </c>
      <c r="D2772" s="1" t="n">
        <v>13</v>
      </c>
      <c r="E2772" s="1" t="n">
        <v>14</v>
      </c>
      <c r="F2772" s="1" t="n">
        <v>33</v>
      </c>
      <c r="G2772" s="1" t="n">
        <v>38</v>
      </c>
      <c r="H2772" s="1" t="n">
        <v>50</v>
      </c>
      <c r="I2772" s="1" t="str">
        <f aca="false">RIGHT(("0"&amp;C2772),2)&amp;RIGHT(("0"&amp;D2772),2)&amp;RIGHT(("0"&amp;E2772),2)&amp;RIGHT(("0"&amp;F2772),2)&amp;RIGHT(("0"&amp;G2772),2)&amp;RIGHT(("0"&amp;H2772),2)</f>
        <v>071314333850</v>
      </c>
      <c r="J2772" s="1" t="n">
        <f aca="false">COUNTIF(I:I,I2772)</f>
        <v>1</v>
      </c>
      <c r="K2772" s="1" t="n">
        <v>0</v>
      </c>
      <c r="M2772" s="1" t="s">
        <v>23</v>
      </c>
      <c r="N2772" s="1" t="n">
        <v>94</v>
      </c>
      <c r="O2772" s="1" t="s">
        <v>15746</v>
      </c>
      <c r="P2772" s="1" t="n">
        <v>6858</v>
      </c>
      <c r="Q2772" s="1" t="s">
        <v>15747</v>
      </c>
      <c r="R2772" s="1" t="s">
        <v>15748</v>
      </c>
      <c r="S2772" s="1" t="s">
        <v>15749</v>
      </c>
      <c r="T2772" s="1" t="s">
        <v>4309</v>
      </c>
      <c r="U2772" s="1" t="s">
        <v>15750</v>
      </c>
    </row>
    <row r="2773" customFormat="false" ht="13.8" hidden="false" customHeight="false" outlineLevel="0" collapsed="false">
      <c r="A2773" s="1" t="n">
        <v>2772</v>
      </c>
      <c r="B2773" s="2" t="s">
        <v>15751</v>
      </c>
      <c r="C2773" s="1" t="n">
        <v>1</v>
      </c>
      <c r="D2773" s="1" t="n">
        <v>12</v>
      </c>
      <c r="E2773" s="1" t="n">
        <v>33</v>
      </c>
      <c r="F2773" s="1" t="n">
        <v>41</v>
      </c>
      <c r="G2773" s="1" t="n">
        <v>53</v>
      </c>
      <c r="H2773" s="1" t="n">
        <v>56</v>
      </c>
      <c r="I2773" s="1" t="str">
        <f aca="false">RIGHT(("0"&amp;C2773),2)&amp;RIGHT(("0"&amp;D2773),2)&amp;RIGHT(("0"&amp;E2773),2)&amp;RIGHT(("0"&amp;F2773),2)&amp;RIGHT(("0"&amp;G2773),2)&amp;RIGHT(("0"&amp;H2773),2)</f>
        <v>011233415356</v>
      </c>
      <c r="J2773" s="1" t="n">
        <f aca="false">COUNTIF(I:I,I2773)</f>
        <v>1</v>
      </c>
      <c r="K2773" s="1" t="n">
        <v>0</v>
      </c>
      <c r="M2773" s="1" t="s">
        <v>23</v>
      </c>
      <c r="N2773" s="1" t="n">
        <v>51</v>
      </c>
      <c r="O2773" s="1" t="s">
        <v>15752</v>
      </c>
      <c r="P2773" s="1" t="n">
        <v>4052</v>
      </c>
      <c r="Q2773" s="1" t="s">
        <v>15753</v>
      </c>
      <c r="R2773" s="1" t="s">
        <v>15754</v>
      </c>
      <c r="S2773" s="1" t="s">
        <v>15755</v>
      </c>
      <c r="T2773" s="1" t="s">
        <v>6559</v>
      </c>
      <c r="U2773" s="1" t="s">
        <v>15756</v>
      </c>
    </row>
    <row r="2774" customFormat="false" ht="13.8" hidden="false" customHeight="false" outlineLevel="0" collapsed="false">
      <c r="A2774" s="1" t="n">
        <v>2773</v>
      </c>
      <c r="B2774" s="2" t="s">
        <v>15757</v>
      </c>
      <c r="C2774" s="1" t="n">
        <v>19</v>
      </c>
      <c r="D2774" s="1" t="n">
        <v>23</v>
      </c>
      <c r="E2774" s="1" t="n">
        <v>32</v>
      </c>
      <c r="F2774" s="1" t="n">
        <v>34</v>
      </c>
      <c r="G2774" s="1" t="n">
        <v>38</v>
      </c>
      <c r="H2774" s="1" t="n">
        <v>57</v>
      </c>
      <c r="I2774" s="1" t="str">
        <f aca="false">RIGHT(("0"&amp;C2774),2)&amp;RIGHT(("0"&amp;D2774),2)&amp;RIGHT(("0"&amp;E2774),2)&amp;RIGHT(("0"&amp;F2774),2)&amp;RIGHT(("0"&amp;G2774),2)&amp;RIGHT(("0"&amp;H2774),2)</f>
        <v>192332343857</v>
      </c>
      <c r="J2774" s="1" t="n">
        <f aca="false">COUNTIF(I:I,I2774)</f>
        <v>1</v>
      </c>
      <c r="K2774" s="1" t="n">
        <v>0</v>
      </c>
      <c r="M2774" s="1" t="s">
        <v>23</v>
      </c>
      <c r="N2774" s="1" t="n">
        <v>88</v>
      </c>
      <c r="O2774" s="1" t="s">
        <v>15758</v>
      </c>
      <c r="P2774" s="1" t="n">
        <v>5541</v>
      </c>
      <c r="Q2774" s="1" t="s">
        <v>15759</v>
      </c>
      <c r="R2774" s="1" t="s">
        <v>15760</v>
      </c>
      <c r="S2774" s="1" t="s">
        <v>15761</v>
      </c>
      <c r="T2774" s="1" t="s">
        <v>5255</v>
      </c>
      <c r="U2774" s="1" t="s">
        <v>15762</v>
      </c>
    </row>
    <row r="2775" customFormat="false" ht="13.8" hidden="false" customHeight="false" outlineLevel="0" collapsed="false">
      <c r="A2775" s="1" t="n">
        <v>2774</v>
      </c>
      <c r="B2775" s="2" t="s">
        <v>15763</v>
      </c>
      <c r="C2775" s="1" t="n">
        <v>6</v>
      </c>
      <c r="D2775" s="1" t="n">
        <v>16</v>
      </c>
      <c r="E2775" s="1" t="n">
        <v>22</v>
      </c>
      <c r="F2775" s="1" t="n">
        <v>24</v>
      </c>
      <c r="G2775" s="1" t="n">
        <v>38</v>
      </c>
      <c r="H2775" s="1" t="n">
        <v>50</v>
      </c>
      <c r="I2775" s="1" t="str">
        <f aca="false">RIGHT(("0"&amp;C2775),2)&amp;RIGHT(("0"&amp;D2775),2)&amp;RIGHT(("0"&amp;E2775),2)&amp;RIGHT(("0"&amp;F2775),2)&amp;RIGHT(("0"&amp;G2775),2)&amp;RIGHT(("0"&amp;H2775),2)</f>
        <v>061622243850</v>
      </c>
      <c r="J2775" s="1" t="n">
        <f aca="false">COUNTIF(I:I,I2775)</f>
        <v>1</v>
      </c>
      <c r="K2775" s="1" t="n">
        <v>0</v>
      </c>
      <c r="M2775" s="1" t="s">
        <v>23</v>
      </c>
      <c r="N2775" s="1" t="n">
        <v>66</v>
      </c>
      <c r="O2775" s="1" t="s">
        <v>15764</v>
      </c>
      <c r="P2775" s="1" t="n">
        <v>4967</v>
      </c>
      <c r="Q2775" s="1" t="s">
        <v>15765</v>
      </c>
      <c r="R2775" s="1" t="s">
        <v>15766</v>
      </c>
      <c r="S2775" s="1" t="s">
        <v>15767</v>
      </c>
      <c r="T2775" s="1" t="s">
        <v>12802</v>
      </c>
      <c r="U2775" s="1" t="s">
        <v>15768</v>
      </c>
    </row>
    <row r="2776" customFormat="false" ht="13.8" hidden="false" customHeight="false" outlineLevel="0" collapsed="false">
      <c r="A2776" s="1" t="n">
        <v>2775</v>
      </c>
      <c r="B2776" s="2" t="s">
        <v>15769</v>
      </c>
      <c r="C2776" s="1" t="n">
        <v>1</v>
      </c>
      <c r="D2776" s="1" t="n">
        <v>4</v>
      </c>
      <c r="E2776" s="1" t="n">
        <v>14</v>
      </c>
      <c r="F2776" s="1" t="n">
        <v>26</v>
      </c>
      <c r="G2776" s="1" t="n">
        <v>44</v>
      </c>
      <c r="H2776" s="1" t="n">
        <v>51</v>
      </c>
      <c r="I2776" s="1" t="str">
        <f aca="false">RIGHT(("0"&amp;C2776),2)&amp;RIGHT(("0"&amp;D2776),2)&amp;RIGHT(("0"&amp;E2776),2)&amp;RIGHT(("0"&amp;F2776),2)&amp;RIGHT(("0"&amp;G2776),2)&amp;RIGHT(("0"&amp;H2776),2)</f>
        <v>010414264451</v>
      </c>
      <c r="J2776" s="1" t="n">
        <f aca="false">COUNTIF(I:I,I2776)</f>
        <v>1</v>
      </c>
      <c r="K2776" s="1" t="n">
        <v>1</v>
      </c>
      <c r="L2776" s="1" t="s">
        <v>15770</v>
      </c>
      <c r="M2776" s="1" t="s">
        <v>15771</v>
      </c>
      <c r="N2776" s="1" t="n">
        <v>80</v>
      </c>
      <c r="O2776" s="1" t="s">
        <v>15772</v>
      </c>
      <c r="P2776" s="1" t="n">
        <v>5817</v>
      </c>
      <c r="Q2776" s="1" t="s">
        <v>15773</v>
      </c>
      <c r="R2776" s="1" t="s">
        <v>23</v>
      </c>
      <c r="S2776" s="1" t="s">
        <v>15774</v>
      </c>
      <c r="T2776" s="1" t="s">
        <v>4337</v>
      </c>
      <c r="U2776" s="1" t="s">
        <v>15775</v>
      </c>
    </row>
    <row r="2777" customFormat="false" ht="13.8" hidden="false" customHeight="false" outlineLevel="0" collapsed="false">
      <c r="A2777" s="1" t="n">
        <v>2776</v>
      </c>
      <c r="B2777" s="2" t="s">
        <v>15776</v>
      </c>
      <c r="C2777" s="1" t="n">
        <v>5</v>
      </c>
      <c r="D2777" s="1" t="n">
        <v>17</v>
      </c>
      <c r="E2777" s="1" t="n">
        <v>22</v>
      </c>
      <c r="F2777" s="1" t="n">
        <v>37</v>
      </c>
      <c r="G2777" s="1" t="n">
        <v>51</v>
      </c>
      <c r="H2777" s="1" t="n">
        <v>52</v>
      </c>
      <c r="I2777" s="1" t="str">
        <f aca="false">RIGHT(("0"&amp;C2777),2)&amp;RIGHT(("0"&amp;D2777),2)&amp;RIGHT(("0"&amp;E2777),2)&amp;RIGHT(("0"&amp;F2777),2)&amp;RIGHT(("0"&amp;G2777),2)&amp;RIGHT(("0"&amp;H2777),2)</f>
        <v>051722375152</v>
      </c>
      <c r="J2777" s="1" t="n">
        <f aca="false">COUNTIF(I:I,I2777)</f>
        <v>1</v>
      </c>
      <c r="K2777" s="1" t="n">
        <v>0</v>
      </c>
      <c r="M2777" s="1" t="s">
        <v>23</v>
      </c>
      <c r="N2777" s="1" t="n">
        <v>38</v>
      </c>
      <c r="O2777" s="1" t="s">
        <v>15777</v>
      </c>
      <c r="P2777" s="1" t="n">
        <v>2202</v>
      </c>
      <c r="Q2777" s="1" t="s">
        <v>15778</v>
      </c>
      <c r="R2777" s="1" t="s">
        <v>15779</v>
      </c>
      <c r="S2777" s="1" t="s">
        <v>15780</v>
      </c>
      <c r="T2777" s="1" t="s">
        <v>4342</v>
      </c>
      <c r="U2777" s="1" t="s">
        <v>15781</v>
      </c>
    </row>
    <row r="2778" customFormat="false" ht="13.8" hidden="false" customHeight="false" outlineLevel="0" collapsed="false">
      <c r="A2778" s="1" t="n">
        <v>2777</v>
      </c>
      <c r="B2778" s="2" t="s">
        <v>15782</v>
      </c>
      <c r="C2778" s="1" t="n">
        <v>2</v>
      </c>
      <c r="D2778" s="1" t="n">
        <v>13</v>
      </c>
      <c r="E2778" s="1" t="n">
        <v>21</v>
      </c>
      <c r="F2778" s="1" t="n">
        <v>38</v>
      </c>
      <c r="G2778" s="1" t="n">
        <v>42</v>
      </c>
      <c r="H2778" s="1" t="n">
        <v>52</v>
      </c>
      <c r="I2778" s="1" t="str">
        <f aca="false">RIGHT(("0"&amp;C2778),2)&amp;RIGHT(("0"&amp;D2778),2)&amp;RIGHT(("0"&amp;E2778),2)&amp;RIGHT(("0"&amp;F2778),2)&amp;RIGHT(("0"&amp;G2778),2)&amp;RIGHT(("0"&amp;H2778),2)</f>
        <v>021321384252</v>
      </c>
      <c r="J2778" s="1" t="n">
        <f aca="false">COUNTIF(I:I,I2778)</f>
        <v>1</v>
      </c>
      <c r="K2778" s="1" t="n">
        <v>0</v>
      </c>
      <c r="M2778" s="1" t="s">
        <v>23</v>
      </c>
      <c r="N2778" s="1" t="n">
        <v>40</v>
      </c>
      <c r="O2778" s="1" t="s">
        <v>15783</v>
      </c>
      <c r="P2778" s="1" t="n">
        <v>2658</v>
      </c>
      <c r="Q2778" s="1" t="s">
        <v>15784</v>
      </c>
      <c r="R2778" s="1" t="s">
        <v>15785</v>
      </c>
      <c r="S2778" s="1" t="s">
        <v>15786</v>
      </c>
      <c r="T2778" s="1" t="s">
        <v>4195</v>
      </c>
      <c r="U2778" s="1" t="s">
        <v>15787</v>
      </c>
    </row>
    <row r="2779" customFormat="false" ht="13.8" hidden="false" customHeight="false" outlineLevel="0" collapsed="false">
      <c r="A2779" s="1" t="n">
        <v>2778</v>
      </c>
      <c r="B2779" s="2" t="s">
        <v>15788</v>
      </c>
      <c r="C2779" s="1" t="n">
        <v>20</v>
      </c>
      <c r="D2779" s="1" t="n">
        <v>33</v>
      </c>
      <c r="E2779" s="1" t="n">
        <v>34</v>
      </c>
      <c r="F2779" s="1" t="n">
        <v>40</v>
      </c>
      <c r="G2779" s="1" t="n">
        <v>43</v>
      </c>
      <c r="H2779" s="1" t="n">
        <v>57</v>
      </c>
      <c r="I2779" s="1" t="str">
        <f aca="false">RIGHT(("0"&amp;C2779),2)&amp;RIGHT(("0"&amp;D2779),2)&amp;RIGHT(("0"&amp;E2779),2)&amp;RIGHT(("0"&amp;F2779),2)&amp;RIGHT(("0"&amp;G2779),2)&amp;RIGHT(("0"&amp;H2779),2)</f>
        <v>203334404357</v>
      </c>
      <c r="J2779" s="1" t="n">
        <f aca="false">COUNTIF(I:I,I2779)</f>
        <v>1</v>
      </c>
      <c r="K2779" s="1" t="n">
        <v>0</v>
      </c>
      <c r="M2779" s="1" t="s">
        <v>23</v>
      </c>
      <c r="N2779" s="1" t="n">
        <v>21</v>
      </c>
      <c r="O2779" s="1" t="s">
        <v>15789</v>
      </c>
      <c r="P2779" s="1" t="n">
        <v>1734</v>
      </c>
      <c r="Q2779" s="1" t="s">
        <v>15790</v>
      </c>
      <c r="R2779" s="1" t="s">
        <v>15791</v>
      </c>
      <c r="S2779" s="1" t="s">
        <v>15792</v>
      </c>
      <c r="T2779" s="1" t="s">
        <v>4203</v>
      </c>
      <c r="U2779" s="1" t="s">
        <v>15793</v>
      </c>
    </row>
    <row r="2780" customFormat="false" ht="13.8" hidden="false" customHeight="false" outlineLevel="0" collapsed="false">
      <c r="A2780" s="1" t="n">
        <v>2779</v>
      </c>
      <c r="B2780" s="2" t="s">
        <v>15794</v>
      </c>
      <c r="C2780" s="1" t="n">
        <v>14</v>
      </c>
      <c r="D2780" s="1" t="n">
        <v>19</v>
      </c>
      <c r="E2780" s="1" t="n">
        <v>32</v>
      </c>
      <c r="F2780" s="1" t="n">
        <v>44</v>
      </c>
      <c r="G2780" s="1" t="n">
        <v>51</v>
      </c>
      <c r="H2780" s="1" t="n">
        <v>54</v>
      </c>
      <c r="I2780" s="1" t="str">
        <f aca="false">RIGHT(("0"&amp;C2780),2)&amp;RIGHT(("0"&amp;D2780),2)&amp;RIGHT(("0"&amp;E2780),2)&amp;RIGHT(("0"&amp;F2780),2)&amp;RIGHT(("0"&amp;G2780),2)&amp;RIGHT(("0"&amp;H2780),2)</f>
        <v>141932445154</v>
      </c>
      <c r="J2780" s="1" t="n">
        <f aca="false">COUNTIF(I:I,I2780)</f>
        <v>1</v>
      </c>
      <c r="K2780" s="1" t="n">
        <v>0</v>
      </c>
      <c r="M2780" s="1" t="s">
        <v>23</v>
      </c>
      <c r="N2780" s="1" t="n">
        <v>27</v>
      </c>
      <c r="O2780" s="1" t="s">
        <v>15795</v>
      </c>
      <c r="P2780" s="1" t="n">
        <v>2720</v>
      </c>
      <c r="Q2780" s="1" t="s">
        <v>15796</v>
      </c>
      <c r="R2780" s="1" t="s">
        <v>15797</v>
      </c>
      <c r="S2780" s="1" t="s">
        <v>15798</v>
      </c>
      <c r="T2780" s="1" t="s">
        <v>4935</v>
      </c>
      <c r="U2780" s="1" t="s">
        <v>15799</v>
      </c>
    </row>
    <row r="2781" customFormat="false" ht="13.8" hidden="false" customHeight="false" outlineLevel="0" collapsed="false">
      <c r="A2781" s="1" t="n">
        <v>2780</v>
      </c>
      <c r="B2781" s="2" t="s">
        <v>15800</v>
      </c>
      <c r="C2781" s="1" t="n">
        <v>7</v>
      </c>
      <c r="D2781" s="1" t="n">
        <v>9</v>
      </c>
      <c r="E2781" s="1" t="n">
        <v>10</v>
      </c>
      <c r="F2781" s="1" t="n">
        <v>14</v>
      </c>
      <c r="G2781" s="1" t="n">
        <v>46</v>
      </c>
      <c r="H2781" s="1" t="n">
        <v>53</v>
      </c>
      <c r="I2781" s="1" t="str">
        <f aca="false">RIGHT(("0"&amp;C2781),2)&amp;RIGHT(("0"&amp;D2781),2)&amp;RIGHT(("0"&amp;E2781),2)&amp;RIGHT(("0"&amp;F2781),2)&amp;RIGHT(("0"&amp;G2781),2)&amp;RIGHT(("0"&amp;H2781),2)</f>
        <v>070910144653</v>
      </c>
      <c r="J2781" s="1" t="n">
        <f aca="false">COUNTIF(I:I,I2781)</f>
        <v>1</v>
      </c>
      <c r="K2781" s="1" t="n">
        <v>0</v>
      </c>
      <c r="M2781" s="1" t="s">
        <v>23</v>
      </c>
      <c r="N2781" s="1" t="n">
        <v>93</v>
      </c>
      <c r="O2781" s="1" t="s">
        <v>15801</v>
      </c>
      <c r="P2781" s="1" t="n">
        <v>5846</v>
      </c>
      <c r="Q2781" s="1" t="s">
        <v>15802</v>
      </c>
      <c r="R2781" s="1" t="s">
        <v>15803</v>
      </c>
      <c r="S2781" s="1" t="s">
        <v>15804</v>
      </c>
      <c r="T2781" s="1" t="s">
        <v>4309</v>
      </c>
      <c r="U2781" s="1" t="s">
        <v>15805</v>
      </c>
    </row>
    <row r="2782" customFormat="false" ht="13.8" hidden="false" customHeight="false" outlineLevel="0" collapsed="false">
      <c r="A2782" s="1" t="n">
        <v>2781</v>
      </c>
      <c r="B2782" s="2" t="s">
        <v>15806</v>
      </c>
      <c r="C2782" s="1" t="n">
        <v>10</v>
      </c>
      <c r="D2782" s="1" t="n">
        <v>31</v>
      </c>
      <c r="E2782" s="1" t="n">
        <v>35</v>
      </c>
      <c r="F2782" s="1" t="n">
        <v>45</v>
      </c>
      <c r="G2782" s="1" t="n">
        <v>50</v>
      </c>
      <c r="H2782" s="1" t="n">
        <v>55</v>
      </c>
      <c r="I2782" s="1" t="str">
        <f aca="false">RIGHT(("0"&amp;C2782),2)&amp;RIGHT(("0"&amp;D2782),2)&amp;RIGHT(("0"&amp;E2782),2)&amp;RIGHT(("0"&amp;F2782),2)&amp;RIGHT(("0"&amp;G2782),2)&amp;RIGHT(("0"&amp;H2782),2)</f>
        <v>103135455055</v>
      </c>
      <c r="J2782" s="1" t="n">
        <f aca="false">COUNTIF(I:I,I2782)</f>
        <v>1</v>
      </c>
      <c r="K2782" s="1" t="n">
        <v>0</v>
      </c>
      <c r="M2782" s="1" t="s">
        <v>23</v>
      </c>
      <c r="N2782" s="1" t="n">
        <v>51</v>
      </c>
      <c r="O2782" s="1" t="s">
        <v>15807</v>
      </c>
      <c r="P2782" s="1" t="n">
        <v>3673</v>
      </c>
      <c r="Q2782" s="1" t="s">
        <v>15808</v>
      </c>
      <c r="R2782" s="1" t="s">
        <v>15809</v>
      </c>
      <c r="S2782" s="1" t="s">
        <v>15810</v>
      </c>
      <c r="T2782" s="1" t="s">
        <v>4314</v>
      </c>
      <c r="U2782" s="1" t="s">
        <v>15811</v>
      </c>
    </row>
    <row r="2783" customFormat="false" ht="13.8" hidden="false" customHeight="false" outlineLevel="0" collapsed="false">
      <c r="A2783" s="1" t="n">
        <v>2782</v>
      </c>
      <c r="B2783" s="2" t="s">
        <v>15812</v>
      </c>
      <c r="C2783" s="1" t="n">
        <v>6</v>
      </c>
      <c r="D2783" s="1" t="n">
        <v>11</v>
      </c>
      <c r="E2783" s="1" t="n">
        <v>16</v>
      </c>
      <c r="F2783" s="1" t="n">
        <v>25</v>
      </c>
      <c r="G2783" s="1" t="n">
        <v>28</v>
      </c>
      <c r="H2783" s="1" t="n">
        <v>45</v>
      </c>
      <c r="I2783" s="1" t="str">
        <f aca="false">RIGHT(("0"&amp;C2783),2)&amp;RIGHT(("0"&amp;D2783),2)&amp;RIGHT(("0"&amp;E2783),2)&amp;RIGHT(("0"&amp;F2783),2)&amp;RIGHT(("0"&amp;G2783),2)&amp;RIGHT(("0"&amp;H2783),2)</f>
        <v>061116252845</v>
      </c>
      <c r="J2783" s="1" t="n">
        <f aca="false">COUNTIF(I:I,I2783)</f>
        <v>1</v>
      </c>
      <c r="K2783" s="1" t="n">
        <v>0</v>
      </c>
      <c r="M2783" s="1" t="s">
        <v>23</v>
      </c>
      <c r="N2783" s="1" t="n">
        <v>62</v>
      </c>
      <c r="O2783" s="1" t="s">
        <v>15813</v>
      </c>
      <c r="P2783" s="1" t="n">
        <v>5587</v>
      </c>
      <c r="Q2783" s="1" t="s">
        <v>15814</v>
      </c>
      <c r="R2783" s="1" t="s">
        <v>15815</v>
      </c>
      <c r="S2783" s="1" t="s">
        <v>15816</v>
      </c>
      <c r="T2783" s="1" t="s">
        <v>6559</v>
      </c>
      <c r="U2783" s="1" t="s">
        <v>15817</v>
      </c>
    </row>
    <row r="2784" customFormat="false" ht="13.8" hidden="false" customHeight="false" outlineLevel="0" collapsed="false">
      <c r="A2784" s="1" t="n">
        <v>2783</v>
      </c>
      <c r="B2784" s="2" t="s">
        <v>15818</v>
      </c>
      <c r="C2784" s="1" t="n">
        <v>7</v>
      </c>
      <c r="D2784" s="1" t="n">
        <v>30</v>
      </c>
      <c r="E2784" s="1" t="n">
        <v>38</v>
      </c>
      <c r="F2784" s="1" t="n">
        <v>39</v>
      </c>
      <c r="G2784" s="1" t="n">
        <v>43</v>
      </c>
      <c r="H2784" s="1" t="n">
        <v>54</v>
      </c>
      <c r="I2784" s="1" t="str">
        <f aca="false">RIGHT(("0"&amp;C2784),2)&amp;RIGHT(("0"&amp;D2784),2)&amp;RIGHT(("0"&amp;E2784),2)&amp;RIGHT(("0"&amp;F2784),2)&amp;RIGHT(("0"&amp;G2784),2)&amp;RIGHT(("0"&amp;H2784),2)</f>
        <v>073038394354</v>
      </c>
      <c r="J2784" s="1" t="n">
        <f aca="false">COUNTIF(I:I,I2784)</f>
        <v>1</v>
      </c>
      <c r="K2784" s="1" t="n">
        <v>1</v>
      </c>
      <c r="L2784" s="1" t="s">
        <v>12490</v>
      </c>
      <c r="M2784" s="1" t="s">
        <v>15819</v>
      </c>
      <c r="N2784" s="1" t="n">
        <v>76</v>
      </c>
      <c r="O2784" s="1" t="s">
        <v>15820</v>
      </c>
      <c r="P2784" s="1" t="n">
        <v>4607</v>
      </c>
      <c r="Q2784" s="1" t="s">
        <v>15821</v>
      </c>
      <c r="R2784" s="1" t="s">
        <v>23</v>
      </c>
      <c r="S2784" s="1" t="s">
        <v>15822</v>
      </c>
      <c r="T2784" s="1" t="s">
        <v>4337</v>
      </c>
      <c r="U2784" s="1" t="s">
        <v>15823</v>
      </c>
    </row>
    <row r="2785" customFormat="false" ht="13.8" hidden="false" customHeight="false" outlineLevel="0" collapsed="false">
      <c r="A2785" s="1" t="n">
        <v>2784</v>
      </c>
      <c r="B2785" s="2" t="s">
        <v>15824</v>
      </c>
      <c r="C2785" s="1" t="n">
        <v>27</v>
      </c>
      <c r="D2785" s="1" t="n">
        <v>30</v>
      </c>
      <c r="E2785" s="1" t="n">
        <v>35</v>
      </c>
      <c r="F2785" s="1" t="n">
        <v>44</v>
      </c>
      <c r="G2785" s="1" t="n">
        <v>57</v>
      </c>
      <c r="H2785" s="1" t="n">
        <v>59</v>
      </c>
      <c r="I2785" s="1" t="str">
        <f aca="false">RIGHT(("0"&amp;C2785),2)&amp;RIGHT(("0"&amp;D2785),2)&amp;RIGHT(("0"&amp;E2785),2)&amp;RIGHT(("0"&amp;F2785),2)&amp;RIGHT(("0"&amp;G2785),2)&amp;RIGHT(("0"&amp;H2785),2)</f>
        <v>273035445759</v>
      </c>
      <c r="J2785" s="1" t="n">
        <f aca="false">COUNTIF(I:I,I2785)</f>
        <v>1</v>
      </c>
      <c r="K2785" s="1" t="n">
        <v>0</v>
      </c>
      <c r="M2785" s="1" t="s">
        <v>23</v>
      </c>
      <c r="N2785" s="1" t="n">
        <v>28</v>
      </c>
      <c r="O2785" s="1" t="s">
        <v>15825</v>
      </c>
      <c r="P2785" s="1" t="n">
        <v>2013</v>
      </c>
      <c r="Q2785" s="1" t="s">
        <v>15826</v>
      </c>
      <c r="R2785" s="1" t="s">
        <v>15827</v>
      </c>
      <c r="S2785" s="1" t="s">
        <v>15828</v>
      </c>
      <c r="T2785" s="1" t="s">
        <v>4718</v>
      </c>
      <c r="U2785" s="1" t="s">
        <v>15829</v>
      </c>
    </row>
    <row r="2786" customFormat="false" ht="13.8" hidden="false" customHeight="false" outlineLevel="0" collapsed="false">
      <c r="A2786" s="1" t="n">
        <v>2785</v>
      </c>
      <c r="B2786" s="2" t="s">
        <v>15830</v>
      </c>
      <c r="C2786" s="1" t="n">
        <v>20</v>
      </c>
      <c r="D2786" s="1" t="n">
        <v>27</v>
      </c>
      <c r="E2786" s="1" t="n">
        <v>48</v>
      </c>
      <c r="F2786" s="1" t="n">
        <v>50</v>
      </c>
      <c r="G2786" s="1" t="n">
        <v>57</v>
      </c>
      <c r="H2786" s="1" t="n">
        <v>59</v>
      </c>
      <c r="I2786" s="1" t="str">
        <f aca="false">RIGHT(("0"&amp;C2786),2)&amp;RIGHT(("0"&amp;D2786),2)&amp;RIGHT(("0"&amp;E2786),2)&amp;RIGHT(("0"&amp;F2786),2)&amp;RIGHT(("0"&amp;G2786),2)&amp;RIGHT(("0"&amp;H2786),2)</f>
        <v>202748505759</v>
      </c>
      <c r="J2786" s="1" t="n">
        <f aca="false">COUNTIF(I:I,I2786)</f>
        <v>1</v>
      </c>
      <c r="K2786" s="1" t="n">
        <v>0</v>
      </c>
      <c r="M2786" s="1" t="s">
        <v>23</v>
      </c>
      <c r="N2786" s="1" t="n">
        <v>39</v>
      </c>
      <c r="O2786" s="1" t="s">
        <v>15831</v>
      </c>
      <c r="P2786" s="1" t="n">
        <v>3176</v>
      </c>
      <c r="Q2786" s="1" t="s">
        <v>15832</v>
      </c>
      <c r="R2786" s="1" t="s">
        <v>15833</v>
      </c>
      <c r="S2786" s="1" t="s">
        <v>15834</v>
      </c>
      <c r="T2786" s="1" t="s">
        <v>4968</v>
      </c>
      <c r="U2786" s="1" t="s">
        <v>15835</v>
      </c>
    </row>
    <row r="2787" customFormat="false" ht="13.8" hidden="false" customHeight="false" outlineLevel="0" collapsed="false">
      <c r="A2787" s="1" t="n">
        <v>2786</v>
      </c>
      <c r="B2787" s="2" t="s">
        <v>15836</v>
      </c>
      <c r="C2787" s="1" t="n">
        <v>6</v>
      </c>
      <c r="D2787" s="1" t="n">
        <v>11</v>
      </c>
      <c r="E2787" s="1" t="n">
        <v>17</v>
      </c>
      <c r="F2787" s="1" t="n">
        <v>20</v>
      </c>
      <c r="G2787" s="1" t="n">
        <v>40</v>
      </c>
      <c r="H2787" s="1" t="n">
        <v>51</v>
      </c>
      <c r="I2787" s="1" t="str">
        <f aca="false">RIGHT(("0"&amp;C2787),2)&amp;RIGHT(("0"&amp;D2787),2)&amp;RIGHT(("0"&amp;E2787),2)&amp;RIGHT(("0"&amp;F2787),2)&amp;RIGHT(("0"&amp;G2787),2)&amp;RIGHT(("0"&amp;H2787),2)</f>
        <v>061117204051</v>
      </c>
      <c r="J2787" s="1" t="n">
        <f aca="false">COUNTIF(I:I,I2787)</f>
        <v>1</v>
      </c>
      <c r="K2787" s="1" t="n">
        <v>0</v>
      </c>
      <c r="M2787" s="1" t="s">
        <v>23</v>
      </c>
      <c r="N2787" s="1" t="n">
        <v>71</v>
      </c>
      <c r="O2787" s="1" t="s">
        <v>15837</v>
      </c>
      <c r="P2787" s="1" t="n">
        <v>5135</v>
      </c>
      <c r="Q2787" s="1" t="s">
        <v>15838</v>
      </c>
      <c r="R2787" s="1" t="s">
        <v>15839</v>
      </c>
      <c r="S2787" s="1" t="s">
        <v>15840</v>
      </c>
      <c r="T2787" s="1" t="s">
        <v>7301</v>
      </c>
      <c r="U2787" s="1" t="s">
        <v>15841</v>
      </c>
    </row>
    <row r="2788" customFormat="false" ht="13.8" hidden="false" customHeight="false" outlineLevel="0" collapsed="false">
      <c r="A2788" s="1" t="n">
        <v>2787</v>
      </c>
      <c r="B2788" s="2" t="s">
        <v>15842</v>
      </c>
      <c r="C2788" s="1" t="n">
        <v>8</v>
      </c>
      <c r="D2788" s="1" t="n">
        <v>10</v>
      </c>
      <c r="E2788" s="1" t="n">
        <v>23</v>
      </c>
      <c r="F2788" s="1" t="n">
        <v>34</v>
      </c>
      <c r="G2788" s="1" t="n">
        <v>36</v>
      </c>
      <c r="H2788" s="1" t="n">
        <v>50</v>
      </c>
      <c r="I2788" s="1" t="str">
        <f aca="false">RIGHT(("0"&amp;C2788),2)&amp;RIGHT(("0"&amp;D2788),2)&amp;RIGHT(("0"&amp;E2788),2)&amp;RIGHT(("0"&amp;F2788),2)&amp;RIGHT(("0"&amp;G2788),2)&amp;RIGHT(("0"&amp;H2788),2)</f>
        <v>081023343650</v>
      </c>
      <c r="J2788" s="1" t="n">
        <f aca="false">COUNTIF(I:I,I2788)</f>
        <v>1</v>
      </c>
      <c r="K2788" s="1" t="n">
        <v>0</v>
      </c>
      <c r="M2788" s="1" t="s">
        <v>23</v>
      </c>
      <c r="N2788" s="1" t="n">
        <v>90</v>
      </c>
      <c r="O2788" s="1" t="s">
        <v>15843</v>
      </c>
      <c r="P2788" s="1" t="n">
        <v>6537</v>
      </c>
      <c r="Q2788" s="1" t="s">
        <v>15844</v>
      </c>
      <c r="R2788" s="1" t="s">
        <v>15845</v>
      </c>
      <c r="S2788" s="1" t="s">
        <v>15846</v>
      </c>
      <c r="T2788" s="1" t="s">
        <v>14423</v>
      </c>
      <c r="U2788" s="1" t="s">
        <v>15847</v>
      </c>
    </row>
    <row r="2789" customFormat="false" ht="13.8" hidden="false" customHeight="false" outlineLevel="0" collapsed="false">
      <c r="A2789" s="1" t="n">
        <v>2788</v>
      </c>
      <c r="B2789" s="2" t="s">
        <v>15848</v>
      </c>
      <c r="C2789" s="1" t="n">
        <v>23</v>
      </c>
      <c r="D2789" s="1" t="n">
        <v>37</v>
      </c>
      <c r="E2789" s="1" t="n">
        <v>39</v>
      </c>
      <c r="F2789" s="1" t="n">
        <v>47</v>
      </c>
      <c r="G2789" s="1" t="n">
        <v>52</v>
      </c>
      <c r="H2789" s="1" t="n">
        <v>56</v>
      </c>
      <c r="I2789" s="1" t="str">
        <f aca="false">RIGHT(("0"&amp;C2789),2)&amp;RIGHT(("0"&amp;D2789),2)&amp;RIGHT(("0"&amp;E2789),2)&amp;RIGHT(("0"&amp;F2789),2)&amp;RIGHT(("0"&amp;G2789),2)&amp;RIGHT(("0"&amp;H2789),2)</f>
        <v>233739475256</v>
      </c>
      <c r="J2789" s="1" t="n">
        <f aca="false">COUNTIF(I:I,I2789)</f>
        <v>1</v>
      </c>
      <c r="K2789" s="1" t="n">
        <v>0</v>
      </c>
      <c r="M2789" s="1" t="s">
        <v>23</v>
      </c>
      <c r="N2789" s="1" t="n">
        <v>63</v>
      </c>
      <c r="O2789" s="1" t="s">
        <v>15849</v>
      </c>
      <c r="P2789" s="1" t="n">
        <v>4431</v>
      </c>
      <c r="Q2789" s="1" t="s">
        <v>15850</v>
      </c>
      <c r="R2789" s="1" t="s">
        <v>15851</v>
      </c>
      <c r="S2789" s="1" t="s">
        <v>15852</v>
      </c>
      <c r="T2789" s="1" t="s">
        <v>5255</v>
      </c>
      <c r="U2789" s="1" t="s">
        <v>15853</v>
      </c>
    </row>
    <row r="2790" customFormat="false" ht="13.8" hidden="false" customHeight="false" outlineLevel="0" collapsed="false">
      <c r="A2790" s="1" t="n">
        <v>2789</v>
      </c>
      <c r="B2790" s="2" t="s">
        <v>15854</v>
      </c>
      <c r="C2790" s="1" t="n">
        <v>3</v>
      </c>
      <c r="D2790" s="1" t="n">
        <v>17</v>
      </c>
      <c r="E2790" s="1" t="n">
        <v>18</v>
      </c>
      <c r="F2790" s="1" t="n">
        <v>19</v>
      </c>
      <c r="G2790" s="1" t="n">
        <v>20</v>
      </c>
      <c r="H2790" s="1" t="n">
        <v>55</v>
      </c>
      <c r="I2790" s="1" t="str">
        <f aca="false">RIGHT(("0"&amp;C2790),2)&amp;RIGHT(("0"&amp;D2790),2)&amp;RIGHT(("0"&amp;E2790),2)&amp;RIGHT(("0"&amp;F2790),2)&amp;RIGHT(("0"&amp;G2790),2)&amp;RIGHT(("0"&amp;H2790),2)</f>
        <v>031718192055</v>
      </c>
      <c r="J2790" s="1" t="n">
        <f aca="false">COUNTIF(I:I,I2790)</f>
        <v>1</v>
      </c>
      <c r="K2790" s="1" t="n">
        <v>0</v>
      </c>
      <c r="M2790" s="1" t="s">
        <v>23</v>
      </c>
      <c r="N2790" s="1" t="n">
        <v>137</v>
      </c>
      <c r="O2790" s="1" t="s">
        <v>15855</v>
      </c>
      <c r="P2790" s="1" t="n">
        <v>6634</v>
      </c>
      <c r="Q2790" s="1" t="s">
        <v>15856</v>
      </c>
      <c r="R2790" s="1" t="s">
        <v>15857</v>
      </c>
      <c r="S2790" s="1" t="s">
        <v>15858</v>
      </c>
      <c r="T2790" s="1" t="s">
        <v>6045</v>
      </c>
      <c r="U2790" s="1" t="s">
        <v>15859</v>
      </c>
    </row>
    <row r="2791" customFormat="false" ht="13.8" hidden="false" customHeight="false" outlineLevel="0" collapsed="false">
      <c r="A2791" s="1" t="n">
        <v>2790</v>
      </c>
      <c r="B2791" s="2" t="s">
        <v>15860</v>
      </c>
      <c r="C2791" s="1" t="n">
        <v>29</v>
      </c>
      <c r="D2791" s="1" t="n">
        <v>32</v>
      </c>
      <c r="E2791" s="1" t="n">
        <v>40</v>
      </c>
      <c r="F2791" s="1" t="n">
        <v>42</v>
      </c>
      <c r="G2791" s="1" t="n">
        <v>49</v>
      </c>
      <c r="H2791" s="1" t="n">
        <v>58</v>
      </c>
      <c r="I2791" s="1" t="str">
        <f aca="false">RIGHT(("0"&amp;C2791),2)&amp;RIGHT(("0"&amp;D2791),2)&amp;RIGHT(("0"&amp;E2791),2)&amp;RIGHT(("0"&amp;F2791),2)&amp;RIGHT(("0"&amp;G2791),2)&amp;RIGHT(("0"&amp;H2791),2)</f>
        <v>293240424958</v>
      </c>
      <c r="J2791" s="1" t="n">
        <f aca="false">COUNTIF(I:I,I2791)</f>
        <v>1</v>
      </c>
      <c r="K2791" s="1" t="n">
        <v>0</v>
      </c>
      <c r="M2791" s="1" t="s">
        <v>23</v>
      </c>
      <c r="N2791" s="1" t="n">
        <v>85</v>
      </c>
      <c r="O2791" s="1" t="s">
        <v>15861</v>
      </c>
      <c r="P2791" s="1" t="n">
        <v>6127</v>
      </c>
      <c r="Q2791" s="1" t="s">
        <v>15862</v>
      </c>
      <c r="R2791" s="1" t="s">
        <v>15863</v>
      </c>
      <c r="S2791" s="1" t="s">
        <v>15864</v>
      </c>
      <c r="T2791" s="1" t="s">
        <v>12809</v>
      </c>
      <c r="U2791" s="1" t="s">
        <v>15865</v>
      </c>
    </row>
    <row r="2792" customFormat="false" ht="13.8" hidden="false" customHeight="false" outlineLevel="0" collapsed="false">
      <c r="A2792" s="1" t="n">
        <v>2791</v>
      </c>
      <c r="B2792" s="2" t="s">
        <v>15866</v>
      </c>
      <c r="C2792" s="1" t="n">
        <v>2</v>
      </c>
      <c r="D2792" s="1" t="n">
        <v>3</v>
      </c>
      <c r="E2792" s="1" t="n">
        <v>11</v>
      </c>
      <c r="F2792" s="1" t="n">
        <v>25</v>
      </c>
      <c r="G2792" s="1" t="n">
        <v>37</v>
      </c>
      <c r="H2792" s="1" t="n">
        <v>43</v>
      </c>
      <c r="I2792" s="1" t="str">
        <f aca="false">RIGHT(("0"&amp;C2792),2)&amp;RIGHT(("0"&amp;D2792),2)&amp;RIGHT(("0"&amp;E2792),2)&amp;RIGHT(("0"&amp;F2792),2)&amp;RIGHT(("0"&amp;G2792),2)&amp;RIGHT(("0"&amp;H2792),2)</f>
        <v>020311253743</v>
      </c>
      <c r="J2792" s="1" t="n">
        <f aca="false">COUNTIF(I:I,I2792)</f>
        <v>1</v>
      </c>
      <c r="K2792" s="1" t="n">
        <v>0</v>
      </c>
      <c r="M2792" s="1" t="s">
        <v>23</v>
      </c>
      <c r="N2792" s="1" t="n">
        <v>127</v>
      </c>
      <c r="O2792" s="1" t="s">
        <v>15867</v>
      </c>
      <c r="P2792" s="1" t="n">
        <v>9900</v>
      </c>
      <c r="Q2792" s="1" t="s">
        <v>15868</v>
      </c>
      <c r="R2792" s="1" t="s">
        <v>15869</v>
      </c>
      <c r="S2792" s="1" t="s">
        <v>15870</v>
      </c>
      <c r="T2792" s="1" t="s">
        <v>8343</v>
      </c>
      <c r="U2792" s="1" t="s">
        <v>15871</v>
      </c>
    </row>
    <row r="2793" customFormat="false" ht="13.8" hidden="false" customHeight="false" outlineLevel="0" collapsed="false">
      <c r="A2793" s="1" t="n">
        <v>2792</v>
      </c>
      <c r="B2793" s="2" t="s">
        <v>15872</v>
      </c>
      <c r="C2793" s="1" t="n">
        <v>16</v>
      </c>
      <c r="D2793" s="1" t="n">
        <v>22</v>
      </c>
      <c r="E2793" s="1" t="n">
        <v>33</v>
      </c>
      <c r="F2793" s="1" t="n">
        <v>34</v>
      </c>
      <c r="G2793" s="1" t="n">
        <v>49</v>
      </c>
      <c r="H2793" s="1" t="n">
        <v>59</v>
      </c>
      <c r="I2793" s="1" t="str">
        <f aca="false">RIGHT(("0"&amp;C2793),2)&amp;RIGHT(("0"&amp;D2793),2)&amp;RIGHT(("0"&amp;E2793),2)&amp;RIGHT(("0"&amp;F2793),2)&amp;RIGHT(("0"&amp;G2793),2)&amp;RIGHT(("0"&amp;H2793),2)</f>
        <v>162233344959</v>
      </c>
      <c r="J2793" s="1" t="n">
        <f aca="false">COUNTIF(I:I,I2793)</f>
        <v>1</v>
      </c>
      <c r="K2793" s="1" t="n">
        <v>0</v>
      </c>
      <c r="M2793" s="1" t="s">
        <v>23</v>
      </c>
      <c r="N2793" s="1" t="n">
        <v>119</v>
      </c>
      <c r="O2793" s="1" t="s">
        <v>15873</v>
      </c>
      <c r="P2793" s="1" t="n">
        <v>10706</v>
      </c>
      <c r="Q2793" s="1" t="s">
        <v>15874</v>
      </c>
      <c r="R2793" s="1" t="s">
        <v>15875</v>
      </c>
      <c r="S2793" s="1" t="s">
        <v>15876</v>
      </c>
      <c r="T2793" s="1" t="s">
        <v>15877</v>
      </c>
      <c r="U2793" s="1" t="s">
        <v>15878</v>
      </c>
    </row>
    <row r="2794" customFormat="false" ht="13.8" hidden="false" customHeight="false" outlineLevel="0" collapsed="false">
      <c r="A2794" s="1" t="n">
        <v>2793</v>
      </c>
      <c r="B2794" s="2" t="s">
        <v>15879</v>
      </c>
      <c r="C2794" s="1" t="n">
        <v>7</v>
      </c>
      <c r="D2794" s="1" t="n">
        <v>9</v>
      </c>
      <c r="E2794" s="1" t="n">
        <v>25</v>
      </c>
      <c r="F2794" s="1" t="n">
        <v>37</v>
      </c>
      <c r="G2794" s="1" t="n">
        <v>57</v>
      </c>
      <c r="H2794" s="1" t="n">
        <v>59</v>
      </c>
      <c r="I2794" s="1" t="str">
        <f aca="false">RIGHT(("0"&amp;C2794),2)&amp;RIGHT(("0"&amp;D2794),2)&amp;RIGHT(("0"&amp;E2794),2)&amp;RIGHT(("0"&amp;F2794),2)&amp;RIGHT(("0"&amp;G2794),2)&amp;RIGHT(("0"&amp;H2794),2)</f>
        <v>070925375759</v>
      </c>
      <c r="J2794" s="1" t="n">
        <f aca="false">COUNTIF(I:I,I2794)</f>
        <v>1</v>
      </c>
      <c r="K2794" s="1" t="n">
        <v>0</v>
      </c>
      <c r="M2794" s="1" t="s">
        <v>23</v>
      </c>
      <c r="N2794" s="1" t="n">
        <v>222</v>
      </c>
      <c r="O2794" s="1" t="s">
        <v>15880</v>
      </c>
      <c r="P2794" s="1" t="n">
        <v>14183</v>
      </c>
      <c r="Q2794" s="1" t="s">
        <v>15881</v>
      </c>
      <c r="R2794" s="1" t="s">
        <v>15882</v>
      </c>
      <c r="S2794" s="1" t="s">
        <v>15883</v>
      </c>
      <c r="T2794" s="1" t="s">
        <v>11895</v>
      </c>
      <c r="U2794" s="1" t="s">
        <v>15884</v>
      </c>
    </row>
    <row r="2795" customFormat="false" ht="13.8" hidden="false" customHeight="false" outlineLevel="0" collapsed="false">
      <c r="A2795" s="1" t="n">
        <v>2794</v>
      </c>
      <c r="B2795" s="2" t="s">
        <v>15885</v>
      </c>
      <c r="C2795" s="1" t="n">
        <v>3</v>
      </c>
      <c r="D2795" s="1" t="n">
        <v>9</v>
      </c>
      <c r="E2795" s="1" t="n">
        <v>14</v>
      </c>
      <c r="F2795" s="1" t="n">
        <v>20</v>
      </c>
      <c r="G2795" s="1" t="n">
        <v>28</v>
      </c>
      <c r="H2795" s="1" t="n">
        <v>52</v>
      </c>
      <c r="I2795" s="1" t="str">
        <f aca="false">RIGHT(("0"&amp;C2795),2)&amp;RIGHT(("0"&amp;D2795),2)&amp;RIGHT(("0"&amp;E2795),2)&amp;RIGHT(("0"&amp;F2795),2)&amp;RIGHT(("0"&amp;G2795),2)&amp;RIGHT(("0"&amp;H2795),2)</f>
        <v>030914202852</v>
      </c>
      <c r="J2795" s="1" t="n">
        <f aca="false">COUNTIF(I:I,I2795)</f>
        <v>1</v>
      </c>
      <c r="K2795" s="1" t="n">
        <v>0</v>
      </c>
      <c r="M2795" s="1" t="s">
        <v>23</v>
      </c>
      <c r="N2795" s="1" t="n">
        <v>160</v>
      </c>
      <c r="O2795" s="1" t="s">
        <v>15886</v>
      </c>
      <c r="P2795" s="1" t="n">
        <v>13197</v>
      </c>
      <c r="Q2795" s="1" t="s">
        <v>15887</v>
      </c>
      <c r="R2795" s="1" t="s">
        <v>15888</v>
      </c>
      <c r="S2795" s="1" t="s">
        <v>15889</v>
      </c>
      <c r="T2795" s="1" t="s">
        <v>6260</v>
      </c>
      <c r="U2795" s="1" t="s">
        <v>15890</v>
      </c>
    </row>
    <row r="2796" customFormat="false" ht="13.8" hidden="false" customHeight="false" outlineLevel="0" collapsed="false">
      <c r="A2796" s="1" t="n">
        <v>2795</v>
      </c>
      <c r="B2796" s="2" t="s">
        <v>15891</v>
      </c>
      <c r="C2796" s="1" t="n">
        <v>13</v>
      </c>
      <c r="D2796" s="1" t="n">
        <v>16</v>
      </c>
      <c r="E2796" s="1" t="n">
        <v>33</v>
      </c>
      <c r="F2796" s="1" t="n">
        <v>43</v>
      </c>
      <c r="G2796" s="1" t="n">
        <v>46</v>
      </c>
      <c r="H2796" s="1" t="n">
        <v>55</v>
      </c>
      <c r="I2796" s="1" t="str">
        <f aca="false">RIGHT(("0"&amp;C2796),2)&amp;RIGHT(("0"&amp;D2796),2)&amp;RIGHT(("0"&amp;E2796),2)&amp;RIGHT(("0"&amp;F2796),2)&amp;RIGHT(("0"&amp;G2796),2)&amp;RIGHT(("0"&amp;H2796),2)</f>
        <v>131633434655</v>
      </c>
      <c r="J2796" s="1" t="n">
        <f aca="false">COUNTIF(I:I,I2796)</f>
        <v>1</v>
      </c>
      <c r="K2796" s="1" t="n">
        <v>1</v>
      </c>
      <c r="L2796" s="1" t="s">
        <v>15892</v>
      </c>
      <c r="M2796" s="1" t="s">
        <v>15893</v>
      </c>
      <c r="N2796" s="1" t="n">
        <v>242</v>
      </c>
      <c r="O2796" s="1" t="s">
        <v>15894</v>
      </c>
      <c r="P2796" s="1" t="n">
        <v>19146</v>
      </c>
      <c r="Q2796" s="1" t="s">
        <v>15895</v>
      </c>
      <c r="R2796" s="1" t="s">
        <v>23</v>
      </c>
      <c r="S2796" s="1" t="s">
        <v>15896</v>
      </c>
      <c r="T2796" s="1" t="s">
        <v>4337</v>
      </c>
      <c r="U2796" s="1" t="s">
        <v>15897</v>
      </c>
    </row>
    <row r="2797" customFormat="false" ht="13.8" hidden="false" customHeight="false" outlineLevel="0" collapsed="false">
      <c r="A2797" s="1" t="n">
        <v>2796</v>
      </c>
      <c r="B2797" s="2" t="s">
        <v>15898</v>
      </c>
      <c r="C2797" s="1" t="n">
        <v>3</v>
      </c>
      <c r="D2797" s="1" t="n">
        <v>6</v>
      </c>
      <c r="E2797" s="1" t="n">
        <v>14</v>
      </c>
      <c r="F2797" s="1" t="n">
        <v>33</v>
      </c>
      <c r="G2797" s="1" t="n">
        <v>55</v>
      </c>
      <c r="H2797" s="1" t="n">
        <v>58</v>
      </c>
      <c r="I2797" s="1" t="str">
        <f aca="false">RIGHT(("0"&amp;C2797),2)&amp;RIGHT(("0"&amp;D2797),2)&amp;RIGHT(("0"&amp;E2797),2)&amp;RIGHT(("0"&amp;F2797),2)&amp;RIGHT(("0"&amp;G2797),2)&amp;RIGHT(("0"&amp;H2797),2)</f>
        <v>030614335558</v>
      </c>
      <c r="J2797" s="1" t="n">
        <f aca="false">COUNTIF(I:I,I2797)</f>
        <v>1</v>
      </c>
      <c r="K2797" s="1" t="n">
        <v>0</v>
      </c>
      <c r="M2797" s="1" t="s">
        <v>23</v>
      </c>
      <c r="N2797" s="1" t="n">
        <v>44</v>
      </c>
      <c r="O2797" s="1" t="s">
        <v>15899</v>
      </c>
      <c r="P2797" s="1" t="n">
        <v>3878</v>
      </c>
      <c r="Q2797" s="1" t="s">
        <v>15900</v>
      </c>
      <c r="R2797" s="1" t="s">
        <v>15901</v>
      </c>
      <c r="S2797" s="1" t="s">
        <v>15902</v>
      </c>
      <c r="T2797" s="1" t="s">
        <v>4594</v>
      </c>
      <c r="U2797" s="1" t="s">
        <v>15903</v>
      </c>
    </row>
    <row r="2798" customFormat="false" ht="13.8" hidden="false" customHeight="false" outlineLevel="0" collapsed="false">
      <c r="A2798" s="1" t="n">
        <v>2797</v>
      </c>
      <c r="B2798" s="2" t="s">
        <v>15904</v>
      </c>
      <c r="C2798" s="1" t="n">
        <v>1</v>
      </c>
      <c r="D2798" s="1" t="n">
        <v>3</v>
      </c>
      <c r="E2798" s="1" t="n">
        <v>15</v>
      </c>
      <c r="F2798" s="1" t="n">
        <v>25</v>
      </c>
      <c r="G2798" s="1" t="n">
        <v>45</v>
      </c>
      <c r="H2798" s="1" t="n">
        <v>52</v>
      </c>
      <c r="I2798" s="1" t="str">
        <f aca="false">RIGHT(("0"&amp;C2798),2)&amp;RIGHT(("0"&amp;D2798),2)&amp;RIGHT(("0"&amp;E2798),2)&amp;RIGHT(("0"&amp;F2798),2)&amp;RIGHT(("0"&amp;G2798),2)&amp;RIGHT(("0"&amp;H2798),2)</f>
        <v>010315254552</v>
      </c>
      <c r="J2798" s="1" t="n">
        <f aca="false">COUNTIF(I:I,I2798)</f>
        <v>1</v>
      </c>
      <c r="K2798" s="1" t="n">
        <v>0</v>
      </c>
      <c r="M2798" s="1" t="s">
        <v>23</v>
      </c>
      <c r="N2798" s="1" t="n">
        <v>37</v>
      </c>
      <c r="O2798" s="1" t="s">
        <v>15905</v>
      </c>
      <c r="P2798" s="1" t="n">
        <v>3876</v>
      </c>
      <c r="Q2798" s="1" t="s">
        <v>15906</v>
      </c>
      <c r="R2798" s="1" t="s">
        <v>15907</v>
      </c>
      <c r="S2798" s="1" t="s">
        <v>15908</v>
      </c>
      <c r="T2798" s="1" t="s">
        <v>7044</v>
      </c>
      <c r="U2798" s="1" t="s">
        <v>15909</v>
      </c>
    </row>
    <row r="2799" customFormat="false" ht="13.8" hidden="false" customHeight="false" outlineLevel="0" collapsed="false">
      <c r="A2799" s="1" t="n">
        <v>2798</v>
      </c>
      <c r="B2799" s="2" t="s">
        <v>15910</v>
      </c>
      <c r="C2799" s="1" t="n">
        <v>3</v>
      </c>
      <c r="D2799" s="1" t="n">
        <v>9</v>
      </c>
      <c r="E2799" s="1" t="n">
        <v>18</v>
      </c>
      <c r="F2799" s="1" t="n">
        <v>54</v>
      </c>
      <c r="G2799" s="1" t="n">
        <v>59</v>
      </c>
      <c r="H2799" s="1" t="n">
        <v>60</v>
      </c>
      <c r="I2799" s="1" t="str">
        <f aca="false">RIGHT(("0"&amp;C2799),2)&amp;RIGHT(("0"&amp;D2799),2)&amp;RIGHT(("0"&amp;E2799),2)&amp;RIGHT(("0"&amp;F2799),2)&amp;RIGHT(("0"&amp;G2799),2)&amp;RIGHT(("0"&amp;H2799),2)</f>
        <v>030918545960</v>
      </c>
      <c r="J2799" s="1" t="n">
        <f aca="false">COUNTIF(I:I,I2799)</f>
        <v>1</v>
      </c>
      <c r="K2799" s="1" t="n">
        <v>0</v>
      </c>
      <c r="M2799" s="1" t="s">
        <v>23</v>
      </c>
      <c r="N2799" s="1" t="n">
        <v>70</v>
      </c>
      <c r="O2799" s="1" t="s">
        <v>15911</v>
      </c>
      <c r="P2799" s="1" t="n">
        <v>4184</v>
      </c>
      <c r="Q2799" s="1" t="s">
        <v>15912</v>
      </c>
      <c r="R2799" s="1" t="s">
        <v>15913</v>
      </c>
      <c r="S2799" s="1" t="s">
        <v>15914</v>
      </c>
      <c r="T2799" s="1" t="s">
        <v>4241</v>
      </c>
      <c r="U2799" s="1" t="s">
        <v>15915</v>
      </c>
    </row>
    <row r="2800" customFormat="false" ht="13.8" hidden="false" customHeight="false" outlineLevel="0" collapsed="false">
      <c r="A2800" s="1" t="n">
        <v>2799</v>
      </c>
      <c r="B2800" s="2" t="s">
        <v>15916</v>
      </c>
      <c r="C2800" s="1" t="n">
        <v>1</v>
      </c>
      <c r="D2800" s="1" t="n">
        <v>31</v>
      </c>
      <c r="E2800" s="1" t="n">
        <v>38</v>
      </c>
      <c r="F2800" s="1" t="n">
        <v>40</v>
      </c>
      <c r="G2800" s="1" t="n">
        <v>45</v>
      </c>
      <c r="H2800" s="1" t="n">
        <v>60</v>
      </c>
      <c r="I2800" s="1" t="str">
        <f aca="false">RIGHT(("0"&amp;C2800),2)&amp;RIGHT(("0"&amp;D2800),2)&amp;RIGHT(("0"&amp;E2800),2)&amp;RIGHT(("0"&amp;F2800),2)&amp;RIGHT(("0"&amp;G2800),2)&amp;RIGHT(("0"&amp;H2800),2)</f>
        <v>013138404560</v>
      </c>
      <c r="J2800" s="1" t="n">
        <f aca="false">COUNTIF(I:I,I2800)</f>
        <v>1</v>
      </c>
      <c r="K2800" s="1" t="n">
        <v>0</v>
      </c>
      <c r="M2800" s="1" t="s">
        <v>23</v>
      </c>
      <c r="N2800" s="1" t="n">
        <v>53</v>
      </c>
      <c r="O2800" s="1" t="s">
        <v>15917</v>
      </c>
      <c r="P2800" s="1" t="n">
        <v>3737</v>
      </c>
      <c r="Q2800" s="1" t="s">
        <v>15918</v>
      </c>
      <c r="R2800" s="1" t="s">
        <v>15919</v>
      </c>
      <c r="S2800" s="1" t="s">
        <v>15920</v>
      </c>
      <c r="T2800" s="1" t="s">
        <v>5255</v>
      </c>
      <c r="U2800" s="1" t="s">
        <v>15921</v>
      </c>
    </row>
    <row r="2801" customFormat="false" ht="13.8" hidden="false" customHeight="false" outlineLevel="0" collapsed="false">
      <c r="A2801" s="1" t="n">
        <v>2800</v>
      </c>
      <c r="B2801" s="2" t="s">
        <v>15922</v>
      </c>
      <c r="C2801" s="1" t="n">
        <v>1</v>
      </c>
      <c r="D2801" s="1" t="n">
        <v>13</v>
      </c>
      <c r="E2801" s="1" t="n">
        <v>19</v>
      </c>
      <c r="F2801" s="1" t="n">
        <v>46</v>
      </c>
      <c r="G2801" s="1" t="n">
        <v>50</v>
      </c>
      <c r="H2801" s="1" t="n">
        <v>57</v>
      </c>
      <c r="I2801" s="1" t="str">
        <f aca="false">RIGHT(("0"&amp;C2801),2)&amp;RIGHT(("0"&amp;D2801),2)&amp;RIGHT(("0"&amp;E2801),2)&amp;RIGHT(("0"&amp;F2801),2)&amp;RIGHT(("0"&amp;G2801),2)&amp;RIGHT(("0"&amp;H2801),2)</f>
        <v>011319465057</v>
      </c>
      <c r="J2801" s="1" t="n">
        <f aca="false">COUNTIF(I:I,I2801)</f>
        <v>1</v>
      </c>
      <c r="K2801" s="1" t="n">
        <v>0</v>
      </c>
      <c r="M2801" s="1" t="s">
        <v>23</v>
      </c>
      <c r="N2801" s="1" t="n">
        <v>73</v>
      </c>
      <c r="O2801" s="1" t="s">
        <v>15923</v>
      </c>
      <c r="P2801" s="1" t="n">
        <v>4093</v>
      </c>
      <c r="Q2801" s="1" t="s">
        <v>15924</v>
      </c>
      <c r="R2801" s="1" t="s">
        <v>15925</v>
      </c>
      <c r="S2801" s="1" t="s">
        <v>15926</v>
      </c>
      <c r="T2801" s="1" t="s">
        <v>8797</v>
      </c>
      <c r="U2801" s="1" t="s">
        <v>15927</v>
      </c>
    </row>
    <row r="2802" customFormat="false" ht="13.8" hidden="false" customHeight="false" outlineLevel="0" collapsed="false">
      <c r="A2802" s="1" t="n">
        <v>2801</v>
      </c>
      <c r="B2802" s="2" t="s">
        <v>15928</v>
      </c>
      <c r="C2802" s="1" t="n">
        <v>25</v>
      </c>
      <c r="D2802" s="1" t="n">
        <v>27</v>
      </c>
      <c r="E2802" s="1" t="n">
        <v>33</v>
      </c>
      <c r="F2802" s="1" t="n">
        <v>46</v>
      </c>
      <c r="G2802" s="1" t="n">
        <v>48</v>
      </c>
      <c r="H2802" s="1" t="n">
        <v>56</v>
      </c>
      <c r="I2802" s="1" t="str">
        <f aca="false">RIGHT(("0"&amp;C2802),2)&amp;RIGHT(("0"&amp;D2802),2)&amp;RIGHT(("0"&amp;E2802),2)&amp;RIGHT(("0"&amp;F2802),2)&amp;RIGHT(("0"&amp;G2802),2)&amp;RIGHT(("0"&amp;H2802),2)</f>
        <v>252733464856</v>
      </c>
      <c r="J2802" s="1" t="n">
        <f aca="false">COUNTIF(I:I,I2802)</f>
        <v>1</v>
      </c>
      <c r="K2802" s="1" t="n">
        <v>0</v>
      </c>
      <c r="M2802" s="1" t="s">
        <v>23</v>
      </c>
      <c r="N2802" s="1" t="n">
        <v>112</v>
      </c>
      <c r="O2802" s="1" t="s">
        <v>15929</v>
      </c>
      <c r="P2802" s="1" t="n">
        <v>6393</v>
      </c>
      <c r="Q2802" s="1" t="s">
        <v>15930</v>
      </c>
      <c r="R2802" s="1" t="s">
        <v>15931</v>
      </c>
      <c r="S2802" s="1" t="s">
        <v>15932</v>
      </c>
      <c r="T2802" s="1" t="s">
        <v>8835</v>
      </c>
      <c r="U2802" s="1" t="s">
        <v>15933</v>
      </c>
    </row>
    <row r="2803" customFormat="false" ht="13.8" hidden="false" customHeight="false" outlineLevel="0" collapsed="false">
      <c r="A2803" s="1" t="n">
        <v>2802</v>
      </c>
      <c r="B2803" s="2" t="s">
        <v>15934</v>
      </c>
      <c r="C2803" s="1" t="n">
        <v>17</v>
      </c>
      <c r="D2803" s="1" t="n">
        <v>21</v>
      </c>
      <c r="E2803" s="1" t="n">
        <v>26</v>
      </c>
      <c r="F2803" s="1" t="n">
        <v>28</v>
      </c>
      <c r="G2803" s="1" t="n">
        <v>32</v>
      </c>
      <c r="H2803" s="1" t="n">
        <v>60</v>
      </c>
      <c r="I2803" s="1" t="str">
        <f aca="false">RIGHT(("0"&amp;C2803),2)&amp;RIGHT(("0"&amp;D2803),2)&amp;RIGHT(("0"&amp;E2803),2)&amp;RIGHT(("0"&amp;F2803),2)&amp;RIGHT(("0"&amp;G2803),2)&amp;RIGHT(("0"&amp;H2803),2)</f>
        <v>172126283260</v>
      </c>
      <c r="J2803" s="1" t="n">
        <f aca="false">COUNTIF(I:I,I2803)</f>
        <v>1</v>
      </c>
      <c r="K2803" s="1" t="n">
        <v>0</v>
      </c>
      <c r="M2803" s="1" t="s">
        <v>23</v>
      </c>
      <c r="N2803" s="1" t="n">
        <v>36</v>
      </c>
      <c r="O2803" s="1" t="s">
        <v>15935</v>
      </c>
      <c r="P2803" s="1" t="n">
        <v>4510</v>
      </c>
      <c r="Q2803" s="1" t="s">
        <v>15936</v>
      </c>
      <c r="R2803" s="1" t="s">
        <v>15937</v>
      </c>
      <c r="S2803" s="1" t="s">
        <v>15938</v>
      </c>
      <c r="T2803" s="1" t="s">
        <v>15194</v>
      </c>
      <c r="U2803" s="1" t="s">
        <v>15939</v>
      </c>
    </row>
    <row r="2804" customFormat="false" ht="13.8" hidden="false" customHeight="false" outlineLevel="0" collapsed="false">
      <c r="A2804" s="1" t="n">
        <v>2803</v>
      </c>
      <c r="B2804" s="2" t="s">
        <v>15940</v>
      </c>
      <c r="C2804" s="1" t="n">
        <v>1</v>
      </c>
      <c r="D2804" s="1" t="n">
        <v>20</v>
      </c>
      <c r="E2804" s="1" t="n">
        <v>32</v>
      </c>
      <c r="F2804" s="1" t="n">
        <v>43</v>
      </c>
      <c r="G2804" s="1" t="n">
        <v>57</v>
      </c>
      <c r="H2804" s="1" t="n">
        <v>59</v>
      </c>
      <c r="I2804" s="1" t="str">
        <f aca="false">RIGHT(("0"&amp;C2804),2)&amp;RIGHT(("0"&amp;D2804),2)&amp;RIGHT(("0"&amp;E2804),2)&amp;RIGHT(("0"&amp;F2804),2)&amp;RIGHT(("0"&amp;G2804),2)&amp;RIGHT(("0"&amp;H2804),2)</f>
        <v>012032435759</v>
      </c>
      <c r="J2804" s="1" t="n">
        <f aca="false">COUNTIF(I:I,I2804)</f>
        <v>1</v>
      </c>
      <c r="K2804" s="1" t="n">
        <v>1</v>
      </c>
      <c r="L2804" s="1" t="s">
        <v>15941</v>
      </c>
      <c r="M2804" s="1" t="s">
        <v>15942</v>
      </c>
      <c r="N2804" s="1" t="n">
        <v>40</v>
      </c>
      <c r="O2804" s="1" t="s">
        <v>15943</v>
      </c>
      <c r="P2804" s="1" t="n">
        <v>4013</v>
      </c>
      <c r="Q2804" s="1" t="s">
        <v>15944</v>
      </c>
      <c r="R2804" s="1" t="s">
        <v>23</v>
      </c>
      <c r="S2804" s="1" t="s">
        <v>15945</v>
      </c>
      <c r="T2804" s="1" t="s">
        <v>4337</v>
      </c>
      <c r="U2804" s="1" t="s">
        <v>15946</v>
      </c>
    </row>
    <row r="2805" customFormat="false" ht="13.8" hidden="false" customHeight="false" outlineLevel="0" collapsed="false">
      <c r="A2805" s="1" t="n">
        <v>2804</v>
      </c>
      <c r="B2805" s="2" t="s">
        <v>15947</v>
      </c>
      <c r="C2805" s="1" t="n">
        <v>14</v>
      </c>
      <c r="D2805" s="1" t="n">
        <v>24</v>
      </c>
      <c r="E2805" s="1" t="n">
        <v>25</v>
      </c>
      <c r="F2805" s="1" t="n">
        <v>31</v>
      </c>
      <c r="G2805" s="1" t="n">
        <v>33</v>
      </c>
      <c r="H2805" s="1" t="n">
        <v>60</v>
      </c>
      <c r="I2805" s="1" t="str">
        <f aca="false">RIGHT(("0"&amp;C2805),2)&amp;RIGHT(("0"&amp;D2805),2)&amp;RIGHT(("0"&amp;E2805),2)&amp;RIGHT(("0"&amp;F2805),2)&amp;RIGHT(("0"&amp;G2805),2)&amp;RIGHT(("0"&amp;H2805),2)</f>
        <v>142425313360</v>
      </c>
      <c r="J2805" s="1" t="n">
        <f aca="false">COUNTIF(I:I,I2805)</f>
        <v>1</v>
      </c>
      <c r="K2805" s="1" t="n">
        <v>0</v>
      </c>
      <c r="M2805" s="1" t="s">
        <v>23</v>
      </c>
      <c r="N2805" s="1" t="n">
        <v>21</v>
      </c>
      <c r="O2805" s="1" t="s">
        <v>15948</v>
      </c>
      <c r="P2805" s="1" t="n">
        <v>1821</v>
      </c>
      <c r="Q2805" s="1" t="s">
        <v>15949</v>
      </c>
      <c r="R2805" s="1" t="s">
        <v>15950</v>
      </c>
      <c r="S2805" s="1" t="s">
        <v>15951</v>
      </c>
      <c r="T2805" s="1" t="s">
        <v>5281</v>
      </c>
      <c r="U2805" s="1" t="s">
        <v>15952</v>
      </c>
    </row>
    <row r="2806" customFormat="false" ht="13.8" hidden="false" customHeight="false" outlineLevel="0" collapsed="false">
      <c r="A2806" s="1" t="n">
        <v>2805</v>
      </c>
      <c r="B2806" s="2" t="s">
        <v>15953</v>
      </c>
      <c r="C2806" s="1" t="n">
        <v>1</v>
      </c>
      <c r="D2806" s="1" t="n">
        <v>6</v>
      </c>
      <c r="E2806" s="1" t="n">
        <v>24</v>
      </c>
      <c r="F2806" s="1" t="n">
        <v>47</v>
      </c>
      <c r="G2806" s="1" t="n">
        <v>55</v>
      </c>
      <c r="H2806" s="1" t="n">
        <v>58</v>
      </c>
      <c r="I2806" s="1" t="str">
        <f aca="false">RIGHT(("0"&amp;C2806),2)&amp;RIGHT(("0"&amp;D2806),2)&amp;RIGHT(("0"&amp;E2806),2)&amp;RIGHT(("0"&amp;F2806),2)&amp;RIGHT(("0"&amp;G2806),2)&amp;RIGHT(("0"&amp;H2806),2)</f>
        <v>010624475558</v>
      </c>
      <c r="J2806" s="1" t="n">
        <f aca="false">COUNTIF(I:I,I2806)</f>
        <v>1</v>
      </c>
      <c r="K2806" s="1" t="n">
        <v>1</v>
      </c>
      <c r="L2806" s="1" t="s">
        <v>12490</v>
      </c>
      <c r="M2806" s="1" t="s">
        <v>15954</v>
      </c>
      <c r="N2806" s="1" t="n">
        <v>60</v>
      </c>
      <c r="O2806" s="1" t="s">
        <v>15955</v>
      </c>
      <c r="P2806" s="1" t="n">
        <v>3839</v>
      </c>
      <c r="Q2806" s="1" t="s">
        <v>15956</v>
      </c>
      <c r="R2806" s="1" t="s">
        <v>23</v>
      </c>
      <c r="S2806" s="1" t="s">
        <v>15957</v>
      </c>
      <c r="T2806" s="1" t="s">
        <v>4337</v>
      </c>
      <c r="U2806" s="1" t="s">
        <v>15958</v>
      </c>
    </row>
    <row r="2807" customFormat="false" ht="13.8" hidden="false" customHeight="false" outlineLevel="0" collapsed="false">
      <c r="A2807" s="1" t="n">
        <v>2806</v>
      </c>
      <c r="B2807" s="2" t="s">
        <v>15959</v>
      </c>
      <c r="C2807" s="1" t="n">
        <v>5</v>
      </c>
      <c r="D2807" s="1" t="n">
        <v>11</v>
      </c>
      <c r="E2807" s="1" t="n">
        <v>13</v>
      </c>
      <c r="F2807" s="1" t="n">
        <v>33</v>
      </c>
      <c r="G2807" s="1" t="n">
        <v>45</v>
      </c>
      <c r="H2807" s="1" t="n">
        <v>46</v>
      </c>
      <c r="I2807" s="1" t="str">
        <f aca="false">RIGHT(("0"&amp;C2807),2)&amp;RIGHT(("0"&amp;D2807),2)&amp;RIGHT(("0"&amp;E2807),2)&amp;RIGHT(("0"&amp;F2807),2)&amp;RIGHT(("0"&amp;G2807),2)&amp;RIGHT(("0"&amp;H2807),2)</f>
        <v>051113334546</v>
      </c>
      <c r="J2807" s="1" t="n">
        <f aca="false">COUNTIF(I:I,I2807)</f>
        <v>1</v>
      </c>
      <c r="K2807" s="1" t="n">
        <v>0</v>
      </c>
      <c r="M2807" s="1" t="s">
        <v>23</v>
      </c>
      <c r="N2807" s="1" t="n">
        <v>76</v>
      </c>
      <c r="O2807" s="1" t="s">
        <v>15960</v>
      </c>
      <c r="P2807" s="1" t="n">
        <v>4737</v>
      </c>
      <c r="Q2807" s="1" t="s">
        <v>15961</v>
      </c>
      <c r="R2807" s="1" t="s">
        <v>15962</v>
      </c>
      <c r="S2807" s="1" t="s">
        <v>15963</v>
      </c>
      <c r="T2807" s="1" t="s">
        <v>4232</v>
      </c>
      <c r="U2807" s="1" t="s">
        <v>15964</v>
      </c>
    </row>
    <row r="2808" customFormat="false" ht="13.8" hidden="false" customHeight="false" outlineLevel="0" collapsed="false">
      <c r="A2808" s="1" t="n">
        <v>2807</v>
      </c>
      <c r="B2808" s="2" t="s">
        <v>15965</v>
      </c>
      <c r="C2808" s="1" t="n">
        <v>8</v>
      </c>
      <c r="D2808" s="1" t="n">
        <v>25</v>
      </c>
      <c r="E2808" s="1" t="n">
        <v>49</v>
      </c>
      <c r="F2808" s="1" t="n">
        <v>52</v>
      </c>
      <c r="G2808" s="1" t="n">
        <v>55</v>
      </c>
      <c r="H2808" s="1" t="n">
        <v>56</v>
      </c>
      <c r="I2808" s="1" t="str">
        <f aca="false">RIGHT(("0"&amp;C2808),2)&amp;RIGHT(("0"&amp;D2808),2)&amp;RIGHT(("0"&amp;E2808),2)&amp;RIGHT(("0"&amp;F2808),2)&amp;RIGHT(("0"&amp;G2808),2)&amp;RIGHT(("0"&amp;H2808),2)</f>
        <v>082549525556</v>
      </c>
      <c r="J2808" s="1" t="n">
        <f aca="false">COUNTIF(I:I,I2808)</f>
        <v>1</v>
      </c>
      <c r="K2808" s="1" t="n">
        <v>0</v>
      </c>
      <c r="M2808" s="1" t="s">
        <v>23</v>
      </c>
      <c r="N2808" s="1" t="n">
        <v>18</v>
      </c>
      <c r="O2808" s="1" t="s">
        <v>15966</v>
      </c>
      <c r="P2808" s="1" t="n">
        <v>2025</v>
      </c>
      <c r="Q2808" s="1" t="s">
        <v>15967</v>
      </c>
      <c r="R2808" s="1" t="s">
        <v>15968</v>
      </c>
      <c r="S2808" s="1" t="s">
        <v>15969</v>
      </c>
      <c r="T2808" s="1" t="s">
        <v>4461</v>
      </c>
      <c r="U2808" s="1" t="s">
        <v>15970</v>
      </c>
    </row>
    <row r="2809" customFormat="false" ht="13.8" hidden="false" customHeight="false" outlineLevel="0" collapsed="false">
      <c r="A2809" s="1" t="n">
        <v>2808</v>
      </c>
      <c r="B2809" s="2" t="s">
        <v>15971</v>
      </c>
      <c r="C2809" s="1" t="n">
        <v>10</v>
      </c>
      <c r="D2809" s="1" t="n">
        <v>24</v>
      </c>
      <c r="E2809" s="1" t="n">
        <v>33</v>
      </c>
      <c r="F2809" s="1" t="n">
        <v>35</v>
      </c>
      <c r="G2809" s="1" t="n">
        <v>41</v>
      </c>
      <c r="H2809" s="1" t="n">
        <v>46</v>
      </c>
      <c r="I2809" s="1" t="str">
        <f aca="false">RIGHT(("0"&amp;C2809),2)&amp;RIGHT(("0"&amp;D2809),2)&amp;RIGHT(("0"&amp;E2809),2)&amp;RIGHT(("0"&amp;F2809),2)&amp;RIGHT(("0"&amp;G2809),2)&amp;RIGHT(("0"&amp;H2809),2)</f>
        <v>102433354146</v>
      </c>
      <c r="J2809" s="1" t="n">
        <f aca="false">COUNTIF(I:I,I2809)</f>
        <v>1</v>
      </c>
      <c r="K2809" s="1" t="n">
        <v>0</v>
      </c>
      <c r="M2809" s="1" t="s">
        <v>23</v>
      </c>
      <c r="N2809" s="1" t="n">
        <v>60</v>
      </c>
      <c r="O2809" s="1" t="s">
        <v>15972</v>
      </c>
      <c r="P2809" s="1" t="n">
        <v>3408</v>
      </c>
      <c r="Q2809" s="1" t="s">
        <v>15973</v>
      </c>
      <c r="R2809" s="1" t="s">
        <v>15974</v>
      </c>
      <c r="S2809" s="1" t="s">
        <v>15975</v>
      </c>
      <c r="T2809" s="1" t="s">
        <v>3928</v>
      </c>
      <c r="U2809" s="1" t="s">
        <v>15976</v>
      </c>
    </row>
    <row r="2810" customFormat="false" ht="13.8" hidden="false" customHeight="false" outlineLevel="0" collapsed="false">
      <c r="A2810" s="1" t="n">
        <v>2809</v>
      </c>
      <c r="B2810" s="2" t="s">
        <v>15977</v>
      </c>
      <c r="C2810" s="1" t="n">
        <v>2</v>
      </c>
      <c r="D2810" s="1" t="n">
        <v>4</v>
      </c>
      <c r="E2810" s="1" t="n">
        <v>15</v>
      </c>
      <c r="F2810" s="1" t="n">
        <v>28</v>
      </c>
      <c r="G2810" s="1" t="n">
        <v>34</v>
      </c>
      <c r="H2810" s="1" t="n">
        <v>39</v>
      </c>
      <c r="I2810" s="1" t="str">
        <f aca="false">RIGHT(("0"&amp;C2810),2)&amp;RIGHT(("0"&amp;D2810),2)&amp;RIGHT(("0"&amp;E2810),2)&amp;RIGHT(("0"&amp;F2810),2)&amp;RIGHT(("0"&amp;G2810),2)&amp;RIGHT(("0"&amp;H2810),2)</f>
        <v>020415283439</v>
      </c>
      <c r="J2810" s="1" t="n">
        <f aca="false">COUNTIF(I:I,I2810)</f>
        <v>1</v>
      </c>
      <c r="K2810" s="1" t="n">
        <v>0</v>
      </c>
      <c r="M2810" s="1" t="s">
        <v>23</v>
      </c>
      <c r="N2810" s="1" t="n">
        <v>39</v>
      </c>
      <c r="O2810" s="1" t="s">
        <v>15978</v>
      </c>
      <c r="P2810" s="1" t="n">
        <v>5000</v>
      </c>
      <c r="Q2810" s="1" t="s">
        <v>15979</v>
      </c>
      <c r="R2810" s="1" t="s">
        <v>15980</v>
      </c>
      <c r="S2810" s="1" t="s">
        <v>15981</v>
      </c>
      <c r="T2810" s="1" t="s">
        <v>15982</v>
      </c>
      <c r="U2810" s="1" t="s">
        <v>15980</v>
      </c>
    </row>
    <row r="2811" customFormat="false" ht="13.8" hidden="false" customHeight="false" outlineLevel="0" collapsed="false">
      <c r="A2811" s="1" t="n">
        <v>2810</v>
      </c>
      <c r="B2811" s="2" t="s">
        <v>15983</v>
      </c>
      <c r="C2811" s="1" t="n">
        <v>1</v>
      </c>
      <c r="D2811" s="1" t="n">
        <v>17</v>
      </c>
      <c r="E2811" s="1" t="n">
        <v>19</v>
      </c>
      <c r="F2811" s="1" t="n">
        <v>29</v>
      </c>
      <c r="G2811" s="1" t="n">
        <v>50</v>
      </c>
      <c r="H2811" s="1" t="n">
        <v>57</v>
      </c>
      <c r="I2811" s="1" t="str">
        <f aca="false">RIGHT(("0"&amp;C2811),2)&amp;RIGHT(("0"&amp;D2811),2)&amp;RIGHT(("0"&amp;E2811),2)&amp;RIGHT(("0"&amp;F2811),2)&amp;RIGHT(("0"&amp;G2811),2)&amp;RIGHT(("0"&amp;H2811),2)</f>
        <v>011719295057</v>
      </c>
      <c r="J2811" s="1" t="n">
        <f aca="false">COUNTIF(I:I,I2811)</f>
        <v>1</v>
      </c>
      <c r="K2811" s="1" t="n">
        <v>8</v>
      </c>
      <c r="L2811" s="1" t="s">
        <v>15984</v>
      </c>
      <c r="M2811" s="1" t="s">
        <v>15985</v>
      </c>
      <c r="N2811" s="1" t="n">
        <v>2201</v>
      </c>
      <c r="O2811" s="1" t="s">
        <v>15986</v>
      </c>
      <c r="P2811" s="1" t="n">
        <v>190779</v>
      </c>
      <c r="Q2811" s="1" t="s">
        <v>15987</v>
      </c>
      <c r="R2811" s="1" t="s">
        <v>23</v>
      </c>
      <c r="S2811" s="1" t="s">
        <v>15988</v>
      </c>
      <c r="T2811" s="1" t="s">
        <v>4337</v>
      </c>
      <c r="U2811" s="1" t="s">
        <v>23</v>
      </c>
    </row>
    <row r="2812" customFormat="false" ht="13.8" hidden="false" customHeight="false" outlineLevel="0" collapsed="false">
      <c r="A2812" s="1" t="n">
        <v>2811</v>
      </c>
      <c r="B2812" s="2" t="s">
        <v>15989</v>
      </c>
      <c r="C2812" s="1" t="n">
        <v>8</v>
      </c>
      <c r="D2812" s="1" t="n">
        <v>27</v>
      </c>
      <c r="E2812" s="1" t="n">
        <v>36</v>
      </c>
      <c r="F2812" s="1" t="n">
        <v>37</v>
      </c>
      <c r="G2812" s="1" t="n">
        <v>39</v>
      </c>
      <c r="H2812" s="1" t="n">
        <v>45</v>
      </c>
      <c r="I2812" s="1" t="str">
        <f aca="false">RIGHT(("0"&amp;C2812),2)&amp;RIGHT(("0"&amp;D2812),2)&amp;RIGHT(("0"&amp;E2812),2)&amp;RIGHT(("0"&amp;F2812),2)&amp;RIGHT(("0"&amp;G2812),2)&amp;RIGHT(("0"&amp;H2812),2)</f>
        <v>082736373945</v>
      </c>
      <c r="J2812" s="1" t="n">
        <f aca="false">COUNTIF(I:I,I2812)</f>
        <v>1</v>
      </c>
      <c r="K2812" s="1" t="n">
        <v>0</v>
      </c>
      <c r="M2812" s="1" t="s">
        <v>23</v>
      </c>
      <c r="N2812" s="1" t="n">
        <v>24</v>
      </c>
      <c r="O2812" s="1" t="s">
        <v>15990</v>
      </c>
      <c r="P2812" s="1" t="n">
        <v>2225</v>
      </c>
      <c r="Q2812" s="1" t="s">
        <v>15991</v>
      </c>
      <c r="R2812" s="1" t="s">
        <v>15992</v>
      </c>
      <c r="S2812" s="1" t="s">
        <v>15993</v>
      </c>
      <c r="T2812" s="1" t="s">
        <v>4594</v>
      </c>
      <c r="U2812" s="1" t="s">
        <v>15994</v>
      </c>
    </row>
    <row r="2813" customFormat="false" ht="13.8" hidden="false" customHeight="false" outlineLevel="0" collapsed="false">
      <c r="A2813" s="1" t="n">
        <v>2812</v>
      </c>
      <c r="B2813" s="2" t="s">
        <v>15995</v>
      </c>
      <c r="C2813" s="1" t="n">
        <v>15</v>
      </c>
      <c r="D2813" s="1" t="n">
        <v>18</v>
      </c>
      <c r="E2813" s="1" t="n">
        <v>27</v>
      </c>
      <c r="F2813" s="1" t="n">
        <v>31</v>
      </c>
      <c r="G2813" s="1" t="n">
        <v>39</v>
      </c>
      <c r="H2813" s="1" t="n">
        <v>42</v>
      </c>
      <c r="I2813" s="1" t="str">
        <f aca="false">RIGHT(("0"&amp;C2813),2)&amp;RIGHT(("0"&amp;D2813),2)&amp;RIGHT(("0"&amp;E2813),2)&amp;RIGHT(("0"&amp;F2813),2)&amp;RIGHT(("0"&amp;G2813),2)&amp;RIGHT(("0"&amp;H2813),2)</f>
        <v>151827313942</v>
      </c>
      <c r="J2813" s="1" t="n">
        <f aca="false">COUNTIF(I:I,I2813)</f>
        <v>1</v>
      </c>
      <c r="K2813" s="1" t="n">
        <v>0</v>
      </c>
      <c r="M2813" s="1" t="s">
        <v>23</v>
      </c>
      <c r="N2813" s="1" t="n">
        <v>30</v>
      </c>
      <c r="O2813" s="1" t="s">
        <v>15996</v>
      </c>
      <c r="P2813" s="1" t="n">
        <v>2573</v>
      </c>
      <c r="Q2813" s="1" t="s">
        <v>15997</v>
      </c>
      <c r="R2813" s="1" t="s">
        <v>15998</v>
      </c>
      <c r="S2813" s="1" t="s">
        <v>15999</v>
      </c>
      <c r="T2813" s="1" t="s">
        <v>9250</v>
      </c>
      <c r="U2813" s="1" t="s">
        <v>16000</v>
      </c>
    </row>
    <row r="2814" customFormat="false" ht="13.8" hidden="false" customHeight="false" outlineLevel="0" collapsed="false">
      <c r="A2814" s="1" t="n">
        <v>2813</v>
      </c>
      <c r="B2814" s="2" t="s">
        <v>16001</v>
      </c>
      <c r="C2814" s="1" t="n">
        <v>10</v>
      </c>
      <c r="D2814" s="1" t="n">
        <v>21</v>
      </c>
      <c r="E2814" s="1" t="n">
        <v>32</v>
      </c>
      <c r="F2814" s="1" t="n">
        <v>38</v>
      </c>
      <c r="G2814" s="1" t="n">
        <v>51</v>
      </c>
      <c r="H2814" s="1" t="n">
        <v>58</v>
      </c>
      <c r="I2814" s="1" t="str">
        <f aca="false">RIGHT(("0"&amp;C2814),2)&amp;RIGHT(("0"&amp;D2814),2)&amp;RIGHT(("0"&amp;E2814),2)&amp;RIGHT(("0"&amp;F2814),2)&amp;RIGHT(("0"&amp;G2814),2)&amp;RIGHT(("0"&amp;H2814),2)</f>
        <v>102132385158</v>
      </c>
      <c r="J2814" s="1" t="n">
        <f aca="false">COUNTIF(I:I,I2814)</f>
        <v>1</v>
      </c>
      <c r="K2814" s="1" t="n">
        <v>0</v>
      </c>
      <c r="M2814" s="1" t="s">
        <v>23</v>
      </c>
      <c r="N2814" s="1" t="n">
        <v>26</v>
      </c>
      <c r="O2814" s="1" t="s">
        <v>16002</v>
      </c>
      <c r="P2814" s="1" t="n">
        <v>2312</v>
      </c>
      <c r="Q2814" s="1" t="s">
        <v>16003</v>
      </c>
      <c r="R2814" s="1" t="s">
        <v>16004</v>
      </c>
      <c r="S2814" s="1" t="s">
        <v>16005</v>
      </c>
      <c r="T2814" s="1" t="s">
        <v>3928</v>
      </c>
      <c r="U2814" s="1" t="s">
        <v>16006</v>
      </c>
    </row>
    <row r="2815" customFormat="false" ht="13.8" hidden="false" customHeight="false" outlineLevel="0" collapsed="false">
      <c r="A2815" s="1" t="n">
        <v>2814</v>
      </c>
      <c r="B2815" s="2" t="s">
        <v>16007</v>
      </c>
      <c r="C2815" s="1" t="n">
        <v>11</v>
      </c>
      <c r="D2815" s="1" t="n">
        <v>17</v>
      </c>
      <c r="E2815" s="1" t="n">
        <v>19</v>
      </c>
      <c r="F2815" s="1" t="n">
        <v>26</v>
      </c>
      <c r="G2815" s="1" t="n">
        <v>49</v>
      </c>
      <c r="H2815" s="1" t="n">
        <v>54</v>
      </c>
      <c r="I2815" s="1" t="str">
        <f aca="false">RIGHT(("0"&amp;C2815),2)&amp;RIGHT(("0"&amp;D2815),2)&amp;RIGHT(("0"&amp;E2815),2)&amp;RIGHT(("0"&amp;F2815),2)&amp;RIGHT(("0"&amp;G2815),2)&amp;RIGHT(("0"&amp;H2815),2)</f>
        <v>111719264954</v>
      </c>
      <c r="J2815" s="1" t="n">
        <f aca="false">COUNTIF(I:I,I2815)</f>
        <v>1</v>
      </c>
      <c r="K2815" s="1" t="n">
        <v>0</v>
      </c>
      <c r="M2815" s="1" t="s">
        <v>23</v>
      </c>
      <c r="N2815" s="1" t="n">
        <v>82</v>
      </c>
      <c r="O2815" s="1" t="s">
        <v>16008</v>
      </c>
      <c r="P2815" s="1" t="n">
        <v>4640</v>
      </c>
      <c r="Q2815" s="1" t="s">
        <v>16009</v>
      </c>
      <c r="R2815" s="1" t="s">
        <v>16010</v>
      </c>
      <c r="S2815" s="1" t="s">
        <v>16011</v>
      </c>
      <c r="T2815" s="1" t="s">
        <v>5686</v>
      </c>
      <c r="U2815" s="1" t="s">
        <v>16012</v>
      </c>
    </row>
    <row r="2816" customFormat="false" ht="13.8" hidden="false" customHeight="false" outlineLevel="0" collapsed="false">
      <c r="A2816" s="1" t="n">
        <v>2815</v>
      </c>
      <c r="B2816" s="2" t="s">
        <v>16013</v>
      </c>
      <c r="C2816" s="1" t="n">
        <v>5</v>
      </c>
      <c r="D2816" s="1" t="n">
        <v>20</v>
      </c>
      <c r="E2816" s="1" t="n">
        <v>28</v>
      </c>
      <c r="F2816" s="1" t="n">
        <v>38</v>
      </c>
      <c r="G2816" s="1" t="n">
        <v>50</v>
      </c>
      <c r="H2816" s="1" t="n">
        <v>53</v>
      </c>
      <c r="I2816" s="1" t="str">
        <f aca="false">RIGHT(("0"&amp;C2816),2)&amp;RIGHT(("0"&amp;D2816),2)&amp;RIGHT(("0"&amp;E2816),2)&amp;RIGHT(("0"&amp;F2816),2)&amp;RIGHT(("0"&amp;G2816),2)&amp;RIGHT(("0"&amp;H2816),2)</f>
        <v>052028385053</v>
      </c>
      <c r="J2816" s="1" t="n">
        <f aca="false">COUNTIF(I:I,I2816)</f>
        <v>1</v>
      </c>
      <c r="K2816" s="1" t="n">
        <v>0</v>
      </c>
      <c r="M2816" s="1" t="s">
        <v>23</v>
      </c>
      <c r="N2816" s="1" t="n">
        <v>38</v>
      </c>
      <c r="O2816" s="1" t="s">
        <v>16014</v>
      </c>
      <c r="P2816" s="1" t="n">
        <v>3288</v>
      </c>
      <c r="Q2816" s="1" t="s">
        <v>16015</v>
      </c>
      <c r="R2816" s="1" t="s">
        <v>16016</v>
      </c>
      <c r="S2816" s="1" t="s">
        <v>16017</v>
      </c>
      <c r="T2816" s="1" t="s">
        <v>5294</v>
      </c>
      <c r="U2816" s="1" t="s">
        <v>16018</v>
      </c>
    </row>
    <row r="2817" customFormat="false" ht="13.8" hidden="false" customHeight="false" outlineLevel="0" collapsed="false">
      <c r="A2817" s="1" t="n">
        <v>2816</v>
      </c>
      <c r="B2817" s="2" t="s">
        <v>16019</v>
      </c>
      <c r="C2817" s="1" t="n">
        <v>4</v>
      </c>
      <c r="D2817" s="1" t="n">
        <v>17</v>
      </c>
      <c r="E2817" s="1" t="n">
        <v>19</v>
      </c>
      <c r="F2817" s="1" t="n">
        <v>20</v>
      </c>
      <c r="G2817" s="1" t="n">
        <v>40</v>
      </c>
      <c r="H2817" s="1" t="n">
        <v>48</v>
      </c>
      <c r="I2817" s="1" t="str">
        <f aca="false">RIGHT(("0"&amp;C2817),2)&amp;RIGHT(("0"&amp;D2817),2)&amp;RIGHT(("0"&amp;E2817),2)&amp;RIGHT(("0"&amp;F2817),2)&amp;RIGHT(("0"&amp;G2817),2)&amp;RIGHT(("0"&amp;H2817),2)</f>
        <v>041719204048</v>
      </c>
      <c r="J2817" s="1" t="n">
        <f aca="false">COUNTIF(I:I,I2817)</f>
        <v>1</v>
      </c>
      <c r="K2817" s="1" t="n">
        <v>1</v>
      </c>
      <c r="L2817" s="1" t="s">
        <v>5213</v>
      </c>
      <c r="M2817" s="1" t="s">
        <v>16020</v>
      </c>
      <c r="N2817" s="1" t="n">
        <v>63</v>
      </c>
      <c r="O2817" s="1" t="s">
        <v>16021</v>
      </c>
      <c r="P2817" s="1" t="n">
        <v>4876</v>
      </c>
      <c r="Q2817" s="1" t="s">
        <v>16022</v>
      </c>
      <c r="R2817" s="1" t="s">
        <v>23</v>
      </c>
      <c r="S2817" s="1" t="s">
        <v>16023</v>
      </c>
      <c r="T2817" s="1" t="s">
        <v>4337</v>
      </c>
      <c r="U2817" s="1" t="s">
        <v>16024</v>
      </c>
    </row>
    <row r="2818" customFormat="false" ht="13.8" hidden="false" customHeight="false" outlineLevel="0" collapsed="false">
      <c r="A2818" s="1" t="n">
        <v>2817</v>
      </c>
      <c r="B2818" s="2" t="s">
        <v>16025</v>
      </c>
      <c r="C2818" s="1" t="n">
        <v>24</v>
      </c>
      <c r="D2818" s="1" t="n">
        <v>30</v>
      </c>
      <c r="E2818" s="1" t="n">
        <v>43</v>
      </c>
      <c r="F2818" s="1" t="n">
        <v>46</v>
      </c>
      <c r="G2818" s="1" t="n">
        <v>55</v>
      </c>
      <c r="H2818" s="1" t="n">
        <v>60</v>
      </c>
      <c r="I2818" s="1" t="str">
        <f aca="false">RIGHT(("0"&amp;C2818),2)&amp;RIGHT(("0"&amp;D2818),2)&amp;RIGHT(("0"&amp;E2818),2)&amp;RIGHT(("0"&amp;F2818),2)&amp;RIGHT(("0"&amp;G2818),2)&amp;RIGHT(("0"&amp;H2818),2)</f>
        <v>243043465560</v>
      </c>
      <c r="J2818" s="1" t="n">
        <f aca="false">COUNTIF(I:I,I2818)</f>
        <v>1</v>
      </c>
      <c r="K2818" s="1" t="n">
        <v>0</v>
      </c>
      <c r="M2818" s="1" t="s">
        <v>23</v>
      </c>
      <c r="N2818" s="1" t="n">
        <v>22</v>
      </c>
      <c r="O2818" s="1" t="s">
        <v>16026</v>
      </c>
      <c r="P2818" s="1" t="n">
        <v>1680</v>
      </c>
      <c r="Q2818" s="1" t="s">
        <v>16027</v>
      </c>
      <c r="R2818" s="1" t="s">
        <v>16028</v>
      </c>
      <c r="S2818" s="1" t="s">
        <v>16029</v>
      </c>
      <c r="T2818" s="1" t="s">
        <v>4232</v>
      </c>
      <c r="U2818" s="1" t="s">
        <v>16030</v>
      </c>
    </row>
    <row r="2819" customFormat="false" ht="13.8" hidden="false" customHeight="false" outlineLevel="0" collapsed="false">
      <c r="A2819" s="1" t="n">
        <v>2818</v>
      </c>
      <c r="B2819" s="2" t="s">
        <v>16031</v>
      </c>
      <c r="C2819" s="1" t="n">
        <v>7</v>
      </c>
      <c r="D2819" s="1" t="n">
        <v>10</v>
      </c>
      <c r="E2819" s="1" t="n">
        <v>12</v>
      </c>
      <c r="F2819" s="1" t="n">
        <v>15</v>
      </c>
      <c r="G2819" s="1" t="n">
        <v>25</v>
      </c>
      <c r="H2819" s="1" t="n">
        <v>47</v>
      </c>
      <c r="I2819" s="1" t="str">
        <f aca="false">RIGHT(("0"&amp;C2819),2)&amp;RIGHT(("0"&amp;D2819),2)&amp;RIGHT(("0"&amp;E2819),2)&amp;RIGHT(("0"&amp;F2819),2)&amp;RIGHT(("0"&amp;G2819),2)&amp;RIGHT(("0"&amp;H2819),2)</f>
        <v>071012152547</v>
      </c>
      <c r="J2819" s="1" t="n">
        <f aca="false">COUNTIF(I:I,I2819)</f>
        <v>1</v>
      </c>
      <c r="K2819" s="1" t="n">
        <v>0</v>
      </c>
      <c r="M2819" s="1" t="s">
        <v>23</v>
      </c>
      <c r="N2819" s="1" t="n">
        <v>88</v>
      </c>
      <c r="O2819" s="1" t="s">
        <v>16032</v>
      </c>
      <c r="P2819" s="1" t="n">
        <v>4697</v>
      </c>
      <c r="Q2819" s="1" t="s">
        <v>16033</v>
      </c>
      <c r="R2819" s="1" t="s">
        <v>16034</v>
      </c>
      <c r="S2819" s="1" t="s">
        <v>16035</v>
      </c>
      <c r="T2819" s="1" t="s">
        <v>4195</v>
      </c>
      <c r="U2819" s="1" t="s">
        <v>16036</v>
      </c>
    </row>
    <row r="2820" customFormat="false" ht="13.8" hidden="false" customHeight="false" outlineLevel="0" collapsed="false">
      <c r="A2820" s="1" t="n">
        <v>2819</v>
      </c>
      <c r="B2820" s="2" t="s">
        <v>16037</v>
      </c>
      <c r="C2820" s="1" t="n">
        <v>11</v>
      </c>
      <c r="D2820" s="1" t="n">
        <v>12</v>
      </c>
      <c r="E2820" s="1" t="n">
        <v>39</v>
      </c>
      <c r="F2820" s="1" t="n">
        <v>43</v>
      </c>
      <c r="G2820" s="1" t="n">
        <v>46</v>
      </c>
      <c r="H2820" s="1" t="n">
        <v>50</v>
      </c>
      <c r="I2820" s="1" t="str">
        <f aca="false">RIGHT(("0"&amp;C2820),2)&amp;RIGHT(("0"&amp;D2820),2)&amp;RIGHT(("0"&amp;E2820),2)&amp;RIGHT(("0"&amp;F2820),2)&amp;RIGHT(("0"&amp;G2820),2)&amp;RIGHT(("0"&amp;H2820),2)</f>
        <v>111239434650</v>
      </c>
      <c r="J2820" s="1" t="n">
        <f aca="false">COUNTIF(I:I,I2820)</f>
        <v>1</v>
      </c>
      <c r="K2820" s="1" t="n">
        <v>0</v>
      </c>
      <c r="M2820" s="1" t="s">
        <v>23</v>
      </c>
      <c r="N2820" s="1" t="n">
        <v>26</v>
      </c>
      <c r="O2820" s="1" t="s">
        <v>16038</v>
      </c>
      <c r="P2820" s="1" t="n">
        <v>1978</v>
      </c>
      <c r="Q2820" s="1" t="s">
        <v>16039</v>
      </c>
      <c r="R2820" s="1" t="s">
        <v>16040</v>
      </c>
      <c r="S2820" s="1" t="s">
        <v>16041</v>
      </c>
      <c r="T2820" s="1" t="s">
        <v>3892</v>
      </c>
      <c r="U2820" s="1" t="s">
        <v>16042</v>
      </c>
    </row>
    <row r="2821" customFormat="false" ht="13.8" hidden="false" customHeight="false" outlineLevel="0" collapsed="false">
      <c r="A2821" s="1" t="n">
        <v>2820</v>
      </c>
      <c r="B2821" s="2" t="s">
        <v>16043</v>
      </c>
      <c r="C2821" s="1" t="n">
        <v>6</v>
      </c>
      <c r="D2821" s="1" t="n">
        <v>15</v>
      </c>
      <c r="E2821" s="1" t="n">
        <v>19</v>
      </c>
      <c r="F2821" s="1" t="n">
        <v>25</v>
      </c>
      <c r="G2821" s="1" t="n">
        <v>32</v>
      </c>
      <c r="H2821" s="1" t="n">
        <v>42</v>
      </c>
      <c r="I2821" s="1" t="str">
        <f aca="false">RIGHT(("0"&amp;C2821),2)&amp;RIGHT(("0"&amp;D2821),2)&amp;RIGHT(("0"&amp;E2821),2)&amp;RIGHT(("0"&amp;F2821),2)&amp;RIGHT(("0"&amp;G2821),2)&amp;RIGHT(("0"&amp;H2821),2)</f>
        <v>061519253242</v>
      </c>
      <c r="J2821" s="1" t="n">
        <f aca="false">COUNTIF(I:I,I2821)</f>
        <v>1</v>
      </c>
      <c r="K2821" s="1" t="n">
        <v>1</v>
      </c>
      <c r="L2821" s="1" t="s">
        <v>16044</v>
      </c>
      <c r="M2821" s="1" t="s">
        <v>16045</v>
      </c>
      <c r="N2821" s="1" t="n">
        <v>64</v>
      </c>
      <c r="O2821" s="1" t="s">
        <v>16046</v>
      </c>
      <c r="P2821" s="1" t="n">
        <v>4323</v>
      </c>
      <c r="Q2821" s="1" t="s">
        <v>16047</v>
      </c>
      <c r="R2821" s="1" t="s">
        <v>23</v>
      </c>
      <c r="S2821" s="1" t="s">
        <v>16048</v>
      </c>
      <c r="T2821" s="1" t="s">
        <v>4337</v>
      </c>
      <c r="U2821" s="1" t="s">
        <v>16049</v>
      </c>
    </row>
    <row r="2822" customFormat="false" ht="13.8" hidden="false" customHeight="false" outlineLevel="0" collapsed="false">
      <c r="A2822" s="1" t="n">
        <v>2821</v>
      </c>
      <c r="B2822" s="2" t="s">
        <v>16050</v>
      </c>
      <c r="C2822" s="1" t="n">
        <v>14</v>
      </c>
      <c r="D2822" s="1" t="n">
        <v>22</v>
      </c>
      <c r="E2822" s="1" t="n">
        <v>30</v>
      </c>
      <c r="F2822" s="1" t="n">
        <v>33</v>
      </c>
      <c r="G2822" s="1" t="n">
        <v>44</v>
      </c>
      <c r="H2822" s="1" t="n">
        <v>45</v>
      </c>
      <c r="I2822" s="1" t="str">
        <f aca="false">RIGHT(("0"&amp;C2822),2)&amp;RIGHT(("0"&amp;D2822),2)&amp;RIGHT(("0"&amp;E2822),2)&amp;RIGHT(("0"&amp;F2822),2)&amp;RIGHT(("0"&amp;G2822),2)&amp;RIGHT(("0"&amp;H2822),2)</f>
        <v>142230334445</v>
      </c>
      <c r="J2822" s="1" t="n">
        <f aca="false">COUNTIF(I:I,I2822)</f>
        <v>1</v>
      </c>
      <c r="K2822" s="1" t="n">
        <v>0</v>
      </c>
      <c r="M2822" s="1" t="s">
        <v>23</v>
      </c>
      <c r="N2822" s="1" t="n">
        <v>28</v>
      </c>
      <c r="O2822" s="1" t="s">
        <v>16051</v>
      </c>
      <c r="P2822" s="1" t="n">
        <v>2444</v>
      </c>
      <c r="Q2822" s="1" t="s">
        <v>16052</v>
      </c>
      <c r="R2822" s="1" t="s">
        <v>16053</v>
      </c>
      <c r="S2822" s="1" t="s">
        <v>16054</v>
      </c>
      <c r="T2822" s="1" t="s">
        <v>4342</v>
      </c>
      <c r="U2822" s="1" t="s">
        <v>16055</v>
      </c>
    </row>
    <row r="2823" customFormat="false" ht="13.8" hidden="false" customHeight="false" outlineLevel="0" collapsed="false">
      <c r="A2823" s="1" t="n">
        <v>2822</v>
      </c>
      <c r="B2823" s="2" t="s">
        <v>16056</v>
      </c>
      <c r="C2823" s="1" t="n">
        <v>29</v>
      </c>
      <c r="D2823" s="1" t="n">
        <v>39</v>
      </c>
      <c r="E2823" s="1" t="n">
        <v>46</v>
      </c>
      <c r="F2823" s="1" t="n">
        <v>47</v>
      </c>
      <c r="G2823" s="1" t="n">
        <v>53</v>
      </c>
      <c r="H2823" s="1" t="n">
        <v>56</v>
      </c>
      <c r="I2823" s="1" t="str">
        <f aca="false">RIGHT(("0"&amp;C2823),2)&amp;RIGHT(("0"&amp;D2823),2)&amp;RIGHT(("0"&amp;E2823),2)&amp;RIGHT(("0"&amp;F2823),2)&amp;RIGHT(("0"&amp;G2823),2)&amp;RIGHT(("0"&amp;H2823),2)</f>
        <v>293946475356</v>
      </c>
      <c r="J2823" s="1" t="n">
        <f aca="false">COUNTIF(I:I,I2823)</f>
        <v>1</v>
      </c>
      <c r="K2823" s="1" t="n">
        <v>0</v>
      </c>
      <c r="M2823" s="1" t="s">
        <v>23</v>
      </c>
      <c r="N2823" s="1" t="n">
        <v>13</v>
      </c>
      <c r="O2823" s="1" t="s">
        <v>16057</v>
      </c>
      <c r="P2823" s="1" t="n">
        <v>1287</v>
      </c>
      <c r="Q2823" s="1" t="s">
        <v>16058</v>
      </c>
      <c r="R2823" s="1" t="s">
        <v>16059</v>
      </c>
      <c r="S2823" s="1" t="s">
        <v>16060</v>
      </c>
      <c r="T2823" s="1" t="s">
        <v>4195</v>
      </c>
      <c r="U2823" s="1" t="s">
        <v>16061</v>
      </c>
    </row>
    <row r="2824" customFormat="false" ht="13.8" hidden="false" customHeight="false" outlineLevel="0" collapsed="false">
      <c r="A2824" s="1" t="n">
        <v>2823</v>
      </c>
      <c r="B2824" s="2" t="s">
        <v>16062</v>
      </c>
      <c r="C2824" s="1" t="n">
        <v>7</v>
      </c>
      <c r="D2824" s="1" t="n">
        <v>15</v>
      </c>
      <c r="E2824" s="1" t="n">
        <v>21</v>
      </c>
      <c r="F2824" s="1" t="n">
        <v>37</v>
      </c>
      <c r="G2824" s="1" t="n">
        <v>57</v>
      </c>
      <c r="H2824" s="1" t="n">
        <v>60</v>
      </c>
      <c r="I2824" s="1" t="str">
        <f aca="false">RIGHT(("0"&amp;C2824),2)&amp;RIGHT(("0"&amp;D2824),2)&amp;RIGHT(("0"&amp;E2824),2)&amp;RIGHT(("0"&amp;F2824),2)&amp;RIGHT(("0"&amp;G2824),2)&amp;RIGHT(("0"&amp;H2824),2)</f>
        <v>071521375760</v>
      </c>
      <c r="J2824" s="1" t="n">
        <f aca="false">COUNTIF(I:I,I2824)</f>
        <v>1</v>
      </c>
      <c r="K2824" s="1" t="n">
        <v>0</v>
      </c>
      <c r="M2824" s="1" t="s">
        <v>23</v>
      </c>
      <c r="N2824" s="1" t="n">
        <v>60</v>
      </c>
      <c r="O2824" s="1" t="s">
        <v>16063</v>
      </c>
      <c r="P2824" s="1" t="n">
        <v>3552</v>
      </c>
      <c r="Q2824" s="1" t="s">
        <v>16064</v>
      </c>
      <c r="R2824" s="1" t="s">
        <v>16065</v>
      </c>
      <c r="S2824" s="1" t="s">
        <v>16066</v>
      </c>
      <c r="T2824" s="1" t="s">
        <v>3602</v>
      </c>
      <c r="U2824" s="1" t="s">
        <v>16067</v>
      </c>
    </row>
    <row r="2825" customFormat="false" ht="13.8" hidden="false" customHeight="false" outlineLevel="0" collapsed="false">
      <c r="A2825" s="1" t="n">
        <v>2824</v>
      </c>
      <c r="B2825" s="2" t="s">
        <v>16068</v>
      </c>
      <c r="C2825" s="1" t="n">
        <v>4</v>
      </c>
      <c r="D2825" s="1" t="n">
        <v>16</v>
      </c>
      <c r="E2825" s="1" t="n">
        <v>34</v>
      </c>
      <c r="F2825" s="1" t="n">
        <v>43</v>
      </c>
      <c r="G2825" s="1" t="n">
        <v>54</v>
      </c>
      <c r="H2825" s="1" t="n">
        <v>57</v>
      </c>
      <c r="I2825" s="1" t="str">
        <f aca="false">RIGHT(("0"&amp;C2825),2)&amp;RIGHT(("0"&amp;D2825),2)&amp;RIGHT(("0"&amp;E2825),2)&amp;RIGHT(("0"&amp;F2825),2)&amp;RIGHT(("0"&amp;G2825),2)&amp;RIGHT(("0"&amp;H2825),2)</f>
        <v>041634435457</v>
      </c>
      <c r="J2825" s="1" t="n">
        <f aca="false">COUNTIF(I:I,I2825)</f>
        <v>1</v>
      </c>
      <c r="K2825" s="1" t="n">
        <v>0</v>
      </c>
      <c r="M2825" s="1" t="s">
        <v>23</v>
      </c>
      <c r="N2825" s="1" t="n">
        <v>31</v>
      </c>
      <c r="O2825" s="1" t="s">
        <v>16069</v>
      </c>
      <c r="P2825" s="1" t="n">
        <v>3248</v>
      </c>
      <c r="Q2825" s="1" t="s">
        <v>16070</v>
      </c>
      <c r="R2825" s="1" t="s">
        <v>16071</v>
      </c>
      <c r="S2825" s="1" t="s">
        <v>16072</v>
      </c>
      <c r="T2825" s="1" t="s">
        <v>4304</v>
      </c>
      <c r="U2825" s="1" t="s">
        <v>16073</v>
      </c>
    </row>
    <row r="2826" customFormat="false" ht="13.8" hidden="false" customHeight="false" outlineLevel="0" collapsed="false">
      <c r="A2826" s="1" t="n">
        <v>2825</v>
      </c>
      <c r="B2826" s="2" t="s">
        <v>16074</v>
      </c>
      <c r="C2826" s="1" t="n">
        <v>2</v>
      </c>
      <c r="D2826" s="1" t="n">
        <v>38</v>
      </c>
      <c r="E2826" s="1" t="n">
        <v>50</v>
      </c>
      <c r="F2826" s="1" t="n">
        <v>54</v>
      </c>
      <c r="G2826" s="1" t="n">
        <v>58</v>
      </c>
      <c r="H2826" s="1" t="n">
        <v>59</v>
      </c>
      <c r="I2826" s="1" t="str">
        <f aca="false">RIGHT(("0"&amp;C2826),2)&amp;RIGHT(("0"&amp;D2826),2)&amp;RIGHT(("0"&amp;E2826),2)&amp;RIGHT(("0"&amp;F2826),2)&amp;RIGHT(("0"&amp;G2826),2)&amp;RIGHT(("0"&amp;H2826),2)</f>
        <v>023850545859</v>
      </c>
      <c r="J2826" s="1" t="n">
        <f aca="false">COUNTIF(I:I,I2826)</f>
        <v>1</v>
      </c>
      <c r="K2826" s="1" t="n">
        <v>0</v>
      </c>
      <c r="M2826" s="1" t="s">
        <v>23</v>
      </c>
      <c r="N2826" s="1" t="n">
        <v>36</v>
      </c>
      <c r="O2826" s="1" t="s">
        <v>16075</v>
      </c>
      <c r="P2826" s="1" t="n">
        <v>2464</v>
      </c>
      <c r="Q2826" s="1" t="s">
        <v>16076</v>
      </c>
      <c r="R2826" s="1" t="s">
        <v>16077</v>
      </c>
      <c r="S2826" s="1" t="s">
        <v>16078</v>
      </c>
      <c r="T2826" s="1" t="s">
        <v>5775</v>
      </c>
      <c r="U2826" s="1" t="s">
        <v>16079</v>
      </c>
    </row>
    <row r="2827" customFormat="false" ht="13.8" hidden="false" customHeight="false" outlineLevel="0" collapsed="false">
      <c r="A2827" s="1" t="n">
        <v>2826</v>
      </c>
      <c r="B2827" s="2" t="s">
        <v>16080</v>
      </c>
      <c r="C2827" s="1" t="n">
        <v>6</v>
      </c>
      <c r="D2827" s="1" t="n">
        <v>10</v>
      </c>
      <c r="E2827" s="1" t="n">
        <v>20</v>
      </c>
      <c r="F2827" s="1" t="n">
        <v>54</v>
      </c>
      <c r="G2827" s="1" t="n">
        <v>58</v>
      </c>
      <c r="H2827" s="1" t="n">
        <v>60</v>
      </c>
      <c r="I2827" s="1" t="str">
        <f aca="false">RIGHT(("0"&amp;C2827),2)&amp;RIGHT(("0"&amp;D2827),2)&amp;RIGHT(("0"&amp;E2827),2)&amp;RIGHT(("0"&amp;F2827),2)&amp;RIGHT(("0"&amp;G2827),2)&amp;RIGHT(("0"&amp;H2827),2)</f>
        <v>061020545860</v>
      </c>
      <c r="J2827" s="1" t="n">
        <f aca="false">COUNTIF(I:I,I2827)</f>
        <v>1</v>
      </c>
      <c r="K2827" s="1" t="n">
        <v>0</v>
      </c>
      <c r="M2827" s="1" t="s">
        <v>23</v>
      </c>
      <c r="N2827" s="1" t="n">
        <v>63</v>
      </c>
      <c r="O2827" s="1" t="s">
        <v>16081</v>
      </c>
      <c r="P2827" s="1" t="n">
        <v>4803</v>
      </c>
      <c r="Q2827" s="1" t="s">
        <v>16082</v>
      </c>
      <c r="R2827" s="1" t="s">
        <v>16083</v>
      </c>
      <c r="S2827" s="1" t="s">
        <v>16084</v>
      </c>
      <c r="T2827" s="1" t="s">
        <v>5782</v>
      </c>
      <c r="U2827" s="1" t="s">
        <v>16085</v>
      </c>
    </row>
    <row r="2828" customFormat="false" ht="13.8" hidden="false" customHeight="false" outlineLevel="0" collapsed="false">
      <c r="A2828" s="1" t="n">
        <v>2827</v>
      </c>
      <c r="B2828" s="2" t="s">
        <v>16086</v>
      </c>
      <c r="C2828" s="1" t="n">
        <v>1</v>
      </c>
      <c r="D2828" s="1" t="n">
        <v>11</v>
      </c>
      <c r="E2828" s="1" t="n">
        <v>13</v>
      </c>
      <c r="F2828" s="1" t="n">
        <v>27</v>
      </c>
      <c r="G2828" s="1" t="n">
        <v>45</v>
      </c>
      <c r="H2828" s="1" t="n">
        <v>59</v>
      </c>
      <c r="I2828" s="1" t="str">
        <f aca="false">RIGHT(("0"&amp;C2828),2)&amp;RIGHT(("0"&amp;D2828),2)&amp;RIGHT(("0"&amp;E2828),2)&amp;RIGHT(("0"&amp;F2828),2)&amp;RIGHT(("0"&amp;G2828),2)&amp;RIGHT(("0"&amp;H2828),2)</f>
        <v>011113274559</v>
      </c>
      <c r="J2828" s="1" t="n">
        <f aca="false">COUNTIF(I:I,I2828)</f>
        <v>1</v>
      </c>
      <c r="K2828" s="1" t="n">
        <v>0</v>
      </c>
      <c r="M2828" s="1" t="s">
        <v>23</v>
      </c>
      <c r="N2828" s="1" t="n">
        <v>116</v>
      </c>
      <c r="O2828" s="1" t="s">
        <v>16087</v>
      </c>
      <c r="P2828" s="1" t="n">
        <v>7322</v>
      </c>
      <c r="Q2828" s="1" t="s">
        <v>16088</v>
      </c>
      <c r="R2828" s="1" t="s">
        <v>16089</v>
      </c>
      <c r="S2828" s="1" t="s">
        <v>16090</v>
      </c>
      <c r="T2828" s="1" t="s">
        <v>6084</v>
      </c>
      <c r="U2828" s="1" t="s">
        <v>16091</v>
      </c>
    </row>
    <row r="2829" customFormat="false" ht="13.8" hidden="false" customHeight="false" outlineLevel="0" collapsed="false">
      <c r="A2829" s="1" t="n">
        <v>2828</v>
      </c>
      <c r="B2829" s="2" t="s">
        <v>16092</v>
      </c>
      <c r="C2829" s="1" t="n">
        <v>15</v>
      </c>
      <c r="D2829" s="1" t="n">
        <v>21</v>
      </c>
      <c r="E2829" s="1" t="n">
        <v>25</v>
      </c>
      <c r="F2829" s="1" t="n">
        <v>55</v>
      </c>
      <c r="G2829" s="1" t="n">
        <v>58</v>
      </c>
      <c r="H2829" s="1" t="n">
        <v>59</v>
      </c>
      <c r="I2829" s="1" t="str">
        <f aca="false">RIGHT(("0"&amp;C2829),2)&amp;RIGHT(("0"&amp;D2829),2)&amp;RIGHT(("0"&amp;E2829),2)&amp;RIGHT(("0"&amp;F2829),2)&amp;RIGHT(("0"&amp;G2829),2)&amp;RIGHT(("0"&amp;H2829),2)</f>
        <v>152125555859</v>
      </c>
      <c r="J2829" s="1" t="n">
        <f aca="false">COUNTIF(I:I,I2829)</f>
        <v>1</v>
      </c>
      <c r="K2829" s="1" t="n">
        <v>0</v>
      </c>
      <c r="M2829" s="1" t="s">
        <v>23</v>
      </c>
      <c r="N2829" s="1" t="n">
        <v>40</v>
      </c>
      <c r="O2829" s="1" t="s">
        <v>16093</v>
      </c>
      <c r="P2829" s="1" t="n">
        <v>3864</v>
      </c>
      <c r="Q2829" s="1" t="s">
        <v>16094</v>
      </c>
      <c r="R2829" s="1" t="s">
        <v>16095</v>
      </c>
      <c r="S2829" s="1" t="s">
        <v>16096</v>
      </c>
      <c r="T2829" s="1" t="s">
        <v>8797</v>
      </c>
      <c r="U2829" s="1" t="s">
        <v>16097</v>
      </c>
    </row>
    <row r="2830" customFormat="false" ht="13.8" hidden="false" customHeight="false" outlineLevel="0" collapsed="false">
      <c r="A2830" s="1" t="n">
        <v>2829</v>
      </c>
      <c r="B2830" s="2" t="s">
        <v>16098</v>
      </c>
      <c r="C2830" s="1" t="n">
        <v>13</v>
      </c>
      <c r="D2830" s="1" t="n">
        <v>22</v>
      </c>
      <c r="E2830" s="1" t="n">
        <v>38</v>
      </c>
      <c r="F2830" s="1" t="n">
        <v>46</v>
      </c>
      <c r="G2830" s="1" t="n">
        <v>51</v>
      </c>
      <c r="H2830" s="1" t="n">
        <v>56</v>
      </c>
      <c r="I2830" s="1" t="str">
        <f aca="false">RIGHT(("0"&amp;C2830),2)&amp;RIGHT(("0"&amp;D2830),2)&amp;RIGHT(("0"&amp;E2830),2)&amp;RIGHT(("0"&amp;F2830),2)&amp;RIGHT(("0"&amp;G2830),2)&amp;RIGHT(("0"&amp;H2830),2)</f>
        <v>132238465156</v>
      </c>
      <c r="J2830" s="1" t="n">
        <f aca="false">COUNTIF(I:I,I2830)</f>
        <v>1</v>
      </c>
      <c r="K2830" s="1" t="n">
        <v>0</v>
      </c>
      <c r="M2830" s="1" t="s">
        <v>23</v>
      </c>
      <c r="N2830" s="1" t="n">
        <v>90</v>
      </c>
      <c r="O2830" s="1" t="s">
        <v>16099</v>
      </c>
      <c r="P2830" s="1" t="n">
        <v>6377</v>
      </c>
      <c r="Q2830" s="1" t="s">
        <v>16100</v>
      </c>
      <c r="R2830" s="1" t="s">
        <v>16101</v>
      </c>
      <c r="S2830" s="1" t="s">
        <v>16102</v>
      </c>
      <c r="T2830" s="1" t="s">
        <v>9814</v>
      </c>
      <c r="U2830" s="1" t="s">
        <v>16103</v>
      </c>
    </row>
    <row r="2831" customFormat="false" ht="13.8" hidden="false" customHeight="false" outlineLevel="0" collapsed="false">
      <c r="A2831" s="1" t="n">
        <v>2830</v>
      </c>
      <c r="B2831" s="2" t="s">
        <v>16104</v>
      </c>
      <c r="C2831" s="1" t="n">
        <v>1</v>
      </c>
      <c r="D2831" s="1" t="n">
        <v>28</v>
      </c>
      <c r="E2831" s="1" t="n">
        <v>34</v>
      </c>
      <c r="F2831" s="1" t="n">
        <v>36</v>
      </c>
      <c r="G2831" s="1" t="n">
        <v>51</v>
      </c>
      <c r="H2831" s="1" t="n">
        <v>52</v>
      </c>
      <c r="I2831" s="1" t="str">
        <f aca="false">RIGHT(("0"&amp;C2831),2)&amp;RIGHT(("0"&amp;D2831),2)&amp;RIGHT(("0"&amp;E2831),2)&amp;RIGHT(("0"&amp;F2831),2)&amp;RIGHT(("0"&amp;G2831),2)&amp;RIGHT(("0"&amp;H2831),2)</f>
        <v>012834365152</v>
      </c>
      <c r="J2831" s="1" t="n">
        <f aca="false">COUNTIF(I:I,I2831)</f>
        <v>1</v>
      </c>
      <c r="K2831" s="1" t="n">
        <v>0</v>
      </c>
      <c r="M2831" s="1" t="s">
        <v>23</v>
      </c>
      <c r="N2831" s="1" t="n">
        <v>55</v>
      </c>
      <c r="O2831" s="1" t="s">
        <v>16105</v>
      </c>
      <c r="P2831" s="1" t="n">
        <v>5431</v>
      </c>
      <c r="Q2831" s="1" t="s">
        <v>16106</v>
      </c>
      <c r="R2831" s="1" t="s">
        <v>16107</v>
      </c>
      <c r="S2831" s="1" t="s">
        <v>16108</v>
      </c>
      <c r="T2831" s="1" t="s">
        <v>8343</v>
      </c>
      <c r="U2831" s="1" t="s">
        <v>16109</v>
      </c>
    </row>
    <row r="2832" customFormat="false" ht="13.8" hidden="false" customHeight="false" outlineLevel="0" collapsed="false">
      <c r="A2832" s="1" t="n">
        <v>2831</v>
      </c>
      <c r="B2832" s="2" t="s">
        <v>16110</v>
      </c>
      <c r="C2832" s="1" t="n">
        <v>2</v>
      </c>
      <c r="D2832" s="1" t="n">
        <v>9</v>
      </c>
      <c r="E2832" s="1" t="n">
        <v>32</v>
      </c>
      <c r="F2832" s="1" t="n">
        <v>38</v>
      </c>
      <c r="G2832" s="1" t="n">
        <v>48</v>
      </c>
      <c r="H2832" s="1" t="n">
        <v>55</v>
      </c>
      <c r="I2832" s="1" t="str">
        <f aca="false">RIGHT(("0"&amp;C2832),2)&amp;RIGHT(("0"&amp;D2832),2)&amp;RIGHT(("0"&amp;E2832),2)&amp;RIGHT(("0"&amp;F2832),2)&amp;RIGHT(("0"&amp;G2832),2)&amp;RIGHT(("0"&amp;H2832),2)</f>
        <v>020932384855</v>
      </c>
      <c r="J2832" s="1" t="n">
        <f aca="false">COUNTIF(I:I,I2832)</f>
        <v>1</v>
      </c>
      <c r="K2832" s="1" t="n">
        <v>0</v>
      </c>
      <c r="M2832" s="1" t="s">
        <v>23</v>
      </c>
      <c r="N2832" s="1" t="n">
        <v>104</v>
      </c>
      <c r="O2832" s="1" t="s">
        <v>16111</v>
      </c>
      <c r="P2832" s="1" t="n">
        <v>8283</v>
      </c>
      <c r="Q2832" s="1" t="s">
        <v>16112</v>
      </c>
      <c r="R2832" s="1" t="s">
        <v>16113</v>
      </c>
      <c r="S2832" s="1" t="s">
        <v>16114</v>
      </c>
      <c r="T2832" s="1" t="s">
        <v>5601</v>
      </c>
      <c r="U2832" s="1" t="s">
        <v>16115</v>
      </c>
    </row>
    <row r="2833" customFormat="false" ht="13.8" hidden="false" customHeight="false" outlineLevel="0" collapsed="false">
      <c r="A2833" s="1" t="n">
        <v>2832</v>
      </c>
      <c r="B2833" s="2" t="s">
        <v>16116</v>
      </c>
      <c r="C2833" s="1" t="n">
        <v>2</v>
      </c>
      <c r="D2833" s="1" t="n">
        <v>12</v>
      </c>
      <c r="E2833" s="1" t="n">
        <v>18</v>
      </c>
      <c r="F2833" s="1" t="n">
        <v>21</v>
      </c>
      <c r="G2833" s="1" t="n">
        <v>24</v>
      </c>
      <c r="H2833" s="1" t="n">
        <v>37</v>
      </c>
      <c r="I2833" s="1" t="str">
        <f aca="false">RIGHT(("0"&amp;C2833),2)&amp;RIGHT(("0"&amp;D2833),2)&amp;RIGHT(("0"&amp;E2833),2)&amp;RIGHT(("0"&amp;F2833),2)&amp;RIGHT(("0"&amp;G2833),2)&amp;RIGHT(("0"&amp;H2833),2)</f>
        <v>021218212437</v>
      </c>
      <c r="J2833" s="1" t="n">
        <f aca="false">COUNTIF(I:I,I2833)</f>
        <v>1</v>
      </c>
      <c r="K2833" s="1" t="n">
        <v>0</v>
      </c>
      <c r="M2833" s="1" t="s">
        <v>23</v>
      </c>
      <c r="N2833" s="1" t="n">
        <v>238</v>
      </c>
      <c r="O2833" s="1" t="s">
        <v>16117</v>
      </c>
      <c r="P2833" s="1" t="n">
        <v>14573</v>
      </c>
      <c r="Q2833" s="1" t="s">
        <v>16118</v>
      </c>
      <c r="R2833" s="1" t="s">
        <v>16119</v>
      </c>
      <c r="S2833" s="1" t="s">
        <v>16120</v>
      </c>
      <c r="T2833" s="1" t="s">
        <v>9516</v>
      </c>
      <c r="U2833" s="1" t="s">
        <v>16121</v>
      </c>
    </row>
    <row r="2834" customFormat="false" ht="13.8" hidden="false" customHeight="false" outlineLevel="0" collapsed="false">
      <c r="A2834" s="1" t="n">
        <v>2833</v>
      </c>
      <c r="B2834" s="2" t="s">
        <v>16122</v>
      </c>
      <c r="C2834" s="1" t="n">
        <v>1</v>
      </c>
      <c r="D2834" s="1" t="n">
        <v>3</v>
      </c>
      <c r="E2834" s="1" t="n">
        <v>13</v>
      </c>
      <c r="F2834" s="1" t="n">
        <v>16</v>
      </c>
      <c r="G2834" s="1" t="n">
        <v>36</v>
      </c>
      <c r="H2834" s="1" t="n">
        <v>56</v>
      </c>
      <c r="I2834" s="1" t="str">
        <f aca="false">RIGHT(("0"&amp;C2834),2)&amp;RIGHT(("0"&amp;D2834),2)&amp;RIGHT(("0"&amp;E2834),2)&amp;RIGHT(("0"&amp;F2834),2)&amp;RIGHT(("0"&amp;G2834),2)&amp;RIGHT(("0"&amp;H2834),2)</f>
        <v>010313163656</v>
      </c>
      <c r="J2834" s="1" t="n">
        <f aca="false">COUNTIF(I:I,I2834)</f>
        <v>1</v>
      </c>
      <c r="K2834" s="1" t="n">
        <v>1</v>
      </c>
      <c r="L2834" s="1" t="s">
        <v>5310</v>
      </c>
      <c r="M2834" s="1" t="s">
        <v>16123</v>
      </c>
      <c r="N2834" s="1" t="n">
        <v>205</v>
      </c>
      <c r="O2834" s="1" t="s">
        <v>16124</v>
      </c>
      <c r="P2834" s="1" t="n">
        <v>11347</v>
      </c>
      <c r="Q2834" s="1" t="s">
        <v>16125</v>
      </c>
      <c r="R2834" s="1" t="s">
        <v>23</v>
      </c>
      <c r="S2834" s="1" t="s">
        <v>16126</v>
      </c>
      <c r="T2834" s="1" t="s">
        <v>4337</v>
      </c>
      <c r="U2834" s="1" t="s">
        <v>16127</v>
      </c>
    </row>
    <row r="2835" customFormat="false" ht="13.8" hidden="false" customHeight="false" outlineLevel="0" collapsed="false">
      <c r="A2835" s="1" t="n">
        <v>2834</v>
      </c>
      <c r="B2835" s="2" t="s">
        <v>16128</v>
      </c>
      <c r="C2835" s="1" t="n">
        <v>5</v>
      </c>
      <c r="D2835" s="1" t="n">
        <v>8</v>
      </c>
      <c r="E2835" s="1" t="n">
        <v>11</v>
      </c>
      <c r="F2835" s="1" t="n">
        <v>15</v>
      </c>
      <c r="G2835" s="1" t="n">
        <v>39</v>
      </c>
      <c r="H2835" s="1" t="n">
        <v>47</v>
      </c>
      <c r="I2835" s="1" t="str">
        <f aca="false">RIGHT(("0"&amp;C2835),2)&amp;RIGHT(("0"&amp;D2835),2)&amp;RIGHT(("0"&amp;E2835),2)&amp;RIGHT(("0"&amp;F2835),2)&amp;RIGHT(("0"&amp;G2835),2)&amp;RIGHT(("0"&amp;H2835),2)</f>
        <v>050811153947</v>
      </c>
      <c r="J2835" s="1" t="n">
        <f aca="false">COUNTIF(I:I,I2835)</f>
        <v>1</v>
      </c>
      <c r="K2835" s="1" t="n">
        <v>0</v>
      </c>
      <c r="M2835" s="1" t="s">
        <v>23</v>
      </c>
      <c r="N2835" s="1" t="n">
        <v>37</v>
      </c>
      <c r="O2835" s="1" t="s">
        <v>16129</v>
      </c>
      <c r="P2835" s="1" t="n">
        <v>2803</v>
      </c>
      <c r="Q2835" s="1" t="s">
        <v>16130</v>
      </c>
      <c r="R2835" s="1" t="s">
        <v>16131</v>
      </c>
      <c r="S2835" s="1" t="s">
        <v>16132</v>
      </c>
      <c r="T2835" s="1" t="s">
        <v>7301</v>
      </c>
      <c r="U2835" s="1" t="s">
        <v>16133</v>
      </c>
    </row>
    <row r="2836" customFormat="false" ht="13.8" hidden="false" customHeight="false" outlineLevel="0" collapsed="false">
      <c r="A2836" s="1" t="n">
        <v>2835</v>
      </c>
      <c r="B2836" s="2" t="s">
        <v>16134</v>
      </c>
      <c r="C2836" s="1" t="n">
        <v>9</v>
      </c>
      <c r="D2836" s="1" t="n">
        <v>24</v>
      </c>
      <c r="E2836" s="1" t="n">
        <v>27</v>
      </c>
      <c r="F2836" s="1" t="n">
        <v>36</v>
      </c>
      <c r="G2836" s="1" t="n">
        <v>43</v>
      </c>
      <c r="H2836" s="1" t="n">
        <v>54</v>
      </c>
      <c r="I2836" s="1" t="str">
        <f aca="false">RIGHT(("0"&amp;C2836),2)&amp;RIGHT(("0"&amp;D2836),2)&amp;RIGHT(("0"&amp;E2836),2)&amp;RIGHT(("0"&amp;F2836),2)&amp;RIGHT(("0"&amp;G2836),2)&amp;RIGHT(("0"&amp;H2836),2)</f>
        <v>092427364354</v>
      </c>
      <c r="J2836" s="1" t="n">
        <f aca="false">COUNTIF(I:I,I2836)</f>
        <v>1</v>
      </c>
      <c r="K2836" s="1" t="n">
        <v>1</v>
      </c>
      <c r="L2836" s="1" t="s">
        <v>12490</v>
      </c>
      <c r="M2836" s="1" t="s">
        <v>16135</v>
      </c>
      <c r="N2836" s="1" t="n">
        <v>93</v>
      </c>
      <c r="O2836" s="1" t="s">
        <v>16136</v>
      </c>
      <c r="P2836" s="1" t="n">
        <v>7828</v>
      </c>
      <c r="Q2836" s="1" t="s">
        <v>16137</v>
      </c>
      <c r="R2836" s="1" t="s">
        <v>23</v>
      </c>
      <c r="S2836" s="1" t="s">
        <v>16138</v>
      </c>
      <c r="T2836" s="1" t="s">
        <v>4337</v>
      </c>
      <c r="U2836" s="1" t="s">
        <v>16139</v>
      </c>
    </row>
    <row r="2837" customFormat="false" ht="13.8" hidden="false" customHeight="false" outlineLevel="0" collapsed="false">
      <c r="A2837" s="1" t="n">
        <v>2836</v>
      </c>
      <c r="B2837" s="2" t="s">
        <v>16140</v>
      </c>
      <c r="C2837" s="1" t="n">
        <v>1</v>
      </c>
      <c r="D2837" s="1" t="n">
        <v>6</v>
      </c>
      <c r="E2837" s="1" t="n">
        <v>10</v>
      </c>
      <c r="F2837" s="1" t="n">
        <v>30</v>
      </c>
      <c r="G2837" s="1" t="n">
        <v>42</v>
      </c>
      <c r="H2837" s="1" t="n">
        <v>50</v>
      </c>
      <c r="I2837" s="1" t="str">
        <f aca="false">RIGHT(("0"&amp;C2837),2)&amp;RIGHT(("0"&amp;D2837),2)&amp;RIGHT(("0"&amp;E2837),2)&amp;RIGHT(("0"&amp;F2837),2)&amp;RIGHT(("0"&amp;G2837),2)&amp;RIGHT(("0"&amp;H2837),2)</f>
        <v>010610304250</v>
      </c>
      <c r="J2837" s="1" t="n">
        <f aca="false">COUNTIF(I:I,I2837)</f>
        <v>1</v>
      </c>
      <c r="K2837" s="1" t="n">
        <v>0</v>
      </c>
      <c r="M2837" s="1" t="s">
        <v>23</v>
      </c>
      <c r="N2837" s="1" t="n">
        <v>40</v>
      </c>
      <c r="O2837" s="1" t="s">
        <v>16141</v>
      </c>
      <c r="P2837" s="1" t="n">
        <v>3073</v>
      </c>
      <c r="Q2837" s="1" t="s">
        <v>16142</v>
      </c>
      <c r="R2837" s="1" t="s">
        <v>16143</v>
      </c>
      <c r="S2837" s="1" t="s">
        <v>16144</v>
      </c>
      <c r="T2837" s="1" t="s">
        <v>4232</v>
      </c>
      <c r="U2837" s="1" t="s">
        <v>16145</v>
      </c>
    </row>
    <row r="2838" customFormat="false" ht="13.8" hidden="false" customHeight="false" outlineLevel="0" collapsed="false">
      <c r="A2838" s="1" t="n">
        <v>2837</v>
      </c>
      <c r="B2838" s="2" t="s">
        <v>16146</v>
      </c>
      <c r="C2838" s="1" t="n">
        <v>3</v>
      </c>
      <c r="D2838" s="1" t="n">
        <v>14</v>
      </c>
      <c r="E2838" s="1" t="n">
        <v>34</v>
      </c>
      <c r="F2838" s="1" t="n">
        <v>35</v>
      </c>
      <c r="G2838" s="1" t="n">
        <v>42</v>
      </c>
      <c r="H2838" s="1" t="n">
        <v>50</v>
      </c>
      <c r="I2838" s="1" t="str">
        <f aca="false">RIGHT(("0"&amp;C2838),2)&amp;RIGHT(("0"&amp;D2838),2)&amp;RIGHT(("0"&amp;E2838),2)&amp;RIGHT(("0"&amp;F2838),2)&amp;RIGHT(("0"&amp;G2838),2)&amp;RIGHT(("0"&amp;H2838),2)</f>
        <v>031434354250</v>
      </c>
      <c r="J2838" s="1" t="n">
        <f aca="false">COUNTIF(I:I,I2838)</f>
        <v>1</v>
      </c>
      <c r="K2838" s="1" t="n">
        <v>0</v>
      </c>
      <c r="M2838" s="1" t="s">
        <v>23</v>
      </c>
      <c r="N2838" s="1" t="n">
        <v>42</v>
      </c>
      <c r="O2838" s="1" t="s">
        <v>16147</v>
      </c>
      <c r="P2838" s="1" t="n">
        <v>2740</v>
      </c>
      <c r="Q2838" s="1" t="s">
        <v>16148</v>
      </c>
      <c r="R2838" s="1" t="s">
        <v>16149</v>
      </c>
      <c r="S2838" s="1" t="s">
        <v>16150</v>
      </c>
      <c r="T2838" s="1" t="s">
        <v>3727</v>
      </c>
      <c r="U2838" s="1" t="s">
        <v>16151</v>
      </c>
    </row>
    <row r="2839" customFormat="false" ht="13.8" hidden="false" customHeight="false" outlineLevel="0" collapsed="false">
      <c r="A2839" s="1" t="n">
        <v>2838</v>
      </c>
      <c r="B2839" s="2" t="s">
        <v>16152</v>
      </c>
      <c r="C2839" s="1" t="n">
        <v>4</v>
      </c>
      <c r="D2839" s="1" t="n">
        <v>7</v>
      </c>
      <c r="E2839" s="1" t="n">
        <v>29</v>
      </c>
      <c r="F2839" s="1" t="n">
        <v>32</v>
      </c>
      <c r="G2839" s="1" t="n">
        <v>36</v>
      </c>
      <c r="H2839" s="1" t="n">
        <v>53</v>
      </c>
      <c r="I2839" s="1" t="str">
        <f aca="false">RIGHT(("0"&amp;C2839),2)&amp;RIGHT(("0"&amp;D2839),2)&amp;RIGHT(("0"&amp;E2839),2)&amp;RIGHT(("0"&amp;F2839),2)&amp;RIGHT(("0"&amp;G2839),2)&amp;RIGHT(("0"&amp;H2839),2)</f>
        <v>040729323653</v>
      </c>
      <c r="J2839" s="1" t="n">
        <f aca="false">COUNTIF(I:I,I2839)</f>
        <v>1</v>
      </c>
      <c r="K2839" s="1" t="n">
        <v>2</v>
      </c>
      <c r="L2839" s="1" t="s">
        <v>16153</v>
      </c>
      <c r="M2839" s="1" t="s">
        <v>16154</v>
      </c>
      <c r="N2839" s="1" t="n">
        <v>73</v>
      </c>
      <c r="O2839" s="1" t="s">
        <v>16155</v>
      </c>
      <c r="P2839" s="1" t="n">
        <v>4204</v>
      </c>
      <c r="Q2839" s="1" t="s">
        <v>16156</v>
      </c>
      <c r="R2839" s="1" t="s">
        <v>23</v>
      </c>
      <c r="S2839" s="1" t="s">
        <v>16157</v>
      </c>
      <c r="T2839" s="1" t="s">
        <v>4337</v>
      </c>
      <c r="U2839" s="1" t="s">
        <v>16158</v>
      </c>
    </row>
    <row r="2840" customFormat="false" ht="13.8" hidden="false" customHeight="false" outlineLevel="0" collapsed="false">
      <c r="A2840" s="1" t="n">
        <v>2839</v>
      </c>
      <c r="B2840" s="2" t="s">
        <v>16159</v>
      </c>
      <c r="C2840" s="1" t="n">
        <v>27</v>
      </c>
      <c r="D2840" s="1" t="n">
        <v>30</v>
      </c>
      <c r="E2840" s="1" t="n">
        <v>37</v>
      </c>
      <c r="F2840" s="1" t="n">
        <v>40</v>
      </c>
      <c r="G2840" s="1" t="n">
        <v>46</v>
      </c>
      <c r="H2840" s="1" t="n">
        <v>47</v>
      </c>
      <c r="I2840" s="1" t="str">
        <f aca="false">RIGHT(("0"&amp;C2840),2)&amp;RIGHT(("0"&amp;D2840),2)&amp;RIGHT(("0"&amp;E2840),2)&amp;RIGHT(("0"&amp;F2840),2)&amp;RIGHT(("0"&amp;G2840),2)&amp;RIGHT(("0"&amp;H2840),2)</f>
        <v>273037404647</v>
      </c>
      <c r="J2840" s="1" t="n">
        <f aca="false">COUNTIF(I:I,I2840)</f>
        <v>1</v>
      </c>
      <c r="K2840" s="1" t="n">
        <v>0</v>
      </c>
      <c r="M2840" s="1" t="s">
        <v>23</v>
      </c>
      <c r="N2840" s="1" t="n">
        <v>18</v>
      </c>
      <c r="O2840" s="1" t="s">
        <v>16160</v>
      </c>
      <c r="P2840" s="1" t="n">
        <v>1042</v>
      </c>
      <c r="Q2840" s="1" t="s">
        <v>16161</v>
      </c>
      <c r="R2840" s="1" t="s">
        <v>16162</v>
      </c>
      <c r="S2840" s="1" t="s">
        <v>16163</v>
      </c>
      <c r="T2840" s="1" t="s">
        <v>4299</v>
      </c>
      <c r="U2840" s="1" t="s">
        <v>16164</v>
      </c>
    </row>
    <row r="2841" customFormat="false" ht="13.8" hidden="false" customHeight="false" outlineLevel="0" collapsed="false">
      <c r="A2841" s="1" t="n">
        <v>2840</v>
      </c>
      <c r="B2841" s="2" t="s">
        <v>16165</v>
      </c>
      <c r="C2841" s="1" t="n">
        <v>1</v>
      </c>
      <c r="D2841" s="1" t="n">
        <v>33</v>
      </c>
      <c r="E2841" s="1" t="n">
        <v>39</v>
      </c>
      <c r="F2841" s="1" t="n">
        <v>49</v>
      </c>
      <c r="G2841" s="1" t="n">
        <v>57</v>
      </c>
      <c r="H2841" s="1" t="n">
        <v>60</v>
      </c>
      <c r="I2841" s="1" t="str">
        <f aca="false">RIGHT(("0"&amp;C2841),2)&amp;RIGHT(("0"&amp;D2841),2)&amp;RIGHT(("0"&amp;E2841),2)&amp;RIGHT(("0"&amp;F2841),2)&amp;RIGHT(("0"&amp;G2841),2)&amp;RIGHT(("0"&amp;H2841),2)</f>
        <v>013339495760</v>
      </c>
      <c r="J2841" s="1" t="n">
        <f aca="false">COUNTIF(I:I,I2841)</f>
        <v>1</v>
      </c>
      <c r="K2841" s="1" t="n">
        <v>1</v>
      </c>
      <c r="L2841" s="1" t="s">
        <v>6139</v>
      </c>
      <c r="M2841" s="1" t="s">
        <v>16166</v>
      </c>
      <c r="N2841" s="1" t="n">
        <v>73</v>
      </c>
      <c r="O2841" s="1" t="s">
        <v>16167</v>
      </c>
      <c r="P2841" s="1" t="n">
        <v>4163</v>
      </c>
      <c r="Q2841" s="1" t="s">
        <v>16168</v>
      </c>
      <c r="R2841" s="1" t="s">
        <v>23</v>
      </c>
      <c r="S2841" s="1" t="s">
        <v>16169</v>
      </c>
      <c r="T2841" s="1" t="s">
        <v>473</v>
      </c>
      <c r="U2841" s="1" t="s">
        <v>16170</v>
      </c>
    </row>
    <row r="2842" customFormat="false" ht="13.8" hidden="false" customHeight="false" outlineLevel="0" collapsed="false">
      <c r="A2842" s="1" t="n">
        <v>2841</v>
      </c>
      <c r="B2842" s="2" t="s">
        <v>16171</v>
      </c>
      <c r="C2842" s="1" t="n">
        <v>4</v>
      </c>
      <c r="D2842" s="1" t="n">
        <v>5</v>
      </c>
      <c r="E2842" s="1" t="n">
        <v>12</v>
      </c>
      <c r="F2842" s="1" t="n">
        <v>34</v>
      </c>
      <c r="G2842" s="1" t="n">
        <v>36</v>
      </c>
      <c r="H2842" s="1" t="n">
        <v>48</v>
      </c>
      <c r="I2842" s="1" t="str">
        <f aca="false">RIGHT(("0"&amp;C2842),2)&amp;RIGHT(("0"&amp;D2842),2)&amp;RIGHT(("0"&amp;E2842),2)&amp;RIGHT(("0"&amp;F2842),2)&amp;RIGHT(("0"&amp;G2842),2)&amp;RIGHT(("0"&amp;H2842),2)</f>
        <v>040512343648</v>
      </c>
      <c r="J2842" s="1" t="n">
        <f aca="false">COUNTIF(I:I,I2842)</f>
        <v>1</v>
      </c>
      <c r="K2842" s="1" t="n">
        <v>0</v>
      </c>
      <c r="M2842" s="1" t="s">
        <v>23</v>
      </c>
      <c r="N2842" s="1" t="n">
        <v>30</v>
      </c>
      <c r="O2842" s="1" t="s">
        <v>16172</v>
      </c>
      <c r="P2842" s="1" t="n">
        <v>3049</v>
      </c>
      <c r="Q2842" s="1" t="s">
        <v>16173</v>
      </c>
      <c r="R2842" s="1" t="s">
        <v>16174</v>
      </c>
      <c r="S2842" s="1" t="s">
        <v>16175</v>
      </c>
      <c r="T2842" s="1" t="s">
        <v>11096</v>
      </c>
      <c r="U2842" s="1" t="s">
        <v>16176</v>
      </c>
    </row>
    <row r="2843" customFormat="false" ht="13.8" hidden="false" customHeight="false" outlineLevel="0" collapsed="false">
      <c r="A2843" s="1" t="n">
        <v>2842</v>
      </c>
      <c r="B2843" s="2" t="s">
        <v>16177</v>
      </c>
      <c r="C2843" s="1" t="n">
        <v>4</v>
      </c>
      <c r="D2843" s="1" t="n">
        <v>8</v>
      </c>
      <c r="E2843" s="1" t="n">
        <v>49</v>
      </c>
      <c r="F2843" s="1" t="n">
        <v>51</v>
      </c>
      <c r="G2843" s="1" t="n">
        <v>52</v>
      </c>
      <c r="H2843" s="1" t="n">
        <v>55</v>
      </c>
      <c r="I2843" s="1" t="str">
        <f aca="false">RIGHT(("0"&amp;C2843),2)&amp;RIGHT(("0"&amp;D2843),2)&amp;RIGHT(("0"&amp;E2843),2)&amp;RIGHT(("0"&amp;F2843),2)&amp;RIGHT(("0"&amp;G2843),2)&amp;RIGHT(("0"&amp;H2843),2)</f>
        <v>040849515255</v>
      </c>
      <c r="J2843" s="1" t="n">
        <f aca="false">COUNTIF(I:I,I2843)</f>
        <v>1</v>
      </c>
      <c r="K2843" s="1" t="n">
        <v>0</v>
      </c>
      <c r="M2843" s="1" t="s">
        <v>23</v>
      </c>
      <c r="N2843" s="1" t="n">
        <v>20</v>
      </c>
      <c r="O2843" s="1" t="s">
        <v>16178</v>
      </c>
      <c r="P2843" s="1" t="n">
        <v>2318</v>
      </c>
      <c r="Q2843" s="1" t="s">
        <v>16179</v>
      </c>
      <c r="R2843" s="1" t="s">
        <v>16180</v>
      </c>
      <c r="S2843" s="1" t="s">
        <v>16181</v>
      </c>
      <c r="T2843" s="1" t="s">
        <v>4195</v>
      </c>
      <c r="U2843" s="1" t="s">
        <v>16182</v>
      </c>
    </row>
    <row r="2844" customFormat="false" ht="13.8" hidden="false" customHeight="false" outlineLevel="0" collapsed="false">
      <c r="A2844" s="1" t="n">
        <v>2843</v>
      </c>
      <c r="B2844" s="2" t="s">
        <v>16183</v>
      </c>
      <c r="C2844" s="1" t="n">
        <v>1</v>
      </c>
      <c r="D2844" s="1" t="n">
        <v>37</v>
      </c>
      <c r="E2844" s="1" t="n">
        <v>39</v>
      </c>
      <c r="F2844" s="1" t="n">
        <v>40</v>
      </c>
      <c r="G2844" s="1" t="n">
        <v>43</v>
      </c>
      <c r="H2844" s="1" t="n">
        <v>59</v>
      </c>
      <c r="I2844" s="1" t="str">
        <f aca="false">RIGHT(("0"&amp;C2844),2)&amp;RIGHT(("0"&amp;D2844),2)&amp;RIGHT(("0"&amp;E2844),2)&amp;RIGHT(("0"&amp;F2844),2)&amp;RIGHT(("0"&amp;G2844),2)&amp;RIGHT(("0"&amp;H2844),2)</f>
        <v>013739404359</v>
      </c>
      <c r="J2844" s="1" t="n">
        <f aca="false">COUNTIF(I:I,I2844)</f>
        <v>1</v>
      </c>
      <c r="K2844" s="1" t="n">
        <v>0</v>
      </c>
      <c r="M2844" s="1" t="s">
        <v>23</v>
      </c>
      <c r="N2844" s="1" t="n">
        <v>41</v>
      </c>
      <c r="O2844" s="1" t="s">
        <v>16184</v>
      </c>
      <c r="P2844" s="1" t="n">
        <v>2537</v>
      </c>
      <c r="Q2844" s="1" t="s">
        <v>16185</v>
      </c>
      <c r="R2844" s="1" t="s">
        <v>16186</v>
      </c>
      <c r="S2844" s="1" t="s">
        <v>16187</v>
      </c>
      <c r="T2844" s="1" t="s">
        <v>7044</v>
      </c>
      <c r="U2844" s="1" t="s">
        <v>16188</v>
      </c>
    </row>
    <row r="2845" customFormat="false" ht="13.8" hidden="false" customHeight="false" outlineLevel="0" collapsed="false">
      <c r="A2845" s="1" t="n">
        <v>2844</v>
      </c>
      <c r="B2845" s="2" t="s">
        <v>16189</v>
      </c>
      <c r="C2845" s="1" t="n">
        <v>7</v>
      </c>
      <c r="D2845" s="1" t="n">
        <v>20</v>
      </c>
      <c r="E2845" s="1" t="n">
        <v>31</v>
      </c>
      <c r="F2845" s="1" t="n">
        <v>54</v>
      </c>
      <c r="G2845" s="1" t="n">
        <v>55</v>
      </c>
      <c r="H2845" s="1" t="n">
        <v>58</v>
      </c>
      <c r="I2845" s="1" t="str">
        <f aca="false">RIGHT(("0"&amp;C2845),2)&amp;RIGHT(("0"&amp;D2845),2)&amp;RIGHT(("0"&amp;E2845),2)&amp;RIGHT(("0"&amp;F2845),2)&amp;RIGHT(("0"&amp;G2845),2)&amp;RIGHT(("0"&amp;H2845),2)</f>
        <v>072031545558</v>
      </c>
      <c r="J2845" s="1" t="n">
        <f aca="false">COUNTIF(I:I,I2845)</f>
        <v>1</v>
      </c>
      <c r="K2845" s="1" t="n">
        <v>0</v>
      </c>
      <c r="M2845" s="1" t="s">
        <v>23</v>
      </c>
      <c r="N2845" s="1" t="n">
        <v>29</v>
      </c>
      <c r="O2845" s="1" t="s">
        <v>16190</v>
      </c>
      <c r="P2845" s="1" t="n">
        <v>2007</v>
      </c>
      <c r="Q2845" s="1" t="s">
        <v>16191</v>
      </c>
      <c r="R2845" s="1" t="s">
        <v>16192</v>
      </c>
      <c r="S2845" s="1" t="s">
        <v>16193</v>
      </c>
      <c r="T2845" s="1" t="s">
        <v>4935</v>
      </c>
      <c r="U2845" s="1" t="s">
        <v>16194</v>
      </c>
    </row>
    <row r="2846" customFormat="false" ht="13.8" hidden="false" customHeight="false" outlineLevel="0" collapsed="false">
      <c r="A2846" s="1" t="n">
        <v>2845</v>
      </c>
      <c r="B2846" s="2" t="s">
        <v>16195</v>
      </c>
      <c r="C2846" s="1" t="n">
        <v>10</v>
      </c>
      <c r="D2846" s="1" t="n">
        <v>31</v>
      </c>
      <c r="E2846" s="1" t="n">
        <v>40</v>
      </c>
      <c r="F2846" s="1" t="n">
        <v>52</v>
      </c>
      <c r="G2846" s="1" t="n">
        <v>54</v>
      </c>
      <c r="H2846" s="1" t="n">
        <v>56</v>
      </c>
      <c r="I2846" s="1" t="str">
        <f aca="false">RIGHT(("0"&amp;C2846),2)&amp;RIGHT(("0"&amp;D2846),2)&amp;RIGHT(("0"&amp;E2846),2)&amp;RIGHT(("0"&amp;F2846),2)&amp;RIGHT(("0"&amp;G2846),2)&amp;RIGHT(("0"&amp;H2846),2)</f>
        <v>103140525456</v>
      </c>
      <c r="J2846" s="1" t="n">
        <f aca="false">COUNTIF(I:I,I2846)</f>
        <v>1</v>
      </c>
      <c r="K2846" s="1" t="n">
        <v>0</v>
      </c>
      <c r="M2846" s="1" t="s">
        <v>23</v>
      </c>
      <c r="N2846" s="1" t="n">
        <v>31</v>
      </c>
      <c r="O2846" s="1" t="s">
        <v>16196</v>
      </c>
      <c r="P2846" s="1" t="n">
        <v>2307</v>
      </c>
      <c r="Q2846" s="1" t="s">
        <v>16197</v>
      </c>
      <c r="R2846" s="1" t="s">
        <v>16198</v>
      </c>
      <c r="S2846" s="1" t="s">
        <v>16199</v>
      </c>
      <c r="T2846" s="1" t="s">
        <v>4309</v>
      </c>
      <c r="U2846" s="1" t="s">
        <v>16200</v>
      </c>
    </row>
    <row r="2847" customFormat="false" ht="13.8" hidden="false" customHeight="false" outlineLevel="0" collapsed="false">
      <c r="A2847" s="1" t="n">
        <v>2846</v>
      </c>
      <c r="B2847" s="2" t="s">
        <v>16201</v>
      </c>
      <c r="C2847" s="1" t="n">
        <v>1</v>
      </c>
      <c r="D2847" s="1" t="n">
        <v>12</v>
      </c>
      <c r="E2847" s="1" t="n">
        <v>16</v>
      </c>
      <c r="F2847" s="1" t="n">
        <v>17</v>
      </c>
      <c r="G2847" s="1" t="n">
        <v>25</v>
      </c>
      <c r="H2847" s="1" t="n">
        <v>57</v>
      </c>
      <c r="I2847" s="1" t="str">
        <f aca="false">RIGHT(("0"&amp;C2847),2)&amp;RIGHT(("0"&amp;D2847),2)&amp;RIGHT(("0"&amp;E2847),2)&amp;RIGHT(("0"&amp;F2847),2)&amp;RIGHT(("0"&amp;G2847),2)&amp;RIGHT(("0"&amp;H2847),2)</f>
        <v>011216172557</v>
      </c>
      <c r="J2847" s="1" t="n">
        <f aca="false">COUNTIF(I:I,I2847)</f>
        <v>1</v>
      </c>
      <c r="K2847" s="1" t="n">
        <v>0</v>
      </c>
      <c r="M2847" s="1" t="s">
        <v>23</v>
      </c>
      <c r="N2847" s="1" t="n">
        <v>74</v>
      </c>
      <c r="O2847" s="1" t="s">
        <v>16202</v>
      </c>
      <c r="P2847" s="1" t="n">
        <v>5871</v>
      </c>
      <c r="Q2847" s="1" t="s">
        <v>16203</v>
      </c>
      <c r="R2847" s="1" t="s">
        <v>16204</v>
      </c>
      <c r="S2847" s="1" t="s">
        <v>16205</v>
      </c>
      <c r="T2847" s="1" t="s">
        <v>4314</v>
      </c>
      <c r="U2847" s="1" t="s">
        <v>16206</v>
      </c>
    </row>
    <row r="2848" customFormat="false" ht="13.8" hidden="false" customHeight="false" outlineLevel="0" collapsed="false">
      <c r="A2848" s="1" t="n">
        <v>2847</v>
      </c>
      <c r="B2848" s="2" t="s">
        <v>16207</v>
      </c>
      <c r="C2848" s="1" t="n">
        <v>3</v>
      </c>
      <c r="D2848" s="1" t="n">
        <v>5</v>
      </c>
      <c r="E2848" s="1" t="n">
        <v>22</v>
      </c>
      <c r="F2848" s="1" t="n">
        <v>35</v>
      </c>
      <c r="G2848" s="1" t="n">
        <v>53</v>
      </c>
      <c r="H2848" s="1" t="n">
        <v>56</v>
      </c>
      <c r="I2848" s="1" t="str">
        <f aca="false">RIGHT(("0"&amp;C2848),2)&amp;RIGHT(("0"&amp;D2848),2)&amp;RIGHT(("0"&amp;E2848),2)&amp;RIGHT(("0"&amp;F2848),2)&amp;RIGHT(("0"&amp;G2848),2)&amp;RIGHT(("0"&amp;H2848),2)</f>
        <v>030522355356</v>
      </c>
      <c r="J2848" s="1" t="n">
        <f aca="false">COUNTIF(I:I,I2848)</f>
        <v>1</v>
      </c>
      <c r="K2848" s="1" t="n">
        <v>0</v>
      </c>
      <c r="M2848" s="1" t="s">
        <v>23</v>
      </c>
      <c r="N2848" s="1" t="n">
        <v>125</v>
      </c>
      <c r="O2848" s="1" t="s">
        <v>16208</v>
      </c>
      <c r="P2848" s="1" t="n">
        <v>6954</v>
      </c>
      <c r="Q2848" s="1" t="s">
        <v>16209</v>
      </c>
      <c r="R2848" s="1" t="s">
        <v>16210</v>
      </c>
      <c r="S2848" s="1" t="s">
        <v>16211</v>
      </c>
      <c r="T2848" s="1" t="s">
        <v>14423</v>
      </c>
      <c r="U2848" s="1" t="s">
        <v>16212</v>
      </c>
    </row>
    <row r="2849" customFormat="false" ht="13.8" hidden="false" customHeight="false" outlineLevel="0" collapsed="false">
      <c r="A2849" s="1" t="n">
        <v>2848</v>
      </c>
      <c r="B2849" s="2" t="s">
        <v>16213</v>
      </c>
      <c r="C2849" s="1" t="n">
        <v>5</v>
      </c>
      <c r="D2849" s="1" t="n">
        <v>14</v>
      </c>
      <c r="E2849" s="1" t="n">
        <v>19</v>
      </c>
      <c r="F2849" s="1" t="n">
        <v>29</v>
      </c>
      <c r="G2849" s="1" t="n">
        <v>30</v>
      </c>
      <c r="H2849" s="1" t="n">
        <v>54</v>
      </c>
      <c r="I2849" s="1" t="str">
        <f aca="false">RIGHT(("0"&amp;C2849),2)&amp;RIGHT(("0"&amp;D2849),2)&amp;RIGHT(("0"&amp;E2849),2)&amp;RIGHT(("0"&amp;F2849),2)&amp;RIGHT(("0"&amp;G2849),2)&amp;RIGHT(("0"&amp;H2849),2)</f>
        <v>051419293054</v>
      </c>
      <c r="J2849" s="1" t="n">
        <f aca="false">COUNTIF(I:I,I2849)</f>
        <v>1</v>
      </c>
      <c r="K2849" s="1" t="n">
        <v>0</v>
      </c>
      <c r="M2849" s="1" t="s">
        <v>23</v>
      </c>
      <c r="N2849" s="1" t="n">
        <v>73</v>
      </c>
      <c r="O2849" s="1" t="s">
        <v>16214</v>
      </c>
      <c r="P2849" s="1" t="n">
        <v>5003</v>
      </c>
      <c r="Q2849" s="1" t="s">
        <v>16215</v>
      </c>
      <c r="R2849" s="1" t="s">
        <v>16216</v>
      </c>
      <c r="S2849" s="1" t="s">
        <v>16217</v>
      </c>
      <c r="T2849" s="1" t="s">
        <v>8797</v>
      </c>
      <c r="U2849" s="1" t="s">
        <v>16218</v>
      </c>
    </row>
    <row r="2850" customFormat="false" ht="13.8" hidden="false" customHeight="false" outlineLevel="0" collapsed="false">
      <c r="A2850" s="1" t="n">
        <v>2849</v>
      </c>
      <c r="B2850" s="2" t="s">
        <v>16219</v>
      </c>
      <c r="C2850" s="1" t="n">
        <v>13</v>
      </c>
      <c r="D2850" s="1" t="n">
        <v>19</v>
      </c>
      <c r="E2850" s="1" t="n">
        <v>25</v>
      </c>
      <c r="F2850" s="1" t="n">
        <v>29</v>
      </c>
      <c r="G2850" s="1" t="n">
        <v>31</v>
      </c>
      <c r="H2850" s="1" t="n">
        <v>43</v>
      </c>
      <c r="I2850" s="1" t="str">
        <f aca="false">RIGHT(("0"&amp;C2850),2)&amp;RIGHT(("0"&amp;D2850),2)&amp;RIGHT(("0"&amp;E2850),2)&amp;RIGHT(("0"&amp;F2850),2)&amp;RIGHT(("0"&amp;G2850),2)&amp;RIGHT(("0"&amp;H2850),2)</f>
        <v>131925293143</v>
      </c>
      <c r="J2850" s="1" t="n">
        <f aca="false">COUNTIF(I:I,I2850)</f>
        <v>1</v>
      </c>
      <c r="K2850" s="1" t="n">
        <v>1</v>
      </c>
      <c r="L2850" s="1" t="s">
        <v>16220</v>
      </c>
      <c r="M2850" s="1" t="s">
        <v>16221</v>
      </c>
      <c r="N2850" s="1" t="n">
        <v>164</v>
      </c>
      <c r="O2850" s="1" t="s">
        <v>16222</v>
      </c>
      <c r="P2850" s="1" t="n">
        <v>8506</v>
      </c>
      <c r="Q2850" s="1" t="s">
        <v>16223</v>
      </c>
      <c r="R2850" s="1" t="s">
        <v>16224</v>
      </c>
      <c r="S2850" s="1" t="s">
        <v>16225</v>
      </c>
      <c r="T2850" s="1" t="s">
        <v>4718</v>
      </c>
      <c r="U2850" s="1" t="s">
        <v>16226</v>
      </c>
    </row>
    <row r="2851" customFormat="false" ht="13.8" hidden="false" customHeight="false" outlineLevel="0" collapsed="false">
      <c r="A2851" s="1" t="n">
        <v>2850</v>
      </c>
      <c r="B2851" s="2" t="s">
        <v>16227</v>
      </c>
      <c r="C2851" s="1" t="n">
        <v>1</v>
      </c>
      <c r="D2851" s="1" t="n">
        <v>2</v>
      </c>
      <c r="E2851" s="1" t="n">
        <v>15</v>
      </c>
      <c r="F2851" s="1" t="n">
        <v>26</v>
      </c>
      <c r="G2851" s="1" t="n">
        <v>43</v>
      </c>
      <c r="H2851" s="1" t="n">
        <v>50</v>
      </c>
      <c r="I2851" s="1" t="str">
        <f aca="false">RIGHT(("0"&amp;C2851),2)&amp;RIGHT(("0"&amp;D2851),2)&amp;RIGHT(("0"&amp;E2851),2)&amp;RIGHT(("0"&amp;F2851),2)&amp;RIGHT(("0"&amp;G2851),2)&amp;RIGHT(("0"&amp;H2851),2)</f>
        <v>010215264350</v>
      </c>
      <c r="J2851" s="1" t="n">
        <f aca="false">COUNTIF(I:I,I2851)</f>
        <v>1</v>
      </c>
      <c r="K2851" s="1" t="n">
        <v>0</v>
      </c>
      <c r="M2851" s="1" t="s">
        <v>23</v>
      </c>
      <c r="N2851" s="1" t="n">
        <v>25</v>
      </c>
      <c r="O2851" s="1" t="s">
        <v>16228</v>
      </c>
      <c r="P2851" s="1" t="n">
        <v>2712</v>
      </c>
      <c r="Q2851" s="1" t="s">
        <v>16229</v>
      </c>
      <c r="R2851" s="1" t="s">
        <v>16230</v>
      </c>
      <c r="S2851" s="1" t="s">
        <v>16231</v>
      </c>
      <c r="T2851" s="1" t="s">
        <v>6018</v>
      </c>
      <c r="U2851" s="1" t="s">
        <v>16232</v>
      </c>
    </row>
    <row r="2852" customFormat="false" ht="13.8" hidden="false" customHeight="false" outlineLevel="0" collapsed="false">
      <c r="A2852" s="1" t="n">
        <v>2851</v>
      </c>
      <c r="B2852" s="2" t="s">
        <v>16233</v>
      </c>
      <c r="C2852" s="1" t="n">
        <v>5</v>
      </c>
      <c r="D2852" s="1" t="n">
        <v>6</v>
      </c>
      <c r="E2852" s="1" t="n">
        <v>17</v>
      </c>
      <c r="F2852" s="1" t="n">
        <v>37</v>
      </c>
      <c r="G2852" s="1" t="n">
        <v>43</v>
      </c>
      <c r="H2852" s="1" t="n">
        <v>54</v>
      </c>
      <c r="I2852" s="1" t="str">
        <f aca="false">RIGHT(("0"&amp;C2852),2)&amp;RIGHT(("0"&amp;D2852),2)&amp;RIGHT(("0"&amp;E2852),2)&amp;RIGHT(("0"&amp;F2852),2)&amp;RIGHT(("0"&amp;G2852),2)&amp;RIGHT(("0"&amp;H2852),2)</f>
        <v>050617374354</v>
      </c>
      <c r="J2852" s="1" t="n">
        <f aca="false">COUNTIF(I:I,I2852)</f>
        <v>1</v>
      </c>
      <c r="K2852" s="1" t="n">
        <v>0</v>
      </c>
      <c r="M2852" s="1" t="s">
        <v>23</v>
      </c>
      <c r="N2852" s="1" t="n">
        <v>60</v>
      </c>
      <c r="O2852" s="1" t="s">
        <v>16234</v>
      </c>
      <c r="P2852" s="1" t="n">
        <v>4264</v>
      </c>
      <c r="Q2852" s="1" t="s">
        <v>16235</v>
      </c>
      <c r="R2852" s="1" t="s">
        <v>16236</v>
      </c>
      <c r="S2852" s="1" t="s">
        <v>16237</v>
      </c>
      <c r="T2852" s="1" t="s">
        <v>6025</v>
      </c>
      <c r="U2852" s="1" t="s">
        <v>16238</v>
      </c>
    </row>
    <row r="2853" customFormat="false" ht="13.8" hidden="false" customHeight="false" outlineLevel="0" collapsed="false">
      <c r="A2853" s="1" t="n">
        <v>2852</v>
      </c>
      <c r="B2853" s="2" t="s">
        <v>16239</v>
      </c>
      <c r="C2853" s="1" t="n">
        <v>6</v>
      </c>
      <c r="D2853" s="1" t="n">
        <v>22</v>
      </c>
      <c r="E2853" s="1" t="n">
        <v>24</v>
      </c>
      <c r="F2853" s="1" t="n">
        <v>49</v>
      </c>
      <c r="G2853" s="1" t="n">
        <v>53</v>
      </c>
      <c r="H2853" s="1" t="n">
        <v>56</v>
      </c>
      <c r="I2853" s="1" t="str">
        <f aca="false">RIGHT(("0"&amp;C2853),2)&amp;RIGHT(("0"&amp;D2853),2)&amp;RIGHT(("0"&amp;E2853),2)&amp;RIGHT(("0"&amp;F2853),2)&amp;RIGHT(("0"&amp;G2853),2)&amp;RIGHT(("0"&amp;H2853),2)</f>
        <v>062224495356</v>
      </c>
      <c r="J2853" s="1" t="n">
        <f aca="false">COUNTIF(I:I,I2853)</f>
        <v>1</v>
      </c>
      <c r="K2853" s="1" t="n">
        <v>0</v>
      </c>
      <c r="M2853" s="1" t="s">
        <v>23</v>
      </c>
      <c r="N2853" s="1" t="n">
        <v>58</v>
      </c>
      <c r="O2853" s="1" t="s">
        <v>16240</v>
      </c>
      <c r="P2853" s="1" t="n">
        <v>4666</v>
      </c>
      <c r="Q2853" s="1" t="s">
        <v>16241</v>
      </c>
      <c r="R2853" s="1" t="s">
        <v>16242</v>
      </c>
      <c r="S2853" s="1" t="s">
        <v>16243</v>
      </c>
      <c r="T2853" s="1" t="s">
        <v>4314</v>
      </c>
      <c r="U2853" s="1" t="s">
        <v>16244</v>
      </c>
    </row>
    <row r="2854" customFormat="false" ht="13.8" hidden="false" customHeight="false" outlineLevel="0" collapsed="false">
      <c r="A2854" s="1" t="n">
        <v>2853</v>
      </c>
      <c r="B2854" s="2" t="s">
        <v>16245</v>
      </c>
      <c r="C2854" s="1" t="n">
        <v>4</v>
      </c>
      <c r="D2854" s="1" t="n">
        <v>18</v>
      </c>
      <c r="E2854" s="1" t="n">
        <v>23</v>
      </c>
      <c r="F2854" s="1" t="n">
        <v>48</v>
      </c>
      <c r="G2854" s="1" t="n">
        <v>53</v>
      </c>
      <c r="H2854" s="1" t="n">
        <v>56</v>
      </c>
      <c r="I2854" s="1" t="str">
        <f aca="false">RIGHT(("0"&amp;C2854),2)&amp;RIGHT(("0"&amp;D2854),2)&amp;RIGHT(("0"&amp;E2854),2)&amp;RIGHT(("0"&amp;F2854),2)&amp;RIGHT(("0"&amp;G2854),2)&amp;RIGHT(("0"&amp;H2854),2)</f>
        <v>041823485356</v>
      </c>
      <c r="J2854" s="1" t="n">
        <f aca="false">COUNTIF(I:I,I2854)</f>
        <v>1</v>
      </c>
      <c r="K2854" s="1" t="n">
        <v>0</v>
      </c>
      <c r="M2854" s="1" t="s">
        <v>23</v>
      </c>
      <c r="N2854" s="1" t="n">
        <v>102</v>
      </c>
      <c r="O2854" s="1" t="s">
        <v>16246</v>
      </c>
      <c r="P2854" s="1" t="n">
        <v>5407</v>
      </c>
      <c r="Q2854" s="1" t="s">
        <v>16247</v>
      </c>
      <c r="R2854" s="1" t="s">
        <v>16248</v>
      </c>
      <c r="S2854" s="1" t="s">
        <v>16249</v>
      </c>
      <c r="T2854" s="1" t="s">
        <v>6559</v>
      </c>
      <c r="U2854" s="1" t="s">
        <v>16250</v>
      </c>
    </row>
    <row r="2855" customFormat="false" ht="13.8" hidden="false" customHeight="false" outlineLevel="0" collapsed="false">
      <c r="A2855" s="1" t="n">
        <v>2854</v>
      </c>
      <c r="B2855" s="2" t="s">
        <v>16251</v>
      </c>
      <c r="C2855" s="1" t="n">
        <v>2</v>
      </c>
      <c r="D2855" s="1" t="n">
        <v>13</v>
      </c>
      <c r="E2855" s="1" t="n">
        <v>16</v>
      </c>
      <c r="F2855" s="1" t="n">
        <v>31</v>
      </c>
      <c r="G2855" s="1" t="n">
        <v>44</v>
      </c>
      <c r="H2855" s="1" t="n">
        <v>55</v>
      </c>
      <c r="I2855" s="1" t="str">
        <f aca="false">RIGHT(("0"&amp;C2855),2)&amp;RIGHT(("0"&amp;D2855),2)&amp;RIGHT(("0"&amp;E2855),2)&amp;RIGHT(("0"&amp;F2855),2)&amp;RIGHT(("0"&amp;G2855),2)&amp;RIGHT(("0"&amp;H2855),2)</f>
        <v>021316314455</v>
      </c>
      <c r="J2855" s="1" t="n">
        <f aca="false">COUNTIF(I:I,I2855)</f>
        <v>1</v>
      </c>
      <c r="K2855" s="1" t="n">
        <v>1</v>
      </c>
      <c r="L2855" s="1" t="s">
        <v>16252</v>
      </c>
      <c r="M2855" s="1" t="s">
        <v>16253</v>
      </c>
      <c r="N2855" s="1" t="n">
        <v>101</v>
      </c>
      <c r="O2855" s="1" t="s">
        <v>16254</v>
      </c>
      <c r="P2855" s="1" t="n">
        <v>7246</v>
      </c>
      <c r="Q2855" s="1" t="s">
        <v>16255</v>
      </c>
      <c r="R2855" s="1" t="s">
        <v>16256</v>
      </c>
      <c r="S2855" s="1" t="s">
        <v>16257</v>
      </c>
      <c r="T2855" s="1" t="s">
        <v>4718</v>
      </c>
      <c r="U2855" s="1" t="s">
        <v>16258</v>
      </c>
    </row>
    <row r="2856" customFormat="false" ht="13.8" hidden="false" customHeight="false" outlineLevel="0" collapsed="false">
      <c r="A2856" s="1" t="n">
        <v>2855</v>
      </c>
      <c r="B2856" s="2" t="s">
        <v>16259</v>
      </c>
      <c r="C2856" s="1" t="n">
        <v>12</v>
      </c>
      <c r="D2856" s="1" t="n">
        <v>16</v>
      </c>
      <c r="E2856" s="1" t="n">
        <v>24</v>
      </c>
      <c r="F2856" s="1" t="n">
        <v>31</v>
      </c>
      <c r="G2856" s="1" t="n">
        <v>51</v>
      </c>
      <c r="H2856" s="1" t="n">
        <v>55</v>
      </c>
      <c r="I2856" s="1" t="str">
        <f aca="false">RIGHT(("0"&amp;C2856),2)&amp;RIGHT(("0"&amp;D2856),2)&amp;RIGHT(("0"&amp;E2856),2)&amp;RIGHT(("0"&amp;F2856),2)&amp;RIGHT(("0"&amp;G2856),2)&amp;RIGHT(("0"&amp;H2856),2)</f>
        <v>121624315155</v>
      </c>
      <c r="J2856" s="1" t="n">
        <f aca="false">COUNTIF(I:I,I2856)</f>
        <v>1</v>
      </c>
      <c r="K2856" s="1" t="n">
        <v>1</v>
      </c>
      <c r="L2856" s="1" t="s">
        <v>16260</v>
      </c>
      <c r="M2856" s="1" t="s">
        <v>16261</v>
      </c>
      <c r="N2856" s="1" t="n">
        <v>60</v>
      </c>
      <c r="O2856" s="1" t="s">
        <v>16262</v>
      </c>
      <c r="P2856" s="1" t="n">
        <v>3694</v>
      </c>
      <c r="Q2856" s="1" t="s">
        <v>16263</v>
      </c>
      <c r="R2856" s="1" t="s">
        <v>23</v>
      </c>
      <c r="S2856" s="1" t="s">
        <v>16264</v>
      </c>
      <c r="T2856" s="1" t="s">
        <v>4337</v>
      </c>
      <c r="U2856" s="1" t="s">
        <v>16265</v>
      </c>
    </row>
    <row r="2857" customFormat="false" ht="13.8" hidden="false" customHeight="false" outlineLevel="0" collapsed="false">
      <c r="A2857" s="1" t="n">
        <v>2856</v>
      </c>
      <c r="B2857" s="2" t="s">
        <v>16266</v>
      </c>
      <c r="C2857" s="1" t="n">
        <v>3</v>
      </c>
      <c r="D2857" s="1" t="n">
        <v>5</v>
      </c>
      <c r="E2857" s="1" t="n">
        <v>10</v>
      </c>
      <c r="F2857" s="1" t="n">
        <v>27</v>
      </c>
      <c r="G2857" s="1" t="n">
        <v>38</v>
      </c>
      <c r="H2857" s="1" t="n">
        <v>48</v>
      </c>
      <c r="I2857" s="1" t="str">
        <f aca="false">RIGHT(("0"&amp;C2857),2)&amp;RIGHT(("0"&amp;D2857),2)&amp;RIGHT(("0"&amp;E2857),2)&amp;RIGHT(("0"&amp;F2857),2)&amp;RIGHT(("0"&amp;G2857),2)&amp;RIGHT(("0"&amp;H2857),2)</f>
        <v>030510273848</v>
      </c>
      <c r="J2857" s="1" t="n">
        <f aca="false">COUNTIF(I:I,I2857)</f>
        <v>1</v>
      </c>
      <c r="K2857" s="1" t="n">
        <v>0</v>
      </c>
      <c r="M2857" s="1" t="s">
        <v>23</v>
      </c>
      <c r="N2857" s="1" t="n">
        <v>50</v>
      </c>
      <c r="O2857" s="1" t="s">
        <v>16267</v>
      </c>
      <c r="P2857" s="1" t="n">
        <v>4216</v>
      </c>
      <c r="Q2857" s="1" t="s">
        <v>16268</v>
      </c>
      <c r="R2857" s="1" t="s">
        <v>16269</v>
      </c>
      <c r="S2857" s="1" t="s">
        <v>16270</v>
      </c>
      <c r="T2857" s="1" t="s">
        <v>4347</v>
      </c>
      <c r="U2857" s="1" t="s">
        <v>16271</v>
      </c>
    </row>
    <row r="2858" customFormat="false" ht="13.8" hidden="false" customHeight="false" outlineLevel="0" collapsed="false">
      <c r="A2858" s="1" t="n">
        <v>2857</v>
      </c>
      <c r="B2858" s="2" t="s">
        <v>16272</v>
      </c>
      <c r="C2858" s="1" t="n">
        <v>2</v>
      </c>
      <c r="D2858" s="1" t="n">
        <v>18</v>
      </c>
      <c r="E2858" s="1" t="n">
        <v>28</v>
      </c>
      <c r="F2858" s="1" t="n">
        <v>38</v>
      </c>
      <c r="G2858" s="1" t="n">
        <v>41</v>
      </c>
      <c r="H2858" s="1" t="n">
        <v>50</v>
      </c>
      <c r="I2858" s="1" t="str">
        <f aca="false">RIGHT(("0"&amp;C2858),2)&amp;RIGHT(("0"&amp;D2858),2)&amp;RIGHT(("0"&amp;E2858),2)&amp;RIGHT(("0"&amp;F2858),2)&amp;RIGHT(("0"&amp;G2858),2)&amp;RIGHT(("0"&amp;H2858),2)</f>
        <v>021828384150</v>
      </c>
      <c r="J2858" s="1" t="n">
        <f aca="false">COUNTIF(I:I,I2858)</f>
        <v>1</v>
      </c>
      <c r="K2858" s="1" t="n">
        <v>0</v>
      </c>
      <c r="M2858" s="1" t="s">
        <v>23</v>
      </c>
      <c r="N2858" s="1" t="n">
        <v>37</v>
      </c>
      <c r="O2858" s="1" t="s">
        <v>16273</v>
      </c>
      <c r="P2858" s="1" t="n">
        <v>1709</v>
      </c>
      <c r="Q2858" s="1" t="s">
        <v>16274</v>
      </c>
      <c r="R2858" s="1" t="s">
        <v>16275</v>
      </c>
      <c r="S2858" s="1" t="s">
        <v>16276</v>
      </c>
      <c r="T2858" s="1" t="s">
        <v>4461</v>
      </c>
      <c r="U2858" s="1" t="s">
        <v>16277</v>
      </c>
    </row>
    <row r="2859" customFormat="false" ht="13.8" hidden="false" customHeight="false" outlineLevel="0" collapsed="false">
      <c r="A2859" s="1" t="n">
        <v>2858</v>
      </c>
      <c r="B2859" s="2" t="s">
        <v>16278</v>
      </c>
      <c r="C2859" s="1" t="n">
        <v>8</v>
      </c>
      <c r="D2859" s="1" t="n">
        <v>18</v>
      </c>
      <c r="E2859" s="1" t="n">
        <v>27</v>
      </c>
      <c r="F2859" s="1" t="n">
        <v>28</v>
      </c>
      <c r="G2859" s="1" t="n">
        <v>48</v>
      </c>
      <c r="H2859" s="1" t="n">
        <v>52</v>
      </c>
      <c r="I2859" s="1" t="str">
        <f aca="false">RIGHT(("0"&amp;C2859),2)&amp;RIGHT(("0"&amp;D2859),2)&amp;RIGHT(("0"&amp;E2859),2)&amp;RIGHT(("0"&amp;F2859),2)&amp;RIGHT(("0"&amp;G2859),2)&amp;RIGHT(("0"&amp;H2859),2)</f>
        <v>081827284852</v>
      </c>
      <c r="J2859" s="1" t="n">
        <f aca="false">COUNTIF(I:I,I2859)</f>
        <v>1</v>
      </c>
      <c r="K2859" s="1" t="n">
        <v>0</v>
      </c>
      <c r="M2859" s="1" t="s">
        <v>23</v>
      </c>
      <c r="N2859" s="1" t="n">
        <v>78</v>
      </c>
      <c r="O2859" s="1" t="s">
        <v>16279</v>
      </c>
      <c r="P2859" s="1" t="n">
        <v>5555</v>
      </c>
      <c r="Q2859" s="1" t="s">
        <v>16280</v>
      </c>
      <c r="R2859" s="1" t="s">
        <v>16281</v>
      </c>
      <c r="S2859" s="1" t="s">
        <v>16282</v>
      </c>
      <c r="T2859" s="1" t="s">
        <v>4273</v>
      </c>
      <c r="U2859" s="1" t="s">
        <v>16283</v>
      </c>
    </row>
    <row r="2860" customFormat="false" ht="13.8" hidden="false" customHeight="false" outlineLevel="0" collapsed="false">
      <c r="A2860" s="1" t="n">
        <v>2859</v>
      </c>
      <c r="B2860" s="2" t="s">
        <v>16284</v>
      </c>
      <c r="C2860" s="1" t="n">
        <v>7</v>
      </c>
      <c r="D2860" s="1" t="n">
        <v>8</v>
      </c>
      <c r="E2860" s="1" t="n">
        <v>15</v>
      </c>
      <c r="F2860" s="1" t="n">
        <v>17</v>
      </c>
      <c r="G2860" s="1" t="n">
        <v>20</v>
      </c>
      <c r="H2860" s="1" t="n">
        <v>51</v>
      </c>
      <c r="I2860" s="1" t="str">
        <f aca="false">RIGHT(("0"&amp;C2860),2)&amp;RIGHT(("0"&amp;D2860),2)&amp;RIGHT(("0"&amp;E2860),2)&amp;RIGHT(("0"&amp;F2860),2)&amp;RIGHT(("0"&amp;G2860),2)&amp;RIGHT(("0"&amp;H2860),2)</f>
        <v>070815172051</v>
      </c>
      <c r="J2860" s="1" t="n">
        <f aca="false">COUNTIF(I:I,I2860)</f>
        <v>1</v>
      </c>
      <c r="K2860" s="1" t="n">
        <v>0</v>
      </c>
      <c r="M2860" s="1" t="s">
        <v>23</v>
      </c>
      <c r="N2860" s="1" t="n">
        <v>77</v>
      </c>
      <c r="O2860" s="1" t="s">
        <v>16285</v>
      </c>
      <c r="P2860" s="1" t="n">
        <v>4406</v>
      </c>
      <c r="Q2860" s="1" t="s">
        <v>16286</v>
      </c>
      <c r="R2860" s="1" t="s">
        <v>16287</v>
      </c>
      <c r="S2860" s="1" t="s">
        <v>16288</v>
      </c>
      <c r="T2860" s="1" t="s">
        <v>5294</v>
      </c>
      <c r="U2860" s="1" t="s">
        <v>16289</v>
      </c>
    </row>
    <row r="2861" customFormat="false" ht="13.8" hidden="false" customHeight="false" outlineLevel="0" collapsed="false">
      <c r="A2861" s="1" t="n">
        <v>2860</v>
      </c>
      <c r="B2861" s="2" t="s">
        <v>16290</v>
      </c>
      <c r="C2861" s="1" t="n">
        <v>2</v>
      </c>
      <c r="D2861" s="1" t="n">
        <v>5</v>
      </c>
      <c r="E2861" s="1" t="n">
        <v>17</v>
      </c>
      <c r="F2861" s="1" t="n">
        <v>24</v>
      </c>
      <c r="G2861" s="1" t="n">
        <v>38</v>
      </c>
      <c r="H2861" s="1" t="n">
        <v>57</v>
      </c>
      <c r="I2861" s="1" t="str">
        <f aca="false">RIGHT(("0"&amp;C2861),2)&amp;RIGHT(("0"&amp;D2861),2)&amp;RIGHT(("0"&amp;E2861),2)&amp;RIGHT(("0"&amp;F2861),2)&amp;RIGHT(("0"&amp;G2861),2)&amp;RIGHT(("0"&amp;H2861),2)</f>
        <v>020517243857</v>
      </c>
      <c r="J2861" s="1" t="n">
        <f aca="false">COUNTIF(I:I,I2861)</f>
        <v>1</v>
      </c>
      <c r="K2861" s="1" t="n">
        <v>0</v>
      </c>
      <c r="M2861" s="1" t="s">
        <v>23</v>
      </c>
      <c r="N2861" s="1" t="n">
        <v>119</v>
      </c>
      <c r="O2861" s="1" t="s">
        <v>16291</v>
      </c>
      <c r="P2861" s="1" t="n">
        <v>6632</v>
      </c>
      <c r="Q2861" s="1" t="s">
        <v>16292</v>
      </c>
      <c r="R2861" s="1" t="s">
        <v>16293</v>
      </c>
      <c r="S2861" s="1" t="s">
        <v>16294</v>
      </c>
      <c r="T2861" s="1" t="s">
        <v>4314</v>
      </c>
      <c r="U2861" s="1" t="s">
        <v>16295</v>
      </c>
    </row>
    <row r="2862" customFormat="false" ht="13.8" hidden="false" customHeight="false" outlineLevel="0" collapsed="false">
      <c r="A2862" s="1" t="n">
        <v>2861</v>
      </c>
      <c r="B2862" s="2" t="s">
        <v>16296</v>
      </c>
      <c r="C2862" s="1" t="n">
        <v>2</v>
      </c>
      <c r="D2862" s="1" t="n">
        <v>21</v>
      </c>
      <c r="E2862" s="1" t="n">
        <v>27</v>
      </c>
      <c r="F2862" s="1" t="n">
        <v>46</v>
      </c>
      <c r="G2862" s="1" t="n">
        <v>51</v>
      </c>
      <c r="H2862" s="1" t="n">
        <v>53</v>
      </c>
      <c r="I2862" s="1" t="str">
        <f aca="false">RIGHT(("0"&amp;C2862),2)&amp;RIGHT(("0"&amp;D2862),2)&amp;RIGHT(("0"&amp;E2862),2)&amp;RIGHT(("0"&amp;F2862),2)&amp;RIGHT(("0"&amp;G2862),2)&amp;RIGHT(("0"&amp;H2862),2)</f>
        <v>022127465153</v>
      </c>
      <c r="J2862" s="1" t="n">
        <f aca="false">COUNTIF(I:I,I2862)</f>
        <v>1</v>
      </c>
      <c r="K2862" s="1" t="n">
        <v>0</v>
      </c>
      <c r="M2862" s="1" t="s">
        <v>23</v>
      </c>
      <c r="N2862" s="1" t="n">
        <v>55</v>
      </c>
      <c r="O2862" s="1" t="s">
        <v>16297</v>
      </c>
      <c r="P2862" s="1" t="n">
        <v>5930</v>
      </c>
      <c r="Q2862" s="1" t="s">
        <v>16298</v>
      </c>
      <c r="R2862" s="1" t="s">
        <v>16299</v>
      </c>
      <c r="S2862" s="1" t="s">
        <v>16300</v>
      </c>
      <c r="T2862" s="1" t="s">
        <v>5255</v>
      </c>
      <c r="U2862" s="1" t="s">
        <v>16301</v>
      </c>
    </row>
    <row r="2863" customFormat="false" ht="13.8" hidden="false" customHeight="false" outlineLevel="0" collapsed="false">
      <c r="A2863" s="1" t="n">
        <v>2862</v>
      </c>
      <c r="B2863" s="2" t="s">
        <v>16302</v>
      </c>
      <c r="C2863" s="1" t="n">
        <v>2</v>
      </c>
      <c r="D2863" s="1" t="n">
        <v>4</v>
      </c>
      <c r="E2863" s="1" t="n">
        <v>14</v>
      </c>
      <c r="F2863" s="1" t="n">
        <v>18</v>
      </c>
      <c r="G2863" s="1" t="n">
        <v>22</v>
      </c>
      <c r="H2863" s="1" t="n">
        <v>44</v>
      </c>
      <c r="I2863" s="1" t="str">
        <f aca="false">RIGHT(("0"&amp;C2863),2)&amp;RIGHT(("0"&amp;D2863),2)&amp;RIGHT(("0"&amp;E2863),2)&amp;RIGHT(("0"&amp;F2863),2)&amp;RIGHT(("0"&amp;G2863),2)&amp;RIGHT(("0"&amp;H2863),2)</f>
        <v>020414182244</v>
      </c>
      <c r="J2863" s="1" t="n">
        <f aca="false">COUNTIF(I:I,I2863)</f>
        <v>1</v>
      </c>
      <c r="K2863" s="1" t="n">
        <v>0</v>
      </c>
      <c r="M2863" s="1" t="s">
        <v>23</v>
      </c>
      <c r="N2863" s="1" t="n">
        <v>139</v>
      </c>
      <c r="O2863" s="1" t="s">
        <v>16303</v>
      </c>
      <c r="P2863" s="1" t="n">
        <v>8156</v>
      </c>
      <c r="Q2863" s="1" t="s">
        <v>16304</v>
      </c>
      <c r="R2863" s="1" t="s">
        <v>16305</v>
      </c>
      <c r="S2863" s="1" t="s">
        <v>16306</v>
      </c>
      <c r="T2863" s="1" t="s">
        <v>8797</v>
      </c>
      <c r="U2863" s="1" t="s">
        <v>16307</v>
      </c>
    </row>
    <row r="2864" customFormat="false" ht="13.8" hidden="false" customHeight="false" outlineLevel="0" collapsed="false">
      <c r="A2864" s="1" t="n">
        <v>2863</v>
      </c>
      <c r="B2864" s="2" t="s">
        <v>16308</v>
      </c>
      <c r="C2864" s="1" t="n">
        <v>5</v>
      </c>
      <c r="D2864" s="1" t="n">
        <v>23</v>
      </c>
      <c r="E2864" s="1" t="n">
        <v>32</v>
      </c>
      <c r="F2864" s="1" t="n">
        <v>34</v>
      </c>
      <c r="G2864" s="1" t="n">
        <v>47</v>
      </c>
      <c r="H2864" s="1" t="n">
        <v>56</v>
      </c>
      <c r="I2864" s="1" t="str">
        <f aca="false">RIGHT(("0"&amp;C2864),2)&amp;RIGHT(("0"&amp;D2864),2)&amp;RIGHT(("0"&amp;E2864),2)&amp;RIGHT(("0"&amp;F2864),2)&amp;RIGHT(("0"&amp;G2864),2)&amp;RIGHT(("0"&amp;H2864),2)</f>
        <v>052332344756</v>
      </c>
      <c r="J2864" s="1" t="n">
        <f aca="false">COUNTIF(I:I,I2864)</f>
        <v>1</v>
      </c>
      <c r="K2864" s="1" t="n">
        <v>0</v>
      </c>
      <c r="M2864" s="1" t="s">
        <v>23</v>
      </c>
      <c r="N2864" s="1" t="n">
        <v>172</v>
      </c>
      <c r="O2864" s="1" t="s">
        <v>16309</v>
      </c>
      <c r="P2864" s="1" t="n">
        <v>8222</v>
      </c>
      <c r="Q2864" s="1" t="s">
        <v>16310</v>
      </c>
      <c r="R2864" s="1" t="s">
        <v>16311</v>
      </c>
      <c r="S2864" s="1" t="s">
        <v>16312</v>
      </c>
      <c r="T2864" s="1" t="s">
        <v>10686</v>
      </c>
      <c r="U2864" s="1" t="s">
        <v>16313</v>
      </c>
    </row>
    <row r="2865" customFormat="false" ht="13.8" hidden="false" customHeight="false" outlineLevel="0" collapsed="false">
      <c r="A2865" s="1" t="n">
        <v>2864</v>
      </c>
      <c r="B2865" s="2" t="s">
        <v>16314</v>
      </c>
      <c r="C2865" s="1" t="n">
        <v>5</v>
      </c>
      <c r="D2865" s="1" t="n">
        <v>6</v>
      </c>
      <c r="E2865" s="1" t="n">
        <v>15</v>
      </c>
      <c r="F2865" s="1" t="n">
        <v>17</v>
      </c>
      <c r="G2865" s="1" t="n">
        <v>31</v>
      </c>
      <c r="H2865" s="1" t="n">
        <v>53</v>
      </c>
      <c r="I2865" s="1" t="str">
        <f aca="false">RIGHT(("0"&amp;C2865),2)&amp;RIGHT(("0"&amp;D2865),2)&amp;RIGHT(("0"&amp;E2865),2)&amp;RIGHT(("0"&amp;F2865),2)&amp;RIGHT(("0"&amp;G2865),2)&amp;RIGHT(("0"&amp;H2865),2)</f>
        <v>050615173153</v>
      </c>
      <c r="J2865" s="1" t="n">
        <f aca="false">COUNTIF(I:I,I2865)</f>
        <v>1</v>
      </c>
      <c r="K2865" s="1" t="n">
        <v>0</v>
      </c>
      <c r="M2865" s="1" t="s">
        <v>23</v>
      </c>
      <c r="N2865" s="1" t="n">
        <v>77</v>
      </c>
      <c r="O2865" s="1" t="s">
        <v>16315</v>
      </c>
      <c r="P2865" s="1" t="n">
        <v>7767</v>
      </c>
      <c r="Q2865" s="1" t="s">
        <v>16316</v>
      </c>
      <c r="R2865" s="1" t="s">
        <v>16317</v>
      </c>
      <c r="S2865" s="1" t="s">
        <v>16318</v>
      </c>
      <c r="T2865" s="1" t="s">
        <v>9535</v>
      </c>
      <c r="U2865" s="1" t="s">
        <v>16319</v>
      </c>
    </row>
    <row r="2866" customFormat="false" ht="13.8" hidden="false" customHeight="false" outlineLevel="0" collapsed="false">
      <c r="A2866" s="1" t="n">
        <v>2865</v>
      </c>
      <c r="B2866" s="2" t="s">
        <v>16320</v>
      </c>
      <c r="C2866" s="1" t="n">
        <v>2</v>
      </c>
      <c r="D2866" s="1" t="n">
        <v>25</v>
      </c>
      <c r="E2866" s="1" t="n">
        <v>30</v>
      </c>
      <c r="F2866" s="1" t="n">
        <v>39</v>
      </c>
      <c r="G2866" s="1" t="n">
        <v>47</v>
      </c>
      <c r="H2866" s="1" t="n">
        <v>51</v>
      </c>
      <c r="I2866" s="1" t="str">
        <f aca="false">RIGHT(("0"&amp;C2866),2)&amp;RIGHT(("0"&amp;D2866),2)&amp;RIGHT(("0"&amp;E2866),2)&amp;RIGHT(("0"&amp;F2866),2)&amp;RIGHT(("0"&amp;G2866),2)&amp;RIGHT(("0"&amp;H2866),2)</f>
        <v>022530394751</v>
      </c>
      <c r="J2866" s="1" t="n">
        <f aca="false">COUNTIF(I:I,I2866)</f>
        <v>1</v>
      </c>
      <c r="K2866" s="1" t="n">
        <v>2</v>
      </c>
      <c r="L2866" s="1" t="s">
        <v>16321</v>
      </c>
      <c r="M2866" s="1" t="s">
        <v>16322</v>
      </c>
      <c r="N2866" s="1" t="n">
        <v>94</v>
      </c>
      <c r="O2866" s="1" t="s">
        <v>16323</v>
      </c>
      <c r="P2866" s="1" t="n">
        <v>7319</v>
      </c>
      <c r="Q2866" s="1" t="s">
        <v>16324</v>
      </c>
      <c r="R2866" s="1" t="s">
        <v>23</v>
      </c>
      <c r="S2866" s="1" t="s">
        <v>16325</v>
      </c>
      <c r="T2866" s="1" t="s">
        <v>4337</v>
      </c>
      <c r="U2866" s="1" t="s">
        <v>16326</v>
      </c>
    </row>
    <row r="2867" customFormat="false" ht="13.8" hidden="false" customHeight="false" outlineLevel="0" collapsed="false">
      <c r="A2867" s="1" t="n">
        <v>2866</v>
      </c>
      <c r="B2867" s="2" t="s">
        <v>16327</v>
      </c>
      <c r="C2867" s="1" t="n">
        <v>1</v>
      </c>
      <c r="D2867" s="1" t="n">
        <v>12</v>
      </c>
      <c r="E2867" s="1" t="n">
        <v>17</v>
      </c>
      <c r="F2867" s="1" t="n">
        <v>19</v>
      </c>
      <c r="G2867" s="1" t="n">
        <v>36</v>
      </c>
      <c r="H2867" s="1" t="n">
        <v>60</v>
      </c>
      <c r="I2867" s="1" t="str">
        <f aca="false">RIGHT(("0"&amp;C2867),2)&amp;RIGHT(("0"&amp;D2867),2)&amp;RIGHT(("0"&amp;E2867),2)&amp;RIGHT(("0"&amp;F2867),2)&amp;RIGHT(("0"&amp;G2867),2)&amp;RIGHT(("0"&amp;H2867),2)</f>
        <v>011217193660</v>
      </c>
      <c r="J2867" s="1" t="n">
        <f aca="false">COUNTIF(I:I,I2867)</f>
        <v>1</v>
      </c>
      <c r="K2867" s="1" t="n">
        <v>1</v>
      </c>
      <c r="L2867" s="1" t="s">
        <v>12247</v>
      </c>
      <c r="M2867" s="1" t="s">
        <v>16328</v>
      </c>
      <c r="N2867" s="1" t="n">
        <v>55</v>
      </c>
      <c r="O2867" s="1" t="s">
        <v>16329</v>
      </c>
      <c r="P2867" s="1" t="n">
        <v>3882</v>
      </c>
      <c r="Q2867" s="1" t="s">
        <v>16330</v>
      </c>
      <c r="R2867" s="1" t="s">
        <v>23</v>
      </c>
      <c r="S2867" s="1" t="s">
        <v>16331</v>
      </c>
      <c r="T2867" s="1" t="s">
        <v>4337</v>
      </c>
      <c r="U2867" s="1" t="s">
        <v>16332</v>
      </c>
    </row>
    <row r="2868" customFormat="false" ht="13.8" hidden="false" customHeight="false" outlineLevel="0" collapsed="false">
      <c r="A2868" s="1" t="n">
        <v>2867</v>
      </c>
      <c r="B2868" s="2" t="s">
        <v>16333</v>
      </c>
      <c r="C2868" s="1" t="n">
        <v>5</v>
      </c>
      <c r="D2868" s="1" t="n">
        <v>9</v>
      </c>
      <c r="E2868" s="1" t="n">
        <v>15</v>
      </c>
      <c r="F2868" s="1" t="n">
        <v>24</v>
      </c>
      <c r="G2868" s="1" t="n">
        <v>25</v>
      </c>
      <c r="H2868" s="1" t="n">
        <v>60</v>
      </c>
      <c r="I2868" s="1" t="str">
        <f aca="false">RIGHT(("0"&amp;C2868),2)&amp;RIGHT(("0"&amp;D2868),2)&amp;RIGHT(("0"&amp;E2868),2)&amp;RIGHT(("0"&amp;F2868),2)&amp;RIGHT(("0"&amp;G2868),2)&amp;RIGHT(("0"&amp;H2868),2)</f>
        <v>050915242560</v>
      </c>
      <c r="J2868" s="1" t="n">
        <f aca="false">COUNTIF(I:I,I2868)</f>
        <v>1</v>
      </c>
      <c r="K2868" s="1" t="n">
        <v>0</v>
      </c>
      <c r="M2868" s="1" t="s">
        <v>23</v>
      </c>
      <c r="N2868" s="1" t="n">
        <v>82</v>
      </c>
      <c r="O2868" s="1" t="s">
        <v>16334</v>
      </c>
      <c r="P2868" s="1" t="n">
        <v>5050</v>
      </c>
      <c r="Q2868" s="1" t="s">
        <v>16335</v>
      </c>
      <c r="R2868" s="1" t="s">
        <v>16336</v>
      </c>
      <c r="S2868" s="1" t="s">
        <v>16337</v>
      </c>
      <c r="T2868" s="1" t="s">
        <v>4991</v>
      </c>
      <c r="U2868" s="1" t="s">
        <v>16338</v>
      </c>
    </row>
    <row r="2869" customFormat="false" ht="13.8" hidden="false" customHeight="false" outlineLevel="0" collapsed="false">
      <c r="A2869" s="1" t="n">
        <v>2868</v>
      </c>
      <c r="B2869" s="2" t="s">
        <v>16339</v>
      </c>
      <c r="C2869" s="1" t="n">
        <v>10</v>
      </c>
      <c r="D2869" s="1" t="n">
        <v>19</v>
      </c>
      <c r="E2869" s="1" t="n">
        <v>22</v>
      </c>
      <c r="F2869" s="1" t="n">
        <v>26</v>
      </c>
      <c r="G2869" s="1" t="n">
        <v>38</v>
      </c>
      <c r="H2869" s="1" t="n">
        <v>51</v>
      </c>
      <c r="I2869" s="1" t="str">
        <f aca="false">RIGHT(("0"&amp;C2869),2)&amp;RIGHT(("0"&amp;D2869),2)&amp;RIGHT(("0"&amp;E2869),2)&amp;RIGHT(("0"&amp;F2869),2)&amp;RIGHT(("0"&amp;G2869),2)&amp;RIGHT(("0"&amp;H2869),2)</f>
        <v>101922263851</v>
      </c>
      <c r="J2869" s="1" t="n">
        <f aca="false">COUNTIF(I:I,I2869)</f>
        <v>1</v>
      </c>
      <c r="K2869" s="1" t="n">
        <v>0</v>
      </c>
      <c r="M2869" s="1" t="s">
        <v>23</v>
      </c>
      <c r="N2869" s="1" t="n">
        <v>29</v>
      </c>
      <c r="O2869" s="1" t="s">
        <v>16340</v>
      </c>
      <c r="P2869" s="1" t="n">
        <v>2724</v>
      </c>
      <c r="Q2869" s="1" t="s">
        <v>16341</v>
      </c>
      <c r="R2869" s="1" t="s">
        <v>16342</v>
      </c>
      <c r="S2869" s="1" t="s">
        <v>16343</v>
      </c>
      <c r="T2869" s="1" t="s">
        <v>4461</v>
      </c>
      <c r="U2869" s="1" t="s">
        <v>16344</v>
      </c>
    </row>
    <row r="2870" customFormat="false" ht="13.8" hidden="false" customHeight="false" outlineLevel="0" collapsed="false">
      <c r="A2870" s="1" t="n">
        <v>2869</v>
      </c>
      <c r="B2870" s="2" t="s">
        <v>16345</v>
      </c>
      <c r="C2870" s="1" t="n">
        <v>2</v>
      </c>
      <c r="D2870" s="1" t="n">
        <v>10</v>
      </c>
      <c r="E2870" s="1" t="n">
        <v>13</v>
      </c>
      <c r="F2870" s="1" t="n">
        <v>40</v>
      </c>
      <c r="G2870" s="1" t="n">
        <v>41</v>
      </c>
      <c r="H2870" s="1" t="n">
        <v>53</v>
      </c>
      <c r="I2870" s="1" t="str">
        <f aca="false">RIGHT(("0"&amp;C2870),2)&amp;RIGHT(("0"&amp;D2870),2)&amp;RIGHT(("0"&amp;E2870),2)&amp;RIGHT(("0"&amp;F2870),2)&amp;RIGHT(("0"&amp;G2870),2)&amp;RIGHT(("0"&amp;H2870),2)</f>
        <v>021013404153</v>
      </c>
      <c r="J2870" s="1" t="n">
        <f aca="false">COUNTIF(I:I,I2870)</f>
        <v>1</v>
      </c>
      <c r="K2870" s="1" t="n">
        <v>0</v>
      </c>
      <c r="M2870" s="1" t="s">
        <v>23</v>
      </c>
      <c r="N2870" s="1" t="n">
        <v>41</v>
      </c>
      <c r="O2870" s="1" t="s">
        <v>16346</v>
      </c>
      <c r="P2870" s="1" t="n">
        <v>2612</v>
      </c>
      <c r="Q2870" s="1" t="s">
        <v>16347</v>
      </c>
      <c r="R2870" s="1" t="s">
        <v>16348</v>
      </c>
      <c r="S2870" s="1" t="s">
        <v>16349</v>
      </c>
      <c r="T2870" s="1" t="s">
        <v>6018</v>
      </c>
      <c r="U2870" s="1" t="s">
        <v>16350</v>
      </c>
    </row>
    <row r="2871" customFormat="false" ht="13.8" hidden="false" customHeight="false" outlineLevel="0" collapsed="false">
      <c r="A2871" s="1" t="n">
        <v>2870</v>
      </c>
      <c r="B2871" s="2" t="s">
        <v>16351</v>
      </c>
      <c r="C2871" s="1" t="n">
        <v>6</v>
      </c>
      <c r="D2871" s="1" t="n">
        <v>13</v>
      </c>
      <c r="E2871" s="1" t="n">
        <v>15</v>
      </c>
      <c r="F2871" s="1" t="n">
        <v>19</v>
      </c>
      <c r="G2871" s="1" t="n">
        <v>32</v>
      </c>
      <c r="H2871" s="1" t="n">
        <v>60</v>
      </c>
      <c r="I2871" s="1" t="str">
        <f aca="false">RIGHT(("0"&amp;C2871),2)&amp;RIGHT(("0"&amp;D2871),2)&amp;RIGHT(("0"&amp;E2871),2)&amp;RIGHT(("0"&amp;F2871),2)&amp;RIGHT(("0"&amp;G2871),2)&amp;RIGHT(("0"&amp;H2871),2)</f>
        <v>061315193260</v>
      </c>
      <c r="J2871" s="1" t="n">
        <f aca="false">COUNTIF(I:I,I2871)</f>
        <v>1</v>
      </c>
      <c r="K2871" s="1" t="n">
        <v>0</v>
      </c>
      <c r="M2871" s="1" t="s">
        <v>23</v>
      </c>
      <c r="N2871" s="1" t="n">
        <v>96</v>
      </c>
      <c r="O2871" s="1" t="s">
        <v>16352</v>
      </c>
      <c r="P2871" s="1" t="n">
        <v>5837</v>
      </c>
      <c r="Q2871" s="1" t="s">
        <v>16353</v>
      </c>
      <c r="R2871" s="1" t="s">
        <v>16354</v>
      </c>
      <c r="S2871" s="1" t="s">
        <v>16355</v>
      </c>
      <c r="T2871" s="1" t="s">
        <v>4309</v>
      </c>
      <c r="U2871" s="1" t="s">
        <v>16356</v>
      </c>
    </row>
    <row r="2872" customFormat="false" ht="13.8" hidden="false" customHeight="false" outlineLevel="0" collapsed="false">
      <c r="A2872" s="1" t="n">
        <v>2871</v>
      </c>
      <c r="B2872" s="2" t="s">
        <v>16357</v>
      </c>
      <c r="C2872" s="1" t="n">
        <v>4</v>
      </c>
      <c r="D2872" s="1" t="n">
        <v>19</v>
      </c>
      <c r="E2872" s="1" t="n">
        <v>38</v>
      </c>
      <c r="F2872" s="1" t="n">
        <v>43</v>
      </c>
      <c r="G2872" s="1" t="n">
        <v>48</v>
      </c>
      <c r="H2872" s="1" t="n">
        <v>55</v>
      </c>
      <c r="I2872" s="1" t="str">
        <f aca="false">RIGHT(("0"&amp;C2872),2)&amp;RIGHT(("0"&amp;D2872),2)&amp;RIGHT(("0"&amp;E2872),2)&amp;RIGHT(("0"&amp;F2872),2)&amp;RIGHT(("0"&amp;G2872),2)&amp;RIGHT(("0"&amp;H2872),2)</f>
        <v>041938434855</v>
      </c>
      <c r="J2872" s="1" t="n">
        <f aca="false">COUNTIF(I:I,I2872)</f>
        <v>1</v>
      </c>
      <c r="K2872" s="1" t="n">
        <v>0</v>
      </c>
      <c r="M2872" s="1" t="s">
        <v>23</v>
      </c>
      <c r="N2872" s="1" t="n">
        <v>53</v>
      </c>
      <c r="O2872" s="1" t="s">
        <v>16358</v>
      </c>
      <c r="P2872" s="1" t="n">
        <v>4045</v>
      </c>
      <c r="Q2872" s="1" t="s">
        <v>16359</v>
      </c>
      <c r="R2872" s="1" t="s">
        <v>16360</v>
      </c>
      <c r="S2872" s="1" t="s">
        <v>16361</v>
      </c>
      <c r="T2872" s="1" t="s">
        <v>4314</v>
      </c>
      <c r="U2872" s="1" t="s">
        <v>16362</v>
      </c>
    </row>
    <row r="2873" customFormat="false" ht="13.8" hidden="false" customHeight="false" outlineLevel="0" collapsed="false">
      <c r="A2873" s="1" t="n">
        <v>2872</v>
      </c>
      <c r="B2873" s="2" t="s">
        <v>16363</v>
      </c>
      <c r="C2873" s="1" t="n">
        <v>8</v>
      </c>
      <c r="D2873" s="1" t="n">
        <v>23</v>
      </c>
      <c r="E2873" s="1" t="n">
        <v>32</v>
      </c>
      <c r="F2873" s="1" t="n">
        <v>34</v>
      </c>
      <c r="G2873" s="1" t="n">
        <v>35</v>
      </c>
      <c r="H2873" s="1" t="n">
        <v>57</v>
      </c>
      <c r="I2873" s="1" t="str">
        <f aca="false">RIGHT(("0"&amp;C2873),2)&amp;RIGHT(("0"&amp;D2873),2)&amp;RIGHT(("0"&amp;E2873),2)&amp;RIGHT(("0"&amp;F2873),2)&amp;RIGHT(("0"&amp;G2873),2)&amp;RIGHT(("0"&amp;H2873),2)</f>
        <v>082332343557</v>
      </c>
      <c r="J2873" s="1" t="n">
        <f aca="false">COUNTIF(I:I,I2873)</f>
        <v>1</v>
      </c>
      <c r="K2873" s="1" t="n">
        <v>0</v>
      </c>
      <c r="M2873" s="1" t="s">
        <v>23</v>
      </c>
      <c r="N2873" s="1" t="n">
        <v>83</v>
      </c>
      <c r="O2873" s="1" t="s">
        <v>16364</v>
      </c>
      <c r="P2873" s="1" t="n">
        <v>5126</v>
      </c>
      <c r="Q2873" s="1" t="s">
        <v>16365</v>
      </c>
      <c r="R2873" s="1" t="s">
        <v>16366</v>
      </c>
      <c r="S2873" s="1" t="s">
        <v>16367</v>
      </c>
      <c r="T2873" s="1" t="s">
        <v>14423</v>
      </c>
      <c r="U2873" s="1" t="s">
        <v>16368</v>
      </c>
    </row>
    <row r="2874" customFormat="false" ht="13.8" hidden="false" customHeight="false" outlineLevel="0" collapsed="false">
      <c r="A2874" s="1" t="n">
        <v>2873</v>
      </c>
      <c r="B2874" s="2" t="s">
        <v>16369</v>
      </c>
      <c r="C2874" s="1" t="n">
        <v>4</v>
      </c>
      <c r="D2874" s="1" t="n">
        <v>5</v>
      </c>
      <c r="E2874" s="1" t="n">
        <v>17</v>
      </c>
      <c r="F2874" s="1" t="n">
        <v>27</v>
      </c>
      <c r="G2874" s="1" t="n">
        <v>52</v>
      </c>
      <c r="H2874" s="1" t="n">
        <v>56</v>
      </c>
      <c r="I2874" s="1" t="str">
        <f aca="false">RIGHT(("0"&amp;C2874),2)&amp;RIGHT(("0"&amp;D2874),2)&amp;RIGHT(("0"&amp;E2874),2)&amp;RIGHT(("0"&amp;F2874),2)&amp;RIGHT(("0"&amp;G2874),2)&amp;RIGHT(("0"&amp;H2874),2)</f>
        <v>040517275256</v>
      </c>
      <c r="J2874" s="1" t="n">
        <f aca="false">COUNTIF(I:I,I2874)</f>
        <v>1</v>
      </c>
      <c r="K2874" s="1" t="n">
        <v>0</v>
      </c>
      <c r="M2874" s="1" t="s">
        <v>23</v>
      </c>
      <c r="N2874" s="1" t="n">
        <v>95</v>
      </c>
      <c r="O2874" s="1" t="s">
        <v>16370</v>
      </c>
      <c r="P2874" s="1" t="n">
        <v>8838</v>
      </c>
      <c r="Q2874" s="1" t="s">
        <v>16371</v>
      </c>
      <c r="R2874" s="1" t="s">
        <v>16372</v>
      </c>
      <c r="S2874" s="1" t="s">
        <v>16373</v>
      </c>
      <c r="T2874" s="1" t="s">
        <v>5699</v>
      </c>
      <c r="U2874" s="1" t="s">
        <v>16374</v>
      </c>
    </row>
    <row r="2875" customFormat="false" ht="13.8" hidden="false" customHeight="false" outlineLevel="0" collapsed="false">
      <c r="A2875" s="1" t="n">
        <v>2874</v>
      </c>
      <c r="B2875" s="2" t="s">
        <v>16375</v>
      </c>
      <c r="C2875" s="1" t="n">
        <v>4</v>
      </c>
      <c r="D2875" s="1" t="n">
        <v>5</v>
      </c>
      <c r="E2875" s="1" t="n">
        <v>9</v>
      </c>
      <c r="F2875" s="1" t="n">
        <v>17</v>
      </c>
      <c r="G2875" s="1" t="n">
        <v>49</v>
      </c>
      <c r="H2875" s="1" t="n">
        <v>53</v>
      </c>
      <c r="I2875" s="1" t="str">
        <f aca="false">RIGHT(("0"&amp;C2875),2)&amp;RIGHT(("0"&amp;D2875),2)&amp;RIGHT(("0"&amp;E2875),2)&amp;RIGHT(("0"&amp;F2875),2)&amp;RIGHT(("0"&amp;G2875),2)&amp;RIGHT(("0"&amp;H2875),2)</f>
        <v>040509174953</v>
      </c>
      <c r="J2875" s="1" t="n">
        <f aca="false">COUNTIF(I:I,I2875)</f>
        <v>1</v>
      </c>
      <c r="K2875" s="1" t="n">
        <v>0</v>
      </c>
      <c r="M2875" s="1" t="s">
        <v>23</v>
      </c>
      <c r="N2875" s="1" t="n">
        <v>133</v>
      </c>
      <c r="O2875" s="1" t="s">
        <v>16376</v>
      </c>
      <c r="P2875" s="1" t="n">
        <v>9080</v>
      </c>
      <c r="Q2875" s="1" t="s">
        <v>16377</v>
      </c>
      <c r="R2875" s="1" t="s">
        <v>16378</v>
      </c>
      <c r="S2875" s="1" t="s">
        <v>16379</v>
      </c>
      <c r="T2875" s="1" t="s">
        <v>9814</v>
      </c>
      <c r="U2875" s="1" t="s">
        <v>16380</v>
      </c>
    </row>
    <row r="2876" customFormat="false" ht="13.8" hidden="false" customHeight="false" outlineLevel="0" collapsed="false">
      <c r="A2876" s="1" t="n">
        <v>2875</v>
      </c>
      <c r="B2876" s="2" t="s">
        <v>16381</v>
      </c>
      <c r="C2876" s="1" t="n">
        <v>6</v>
      </c>
      <c r="D2876" s="1" t="n">
        <v>15</v>
      </c>
      <c r="E2876" s="1" t="n">
        <v>31</v>
      </c>
      <c r="F2876" s="1" t="n">
        <v>38</v>
      </c>
      <c r="G2876" s="1" t="n">
        <v>40</v>
      </c>
      <c r="H2876" s="1" t="n">
        <v>49</v>
      </c>
      <c r="I2876" s="1" t="str">
        <f aca="false">RIGHT(("0"&amp;C2876),2)&amp;RIGHT(("0"&amp;D2876),2)&amp;RIGHT(("0"&amp;E2876),2)&amp;RIGHT(("0"&amp;F2876),2)&amp;RIGHT(("0"&amp;G2876),2)&amp;RIGHT(("0"&amp;H2876),2)</f>
        <v>061531384049</v>
      </c>
      <c r="J2876" s="1" t="n">
        <f aca="false">COUNTIF(I:I,I2876)</f>
        <v>1</v>
      </c>
      <c r="K2876" s="1" t="n">
        <v>0</v>
      </c>
      <c r="M2876" s="1" t="s">
        <v>23</v>
      </c>
      <c r="N2876" s="1" t="n">
        <v>61</v>
      </c>
      <c r="O2876" s="1" t="s">
        <v>16382</v>
      </c>
      <c r="P2876" s="1" t="n">
        <v>4656</v>
      </c>
      <c r="Q2876" s="1" t="s">
        <v>16383</v>
      </c>
      <c r="R2876" s="1" t="s">
        <v>16384</v>
      </c>
      <c r="S2876" s="1" t="s">
        <v>16385</v>
      </c>
      <c r="T2876" s="1" t="s">
        <v>9535</v>
      </c>
      <c r="U2876" s="1" t="s">
        <v>16386</v>
      </c>
    </row>
    <row r="2877" customFormat="false" ht="13.8" hidden="false" customHeight="false" outlineLevel="0" collapsed="false">
      <c r="A2877" s="1" t="n">
        <v>2876</v>
      </c>
      <c r="B2877" s="2" t="s">
        <v>16387</v>
      </c>
      <c r="C2877" s="1" t="n">
        <v>9</v>
      </c>
      <c r="D2877" s="1" t="n">
        <v>31</v>
      </c>
      <c r="E2877" s="1" t="n">
        <v>32</v>
      </c>
      <c r="F2877" s="1" t="n">
        <v>40</v>
      </c>
      <c r="G2877" s="1" t="n">
        <v>45</v>
      </c>
      <c r="H2877" s="1" t="n">
        <v>55</v>
      </c>
      <c r="I2877" s="1" t="str">
        <f aca="false">RIGHT(("0"&amp;C2877),2)&amp;RIGHT(("0"&amp;D2877),2)&amp;RIGHT(("0"&amp;E2877),2)&amp;RIGHT(("0"&amp;F2877),2)&amp;RIGHT(("0"&amp;G2877),2)&amp;RIGHT(("0"&amp;H2877),2)</f>
        <v>093132404555</v>
      </c>
      <c r="J2877" s="1" t="n">
        <f aca="false">COUNTIF(I:I,I2877)</f>
        <v>1</v>
      </c>
      <c r="K2877" s="1" t="n">
        <v>0</v>
      </c>
      <c r="M2877" s="1" t="s">
        <v>23</v>
      </c>
      <c r="N2877" s="1" t="n">
        <v>61</v>
      </c>
      <c r="O2877" s="1" t="s">
        <v>16388</v>
      </c>
      <c r="P2877" s="1" t="n">
        <v>5747</v>
      </c>
      <c r="Q2877" s="1" t="s">
        <v>16389</v>
      </c>
      <c r="R2877" s="1" t="s">
        <v>16390</v>
      </c>
      <c r="S2877" s="1" t="s">
        <v>16391</v>
      </c>
      <c r="T2877" s="1" t="s">
        <v>9509</v>
      </c>
      <c r="U2877" s="1" t="s">
        <v>16392</v>
      </c>
    </row>
    <row r="2878" customFormat="false" ht="13.8" hidden="false" customHeight="false" outlineLevel="0" collapsed="false">
      <c r="A2878" s="1" t="n">
        <v>2877</v>
      </c>
      <c r="B2878" s="2" t="s">
        <v>16393</v>
      </c>
      <c r="C2878" s="1" t="n">
        <v>3</v>
      </c>
      <c r="D2878" s="1" t="n">
        <v>5</v>
      </c>
      <c r="E2878" s="1" t="n">
        <v>15</v>
      </c>
      <c r="F2878" s="1" t="n">
        <v>37</v>
      </c>
      <c r="G2878" s="1" t="n">
        <v>54</v>
      </c>
      <c r="H2878" s="1" t="n">
        <v>57</v>
      </c>
      <c r="I2878" s="1" t="str">
        <f aca="false">RIGHT(("0"&amp;C2878),2)&amp;RIGHT(("0"&amp;D2878),2)&amp;RIGHT(("0"&amp;E2878),2)&amp;RIGHT(("0"&amp;F2878),2)&amp;RIGHT(("0"&amp;G2878),2)&amp;RIGHT(("0"&amp;H2878),2)</f>
        <v>030515375457</v>
      </c>
      <c r="J2878" s="1" t="n">
        <f aca="false">COUNTIF(I:I,I2878)</f>
        <v>1</v>
      </c>
      <c r="K2878" s="1" t="n">
        <v>0</v>
      </c>
      <c r="M2878" s="1" t="s">
        <v>23</v>
      </c>
      <c r="N2878" s="1" t="n">
        <v>164</v>
      </c>
      <c r="O2878" s="1" t="s">
        <v>16394</v>
      </c>
      <c r="P2878" s="1" t="n">
        <v>9724</v>
      </c>
      <c r="Q2878" s="1" t="s">
        <v>16395</v>
      </c>
      <c r="R2878" s="1" t="s">
        <v>16396</v>
      </c>
      <c r="S2878" s="1" t="s">
        <v>16397</v>
      </c>
      <c r="T2878" s="1" t="s">
        <v>9516</v>
      </c>
      <c r="U2878" s="1" t="s">
        <v>16398</v>
      </c>
    </row>
    <row r="2879" customFormat="false" ht="13.8" hidden="false" customHeight="false" outlineLevel="0" collapsed="false">
      <c r="A2879" s="1" t="n">
        <v>2878</v>
      </c>
      <c r="B2879" s="2" t="s">
        <v>16399</v>
      </c>
      <c r="C2879" s="1" t="n">
        <v>15</v>
      </c>
      <c r="D2879" s="1" t="n">
        <v>16</v>
      </c>
      <c r="E2879" s="1" t="n">
        <v>43</v>
      </c>
      <c r="F2879" s="1" t="n">
        <v>46</v>
      </c>
      <c r="G2879" s="1" t="n">
        <v>47</v>
      </c>
      <c r="H2879" s="1" t="n">
        <v>51</v>
      </c>
      <c r="I2879" s="1" t="str">
        <f aca="false">RIGHT(("0"&amp;C2879),2)&amp;RIGHT(("0"&amp;D2879),2)&amp;RIGHT(("0"&amp;E2879),2)&amp;RIGHT(("0"&amp;F2879),2)&amp;RIGHT(("0"&amp;G2879),2)&amp;RIGHT(("0"&amp;H2879),2)</f>
        <v>151643464751</v>
      </c>
      <c r="J2879" s="1" t="n">
        <f aca="false">COUNTIF(I:I,I2879)</f>
        <v>1</v>
      </c>
      <c r="K2879" s="1" t="n">
        <v>1</v>
      </c>
      <c r="L2879" s="1" t="s">
        <v>16400</v>
      </c>
      <c r="M2879" s="1" t="s">
        <v>16401</v>
      </c>
      <c r="N2879" s="1" t="n">
        <v>116</v>
      </c>
      <c r="O2879" s="1" t="s">
        <v>16402</v>
      </c>
      <c r="P2879" s="1" t="n">
        <v>9239</v>
      </c>
      <c r="Q2879" s="1" t="s">
        <v>16403</v>
      </c>
      <c r="R2879" s="1" t="s">
        <v>23</v>
      </c>
      <c r="S2879" s="1" t="s">
        <v>16404</v>
      </c>
      <c r="T2879" s="1" t="s">
        <v>4337</v>
      </c>
      <c r="U2879" s="1" t="s">
        <v>16405</v>
      </c>
    </row>
    <row r="2880" customFormat="false" ht="13.8" hidden="false" customHeight="false" outlineLevel="0" collapsed="false">
      <c r="A2880" s="1" t="n">
        <v>2879</v>
      </c>
      <c r="B2880" s="2" t="s">
        <v>16406</v>
      </c>
      <c r="C2880" s="1" t="n">
        <v>11</v>
      </c>
      <c r="D2880" s="1" t="n">
        <v>20</v>
      </c>
      <c r="E2880" s="1" t="n">
        <v>29</v>
      </c>
      <c r="F2880" s="1" t="n">
        <v>47</v>
      </c>
      <c r="G2880" s="1" t="n">
        <v>52</v>
      </c>
      <c r="H2880" s="1" t="n">
        <v>56</v>
      </c>
      <c r="I2880" s="1" t="str">
        <f aca="false">RIGHT(("0"&amp;C2880),2)&amp;RIGHT(("0"&amp;D2880),2)&amp;RIGHT(("0"&amp;E2880),2)&amp;RIGHT(("0"&amp;F2880),2)&amp;RIGHT(("0"&amp;G2880),2)&amp;RIGHT(("0"&amp;H2880),2)</f>
        <v>112029475256</v>
      </c>
      <c r="J2880" s="1" t="n">
        <f aca="false">COUNTIF(I:I,I2880)</f>
        <v>1</v>
      </c>
      <c r="K2880" s="1" t="n">
        <v>0</v>
      </c>
      <c r="M2880" s="1" t="s">
        <v>23</v>
      </c>
      <c r="N2880" s="1" t="n">
        <v>83</v>
      </c>
      <c r="O2880" s="1" t="s">
        <v>16407</v>
      </c>
      <c r="P2880" s="1" t="n">
        <v>1553</v>
      </c>
      <c r="Q2880" s="1" t="s">
        <v>16408</v>
      </c>
      <c r="R2880" s="1" t="s">
        <v>16409</v>
      </c>
      <c r="S2880" s="1" t="s">
        <v>16410</v>
      </c>
      <c r="T2880" s="1" t="s">
        <v>4309</v>
      </c>
      <c r="U2880" s="1" t="s">
        <v>16411</v>
      </c>
    </row>
    <row r="2881" customFormat="false" ht="13.8" hidden="false" customHeight="false" outlineLevel="0" collapsed="false">
      <c r="A2881" s="1" t="n">
        <v>2880</v>
      </c>
      <c r="B2881" s="2" t="s">
        <v>16412</v>
      </c>
      <c r="C2881" s="1" t="n">
        <v>8</v>
      </c>
      <c r="D2881" s="1" t="n">
        <v>14</v>
      </c>
      <c r="E2881" s="1" t="n">
        <v>15</v>
      </c>
      <c r="F2881" s="1" t="n">
        <v>33</v>
      </c>
      <c r="G2881" s="1" t="n">
        <v>34</v>
      </c>
      <c r="H2881" s="1" t="n">
        <v>54</v>
      </c>
      <c r="I2881" s="1" t="str">
        <f aca="false">RIGHT(("0"&amp;C2881),2)&amp;RIGHT(("0"&amp;D2881),2)&amp;RIGHT(("0"&amp;E2881),2)&amp;RIGHT(("0"&amp;F2881),2)&amp;RIGHT(("0"&amp;G2881),2)&amp;RIGHT(("0"&amp;H2881),2)</f>
        <v>081415333454</v>
      </c>
      <c r="J2881" s="1" t="n">
        <f aca="false">COUNTIF(I:I,I2881)</f>
        <v>1</v>
      </c>
      <c r="K2881" s="1" t="n">
        <v>0</v>
      </c>
      <c r="M2881" s="1" t="s">
        <v>23</v>
      </c>
      <c r="N2881" s="1" t="n">
        <v>52</v>
      </c>
      <c r="O2881" s="1" t="s">
        <v>16413</v>
      </c>
      <c r="P2881" s="1" t="n">
        <v>3289</v>
      </c>
      <c r="Q2881" s="1" t="s">
        <v>16414</v>
      </c>
      <c r="R2881" s="1" t="s">
        <v>16415</v>
      </c>
      <c r="S2881" s="1" t="s">
        <v>16416</v>
      </c>
      <c r="T2881" s="1" t="s">
        <v>4314</v>
      </c>
      <c r="U2881" s="1" t="s">
        <v>16417</v>
      </c>
    </row>
    <row r="2882" customFormat="false" ht="13.8" hidden="false" customHeight="false" outlineLevel="0" collapsed="false">
      <c r="A2882" s="1" t="n">
        <v>2881</v>
      </c>
      <c r="B2882" s="2" t="s">
        <v>16418</v>
      </c>
      <c r="C2882" s="1" t="n">
        <v>11</v>
      </c>
      <c r="D2882" s="1" t="n">
        <v>13</v>
      </c>
      <c r="E2882" s="1" t="n">
        <v>16</v>
      </c>
      <c r="F2882" s="1" t="n">
        <v>34</v>
      </c>
      <c r="G2882" s="1" t="n">
        <v>35</v>
      </c>
      <c r="H2882" s="1" t="n">
        <v>39</v>
      </c>
      <c r="I2882" s="1" t="str">
        <f aca="false">RIGHT(("0"&amp;C2882),2)&amp;RIGHT(("0"&amp;D2882),2)&amp;RIGHT(("0"&amp;E2882),2)&amp;RIGHT(("0"&amp;F2882),2)&amp;RIGHT(("0"&amp;G2882),2)&amp;RIGHT(("0"&amp;H2882),2)</f>
        <v>111316343539</v>
      </c>
      <c r="J2882" s="1" t="n">
        <f aca="false">COUNTIF(I:I,I2882)</f>
        <v>1</v>
      </c>
      <c r="K2882" s="1" t="n">
        <v>0</v>
      </c>
      <c r="M2882" s="1" t="s">
        <v>23</v>
      </c>
      <c r="N2882" s="1" t="n">
        <v>61</v>
      </c>
      <c r="O2882" s="1" t="s">
        <v>16419</v>
      </c>
      <c r="P2882" s="1" t="n">
        <v>4714</v>
      </c>
      <c r="Q2882" s="1" t="s">
        <v>16420</v>
      </c>
      <c r="R2882" s="1" t="s">
        <v>16421</v>
      </c>
      <c r="S2882" s="1" t="s">
        <v>16422</v>
      </c>
      <c r="T2882" s="1" t="s">
        <v>4727</v>
      </c>
      <c r="U2882" s="1" t="s">
        <v>16423</v>
      </c>
    </row>
    <row r="2883" customFormat="false" ht="13.8" hidden="false" customHeight="false" outlineLevel="0" collapsed="false">
      <c r="A2883" s="1" t="n">
        <v>2882</v>
      </c>
      <c r="B2883" s="2" t="s">
        <v>16424</v>
      </c>
      <c r="C2883" s="1" t="n">
        <v>11</v>
      </c>
      <c r="D2883" s="1" t="n">
        <v>15</v>
      </c>
      <c r="E2883" s="1" t="n">
        <v>19</v>
      </c>
      <c r="F2883" s="1" t="n">
        <v>23</v>
      </c>
      <c r="G2883" s="1" t="n">
        <v>49</v>
      </c>
      <c r="H2883" s="1" t="n">
        <v>51</v>
      </c>
      <c r="I2883" s="1" t="str">
        <f aca="false">RIGHT(("0"&amp;C2883),2)&amp;RIGHT(("0"&amp;D2883),2)&amp;RIGHT(("0"&amp;E2883),2)&amp;RIGHT(("0"&amp;F2883),2)&amp;RIGHT(("0"&amp;G2883),2)&amp;RIGHT(("0"&amp;H2883),2)</f>
        <v>111519234951</v>
      </c>
      <c r="J2883" s="1" t="n">
        <f aca="false">COUNTIF(I:I,I2883)</f>
        <v>1</v>
      </c>
      <c r="K2883" s="1" t="n">
        <v>1</v>
      </c>
      <c r="L2883" s="1" t="s">
        <v>15005</v>
      </c>
      <c r="M2883" s="1" t="s">
        <v>16425</v>
      </c>
      <c r="N2883" s="1" t="n">
        <v>97</v>
      </c>
      <c r="O2883" s="1" t="s">
        <v>16426</v>
      </c>
      <c r="P2883" s="1" t="n">
        <v>5365</v>
      </c>
      <c r="Q2883" s="1" t="s">
        <v>16427</v>
      </c>
      <c r="R2883" s="1" t="s">
        <v>23</v>
      </c>
      <c r="S2883" s="1" t="s">
        <v>16428</v>
      </c>
      <c r="T2883" s="1" t="s">
        <v>4337</v>
      </c>
      <c r="U2883" s="1" t="s">
        <v>16429</v>
      </c>
    </row>
    <row r="2884" customFormat="false" ht="13.8" hidden="false" customHeight="false" outlineLevel="0" collapsed="false">
      <c r="A2884" s="1" t="n">
        <v>2883</v>
      </c>
      <c r="B2884" s="2" t="s">
        <v>16430</v>
      </c>
      <c r="C2884" s="1" t="n">
        <v>1</v>
      </c>
      <c r="D2884" s="1" t="n">
        <v>40</v>
      </c>
      <c r="E2884" s="1" t="n">
        <v>43</v>
      </c>
      <c r="F2884" s="1" t="n">
        <v>56</v>
      </c>
      <c r="G2884" s="1" t="n">
        <v>57</v>
      </c>
      <c r="H2884" s="1" t="n">
        <v>60</v>
      </c>
      <c r="I2884" s="1" t="str">
        <f aca="false">RIGHT(("0"&amp;C2884),2)&amp;RIGHT(("0"&amp;D2884),2)&amp;RIGHT(("0"&amp;E2884),2)&amp;RIGHT(("0"&amp;F2884),2)&amp;RIGHT(("0"&amp;G2884),2)&amp;RIGHT(("0"&amp;H2884),2)</f>
        <v>014043565760</v>
      </c>
      <c r="J2884" s="1" t="n">
        <f aca="false">COUNTIF(I:I,I2884)</f>
        <v>1</v>
      </c>
      <c r="K2884" s="1" t="n">
        <v>0</v>
      </c>
      <c r="M2884" s="1" t="s">
        <v>23</v>
      </c>
      <c r="N2884" s="1" t="n">
        <v>27</v>
      </c>
      <c r="O2884" s="1" t="s">
        <v>16431</v>
      </c>
      <c r="P2884" s="1" t="n">
        <v>1559</v>
      </c>
      <c r="Q2884" s="1" t="s">
        <v>16432</v>
      </c>
      <c r="R2884" s="1" t="s">
        <v>16433</v>
      </c>
      <c r="S2884" s="1" t="s">
        <v>16434</v>
      </c>
      <c r="T2884" s="1" t="s">
        <v>5931</v>
      </c>
      <c r="U2884" s="1" t="s">
        <v>16435</v>
      </c>
    </row>
    <row r="2885" customFormat="false" ht="13.8" hidden="false" customHeight="false" outlineLevel="0" collapsed="false">
      <c r="A2885" s="1" t="n">
        <v>2884</v>
      </c>
      <c r="B2885" s="2" t="s">
        <v>16436</v>
      </c>
      <c r="C2885" s="1" t="n">
        <v>5</v>
      </c>
      <c r="D2885" s="1" t="n">
        <v>31</v>
      </c>
      <c r="E2885" s="1" t="n">
        <v>34</v>
      </c>
      <c r="F2885" s="1" t="n">
        <v>37</v>
      </c>
      <c r="G2885" s="1" t="n">
        <v>52</v>
      </c>
      <c r="H2885" s="1" t="n">
        <v>56</v>
      </c>
      <c r="I2885" s="1" t="str">
        <f aca="false">RIGHT(("0"&amp;C2885),2)&amp;RIGHT(("0"&amp;D2885),2)&amp;RIGHT(("0"&amp;E2885),2)&amp;RIGHT(("0"&amp;F2885),2)&amp;RIGHT(("0"&amp;G2885),2)&amp;RIGHT(("0"&amp;H2885),2)</f>
        <v>053134375256</v>
      </c>
      <c r="J2885" s="1" t="n">
        <f aca="false">COUNTIF(I:I,I2885)</f>
        <v>1</v>
      </c>
      <c r="K2885" s="1" t="n">
        <v>0</v>
      </c>
      <c r="M2885" s="1" t="s">
        <v>23</v>
      </c>
      <c r="N2885" s="1" t="n">
        <v>87</v>
      </c>
      <c r="O2885" s="1" t="s">
        <v>16437</v>
      </c>
      <c r="P2885" s="1" t="n">
        <v>3427</v>
      </c>
      <c r="Q2885" s="1" t="s">
        <v>16438</v>
      </c>
      <c r="R2885" s="1" t="s">
        <v>16439</v>
      </c>
      <c r="S2885" s="1" t="s">
        <v>16440</v>
      </c>
      <c r="T2885" s="1" t="s">
        <v>5242</v>
      </c>
      <c r="U2885" s="1" t="s">
        <v>16441</v>
      </c>
    </row>
    <row r="2886" customFormat="false" ht="13.8" hidden="false" customHeight="false" outlineLevel="0" collapsed="false">
      <c r="A2886" s="1" t="n">
        <v>2885</v>
      </c>
      <c r="B2886" s="2" t="s">
        <v>16442</v>
      </c>
      <c r="C2886" s="1" t="n">
        <v>10</v>
      </c>
      <c r="D2886" s="1" t="n">
        <v>25</v>
      </c>
      <c r="E2886" s="1" t="n">
        <v>28</v>
      </c>
      <c r="F2886" s="1" t="n">
        <v>36</v>
      </c>
      <c r="G2886" s="1" t="n">
        <v>37</v>
      </c>
      <c r="H2886" s="1" t="n">
        <v>56</v>
      </c>
      <c r="I2886" s="1" t="str">
        <f aca="false">RIGHT(("0"&amp;C2886),2)&amp;RIGHT(("0"&amp;D2886),2)&amp;RIGHT(("0"&amp;E2886),2)&amp;RIGHT(("0"&amp;F2886),2)&amp;RIGHT(("0"&amp;G2886),2)&amp;RIGHT(("0"&amp;H2886),2)</f>
        <v>102528363756</v>
      </c>
      <c r="J2886" s="1" t="n">
        <f aca="false">COUNTIF(I:I,I2886)</f>
        <v>1</v>
      </c>
      <c r="K2886" s="1" t="n">
        <v>0</v>
      </c>
      <c r="M2886" s="1" t="s">
        <v>23</v>
      </c>
      <c r="N2886" s="1" t="n">
        <v>41</v>
      </c>
      <c r="O2886" s="1" t="s">
        <v>16443</v>
      </c>
      <c r="P2886" s="1" t="n">
        <v>3377</v>
      </c>
      <c r="Q2886" s="1" t="s">
        <v>16444</v>
      </c>
      <c r="R2886" s="1" t="s">
        <v>16445</v>
      </c>
      <c r="S2886" s="1" t="s">
        <v>16446</v>
      </c>
      <c r="T2886" s="1" t="s">
        <v>4935</v>
      </c>
      <c r="U2886" s="1" t="s">
        <v>16447</v>
      </c>
    </row>
    <row r="2887" customFormat="false" ht="13.8" hidden="false" customHeight="false" outlineLevel="0" collapsed="false">
      <c r="A2887" s="1" t="n">
        <v>2886</v>
      </c>
      <c r="B2887" s="2" t="s">
        <v>16448</v>
      </c>
      <c r="C2887" s="1" t="n">
        <v>2</v>
      </c>
      <c r="D2887" s="1" t="n">
        <v>13</v>
      </c>
      <c r="E2887" s="1" t="n">
        <v>19</v>
      </c>
      <c r="F2887" s="1" t="n">
        <v>20</v>
      </c>
      <c r="G2887" s="1" t="n">
        <v>55</v>
      </c>
      <c r="H2887" s="1" t="n">
        <v>59</v>
      </c>
      <c r="I2887" s="1" t="str">
        <f aca="false">RIGHT(("0"&amp;C2887),2)&amp;RIGHT(("0"&amp;D2887),2)&amp;RIGHT(("0"&amp;E2887),2)&amp;RIGHT(("0"&amp;F2887),2)&amp;RIGHT(("0"&amp;G2887),2)&amp;RIGHT(("0"&amp;H2887),2)</f>
        <v>021319205559</v>
      </c>
      <c r="J2887" s="1" t="n">
        <f aca="false">COUNTIF(I:I,I2887)</f>
        <v>1</v>
      </c>
      <c r="K2887" s="1" t="n">
        <v>0</v>
      </c>
      <c r="M2887" s="1" t="s">
        <v>23</v>
      </c>
      <c r="N2887" s="1" t="n">
        <v>61</v>
      </c>
      <c r="O2887" s="1" t="s">
        <v>16449</v>
      </c>
      <c r="P2887" s="1" t="n">
        <v>4268</v>
      </c>
      <c r="Q2887" s="1" t="s">
        <v>16450</v>
      </c>
      <c r="R2887" s="1" t="s">
        <v>16451</v>
      </c>
      <c r="S2887" s="1" t="s">
        <v>16452</v>
      </c>
      <c r="T2887" s="1" t="s">
        <v>5294</v>
      </c>
      <c r="U2887" s="1" t="s">
        <v>16453</v>
      </c>
    </row>
    <row r="2888" customFormat="false" ht="13.8" hidden="false" customHeight="false" outlineLevel="0" collapsed="false">
      <c r="A2888" s="1" t="n">
        <v>2887</v>
      </c>
      <c r="B2888" s="2" t="s">
        <v>16454</v>
      </c>
      <c r="C2888" s="1" t="n">
        <v>14</v>
      </c>
      <c r="D2888" s="1" t="n">
        <v>29</v>
      </c>
      <c r="E2888" s="1" t="n">
        <v>30</v>
      </c>
      <c r="F2888" s="1" t="n">
        <v>50</v>
      </c>
      <c r="G2888" s="1" t="n">
        <v>53</v>
      </c>
      <c r="H2888" s="1" t="n">
        <v>57</v>
      </c>
      <c r="I2888" s="1" t="str">
        <f aca="false">RIGHT(("0"&amp;C2888),2)&amp;RIGHT(("0"&amp;D2888),2)&amp;RIGHT(("0"&amp;E2888),2)&amp;RIGHT(("0"&amp;F2888),2)&amp;RIGHT(("0"&amp;G2888),2)&amp;RIGHT(("0"&amp;H2888),2)</f>
        <v>142930505357</v>
      </c>
      <c r="J2888" s="1" t="n">
        <f aca="false">COUNTIF(I:I,I2888)</f>
        <v>1</v>
      </c>
      <c r="K2888" s="1" t="n">
        <v>0</v>
      </c>
      <c r="M2888" s="1" t="s">
        <v>23</v>
      </c>
      <c r="N2888" s="1" t="n">
        <v>39</v>
      </c>
      <c r="O2888" s="1" t="s">
        <v>16455</v>
      </c>
      <c r="P2888" s="1" t="n">
        <v>3189</v>
      </c>
      <c r="Q2888" s="1" t="s">
        <v>16456</v>
      </c>
      <c r="R2888" s="1" t="s">
        <v>16457</v>
      </c>
      <c r="S2888" s="1" t="s">
        <v>16458</v>
      </c>
      <c r="T2888" s="1" t="s">
        <v>6077</v>
      </c>
      <c r="U2888" s="1" t="s">
        <v>16459</v>
      </c>
    </row>
    <row r="2889" customFormat="false" ht="13.8" hidden="false" customHeight="false" outlineLevel="0" collapsed="false">
      <c r="A2889" s="1" t="n">
        <v>2888</v>
      </c>
      <c r="B2889" s="2" t="s">
        <v>16460</v>
      </c>
      <c r="C2889" s="1" t="n">
        <v>3</v>
      </c>
      <c r="D2889" s="1" t="n">
        <v>9</v>
      </c>
      <c r="E2889" s="1" t="n">
        <v>15</v>
      </c>
      <c r="F2889" s="1" t="n">
        <v>27</v>
      </c>
      <c r="G2889" s="1" t="n">
        <v>39</v>
      </c>
      <c r="H2889" s="1" t="n">
        <v>59</v>
      </c>
      <c r="I2889" s="1" t="str">
        <f aca="false">RIGHT(("0"&amp;C2889),2)&amp;RIGHT(("0"&amp;D2889),2)&amp;RIGHT(("0"&amp;E2889),2)&amp;RIGHT(("0"&amp;F2889),2)&amp;RIGHT(("0"&amp;G2889),2)&amp;RIGHT(("0"&amp;H2889),2)</f>
        <v>030915273959</v>
      </c>
      <c r="J2889" s="1" t="n">
        <f aca="false">COUNTIF(I:I,I2889)</f>
        <v>1</v>
      </c>
      <c r="K2889" s="1" t="n">
        <v>1</v>
      </c>
      <c r="L2889" s="1" t="s">
        <v>12490</v>
      </c>
      <c r="M2889" s="1" t="s">
        <v>16461</v>
      </c>
      <c r="N2889" s="1" t="n">
        <v>131</v>
      </c>
      <c r="O2889" s="1" t="s">
        <v>16462</v>
      </c>
      <c r="P2889" s="1" t="n">
        <v>6996</v>
      </c>
      <c r="Q2889" s="1" t="s">
        <v>16463</v>
      </c>
      <c r="R2889" s="1" t="s">
        <v>23</v>
      </c>
      <c r="S2889" s="1" t="s">
        <v>16464</v>
      </c>
      <c r="T2889" s="1" t="s">
        <v>4337</v>
      </c>
      <c r="U2889" s="1" t="s">
        <v>16465</v>
      </c>
    </row>
    <row r="2890" customFormat="false" ht="13.8" hidden="false" customHeight="false" outlineLevel="0" collapsed="false">
      <c r="A2890" s="1" t="n">
        <v>2889</v>
      </c>
      <c r="B2890" s="2" t="s">
        <v>16466</v>
      </c>
      <c r="C2890" s="1" t="n">
        <v>13</v>
      </c>
      <c r="D2890" s="1" t="n">
        <v>16</v>
      </c>
      <c r="E2890" s="1" t="n">
        <v>36</v>
      </c>
      <c r="F2890" s="1" t="n">
        <v>39</v>
      </c>
      <c r="G2890" s="1" t="n">
        <v>40</v>
      </c>
      <c r="H2890" s="1" t="n">
        <v>55</v>
      </c>
      <c r="I2890" s="1" t="str">
        <f aca="false">RIGHT(("0"&amp;C2890),2)&amp;RIGHT(("0"&amp;D2890),2)&amp;RIGHT(("0"&amp;E2890),2)&amp;RIGHT(("0"&amp;F2890),2)&amp;RIGHT(("0"&amp;G2890),2)&amp;RIGHT(("0"&amp;H2890),2)</f>
        <v>131636394055</v>
      </c>
      <c r="J2890" s="1" t="n">
        <f aca="false">COUNTIF(I:I,I2890)</f>
        <v>1</v>
      </c>
      <c r="K2890" s="1" t="n">
        <v>0</v>
      </c>
      <c r="M2890" s="1" t="s">
        <v>23</v>
      </c>
      <c r="N2890" s="1" t="n">
        <v>23</v>
      </c>
      <c r="O2890" s="1" t="s">
        <v>16467</v>
      </c>
      <c r="P2890" s="1" t="n">
        <v>1674</v>
      </c>
      <c r="Q2890" s="1" t="s">
        <v>16468</v>
      </c>
      <c r="R2890" s="1" t="s">
        <v>16469</v>
      </c>
      <c r="S2890" s="1" t="s">
        <v>16470</v>
      </c>
      <c r="T2890" s="1" t="s">
        <v>4718</v>
      </c>
      <c r="U2890" s="1" t="s">
        <v>16471</v>
      </c>
    </row>
    <row r="2891" customFormat="false" ht="13.8" hidden="false" customHeight="false" outlineLevel="0" collapsed="false">
      <c r="A2891" s="1" t="n">
        <v>2890</v>
      </c>
      <c r="B2891" s="2" t="s">
        <v>16472</v>
      </c>
      <c r="C2891" s="1" t="n">
        <v>15</v>
      </c>
      <c r="D2891" s="1" t="n">
        <v>16</v>
      </c>
      <c r="E2891" s="1" t="n">
        <v>18</v>
      </c>
      <c r="F2891" s="1" t="n">
        <v>32</v>
      </c>
      <c r="G2891" s="1" t="n">
        <v>35</v>
      </c>
      <c r="H2891" s="1" t="n">
        <v>54</v>
      </c>
      <c r="I2891" s="1" t="str">
        <f aca="false">RIGHT(("0"&amp;C2891),2)&amp;RIGHT(("0"&amp;D2891),2)&amp;RIGHT(("0"&amp;E2891),2)&amp;RIGHT(("0"&amp;F2891),2)&amp;RIGHT(("0"&amp;G2891),2)&amp;RIGHT(("0"&amp;H2891),2)</f>
        <v>151618323554</v>
      </c>
      <c r="J2891" s="1" t="n">
        <f aca="false">COUNTIF(I:I,I2891)</f>
        <v>1</v>
      </c>
      <c r="K2891" s="1" t="n">
        <v>0</v>
      </c>
      <c r="M2891" s="1" t="s">
        <v>23</v>
      </c>
      <c r="N2891" s="1" t="n">
        <v>49</v>
      </c>
      <c r="O2891" s="1" t="s">
        <v>16473</v>
      </c>
      <c r="P2891" s="1" t="n">
        <v>3360</v>
      </c>
      <c r="Q2891" s="1" t="s">
        <v>16474</v>
      </c>
      <c r="R2891" s="1" t="s">
        <v>16475</v>
      </c>
      <c r="S2891" s="1" t="s">
        <v>16476</v>
      </c>
      <c r="T2891" s="1" t="s">
        <v>4304</v>
      </c>
      <c r="U2891" s="1" t="s">
        <v>16477</v>
      </c>
    </row>
    <row r="2892" customFormat="false" ht="13.8" hidden="false" customHeight="false" outlineLevel="0" collapsed="false">
      <c r="A2892" s="1" t="n">
        <v>2891</v>
      </c>
      <c r="B2892" s="2" t="s">
        <v>16478</v>
      </c>
      <c r="C2892" s="1" t="n">
        <v>19</v>
      </c>
      <c r="D2892" s="1" t="n">
        <v>24</v>
      </c>
      <c r="E2892" s="1" t="n">
        <v>26</v>
      </c>
      <c r="F2892" s="1" t="n">
        <v>34</v>
      </c>
      <c r="G2892" s="1" t="n">
        <v>35</v>
      </c>
      <c r="H2892" s="1" t="n">
        <v>54</v>
      </c>
      <c r="I2892" s="1" t="str">
        <f aca="false">RIGHT(("0"&amp;C2892),2)&amp;RIGHT(("0"&amp;D2892),2)&amp;RIGHT(("0"&amp;E2892),2)&amp;RIGHT(("0"&amp;F2892),2)&amp;RIGHT(("0"&amp;G2892),2)&amp;RIGHT(("0"&amp;H2892),2)</f>
        <v>192426343554</v>
      </c>
      <c r="J2892" s="1" t="n">
        <f aca="false">COUNTIF(I:I,I2892)</f>
        <v>1</v>
      </c>
      <c r="K2892" s="1" t="n">
        <v>0</v>
      </c>
      <c r="M2892" s="1" t="s">
        <v>23</v>
      </c>
      <c r="N2892" s="1" t="n">
        <v>41</v>
      </c>
      <c r="O2892" s="1" t="s">
        <v>16479</v>
      </c>
      <c r="P2892" s="1" t="n">
        <v>3005</v>
      </c>
      <c r="Q2892" s="1" t="s">
        <v>16480</v>
      </c>
      <c r="R2892" s="1" t="s">
        <v>16481</v>
      </c>
      <c r="S2892" s="1" t="s">
        <v>16482</v>
      </c>
      <c r="T2892" s="1" t="s">
        <v>5154</v>
      </c>
      <c r="U2892" s="1" t="s">
        <v>16483</v>
      </c>
    </row>
    <row r="2893" customFormat="false" ht="13.8" hidden="false" customHeight="false" outlineLevel="0" collapsed="false">
      <c r="A2893" s="1" t="n">
        <v>2892</v>
      </c>
      <c r="B2893" s="2" t="s">
        <v>16484</v>
      </c>
      <c r="C2893" s="1" t="n">
        <v>14</v>
      </c>
      <c r="D2893" s="1" t="n">
        <v>24</v>
      </c>
      <c r="E2893" s="1" t="n">
        <v>36</v>
      </c>
      <c r="F2893" s="1" t="n">
        <v>44</v>
      </c>
      <c r="G2893" s="1" t="n">
        <v>46</v>
      </c>
      <c r="H2893" s="1" t="n">
        <v>54</v>
      </c>
      <c r="I2893" s="1" t="str">
        <f aca="false">RIGHT(("0"&amp;C2893),2)&amp;RIGHT(("0"&amp;D2893),2)&amp;RIGHT(("0"&amp;E2893),2)&amp;RIGHT(("0"&amp;F2893),2)&amp;RIGHT(("0"&amp;G2893),2)&amp;RIGHT(("0"&amp;H2893),2)</f>
        <v>142436444654</v>
      </c>
      <c r="J2893" s="1" t="n">
        <f aca="false">COUNTIF(I:I,I2893)</f>
        <v>1</v>
      </c>
      <c r="K2893" s="1" t="n">
        <v>0</v>
      </c>
      <c r="M2893" s="1" t="s">
        <v>23</v>
      </c>
      <c r="N2893" s="1" t="n">
        <v>42</v>
      </c>
      <c r="O2893" s="1" t="s">
        <v>16485</v>
      </c>
      <c r="P2893" s="1" t="n">
        <v>3711</v>
      </c>
      <c r="Q2893" s="1" t="s">
        <v>16486</v>
      </c>
      <c r="R2893" s="1" t="s">
        <v>16487</v>
      </c>
      <c r="S2893" s="1" t="s">
        <v>16488</v>
      </c>
      <c r="T2893" s="1" t="s">
        <v>7301</v>
      </c>
      <c r="U2893" s="1" t="s">
        <v>16489</v>
      </c>
    </row>
    <row r="2894" customFormat="false" ht="13.8" hidden="false" customHeight="false" outlineLevel="0" collapsed="false">
      <c r="A2894" s="1" t="n">
        <v>2893</v>
      </c>
      <c r="B2894" s="2" t="s">
        <v>16490</v>
      </c>
      <c r="C2894" s="1" t="n">
        <v>10</v>
      </c>
      <c r="D2894" s="1" t="n">
        <v>40</v>
      </c>
      <c r="E2894" s="1" t="n">
        <v>41</v>
      </c>
      <c r="F2894" s="1" t="n">
        <v>45</v>
      </c>
      <c r="G2894" s="1" t="n">
        <v>48</v>
      </c>
      <c r="H2894" s="1" t="n">
        <v>50</v>
      </c>
      <c r="I2894" s="1" t="str">
        <f aca="false">RIGHT(("0"&amp;C2894),2)&amp;RIGHT(("0"&amp;D2894),2)&amp;RIGHT(("0"&amp;E2894),2)&amp;RIGHT(("0"&amp;F2894),2)&amp;RIGHT(("0"&amp;G2894),2)&amp;RIGHT(("0"&amp;H2894),2)</f>
        <v>104041454850</v>
      </c>
      <c r="J2894" s="1" t="n">
        <f aca="false">COUNTIF(I:I,I2894)</f>
        <v>1</v>
      </c>
      <c r="K2894" s="1" t="n">
        <v>0</v>
      </c>
      <c r="M2894" s="1" t="s">
        <v>23</v>
      </c>
      <c r="N2894" s="1" t="n">
        <v>32</v>
      </c>
      <c r="O2894" s="1" t="s">
        <v>16491</v>
      </c>
      <c r="P2894" s="1" t="n">
        <v>2904</v>
      </c>
      <c r="Q2894" s="1" t="s">
        <v>16492</v>
      </c>
      <c r="R2894" s="1" t="s">
        <v>16493</v>
      </c>
      <c r="S2894" s="1" t="s">
        <v>16494</v>
      </c>
      <c r="T2894" s="1" t="s">
        <v>14423</v>
      </c>
      <c r="U2894" s="1" t="s">
        <v>16495</v>
      </c>
    </row>
    <row r="2895" customFormat="false" ht="13.8" hidden="false" customHeight="false" outlineLevel="0" collapsed="false">
      <c r="A2895" s="1" t="n">
        <v>2894</v>
      </c>
      <c r="B2895" s="2" t="s">
        <v>16496</v>
      </c>
      <c r="C2895" s="1" t="n">
        <v>5</v>
      </c>
      <c r="D2895" s="1" t="n">
        <v>21</v>
      </c>
      <c r="E2895" s="1" t="n">
        <v>24</v>
      </c>
      <c r="F2895" s="1" t="n">
        <v>25</v>
      </c>
      <c r="G2895" s="1" t="n">
        <v>29</v>
      </c>
      <c r="H2895" s="1" t="n">
        <v>49</v>
      </c>
      <c r="I2895" s="1" t="str">
        <f aca="false">RIGHT(("0"&amp;C2895),2)&amp;RIGHT(("0"&amp;D2895),2)&amp;RIGHT(("0"&amp;E2895),2)&amp;RIGHT(("0"&amp;F2895),2)&amp;RIGHT(("0"&amp;G2895),2)&amp;RIGHT(("0"&amp;H2895),2)</f>
        <v>052124252949</v>
      </c>
      <c r="J2895" s="1" t="n">
        <f aca="false">COUNTIF(I:I,I2895)</f>
        <v>1</v>
      </c>
      <c r="K2895" s="1" t="n">
        <v>0</v>
      </c>
      <c r="M2895" s="1" t="s">
        <v>23</v>
      </c>
      <c r="N2895" s="1" t="n">
        <v>52</v>
      </c>
      <c r="O2895" s="1" t="s">
        <v>16497</v>
      </c>
      <c r="P2895" s="1" t="n">
        <v>4381</v>
      </c>
      <c r="Q2895" s="1" t="s">
        <v>16498</v>
      </c>
      <c r="R2895" s="1" t="s">
        <v>16499</v>
      </c>
      <c r="S2895" s="1" t="s">
        <v>16500</v>
      </c>
      <c r="T2895" s="1" t="s">
        <v>15194</v>
      </c>
      <c r="U2895" s="1" t="s">
        <v>16501</v>
      </c>
    </row>
    <row r="2896" customFormat="false" ht="13.8" hidden="false" customHeight="false" outlineLevel="0" collapsed="false">
      <c r="A2896" s="1" t="n">
        <v>2895</v>
      </c>
      <c r="B2896" s="2" t="s">
        <v>16502</v>
      </c>
      <c r="C2896" s="1" t="n">
        <v>9</v>
      </c>
      <c r="D2896" s="1" t="n">
        <v>11</v>
      </c>
      <c r="E2896" s="1" t="n">
        <v>44</v>
      </c>
      <c r="F2896" s="1" t="n">
        <v>51</v>
      </c>
      <c r="G2896" s="1" t="n">
        <v>52</v>
      </c>
      <c r="H2896" s="1" t="n">
        <v>56</v>
      </c>
      <c r="I2896" s="1" t="str">
        <f aca="false">RIGHT(("0"&amp;C2896),2)&amp;RIGHT(("0"&amp;D2896),2)&amp;RIGHT(("0"&amp;E2896),2)&amp;RIGHT(("0"&amp;F2896),2)&amp;RIGHT(("0"&amp;G2896),2)&amp;RIGHT(("0"&amp;H2896),2)</f>
        <v>091144515256</v>
      </c>
      <c r="J2896" s="1" t="n">
        <f aca="false">COUNTIF(I:I,I2896)</f>
        <v>1</v>
      </c>
      <c r="K2896" s="1" t="n">
        <v>0</v>
      </c>
      <c r="M2896" s="1" t="s">
        <v>23</v>
      </c>
      <c r="N2896" s="1" t="n">
        <v>47</v>
      </c>
      <c r="O2896" s="1" t="s">
        <v>16503</v>
      </c>
      <c r="P2896" s="1" t="n">
        <v>4081</v>
      </c>
      <c r="Q2896" s="1" t="s">
        <v>16504</v>
      </c>
      <c r="R2896" s="1" t="s">
        <v>16505</v>
      </c>
      <c r="S2896" s="1" t="s">
        <v>16506</v>
      </c>
      <c r="T2896" s="1" t="s">
        <v>6045</v>
      </c>
      <c r="U2896" s="1" t="s">
        <v>16507</v>
      </c>
    </row>
    <row r="2897" customFormat="false" ht="13.8" hidden="false" customHeight="false" outlineLevel="0" collapsed="false">
      <c r="A2897" s="1" t="n">
        <v>2896</v>
      </c>
      <c r="B2897" s="2" t="s">
        <v>16508</v>
      </c>
      <c r="C2897" s="1" t="n">
        <v>8</v>
      </c>
      <c r="D2897" s="1" t="n">
        <v>9</v>
      </c>
      <c r="E2897" s="1" t="n">
        <v>12</v>
      </c>
      <c r="F2897" s="1" t="n">
        <v>16</v>
      </c>
      <c r="G2897" s="1" t="n">
        <v>43</v>
      </c>
      <c r="H2897" s="1" t="n">
        <v>53</v>
      </c>
      <c r="I2897" s="1" t="str">
        <f aca="false">RIGHT(("0"&amp;C2897),2)&amp;RIGHT(("0"&amp;D2897),2)&amp;RIGHT(("0"&amp;E2897),2)&amp;RIGHT(("0"&amp;F2897),2)&amp;RIGHT(("0"&amp;G2897),2)&amp;RIGHT(("0"&amp;H2897),2)</f>
        <v>080912164353</v>
      </c>
      <c r="J2897" s="1" t="n">
        <f aca="false">COUNTIF(I:I,I2897)</f>
        <v>1</v>
      </c>
      <c r="K2897" s="1" t="n">
        <v>0</v>
      </c>
      <c r="M2897" s="1" t="s">
        <v>23</v>
      </c>
      <c r="N2897" s="1" t="n">
        <v>78</v>
      </c>
      <c r="O2897" s="1" t="s">
        <v>16509</v>
      </c>
      <c r="P2897" s="1" t="n">
        <v>6363</v>
      </c>
      <c r="Q2897" s="1" t="s">
        <v>16510</v>
      </c>
      <c r="R2897" s="1" t="s">
        <v>16511</v>
      </c>
      <c r="S2897" s="1" t="s">
        <v>16512</v>
      </c>
      <c r="T2897" s="1" t="s">
        <v>9535</v>
      </c>
      <c r="U2897" s="1" t="s">
        <v>16513</v>
      </c>
    </row>
    <row r="2898" customFormat="false" ht="13.8" hidden="false" customHeight="false" outlineLevel="0" collapsed="false">
      <c r="A2898" s="1" t="n">
        <v>2897</v>
      </c>
      <c r="B2898" s="2" t="s">
        <v>16514</v>
      </c>
      <c r="C2898" s="1" t="n">
        <v>1</v>
      </c>
      <c r="D2898" s="1" t="n">
        <v>6</v>
      </c>
      <c r="E2898" s="1" t="n">
        <v>24</v>
      </c>
      <c r="F2898" s="1" t="n">
        <v>27</v>
      </c>
      <c r="G2898" s="1" t="n">
        <v>28</v>
      </c>
      <c r="H2898" s="1" t="n">
        <v>57</v>
      </c>
      <c r="I2898" s="1" t="str">
        <f aca="false">RIGHT(("0"&amp;C2898),2)&amp;RIGHT(("0"&amp;D2898),2)&amp;RIGHT(("0"&amp;E2898),2)&amp;RIGHT(("0"&amp;F2898),2)&amp;RIGHT(("0"&amp;G2898),2)&amp;RIGHT(("0"&amp;H2898),2)</f>
        <v>010624272857</v>
      </c>
      <c r="J2898" s="1" t="n">
        <f aca="false">COUNTIF(I:I,I2898)</f>
        <v>1</v>
      </c>
      <c r="K2898" s="1" t="n">
        <v>1</v>
      </c>
      <c r="L2898" s="1" t="s">
        <v>16515</v>
      </c>
      <c r="M2898" s="1" t="s">
        <v>16516</v>
      </c>
      <c r="N2898" s="1" t="n">
        <v>117</v>
      </c>
      <c r="O2898" s="1" t="s">
        <v>16517</v>
      </c>
      <c r="P2898" s="1" t="n">
        <v>7644</v>
      </c>
      <c r="Q2898" s="1" t="s">
        <v>16518</v>
      </c>
      <c r="R2898" s="1" t="s">
        <v>23</v>
      </c>
      <c r="S2898" s="1" t="s">
        <v>16519</v>
      </c>
      <c r="T2898" s="1" t="s">
        <v>4337</v>
      </c>
      <c r="U2898" s="1" t="s">
        <v>16520</v>
      </c>
    </row>
    <row r="2899" customFormat="false" ht="13.8" hidden="false" customHeight="false" outlineLevel="0" collapsed="false">
      <c r="A2899" s="1" t="n">
        <v>2898</v>
      </c>
      <c r="B2899" s="2" t="s">
        <v>16521</v>
      </c>
      <c r="C2899" s="1" t="n">
        <v>14</v>
      </c>
      <c r="D2899" s="1" t="n">
        <v>23</v>
      </c>
      <c r="E2899" s="1" t="n">
        <v>30</v>
      </c>
      <c r="F2899" s="1" t="n">
        <v>32</v>
      </c>
      <c r="G2899" s="1" t="n">
        <v>38</v>
      </c>
      <c r="H2899" s="1" t="n">
        <v>48</v>
      </c>
      <c r="I2899" s="1" t="str">
        <f aca="false">RIGHT(("0"&amp;C2899),2)&amp;RIGHT(("0"&amp;D2899),2)&amp;RIGHT(("0"&amp;E2899),2)&amp;RIGHT(("0"&amp;F2899),2)&amp;RIGHT(("0"&amp;G2899),2)&amp;RIGHT(("0"&amp;H2899),2)</f>
        <v>142330323848</v>
      </c>
      <c r="J2899" s="1" t="n">
        <f aca="false">COUNTIF(I:I,I2899)</f>
        <v>1</v>
      </c>
      <c r="K2899" s="1" t="n">
        <v>0</v>
      </c>
      <c r="M2899" s="1" t="s">
        <v>23</v>
      </c>
      <c r="N2899" s="1" t="n">
        <v>20</v>
      </c>
      <c r="O2899" s="1" t="s">
        <v>16522</v>
      </c>
      <c r="P2899" s="1" t="n">
        <v>1483</v>
      </c>
      <c r="Q2899" s="1" t="s">
        <v>16523</v>
      </c>
      <c r="R2899" s="1" t="s">
        <v>16524</v>
      </c>
      <c r="S2899" s="1" t="s">
        <v>16525</v>
      </c>
      <c r="T2899" s="1" t="s">
        <v>4190</v>
      </c>
      <c r="U2899" s="1" t="s">
        <v>16526</v>
      </c>
    </row>
    <row r="2900" customFormat="false" ht="13.8" hidden="false" customHeight="false" outlineLevel="0" collapsed="false">
      <c r="A2900" s="1" t="n">
        <v>2899</v>
      </c>
      <c r="B2900" s="2" t="s">
        <v>16527</v>
      </c>
      <c r="C2900" s="1" t="n">
        <v>10</v>
      </c>
      <c r="D2900" s="1" t="n">
        <v>22</v>
      </c>
      <c r="E2900" s="1" t="n">
        <v>28</v>
      </c>
      <c r="F2900" s="1" t="n">
        <v>42</v>
      </c>
      <c r="G2900" s="1" t="n">
        <v>44</v>
      </c>
      <c r="H2900" s="1" t="n">
        <v>51</v>
      </c>
      <c r="I2900" s="1" t="str">
        <f aca="false">RIGHT(("0"&amp;C2900),2)&amp;RIGHT(("0"&amp;D2900),2)&amp;RIGHT(("0"&amp;E2900),2)&amp;RIGHT(("0"&amp;F2900),2)&amp;RIGHT(("0"&amp;G2900),2)&amp;RIGHT(("0"&amp;H2900),2)</f>
        <v>102228424451</v>
      </c>
      <c r="J2900" s="1" t="n">
        <f aca="false">COUNTIF(I:I,I2900)</f>
        <v>1</v>
      </c>
      <c r="K2900" s="1" t="n">
        <v>0</v>
      </c>
      <c r="M2900" s="1" t="s">
        <v>23</v>
      </c>
      <c r="N2900" s="1" t="n">
        <v>56</v>
      </c>
      <c r="O2900" s="1" t="s">
        <v>16528</v>
      </c>
      <c r="P2900" s="1" t="n">
        <v>3375</v>
      </c>
      <c r="Q2900" s="1" t="s">
        <v>16529</v>
      </c>
      <c r="R2900" s="1" t="s">
        <v>16530</v>
      </c>
      <c r="S2900" s="1" t="s">
        <v>16531</v>
      </c>
      <c r="T2900" s="1" t="s">
        <v>4309</v>
      </c>
      <c r="U2900" s="1" t="s">
        <v>16532</v>
      </c>
    </row>
    <row r="2901" customFormat="false" ht="13.8" hidden="false" customHeight="false" outlineLevel="0" collapsed="false">
      <c r="A2901" s="1" t="n">
        <v>2900</v>
      </c>
      <c r="B2901" s="2" t="s">
        <v>16533</v>
      </c>
      <c r="C2901" s="1" t="n">
        <v>33</v>
      </c>
      <c r="D2901" s="1" t="n">
        <v>50</v>
      </c>
      <c r="E2901" s="1" t="n">
        <v>54</v>
      </c>
      <c r="F2901" s="1" t="n">
        <v>55</v>
      </c>
      <c r="G2901" s="1" t="n">
        <v>59</v>
      </c>
      <c r="H2901" s="1" t="n">
        <v>60</v>
      </c>
      <c r="I2901" s="1" t="str">
        <f aca="false">RIGHT(("0"&amp;C2901),2)&amp;RIGHT(("0"&amp;D2901),2)&amp;RIGHT(("0"&amp;E2901),2)&amp;RIGHT(("0"&amp;F2901),2)&amp;RIGHT(("0"&amp;G2901),2)&amp;RIGHT(("0"&amp;H2901),2)</f>
        <v>335054555960</v>
      </c>
      <c r="J2901" s="1" t="n">
        <f aca="false">COUNTIF(I:I,I2901)</f>
        <v>1</v>
      </c>
      <c r="K2901" s="1" t="n">
        <v>0</v>
      </c>
      <c r="M2901" s="1" t="s">
        <v>23</v>
      </c>
      <c r="N2901" s="1" t="n">
        <v>53</v>
      </c>
      <c r="O2901" s="1" t="s">
        <v>16534</v>
      </c>
      <c r="P2901" s="1" t="n">
        <v>2885</v>
      </c>
      <c r="Q2901" s="1" t="s">
        <v>16535</v>
      </c>
      <c r="R2901" s="1" t="s">
        <v>16536</v>
      </c>
      <c r="S2901" s="1" t="s">
        <v>16537</v>
      </c>
      <c r="T2901" s="1" t="s">
        <v>5782</v>
      </c>
      <c r="U2901" s="1" t="s">
        <v>16538</v>
      </c>
    </row>
    <row r="2902" customFormat="false" ht="13.8" hidden="false" customHeight="false" outlineLevel="0" collapsed="false">
      <c r="A2902" s="1" t="n">
        <v>2901</v>
      </c>
      <c r="B2902" s="2" t="s">
        <v>16539</v>
      </c>
      <c r="C2902" s="1" t="n">
        <v>2</v>
      </c>
      <c r="D2902" s="1" t="n">
        <v>20</v>
      </c>
      <c r="E2902" s="1" t="n">
        <v>28</v>
      </c>
      <c r="F2902" s="1" t="n">
        <v>38</v>
      </c>
      <c r="G2902" s="1" t="n">
        <v>44</v>
      </c>
      <c r="H2902" s="1" t="n">
        <v>47</v>
      </c>
      <c r="I2902" s="1" t="str">
        <f aca="false">RIGHT(("0"&amp;C2902),2)&amp;RIGHT(("0"&amp;D2902),2)&amp;RIGHT(("0"&amp;E2902),2)&amp;RIGHT(("0"&amp;F2902),2)&amp;RIGHT(("0"&amp;G2902),2)&amp;RIGHT(("0"&amp;H2902),2)</f>
        <v>022028384447</v>
      </c>
      <c r="J2902" s="1" t="n">
        <f aca="false">COUNTIF(I:I,I2902)</f>
        <v>1</v>
      </c>
      <c r="K2902" s="1" t="n">
        <v>0</v>
      </c>
      <c r="M2902" s="1" t="s">
        <v>23</v>
      </c>
      <c r="N2902" s="1" t="n">
        <v>38</v>
      </c>
      <c r="O2902" s="1" t="s">
        <v>16540</v>
      </c>
      <c r="P2902" s="1" t="n">
        <v>3111</v>
      </c>
      <c r="Q2902" s="1" t="s">
        <v>16541</v>
      </c>
      <c r="R2902" s="1" t="s">
        <v>16542</v>
      </c>
      <c r="S2902" s="1" t="s">
        <v>16543</v>
      </c>
      <c r="T2902" s="1" t="s">
        <v>5255</v>
      </c>
      <c r="U2902" s="1" t="s">
        <v>16544</v>
      </c>
    </row>
    <row r="2903" customFormat="false" ht="13.8" hidden="false" customHeight="false" outlineLevel="0" collapsed="false">
      <c r="A2903" s="1" t="n">
        <v>2902</v>
      </c>
      <c r="B2903" s="2" t="s">
        <v>16545</v>
      </c>
      <c r="C2903" s="1" t="n">
        <v>8</v>
      </c>
      <c r="D2903" s="1" t="n">
        <v>21</v>
      </c>
      <c r="E2903" s="1" t="n">
        <v>22</v>
      </c>
      <c r="F2903" s="1" t="n">
        <v>42</v>
      </c>
      <c r="G2903" s="1" t="n">
        <v>45</v>
      </c>
      <c r="H2903" s="1" t="n">
        <v>48</v>
      </c>
      <c r="I2903" s="1" t="str">
        <f aca="false">RIGHT(("0"&amp;C2903),2)&amp;RIGHT(("0"&amp;D2903),2)&amp;RIGHT(("0"&amp;E2903),2)&amp;RIGHT(("0"&amp;F2903),2)&amp;RIGHT(("0"&amp;G2903),2)&amp;RIGHT(("0"&amp;H2903),2)</f>
        <v>082122424548</v>
      </c>
      <c r="J2903" s="1" t="n">
        <f aca="false">COUNTIF(I:I,I2903)</f>
        <v>1</v>
      </c>
      <c r="K2903" s="1" t="n">
        <v>0</v>
      </c>
      <c r="M2903" s="1" t="s">
        <v>23</v>
      </c>
      <c r="N2903" s="1" t="n">
        <v>70</v>
      </c>
      <c r="O2903" s="1" t="s">
        <v>16546</v>
      </c>
      <c r="P2903" s="1" t="n">
        <v>4919</v>
      </c>
      <c r="Q2903" s="1" t="s">
        <v>16547</v>
      </c>
      <c r="R2903" s="1" t="s">
        <v>16548</v>
      </c>
      <c r="S2903" s="1" t="s">
        <v>16549</v>
      </c>
      <c r="T2903" s="1" t="s">
        <v>9211</v>
      </c>
      <c r="U2903" s="1" t="s">
        <v>16550</v>
      </c>
    </row>
    <row r="2904" customFormat="false" ht="13.8" hidden="false" customHeight="false" outlineLevel="0" collapsed="false">
      <c r="A2904" s="1" t="n">
        <v>2903</v>
      </c>
      <c r="B2904" s="2" t="s">
        <v>16551</v>
      </c>
      <c r="C2904" s="1" t="n">
        <v>20</v>
      </c>
      <c r="D2904" s="1" t="n">
        <v>24</v>
      </c>
      <c r="E2904" s="1" t="n">
        <v>27</v>
      </c>
      <c r="F2904" s="1" t="n">
        <v>46</v>
      </c>
      <c r="G2904" s="1" t="n">
        <v>50</v>
      </c>
      <c r="H2904" s="1" t="n">
        <v>54</v>
      </c>
      <c r="I2904" s="1" t="str">
        <f aca="false">RIGHT(("0"&amp;C2904),2)&amp;RIGHT(("0"&amp;D2904),2)&amp;RIGHT(("0"&amp;E2904),2)&amp;RIGHT(("0"&amp;F2904),2)&amp;RIGHT(("0"&amp;G2904),2)&amp;RIGHT(("0"&amp;H2904),2)</f>
        <v>202427465054</v>
      </c>
      <c r="J2904" s="1" t="n">
        <f aca="false">COUNTIF(I:I,I2904)</f>
        <v>1</v>
      </c>
      <c r="K2904" s="1" t="n">
        <v>1</v>
      </c>
      <c r="L2904" s="1" t="s">
        <v>16552</v>
      </c>
      <c r="M2904" s="1" t="s">
        <v>16553</v>
      </c>
      <c r="N2904" s="1" t="n">
        <v>51</v>
      </c>
      <c r="O2904" s="1" t="s">
        <v>16554</v>
      </c>
      <c r="P2904" s="1" t="n">
        <v>3737</v>
      </c>
      <c r="Q2904" s="1" t="s">
        <v>16555</v>
      </c>
      <c r="R2904" s="1" t="s">
        <v>23</v>
      </c>
      <c r="S2904" s="1" t="s">
        <v>16556</v>
      </c>
      <c r="T2904" s="1" t="s">
        <v>4337</v>
      </c>
      <c r="U2904" s="1" t="s">
        <v>16557</v>
      </c>
    </row>
    <row r="2905" customFormat="false" ht="13.8" hidden="false" customHeight="false" outlineLevel="0" collapsed="false">
      <c r="A2905" s="1" t="n">
        <v>2904</v>
      </c>
      <c r="B2905" s="2" t="s">
        <v>16558</v>
      </c>
      <c r="C2905" s="1" t="n">
        <v>2</v>
      </c>
      <c r="D2905" s="1" t="n">
        <v>37</v>
      </c>
      <c r="E2905" s="1" t="n">
        <v>38</v>
      </c>
      <c r="F2905" s="1" t="n">
        <v>46</v>
      </c>
      <c r="G2905" s="1" t="n">
        <v>52</v>
      </c>
      <c r="H2905" s="1" t="n">
        <v>55</v>
      </c>
      <c r="I2905" s="1" t="str">
        <f aca="false">RIGHT(("0"&amp;C2905),2)&amp;RIGHT(("0"&amp;D2905),2)&amp;RIGHT(("0"&amp;E2905),2)&amp;RIGHT(("0"&amp;F2905),2)&amp;RIGHT(("0"&amp;G2905),2)&amp;RIGHT(("0"&amp;H2905),2)</f>
        <v>023738465255</v>
      </c>
      <c r="J2905" s="1" t="n">
        <f aca="false">COUNTIF(I:I,I2905)</f>
        <v>1</v>
      </c>
      <c r="K2905" s="1" t="n">
        <v>0</v>
      </c>
      <c r="M2905" s="1" t="s">
        <v>23</v>
      </c>
      <c r="N2905" s="1" t="n">
        <v>10</v>
      </c>
      <c r="O2905" s="1" t="s">
        <v>16559</v>
      </c>
      <c r="P2905" s="1" t="n">
        <v>1190</v>
      </c>
      <c r="Q2905" s="1" t="s">
        <v>16560</v>
      </c>
      <c r="R2905" s="1" t="s">
        <v>16561</v>
      </c>
      <c r="S2905" s="1" t="s">
        <v>16562</v>
      </c>
      <c r="T2905" s="1" t="s">
        <v>5242</v>
      </c>
      <c r="U2905" s="1" t="s">
        <v>16563</v>
      </c>
    </row>
    <row r="2906" customFormat="false" ht="13.8" hidden="false" customHeight="false" outlineLevel="0" collapsed="false">
      <c r="A2906" s="1" t="n">
        <v>2905</v>
      </c>
      <c r="B2906" s="2" t="s">
        <v>16564</v>
      </c>
      <c r="C2906" s="1" t="n">
        <v>4</v>
      </c>
      <c r="D2906" s="1" t="n">
        <v>17</v>
      </c>
      <c r="E2906" s="1" t="n">
        <v>18</v>
      </c>
      <c r="F2906" s="1" t="n">
        <v>26</v>
      </c>
      <c r="G2906" s="1" t="n">
        <v>43</v>
      </c>
      <c r="H2906" s="1" t="n">
        <v>52</v>
      </c>
      <c r="I2906" s="1" t="str">
        <f aca="false">RIGHT(("0"&amp;C2906),2)&amp;RIGHT(("0"&amp;D2906),2)&amp;RIGHT(("0"&amp;E2906),2)&amp;RIGHT(("0"&amp;F2906),2)&amp;RIGHT(("0"&amp;G2906),2)&amp;RIGHT(("0"&amp;H2906),2)</f>
        <v>041718264352</v>
      </c>
      <c r="J2906" s="1" t="n">
        <f aca="false">COUNTIF(I:I,I2906)</f>
        <v>1</v>
      </c>
      <c r="K2906" s="1" t="n">
        <v>0</v>
      </c>
      <c r="M2906" s="1" t="s">
        <v>23</v>
      </c>
      <c r="N2906" s="1" t="n">
        <v>39</v>
      </c>
      <c r="O2906" s="1" t="s">
        <v>16565</v>
      </c>
      <c r="P2906" s="1" t="n">
        <v>3318</v>
      </c>
      <c r="Q2906" s="1" t="s">
        <v>16566</v>
      </c>
      <c r="R2906" s="1" t="s">
        <v>16567</v>
      </c>
      <c r="S2906" s="1" t="s">
        <v>16568</v>
      </c>
      <c r="T2906" s="1" t="s">
        <v>4968</v>
      </c>
      <c r="U2906" s="1" t="s">
        <v>16569</v>
      </c>
    </row>
    <row r="2907" customFormat="false" ht="13.8" hidden="false" customHeight="false" outlineLevel="0" collapsed="false">
      <c r="A2907" s="1" t="n">
        <v>2906</v>
      </c>
      <c r="B2907" s="2" t="s">
        <v>16570</v>
      </c>
      <c r="C2907" s="1" t="n">
        <v>17</v>
      </c>
      <c r="D2907" s="1" t="n">
        <v>33</v>
      </c>
      <c r="E2907" s="1" t="n">
        <v>37</v>
      </c>
      <c r="F2907" s="1" t="n">
        <v>41</v>
      </c>
      <c r="G2907" s="1" t="n">
        <v>46</v>
      </c>
      <c r="H2907" s="1" t="n">
        <v>49</v>
      </c>
      <c r="I2907" s="1" t="str">
        <f aca="false">RIGHT(("0"&amp;C2907),2)&amp;RIGHT(("0"&amp;D2907),2)&amp;RIGHT(("0"&amp;E2907),2)&amp;RIGHT(("0"&amp;F2907),2)&amp;RIGHT(("0"&amp;G2907),2)&amp;RIGHT(("0"&amp;H2907),2)</f>
        <v>173337414649</v>
      </c>
      <c r="J2907" s="1" t="n">
        <f aca="false">COUNTIF(I:I,I2907)</f>
        <v>1</v>
      </c>
      <c r="K2907" s="1" t="n">
        <v>1</v>
      </c>
      <c r="L2907" s="1" t="s">
        <v>12490</v>
      </c>
      <c r="M2907" s="1" t="s">
        <v>16571</v>
      </c>
      <c r="N2907" s="1" t="n">
        <v>43</v>
      </c>
      <c r="O2907" s="1" t="s">
        <v>16572</v>
      </c>
      <c r="P2907" s="1" t="n">
        <v>3250</v>
      </c>
      <c r="Q2907" s="1" t="s">
        <v>16573</v>
      </c>
      <c r="R2907" s="1" t="s">
        <v>23</v>
      </c>
      <c r="S2907" s="1" t="s">
        <v>16574</v>
      </c>
      <c r="T2907" s="1" t="s">
        <v>4337</v>
      </c>
      <c r="U2907" s="1" t="s">
        <v>16575</v>
      </c>
    </row>
    <row r="2908" customFormat="false" ht="13.8" hidden="false" customHeight="false" outlineLevel="0" collapsed="false">
      <c r="A2908" s="1" t="n">
        <v>2907</v>
      </c>
      <c r="B2908" s="2" t="s">
        <v>16576</v>
      </c>
      <c r="C2908" s="1" t="n">
        <v>30</v>
      </c>
      <c r="D2908" s="1" t="n">
        <v>33</v>
      </c>
      <c r="E2908" s="1" t="n">
        <v>42</v>
      </c>
      <c r="F2908" s="1" t="n">
        <v>44</v>
      </c>
      <c r="G2908" s="1" t="n">
        <v>52</v>
      </c>
      <c r="H2908" s="1" t="n">
        <v>56</v>
      </c>
      <c r="I2908" s="1" t="str">
        <f aca="false">RIGHT(("0"&amp;C2908),2)&amp;RIGHT(("0"&amp;D2908),2)&amp;RIGHT(("0"&amp;E2908),2)&amp;RIGHT(("0"&amp;F2908),2)&amp;RIGHT(("0"&amp;G2908),2)&amp;RIGHT(("0"&amp;H2908),2)</f>
        <v>303342445256</v>
      </c>
      <c r="J2908" s="1" t="n">
        <f aca="false">COUNTIF(I:I,I2908)</f>
        <v>1</v>
      </c>
      <c r="K2908" s="1" t="n">
        <v>0</v>
      </c>
      <c r="M2908" s="1" t="s">
        <v>23</v>
      </c>
      <c r="N2908" s="1" t="n">
        <v>22</v>
      </c>
      <c r="O2908" s="1" t="s">
        <v>16577</v>
      </c>
      <c r="P2908" s="1" t="n">
        <v>1245</v>
      </c>
      <c r="Q2908" s="1" t="s">
        <v>16578</v>
      </c>
      <c r="R2908" s="1" t="s">
        <v>16579</v>
      </c>
      <c r="S2908" s="1" t="s">
        <v>16580</v>
      </c>
      <c r="T2908" s="1" t="s">
        <v>4347</v>
      </c>
      <c r="U2908" s="1" t="s">
        <v>16581</v>
      </c>
    </row>
    <row r="2909" customFormat="false" ht="13.8" hidden="false" customHeight="false" outlineLevel="0" collapsed="false">
      <c r="A2909" s="1" t="n">
        <v>2908</v>
      </c>
      <c r="B2909" s="2" t="s">
        <v>16582</v>
      </c>
      <c r="C2909" s="1" t="n">
        <v>20</v>
      </c>
      <c r="D2909" s="1" t="n">
        <v>35</v>
      </c>
      <c r="E2909" s="1" t="n">
        <v>36</v>
      </c>
      <c r="F2909" s="1" t="n">
        <v>37</v>
      </c>
      <c r="G2909" s="1" t="n">
        <v>38</v>
      </c>
      <c r="H2909" s="1" t="n">
        <v>50</v>
      </c>
      <c r="I2909" s="1" t="str">
        <f aca="false">RIGHT(("0"&amp;C2909),2)&amp;RIGHT(("0"&amp;D2909),2)&amp;RIGHT(("0"&amp;E2909),2)&amp;RIGHT(("0"&amp;F2909),2)&amp;RIGHT(("0"&amp;G2909),2)&amp;RIGHT(("0"&amp;H2909),2)</f>
        <v>203536373850</v>
      </c>
      <c r="J2909" s="1" t="n">
        <f aca="false">COUNTIF(I:I,I2909)</f>
        <v>1</v>
      </c>
      <c r="K2909" s="1" t="n">
        <v>0</v>
      </c>
      <c r="M2909" s="1" t="s">
        <v>23</v>
      </c>
      <c r="N2909" s="1" t="n">
        <v>30</v>
      </c>
      <c r="O2909" s="1" t="s">
        <v>16583</v>
      </c>
      <c r="P2909" s="1" t="n">
        <v>2049</v>
      </c>
      <c r="Q2909" s="1" t="s">
        <v>16584</v>
      </c>
      <c r="R2909" s="1" t="s">
        <v>16585</v>
      </c>
      <c r="S2909" s="1" t="s">
        <v>16586</v>
      </c>
      <c r="T2909" s="1" t="s">
        <v>4203</v>
      </c>
      <c r="U2909" s="1" t="s">
        <v>16587</v>
      </c>
    </row>
    <row r="2910" customFormat="false" ht="13.8" hidden="false" customHeight="false" outlineLevel="0" collapsed="false">
      <c r="A2910" s="1" t="n">
        <v>2909</v>
      </c>
      <c r="B2910" s="2" t="s">
        <v>16588</v>
      </c>
      <c r="C2910" s="1" t="n">
        <v>8</v>
      </c>
      <c r="D2910" s="1" t="n">
        <v>21</v>
      </c>
      <c r="E2910" s="1" t="n">
        <v>31</v>
      </c>
      <c r="F2910" s="1" t="n">
        <v>41</v>
      </c>
      <c r="G2910" s="1" t="n">
        <v>53</v>
      </c>
      <c r="H2910" s="1" t="n">
        <v>58</v>
      </c>
      <c r="I2910" s="1" t="str">
        <f aca="false">RIGHT(("0"&amp;C2910),2)&amp;RIGHT(("0"&amp;D2910),2)&amp;RIGHT(("0"&amp;E2910),2)&amp;RIGHT(("0"&amp;F2910),2)&amp;RIGHT(("0"&amp;G2910),2)&amp;RIGHT(("0"&amp;H2910),2)</f>
        <v>082131415358</v>
      </c>
      <c r="J2910" s="1" t="n">
        <f aca="false">COUNTIF(I:I,I2910)</f>
        <v>1</v>
      </c>
      <c r="K2910" s="1" t="n">
        <v>0</v>
      </c>
      <c r="M2910" s="1" t="s">
        <v>23</v>
      </c>
      <c r="N2910" s="1" t="n">
        <v>19</v>
      </c>
      <c r="O2910" s="1" t="s">
        <v>16589</v>
      </c>
      <c r="P2910" s="1" t="n">
        <v>1815</v>
      </c>
      <c r="Q2910" s="1" t="s">
        <v>16590</v>
      </c>
      <c r="R2910" s="1" t="s">
        <v>16591</v>
      </c>
      <c r="S2910" s="1" t="s">
        <v>16592</v>
      </c>
      <c r="T2910" s="1" t="s">
        <v>4304</v>
      </c>
      <c r="U2910" s="1" t="s">
        <v>16593</v>
      </c>
    </row>
    <row r="2911" customFormat="false" ht="13.8" hidden="false" customHeight="false" outlineLevel="0" collapsed="false">
      <c r="A2911" s="1" t="n">
        <v>2910</v>
      </c>
      <c r="B2911" s="2" t="s">
        <v>16594</v>
      </c>
      <c r="C2911" s="1" t="n">
        <v>3</v>
      </c>
      <c r="D2911" s="1" t="n">
        <v>4</v>
      </c>
      <c r="E2911" s="1" t="n">
        <v>11</v>
      </c>
      <c r="F2911" s="1" t="n">
        <v>15</v>
      </c>
      <c r="G2911" s="1" t="n">
        <v>28</v>
      </c>
      <c r="H2911" s="1" t="n">
        <v>29</v>
      </c>
      <c r="I2911" s="1" t="str">
        <f aca="false">RIGHT(("0"&amp;C2911),2)&amp;RIGHT(("0"&amp;D2911),2)&amp;RIGHT(("0"&amp;E2911),2)&amp;RIGHT(("0"&amp;F2911),2)&amp;RIGHT(("0"&amp;G2911),2)&amp;RIGHT(("0"&amp;H2911),2)</f>
        <v>030411152829</v>
      </c>
      <c r="J2911" s="1" t="n">
        <f aca="false">COUNTIF(I:I,I2911)</f>
        <v>1</v>
      </c>
      <c r="K2911" s="1" t="n">
        <v>0</v>
      </c>
      <c r="M2911" s="1" t="s">
        <v>23</v>
      </c>
      <c r="N2911" s="1" t="n">
        <v>80</v>
      </c>
      <c r="O2911" s="1" t="s">
        <v>16595</v>
      </c>
      <c r="P2911" s="1" t="n">
        <v>4834</v>
      </c>
      <c r="Q2911" s="1" t="s">
        <v>16596</v>
      </c>
      <c r="R2911" s="1" t="s">
        <v>16597</v>
      </c>
      <c r="S2911" s="1" t="s">
        <v>16598</v>
      </c>
      <c r="T2911" s="1" t="s">
        <v>4309</v>
      </c>
      <c r="U2911" s="1" t="s">
        <v>16599</v>
      </c>
    </row>
    <row r="2912" customFormat="false" ht="13.8" hidden="false" customHeight="false" outlineLevel="0" collapsed="false">
      <c r="A2912" s="1" t="n">
        <v>2911</v>
      </c>
      <c r="B2912" s="2" t="s">
        <v>16600</v>
      </c>
      <c r="C2912" s="1" t="n">
        <v>23</v>
      </c>
      <c r="D2912" s="1" t="n">
        <v>27</v>
      </c>
      <c r="E2912" s="1" t="n">
        <v>32</v>
      </c>
      <c r="F2912" s="1" t="n">
        <v>54</v>
      </c>
      <c r="G2912" s="1" t="n">
        <v>56</v>
      </c>
      <c r="H2912" s="1" t="n">
        <v>59</v>
      </c>
      <c r="I2912" s="1" t="str">
        <f aca="false">RIGHT(("0"&amp;C2912),2)&amp;RIGHT(("0"&amp;D2912),2)&amp;RIGHT(("0"&amp;E2912),2)&amp;RIGHT(("0"&amp;F2912),2)&amp;RIGHT(("0"&amp;G2912),2)&amp;RIGHT(("0"&amp;H2912),2)</f>
        <v>232732545659</v>
      </c>
      <c r="J2912" s="1" t="n">
        <f aca="false">COUNTIF(I:I,I2912)</f>
        <v>1</v>
      </c>
      <c r="K2912" s="1" t="n">
        <v>0</v>
      </c>
      <c r="M2912" s="1" t="s">
        <v>23</v>
      </c>
      <c r="N2912" s="1" t="n">
        <v>77</v>
      </c>
      <c r="O2912" s="1" t="s">
        <v>16601</v>
      </c>
      <c r="P2912" s="1" t="n">
        <v>4097</v>
      </c>
      <c r="Q2912" s="1" t="s">
        <v>16602</v>
      </c>
      <c r="R2912" s="1" t="s">
        <v>16603</v>
      </c>
      <c r="S2912" s="1" t="s">
        <v>16604</v>
      </c>
      <c r="T2912" s="1" t="s">
        <v>5782</v>
      </c>
      <c r="U2912" s="1" t="s">
        <v>16605</v>
      </c>
    </row>
    <row r="2913" customFormat="false" ht="13.8" hidden="false" customHeight="false" outlineLevel="0" collapsed="false">
      <c r="A2913" s="1" t="n">
        <v>2912</v>
      </c>
      <c r="B2913" s="2" t="s">
        <v>16606</v>
      </c>
      <c r="C2913" s="1" t="n">
        <v>9</v>
      </c>
      <c r="D2913" s="1" t="n">
        <v>25</v>
      </c>
      <c r="E2913" s="1" t="n">
        <v>37</v>
      </c>
      <c r="F2913" s="1" t="n">
        <v>41</v>
      </c>
      <c r="G2913" s="1" t="n">
        <v>51</v>
      </c>
      <c r="H2913" s="1" t="n">
        <v>59</v>
      </c>
      <c r="I2913" s="1" t="str">
        <f aca="false">RIGHT(("0"&amp;C2913),2)&amp;RIGHT(("0"&amp;D2913),2)&amp;RIGHT(("0"&amp;E2913),2)&amp;RIGHT(("0"&amp;F2913),2)&amp;RIGHT(("0"&amp;G2913),2)&amp;RIGHT(("0"&amp;H2913),2)</f>
        <v>092537415159</v>
      </c>
      <c r="J2913" s="1" t="n">
        <f aca="false">COUNTIF(I:I,I2913)</f>
        <v>1</v>
      </c>
      <c r="K2913" s="1" t="n">
        <v>0</v>
      </c>
      <c r="M2913" s="1" t="s">
        <v>23</v>
      </c>
      <c r="N2913" s="1" t="n">
        <v>68</v>
      </c>
      <c r="O2913" s="1" t="s">
        <v>16607</v>
      </c>
      <c r="P2913" s="1" t="n">
        <v>3851</v>
      </c>
      <c r="Q2913" s="1" t="s">
        <v>16608</v>
      </c>
      <c r="R2913" s="1" t="s">
        <v>16609</v>
      </c>
      <c r="S2913" s="1" t="s">
        <v>16610</v>
      </c>
      <c r="T2913" s="1" t="s">
        <v>5255</v>
      </c>
      <c r="U2913" s="1" t="s">
        <v>16611</v>
      </c>
    </row>
    <row r="2914" customFormat="false" ht="13.8" hidden="false" customHeight="false" outlineLevel="0" collapsed="false">
      <c r="A2914" s="1" t="n">
        <v>2913</v>
      </c>
      <c r="B2914" s="2" t="s">
        <v>16612</v>
      </c>
      <c r="C2914" s="1" t="n">
        <v>17</v>
      </c>
      <c r="D2914" s="1" t="n">
        <v>21</v>
      </c>
      <c r="E2914" s="1" t="n">
        <v>34</v>
      </c>
      <c r="F2914" s="1" t="n">
        <v>52</v>
      </c>
      <c r="G2914" s="1" t="n">
        <v>55</v>
      </c>
      <c r="H2914" s="1" t="n">
        <v>60</v>
      </c>
      <c r="I2914" s="1" t="str">
        <f aca="false">RIGHT(("0"&amp;C2914),2)&amp;RIGHT(("0"&amp;D2914),2)&amp;RIGHT(("0"&amp;E2914),2)&amp;RIGHT(("0"&amp;F2914),2)&amp;RIGHT(("0"&amp;G2914),2)&amp;RIGHT(("0"&amp;H2914),2)</f>
        <v>172134525560</v>
      </c>
      <c r="J2914" s="1" t="n">
        <f aca="false">COUNTIF(I:I,I2914)</f>
        <v>1</v>
      </c>
      <c r="K2914" s="1" t="n">
        <v>1</v>
      </c>
      <c r="L2914" s="1" t="s">
        <v>16613</v>
      </c>
      <c r="M2914" s="1" t="s">
        <v>16614</v>
      </c>
      <c r="N2914" s="1" t="n">
        <v>37</v>
      </c>
      <c r="O2914" s="1" t="s">
        <v>16615</v>
      </c>
      <c r="P2914" s="1" t="n">
        <v>3841</v>
      </c>
      <c r="Q2914" s="1" t="s">
        <v>16616</v>
      </c>
      <c r="R2914" s="1" t="s">
        <v>23</v>
      </c>
      <c r="S2914" s="1" t="s">
        <v>16617</v>
      </c>
      <c r="T2914" s="1" t="s">
        <v>4337</v>
      </c>
      <c r="U2914" s="1" t="s">
        <v>16618</v>
      </c>
    </row>
    <row r="2915" customFormat="false" ht="13.8" hidden="false" customHeight="false" outlineLevel="0" collapsed="false">
      <c r="A2915" s="1" t="n">
        <v>2914</v>
      </c>
      <c r="B2915" s="2" t="s">
        <v>16619</v>
      </c>
      <c r="C2915" s="1" t="n">
        <v>18</v>
      </c>
      <c r="D2915" s="1" t="n">
        <v>25</v>
      </c>
      <c r="E2915" s="1" t="n">
        <v>35</v>
      </c>
      <c r="F2915" s="1" t="n">
        <v>40</v>
      </c>
      <c r="G2915" s="1" t="n">
        <v>46</v>
      </c>
      <c r="H2915" s="1" t="n">
        <v>47</v>
      </c>
      <c r="I2915" s="1" t="str">
        <f aca="false">RIGHT(("0"&amp;C2915),2)&amp;RIGHT(("0"&amp;D2915),2)&amp;RIGHT(("0"&amp;E2915),2)&amp;RIGHT(("0"&amp;F2915),2)&amp;RIGHT(("0"&amp;G2915),2)&amp;RIGHT(("0"&amp;H2915),2)</f>
        <v>182535404647</v>
      </c>
      <c r="J2915" s="1" t="n">
        <f aca="false">COUNTIF(I:I,I2915)</f>
        <v>1</v>
      </c>
      <c r="K2915" s="1" t="n">
        <v>0</v>
      </c>
      <c r="M2915" s="1" t="s">
        <v>23</v>
      </c>
      <c r="N2915" s="1" t="n">
        <v>22</v>
      </c>
      <c r="O2915" s="1" t="s">
        <v>16620</v>
      </c>
      <c r="P2915" s="1" t="n">
        <v>1539</v>
      </c>
      <c r="Q2915" s="1" t="s">
        <v>16621</v>
      </c>
      <c r="R2915" s="1" t="s">
        <v>16622</v>
      </c>
      <c r="S2915" s="1" t="s">
        <v>16623</v>
      </c>
      <c r="T2915" s="1" t="s">
        <v>5281</v>
      </c>
      <c r="U2915" s="1" t="s">
        <v>16624</v>
      </c>
    </row>
    <row r="2916" customFormat="false" ht="13.8" hidden="false" customHeight="false" outlineLevel="0" collapsed="false">
      <c r="A2916" s="1" t="n">
        <v>2915</v>
      </c>
      <c r="B2916" s="2" t="s">
        <v>16625</v>
      </c>
      <c r="C2916" s="1" t="n">
        <v>10</v>
      </c>
      <c r="D2916" s="1" t="n">
        <v>11</v>
      </c>
      <c r="E2916" s="1" t="n">
        <v>15</v>
      </c>
      <c r="F2916" s="1" t="n">
        <v>38</v>
      </c>
      <c r="G2916" s="1" t="n">
        <v>52</v>
      </c>
      <c r="H2916" s="1" t="n">
        <v>60</v>
      </c>
      <c r="I2916" s="1" t="str">
        <f aca="false">RIGHT(("0"&amp;C2916),2)&amp;RIGHT(("0"&amp;D2916),2)&amp;RIGHT(("0"&amp;E2916),2)&amp;RIGHT(("0"&amp;F2916),2)&amp;RIGHT(("0"&amp;G2916),2)&amp;RIGHT(("0"&amp;H2916),2)</f>
        <v>101115385260</v>
      </c>
      <c r="J2916" s="1" t="n">
        <f aca="false">COUNTIF(I:I,I2916)</f>
        <v>1</v>
      </c>
      <c r="K2916" s="1" t="n">
        <v>0</v>
      </c>
      <c r="M2916" s="1" t="s">
        <v>23</v>
      </c>
      <c r="N2916" s="1" t="n">
        <v>33</v>
      </c>
      <c r="O2916" s="1" t="s">
        <v>16626</v>
      </c>
      <c r="P2916" s="1" t="n">
        <v>2648</v>
      </c>
      <c r="Q2916" s="1" t="s">
        <v>16627</v>
      </c>
      <c r="R2916" s="1" t="s">
        <v>16628</v>
      </c>
      <c r="S2916" s="1" t="s">
        <v>16629</v>
      </c>
      <c r="T2916" s="1" t="s">
        <v>4304</v>
      </c>
      <c r="U2916" s="1" t="s">
        <v>16630</v>
      </c>
    </row>
    <row r="2917" customFormat="false" ht="13.8" hidden="false" customHeight="false" outlineLevel="0" collapsed="false">
      <c r="A2917" s="1" t="n">
        <v>2916</v>
      </c>
      <c r="B2917" s="2" t="s">
        <v>16631</v>
      </c>
      <c r="C2917" s="1" t="n">
        <v>5</v>
      </c>
      <c r="D2917" s="1" t="n">
        <v>11</v>
      </c>
      <c r="E2917" s="1" t="n">
        <v>16</v>
      </c>
      <c r="F2917" s="1" t="n">
        <v>27</v>
      </c>
      <c r="G2917" s="1" t="n">
        <v>40</v>
      </c>
      <c r="H2917" s="1" t="n">
        <v>45</v>
      </c>
      <c r="I2917" s="1" t="str">
        <f aca="false">RIGHT(("0"&amp;C2917),2)&amp;RIGHT(("0"&amp;D2917),2)&amp;RIGHT(("0"&amp;E2917),2)&amp;RIGHT(("0"&amp;F2917),2)&amp;RIGHT(("0"&amp;G2917),2)&amp;RIGHT(("0"&amp;H2917),2)</f>
        <v>051116274045</v>
      </c>
      <c r="J2917" s="1" t="n">
        <f aca="false">COUNTIF(I:I,I2917)</f>
        <v>1</v>
      </c>
      <c r="K2917" s="1" t="n">
        <v>0</v>
      </c>
      <c r="M2917" s="1" t="s">
        <v>23</v>
      </c>
      <c r="N2917" s="1" t="n">
        <v>53</v>
      </c>
      <c r="O2917" s="1" t="s">
        <v>16632</v>
      </c>
      <c r="P2917" s="1" t="n">
        <v>3368</v>
      </c>
      <c r="Q2917" s="1" t="s">
        <v>16633</v>
      </c>
      <c r="R2917" s="1" t="s">
        <v>16634</v>
      </c>
      <c r="S2917" s="1" t="s">
        <v>16635</v>
      </c>
      <c r="T2917" s="1" t="s">
        <v>4309</v>
      </c>
      <c r="U2917" s="1" t="s">
        <v>16636</v>
      </c>
    </row>
    <row r="2918" customFormat="false" ht="13.8" hidden="false" customHeight="false" outlineLevel="0" collapsed="false">
      <c r="A2918" s="1" t="n">
        <v>2917</v>
      </c>
      <c r="B2918" s="2" t="s">
        <v>16637</v>
      </c>
      <c r="C2918" s="1" t="n">
        <v>6</v>
      </c>
      <c r="D2918" s="1" t="n">
        <v>19</v>
      </c>
      <c r="E2918" s="1" t="n">
        <v>38</v>
      </c>
      <c r="F2918" s="1" t="n">
        <v>41</v>
      </c>
      <c r="G2918" s="1" t="n">
        <v>46</v>
      </c>
      <c r="H2918" s="1" t="n">
        <v>57</v>
      </c>
      <c r="I2918" s="1" t="str">
        <f aca="false">RIGHT(("0"&amp;C2918),2)&amp;RIGHT(("0"&amp;D2918),2)&amp;RIGHT(("0"&amp;E2918),2)&amp;RIGHT(("0"&amp;F2918),2)&amp;RIGHT(("0"&amp;G2918),2)&amp;RIGHT(("0"&amp;H2918),2)</f>
        <v>061938414657</v>
      </c>
      <c r="J2918" s="1" t="n">
        <f aca="false">COUNTIF(I:I,I2918)</f>
        <v>1</v>
      </c>
      <c r="K2918" s="1" t="n">
        <v>0</v>
      </c>
      <c r="M2918" s="1" t="s">
        <v>23</v>
      </c>
      <c r="N2918" s="1" t="n">
        <v>48</v>
      </c>
      <c r="O2918" s="1" t="s">
        <v>16638</v>
      </c>
      <c r="P2918" s="1" t="n">
        <v>3456</v>
      </c>
      <c r="Q2918" s="1" t="s">
        <v>16639</v>
      </c>
      <c r="R2918" s="1" t="s">
        <v>16640</v>
      </c>
      <c r="S2918" s="1" t="s">
        <v>16641</v>
      </c>
      <c r="T2918" s="1" t="s">
        <v>7574</v>
      </c>
      <c r="U2918" s="1" t="s">
        <v>16642</v>
      </c>
    </row>
    <row r="2919" customFormat="false" ht="13.8" hidden="false" customHeight="false" outlineLevel="0" collapsed="false">
      <c r="A2919" s="1" t="n">
        <v>2918</v>
      </c>
      <c r="B2919" s="2" t="s">
        <v>16643</v>
      </c>
      <c r="C2919" s="1" t="n">
        <v>11</v>
      </c>
      <c r="D2919" s="1" t="n">
        <v>27</v>
      </c>
      <c r="E2919" s="1" t="n">
        <v>31</v>
      </c>
      <c r="F2919" s="1" t="n">
        <v>41</v>
      </c>
      <c r="G2919" s="1" t="n">
        <v>48</v>
      </c>
      <c r="H2919" s="1" t="n">
        <v>54</v>
      </c>
      <c r="I2919" s="1" t="str">
        <f aca="false">RIGHT(("0"&amp;C2919),2)&amp;RIGHT(("0"&amp;D2919),2)&amp;RIGHT(("0"&amp;E2919),2)&amp;RIGHT(("0"&amp;F2919),2)&amp;RIGHT(("0"&amp;G2919),2)&amp;RIGHT(("0"&amp;H2919),2)</f>
        <v>112731414854</v>
      </c>
      <c r="J2919" s="1" t="n">
        <f aca="false">COUNTIF(I:I,I2919)</f>
        <v>1</v>
      </c>
      <c r="K2919" s="1" t="n">
        <v>0</v>
      </c>
      <c r="M2919" s="1" t="s">
        <v>23</v>
      </c>
      <c r="N2919" s="1" t="n">
        <v>46</v>
      </c>
      <c r="O2919" s="1" t="s">
        <v>16644</v>
      </c>
      <c r="P2919" s="1" t="n">
        <v>2859</v>
      </c>
      <c r="Q2919" s="1" t="s">
        <v>16645</v>
      </c>
      <c r="R2919" s="1" t="s">
        <v>16646</v>
      </c>
      <c r="S2919" s="1" t="s">
        <v>16647</v>
      </c>
      <c r="T2919" s="1" t="s">
        <v>4319</v>
      </c>
      <c r="U2919" s="1" t="s">
        <v>16648</v>
      </c>
    </row>
    <row r="2920" customFormat="false" ht="13.8" hidden="false" customHeight="false" outlineLevel="0" collapsed="false">
      <c r="A2920" s="1" t="n">
        <v>2919</v>
      </c>
      <c r="B2920" s="2" t="s">
        <v>16649</v>
      </c>
      <c r="C2920" s="1" t="n">
        <v>3</v>
      </c>
      <c r="D2920" s="1" t="n">
        <v>26</v>
      </c>
      <c r="E2920" s="1" t="n">
        <v>28</v>
      </c>
      <c r="F2920" s="1" t="n">
        <v>37</v>
      </c>
      <c r="G2920" s="1" t="n">
        <v>42</v>
      </c>
      <c r="H2920" s="1" t="n">
        <v>53</v>
      </c>
      <c r="I2920" s="1" t="str">
        <f aca="false">RIGHT(("0"&amp;C2920),2)&amp;RIGHT(("0"&amp;D2920),2)&amp;RIGHT(("0"&amp;E2920),2)&amp;RIGHT(("0"&amp;F2920),2)&amp;RIGHT(("0"&amp;G2920),2)&amp;RIGHT(("0"&amp;H2920),2)</f>
        <v>032628374253</v>
      </c>
      <c r="J2920" s="1" t="n">
        <f aca="false">COUNTIF(I:I,I2920)</f>
        <v>1</v>
      </c>
      <c r="K2920" s="1" t="n">
        <v>0</v>
      </c>
      <c r="M2920" s="1" t="s">
        <v>23</v>
      </c>
      <c r="N2920" s="1" t="n">
        <v>66</v>
      </c>
      <c r="O2920" s="1" t="s">
        <v>16650</v>
      </c>
      <c r="P2920" s="1" t="n">
        <v>4131</v>
      </c>
      <c r="Q2920" s="1" t="s">
        <v>16651</v>
      </c>
      <c r="R2920" s="1" t="s">
        <v>16652</v>
      </c>
      <c r="S2920" s="1" t="s">
        <v>16653</v>
      </c>
      <c r="T2920" s="1" t="s">
        <v>8842</v>
      </c>
      <c r="U2920" s="1" t="s">
        <v>16654</v>
      </c>
    </row>
    <row r="2921" customFormat="false" ht="13.8" hidden="false" customHeight="false" outlineLevel="0" collapsed="false">
      <c r="A2921" s="1" t="n">
        <v>2920</v>
      </c>
      <c r="B2921" s="2" t="s">
        <v>16655</v>
      </c>
      <c r="C2921" s="1" t="n">
        <v>8</v>
      </c>
      <c r="D2921" s="1" t="n">
        <v>12</v>
      </c>
      <c r="E2921" s="1" t="n">
        <v>16</v>
      </c>
      <c r="F2921" s="1" t="n">
        <v>19</v>
      </c>
      <c r="G2921" s="1" t="n">
        <v>31</v>
      </c>
      <c r="H2921" s="1" t="n">
        <v>58</v>
      </c>
      <c r="I2921" s="1" t="str">
        <f aca="false">RIGHT(("0"&amp;C2921),2)&amp;RIGHT(("0"&amp;D2921),2)&amp;RIGHT(("0"&amp;E2921),2)&amp;RIGHT(("0"&amp;F2921),2)&amp;RIGHT(("0"&amp;G2921),2)&amp;RIGHT(("0"&amp;H2921),2)</f>
        <v>081216193158</v>
      </c>
      <c r="J2921" s="1" t="n">
        <f aca="false">COUNTIF(I:I,I2921)</f>
        <v>1</v>
      </c>
      <c r="K2921" s="1" t="n">
        <v>1</v>
      </c>
      <c r="L2921" s="1" t="s">
        <v>8637</v>
      </c>
      <c r="M2921" s="1" t="s">
        <v>16656</v>
      </c>
      <c r="N2921" s="1" t="n">
        <v>117</v>
      </c>
      <c r="O2921" s="1" t="s">
        <v>16657</v>
      </c>
      <c r="P2921" s="1" t="n">
        <v>6677</v>
      </c>
      <c r="Q2921" s="1" t="s">
        <v>16658</v>
      </c>
      <c r="R2921" s="1" t="s">
        <v>23</v>
      </c>
      <c r="S2921" s="1" t="s">
        <v>16659</v>
      </c>
      <c r="T2921" s="1" t="s">
        <v>4337</v>
      </c>
      <c r="U2921" s="1" t="s">
        <v>16660</v>
      </c>
    </row>
    <row r="2922" customFormat="false" ht="13.8" hidden="false" customHeight="false" outlineLevel="0" collapsed="false">
      <c r="A2922" s="1" t="n">
        <v>2921</v>
      </c>
      <c r="B2922" s="2" t="s">
        <v>16661</v>
      </c>
      <c r="C2922" s="1" t="n">
        <v>9</v>
      </c>
      <c r="D2922" s="1" t="n">
        <v>12</v>
      </c>
      <c r="E2922" s="1" t="n">
        <v>14</v>
      </c>
      <c r="F2922" s="1" t="n">
        <v>16</v>
      </c>
      <c r="G2922" s="1" t="n">
        <v>26</v>
      </c>
      <c r="H2922" s="1" t="n">
        <v>36</v>
      </c>
      <c r="I2922" s="1" t="str">
        <f aca="false">RIGHT(("0"&amp;C2922),2)&amp;RIGHT(("0"&amp;D2922),2)&amp;RIGHT(("0"&amp;E2922),2)&amp;RIGHT(("0"&amp;F2922),2)&amp;RIGHT(("0"&amp;G2922),2)&amp;RIGHT(("0"&amp;H2922),2)</f>
        <v>091214162636</v>
      </c>
      <c r="J2922" s="1" t="n">
        <f aca="false">COUNTIF(I:I,I2922)</f>
        <v>1</v>
      </c>
      <c r="K2922" s="1" t="n">
        <v>0</v>
      </c>
      <c r="M2922" s="1" t="s">
        <v>23</v>
      </c>
      <c r="N2922" s="1" t="n">
        <v>32</v>
      </c>
      <c r="O2922" s="1" t="s">
        <v>16662</v>
      </c>
      <c r="P2922" s="1" t="n">
        <v>2240</v>
      </c>
      <c r="Q2922" s="1" t="s">
        <v>16663</v>
      </c>
      <c r="R2922" s="1" t="s">
        <v>16664</v>
      </c>
      <c r="S2922" s="1" t="s">
        <v>16665</v>
      </c>
      <c r="T2922" s="1" t="s">
        <v>4991</v>
      </c>
      <c r="U2922" s="1" t="s">
        <v>16666</v>
      </c>
    </row>
    <row r="2923" customFormat="false" ht="13.8" hidden="false" customHeight="false" outlineLevel="0" collapsed="false">
      <c r="A2923" s="1" t="n">
        <v>2922</v>
      </c>
      <c r="B2923" s="2" t="s">
        <v>16667</v>
      </c>
      <c r="C2923" s="1" t="n">
        <v>4</v>
      </c>
      <c r="D2923" s="1" t="n">
        <v>23</v>
      </c>
      <c r="E2923" s="1" t="n">
        <v>30</v>
      </c>
      <c r="F2923" s="1" t="n">
        <v>39</v>
      </c>
      <c r="G2923" s="1" t="n">
        <v>40</v>
      </c>
      <c r="H2923" s="1" t="n">
        <v>41</v>
      </c>
      <c r="I2923" s="1" t="str">
        <f aca="false">RIGHT(("0"&amp;C2923),2)&amp;RIGHT(("0"&amp;D2923),2)&amp;RIGHT(("0"&amp;E2923),2)&amp;RIGHT(("0"&amp;F2923),2)&amp;RIGHT(("0"&amp;G2923),2)&amp;RIGHT(("0"&amp;H2923),2)</f>
        <v>042330394041</v>
      </c>
      <c r="J2923" s="1" t="n">
        <f aca="false">COUNTIF(I:I,I2923)</f>
        <v>1</v>
      </c>
      <c r="K2923" s="1" t="n">
        <v>0</v>
      </c>
      <c r="M2923" s="1" t="s">
        <v>23</v>
      </c>
      <c r="N2923" s="1" t="n">
        <v>13</v>
      </c>
      <c r="O2923" s="1" t="s">
        <v>16668</v>
      </c>
      <c r="P2923" s="1" t="n">
        <v>1454</v>
      </c>
      <c r="Q2923" s="1" t="s">
        <v>16669</v>
      </c>
      <c r="R2923" s="1" t="s">
        <v>16670</v>
      </c>
      <c r="S2923" s="1" t="s">
        <v>16671</v>
      </c>
      <c r="T2923" s="1" t="s">
        <v>3727</v>
      </c>
      <c r="U2923" s="1" t="s">
        <v>16672</v>
      </c>
    </row>
    <row r="2924" customFormat="false" ht="13.8" hidden="false" customHeight="false" outlineLevel="0" collapsed="false">
      <c r="A2924" s="1" t="n">
        <v>2923</v>
      </c>
      <c r="B2924" s="2" t="s">
        <v>16673</v>
      </c>
      <c r="C2924" s="1" t="n">
        <v>18</v>
      </c>
      <c r="D2924" s="1" t="n">
        <v>27</v>
      </c>
      <c r="E2924" s="1" t="n">
        <v>32</v>
      </c>
      <c r="F2924" s="1" t="n">
        <v>39</v>
      </c>
      <c r="G2924" s="1" t="n">
        <v>55</v>
      </c>
      <c r="H2924" s="1" t="n">
        <v>56</v>
      </c>
      <c r="I2924" s="1" t="str">
        <f aca="false">RIGHT(("0"&amp;C2924),2)&amp;RIGHT(("0"&amp;D2924),2)&amp;RIGHT(("0"&amp;E2924),2)&amp;RIGHT(("0"&amp;F2924),2)&amp;RIGHT(("0"&amp;G2924),2)&amp;RIGHT(("0"&amp;H2924),2)</f>
        <v>182732395556</v>
      </c>
      <c r="J2924" s="1" t="n">
        <f aca="false">COUNTIF(I:I,I2924)</f>
        <v>1</v>
      </c>
      <c r="K2924" s="1" t="n">
        <v>0</v>
      </c>
      <c r="M2924" s="1" t="s">
        <v>23</v>
      </c>
      <c r="N2924" s="1" t="n">
        <v>29</v>
      </c>
      <c r="O2924" s="1" t="s">
        <v>16674</v>
      </c>
      <c r="P2924" s="1" t="n">
        <v>2749</v>
      </c>
      <c r="Q2924" s="1" t="s">
        <v>16675</v>
      </c>
      <c r="R2924" s="1" t="s">
        <v>16676</v>
      </c>
      <c r="S2924" s="1" t="s">
        <v>16677</v>
      </c>
      <c r="T2924" s="1" t="s">
        <v>4273</v>
      </c>
      <c r="U2924" s="1" t="s">
        <v>16678</v>
      </c>
    </row>
    <row r="2925" customFormat="false" ht="13.8" hidden="false" customHeight="false" outlineLevel="0" collapsed="false">
      <c r="A2925" s="1" t="n">
        <v>2924</v>
      </c>
      <c r="B2925" s="2" t="s">
        <v>16679</v>
      </c>
      <c r="C2925" s="1" t="n">
        <v>10</v>
      </c>
      <c r="D2925" s="1" t="n">
        <v>19</v>
      </c>
      <c r="E2925" s="1" t="n">
        <v>30</v>
      </c>
      <c r="F2925" s="1" t="n">
        <v>40</v>
      </c>
      <c r="G2925" s="1" t="n">
        <v>48</v>
      </c>
      <c r="H2925" s="1" t="n">
        <v>54</v>
      </c>
      <c r="I2925" s="1" t="str">
        <f aca="false">RIGHT(("0"&amp;C2925),2)&amp;RIGHT(("0"&amp;D2925),2)&amp;RIGHT(("0"&amp;E2925),2)&amp;RIGHT(("0"&amp;F2925),2)&amp;RIGHT(("0"&amp;G2925),2)&amp;RIGHT(("0"&amp;H2925),2)</f>
        <v>101930404854</v>
      </c>
      <c r="J2925" s="1" t="n">
        <f aca="false">COUNTIF(I:I,I2925)</f>
        <v>1</v>
      </c>
      <c r="K2925" s="1" t="n">
        <v>1</v>
      </c>
      <c r="L2925" s="1" t="s">
        <v>16680</v>
      </c>
      <c r="M2925" s="1" t="s">
        <v>16681</v>
      </c>
      <c r="N2925" s="1" t="n">
        <v>24</v>
      </c>
      <c r="O2925" s="1" t="s">
        <v>16682</v>
      </c>
      <c r="P2925" s="1" t="n">
        <v>2134</v>
      </c>
      <c r="Q2925" s="1" t="s">
        <v>16683</v>
      </c>
      <c r="R2925" s="1" t="s">
        <v>16684</v>
      </c>
      <c r="S2925" s="1" t="s">
        <v>16685</v>
      </c>
      <c r="T2925" s="1" t="s">
        <v>4299</v>
      </c>
      <c r="U2925" s="1" t="s">
        <v>16686</v>
      </c>
    </row>
    <row r="2926" customFormat="false" ht="13.8" hidden="false" customHeight="false" outlineLevel="0" collapsed="false">
      <c r="A2926" s="1" t="n">
        <v>2925</v>
      </c>
      <c r="B2926" s="2" t="s">
        <v>16687</v>
      </c>
      <c r="C2926" s="1" t="n">
        <v>7</v>
      </c>
      <c r="D2926" s="1" t="n">
        <v>9</v>
      </c>
      <c r="E2926" s="1" t="n">
        <v>12</v>
      </c>
      <c r="F2926" s="1" t="n">
        <v>13</v>
      </c>
      <c r="G2926" s="1" t="n">
        <v>24</v>
      </c>
      <c r="H2926" s="1" t="n">
        <v>27</v>
      </c>
      <c r="I2926" s="1" t="str">
        <f aca="false">RIGHT(("0"&amp;C2926),2)&amp;RIGHT(("0"&amp;D2926),2)&amp;RIGHT(("0"&amp;E2926),2)&amp;RIGHT(("0"&amp;F2926),2)&amp;RIGHT(("0"&amp;G2926),2)&amp;RIGHT(("0"&amp;H2926),2)</f>
        <v>070912132427</v>
      </c>
      <c r="J2926" s="1" t="n">
        <f aca="false">COUNTIF(I:I,I2926)</f>
        <v>1</v>
      </c>
      <c r="K2926" s="1" t="n">
        <v>0</v>
      </c>
      <c r="M2926" s="1" t="s">
        <v>23</v>
      </c>
      <c r="N2926" s="1" t="n">
        <v>171</v>
      </c>
      <c r="O2926" s="1" t="s">
        <v>16688</v>
      </c>
      <c r="P2926" s="1" t="n">
        <v>8228</v>
      </c>
      <c r="Q2926" s="1" t="s">
        <v>16689</v>
      </c>
      <c r="R2926" s="1" t="s">
        <v>16690</v>
      </c>
      <c r="S2926" s="1" t="s">
        <v>16691</v>
      </c>
      <c r="T2926" s="1" t="s">
        <v>5281</v>
      </c>
      <c r="U2926" s="1" t="s">
        <v>16692</v>
      </c>
    </row>
    <row r="2927" customFormat="false" ht="13.8" hidden="false" customHeight="false" outlineLevel="0" collapsed="false">
      <c r="A2927" s="1" t="n">
        <v>2926</v>
      </c>
      <c r="B2927" s="2" t="s">
        <v>16693</v>
      </c>
      <c r="C2927" s="1" t="n">
        <v>3</v>
      </c>
      <c r="D2927" s="1" t="n">
        <v>4</v>
      </c>
      <c r="E2927" s="1" t="n">
        <v>14</v>
      </c>
      <c r="F2927" s="1" t="n">
        <v>35</v>
      </c>
      <c r="G2927" s="1" t="n">
        <v>45</v>
      </c>
      <c r="H2927" s="1" t="n">
        <v>49</v>
      </c>
      <c r="I2927" s="1" t="str">
        <f aca="false">RIGHT(("0"&amp;C2927),2)&amp;RIGHT(("0"&amp;D2927),2)&amp;RIGHT(("0"&amp;E2927),2)&amp;RIGHT(("0"&amp;F2927),2)&amp;RIGHT(("0"&amp;G2927),2)&amp;RIGHT(("0"&amp;H2927),2)</f>
        <v>030414354549</v>
      </c>
      <c r="J2927" s="1" t="n">
        <f aca="false">COUNTIF(I:I,I2927)</f>
        <v>1</v>
      </c>
      <c r="K2927" s="1" t="n">
        <v>0</v>
      </c>
      <c r="M2927" s="1" t="s">
        <v>23</v>
      </c>
      <c r="N2927" s="1" t="n">
        <v>35</v>
      </c>
      <c r="O2927" s="1" t="s">
        <v>16694</v>
      </c>
      <c r="P2927" s="1" t="n">
        <v>2886</v>
      </c>
      <c r="Q2927" s="1" t="s">
        <v>16695</v>
      </c>
      <c r="R2927" s="1" t="s">
        <v>16696</v>
      </c>
      <c r="S2927" s="1" t="s">
        <v>16697</v>
      </c>
      <c r="T2927" s="1" t="s">
        <v>4304</v>
      </c>
      <c r="U2927" s="1" t="s">
        <v>16698</v>
      </c>
    </row>
    <row r="2928" customFormat="false" ht="13.8" hidden="false" customHeight="false" outlineLevel="0" collapsed="false">
      <c r="A2928" s="1" t="n">
        <v>2927</v>
      </c>
      <c r="B2928" s="2" t="s">
        <v>16699</v>
      </c>
      <c r="C2928" s="1" t="n">
        <v>11</v>
      </c>
      <c r="D2928" s="1" t="n">
        <v>27</v>
      </c>
      <c r="E2928" s="1" t="n">
        <v>34</v>
      </c>
      <c r="F2928" s="1" t="n">
        <v>55</v>
      </c>
      <c r="G2928" s="1" t="n">
        <v>56</v>
      </c>
      <c r="H2928" s="1" t="n">
        <v>58</v>
      </c>
      <c r="I2928" s="1" t="str">
        <f aca="false">RIGHT(("0"&amp;C2928),2)&amp;RIGHT(("0"&amp;D2928),2)&amp;RIGHT(("0"&amp;E2928),2)&amp;RIGHT(("0"&amp;F2928),2)&amp;RIGHT(("0"&amp;G2928),2)&amp;RIGHT(("0"&amp;H2928),2)</f>
        <v>112734555658</v>
      </c>
      <c r="J2928" s="1" t="n">
        <f aca="false">COUNTIF(I:I,I2928)</f>
        <v>1</v>
      </c>
      <c r="K2928" s="1" t="n">
        <v>0</v>
      </c>
      <c r="M2928" s="1" t="s">
        <v>23</v>
      </c>
      <c r="N2928" s="1" t="n">
        <v>43</v>
      </c>
      <c r="O2928" s="1" t="s">
        <v>16700</v>
      </c>
      <c r="P2928" s="1" t="n">
        <v>3322</v>
      </c>
      <c r="Q2928" s="1" t="s">
        <v>16701</v>
      </c>
      <c r="R2928" s="1" t="s">
        <v>16702</v>
      </c>
      <c r="S2928" s="1" t="s">
        <v>16703</v>
      </c>
      <c r="T2928" s="1" t="s">
        <v>4309</v>
      </c>
      <c r="U2928" s="1" t="s">
        <v>16704</v>
      </c>
    </row>
    <row r="2929" customFormat="false" ht="13.8" hidden="false" customHeight="false" outlineLevel="0" collapsed="false">
      <c r="A2929" s="1" t="n">
        <v>2928</v>
      </c>
      <c r="B2929" s="2" t="s">
        <v>16705</v>
      </c>
      <c r="C2929" s="1" t="n">
        <v>14</v>
      </c>
      <c r="D2929" s="1" t="n">
        <v>24</v>
      </c>
      <c r="E2929" s="1" t="n">
        <v>29</v>
      </c>
      <c r="F2929" s="1" t="n">
        <v>32</v>
      </c>
      <c r="G2929" s="1" t="n">
        <v>46</v>
      </c>
      <c r="H2929" s="1" t="n">
        <v>48</v>
      </c>
      <c r="I2929" s="1" t="str">
        <f aca="false">RIGHT(("0"&amp;C2929),2)&amp;RIGHT(("0"&amp;D2929),2)&amp;RIGHT(("0"&amp;E2929),2)&amp;RIGHT(("0"&amp;F2929),2)&amp;RIGHT(("0"&amp;G2929),2)&amp;RIGHT(("0"&amp;H2929),2)</f>
        <v>142429324648</v>
      </c>
      <c r="J2929" s="1" t="n">
        <f aca="false">COUNTIF(I:I,I2929)</f>
        <v>1</v>
      </c>
      <c r="K2929" s="1" t="n">
        <v>0</v>
      </c>
      <c r="M2929" s="1" t="s">
        <v>23</v>
      </c>
      <c r="N2929" s="1" t="n">
        <v>49</v>
      </c>
      <c r="O2929" s="1" t="s">
        <v>16706</v>
      </c>
      <c r="P2929" s="1" t="n">
        <v>3987</v>
      </c>
      <c r="Q2929" s="1" t="s">
        <v>16707</v>
      </c>
      <c r="R2929" s="1" t="s">
        <v>16708</v>
      </c>
      <c r="S2929" s="1" t="s">
        <v>16709</v>
      </c>
      <c r="T2929" s="1" t="s">
        <v>7574</v>
      </c>
      <c r="U2929" s="1" t="s">
        <v>16710</v>
      </c>
    </row>
    <row r="2930" customFormat="false" ht="13.8" hidden="false" customHeight="false" outlineLevel="0" collapsed="false">
      <c r="A2930" s="1" t="n">
        <v>2929</v>
      </c>
      <c r="B2930" s="2" t="s">
        <v>16711</v>
      </c>
      <c r="C2930" s="1" t="n">
        <v>3</v>
      </c>
      <c r="D2930" s="1" t="n">
        <v>7</v>
      </c>
      <c r="E2930" s="1" t="n">
        <v>8</v>
      </c>
      <c r="F2930" s="1" t="n">
        <v>34</v>
      </c>
      <c r="G2930" s="1" t="n">
        <v>35</v>
      </c>
      <c r="H2930" s="1" t="n">
        <v>51</v>
      </c>
      <c r="I2930" s="1" t="str">
        <f aca="false">RIGHT(("0"&amp;C2930),2)&amp;RIGHT(("0"&amp;D2930),2)&amp;RIGHT(("0"&amp;E2930),2)&amp;RIGHT(("0"&amp;F2930),2)&amp;RIGHT(("0"&amp;G2930),2)&amp;RIGHT(("0"&amp;H2930),2)</f>
        <v>030708343551</v>
      </c>
      <c r="J2930" s="1" t="n">
        <f aca="false">COUNTIF(I:I,I2930)</f>
        <v>1</v>
      </c>
      <c r="K2930" s="1" t="n">
        <v>0</v>
      </c>
      <c r="M2930" s="1" t="s">
        <v>23</v>
      </c>
      <c r="N2930" s="1" t="n">
        <v>55</v>
      </c>
      <c r="O2930" s="1" t="s">
        <v>16712</v>
      </c>
      <c r="P2930" s="1" t="n">
        <v>4762</v>
      </c>
      <c r="Q2930" s="1" t="s">
        <v>16713</v>
      </c>
      <c r="R2930" s="1" t="s">
        <v>16714</v>
      </c>
      <c r="S2930" s="1" t="s">
        <v>16715</v>
      </c>
      <c r="T2930" s="1" t="s">
        <v>15194</v>
      </c>
      <c r="U2930" s="1" t="s">
        <v>16716</v>
      </c>
    </row>
    <row r="2931" customFormat="false" ht="13.8" hidden="false" customHeight="false" outlineLevel="0" collapsed="false">
      <c r="A2931" s="1" t="n">
        <v>2930</v>
      </c>
      <c r="B2931" s="2" t="s">
        <v>16717</v>
      </c>
      <c r="C2931" s="1" t="n">
        <v>1</v>
      </c>
      <c r="D2931" s="1" t="n">
        <v>11</v>
      </c>
      <c r="E2931" s="1" t="n">
        <v>13</v>
      </c>
      <c r="F2931" s="1" t="n">
        <v>14</v>
      </c>
      <c r="G2931" s="1" t="n">
        <v>36</v>
      </c>
      <c r="H2931" s="1" t="n">
        <v>45</v>
      </c>
      <c r="I2931" s="1" t="str">
        <f aca="false">RIGHT(("0"&amp;C2931),2)&amp;RIGHT(("0"&amp;D2931),2)&amp;RIGHT(("0"&amp;E2931),2)&amp;RIGHT(("0"&amp;F2931),2)&amp;RIGHT(("0"&amp;G2931),2)&amp;RIGHT(("0"&amp;H2931),2)</f>
        <v>011113143645</v>
      </c>
      <c r="J2931" s="1" t="n">
        <f aca="false">COUNTIF(I:I,I2931)</f>
        <v>1</v>
      </c>
      <c r="K2931" s="1" t="n">
        <v>0</v>
      </c>
      <c r="M2931" s="1" t="s">
        <v>23</v>
      </c>
      <c r="N2931" s="1" t="n">
        <v>70</v>
      </c>
      <c r="O2931" s="1" t="s">
        <v>16718</v>
      </c>
      <c r="P2931" s="1" t="n">
        <v>5175</v>
      </c>
      <c r="Q2931" s="1" t="s">
        <v>16719</v>
      </c>
      <c r="R2931" s="1" t="s">
        <v>16720</v>
      </c>
      <c r="S2931" s="1" t="s">
        <v>16721</v>
      </c>
      <c r="T2931" s="1" t="s">
        <v>6045</v>
      </c>
      <c r="U2931" s="1" t="s">
        <v>16722</v>
      </c>
    </row>
    <row r="2932" customFormat="false" ht="13.8" hidden="false" customHeight="false" outlineLevel="0" collapsed="false">
      <c r="A2932" s="1" t="n">
        <v>2931</v>
      </c>
      <c r="B2932" s="2" t="s">
        <v>16723</v>
      </c>
      <c r="C2932" s="1" t="n">
        <v>4</v>
      </c>
      <c r="D2932" s="1" t="n">
        <v>19</v>
      </c>
      <c r="E2932" s="1" t="n">
        <v>23</v>
      </c>
      <c r="F2932" s="1" t="n">
        <v>36</v>
      </c>
      <c r="G2932" s="1" t="n">
        <v>47</v>
      </c>
      <c r="H2932" s="1" t="n">
        <v>52</v>
      </c>
      <c r="I2932" s="1" t="str">
        <f aca="false">RIGHT(("0"&amp;C2932),2)&amp;RIGHT(("0"&amp;D2932),2)&amp;RIGHT(("0"&amp;E2932),2)&amp;RIGHT(("0"&amp;F2932),2)&amp;RIGHT(("0"&amp;G2932),2)&amp;RIGHT(("0"&amp;H2932),2)</f>
        <v>041923364752</v>
      </c>
      <c r="J2932" s="1" t="n">
        <f aca="false">COUNTIF(I:I,I2932)</f>
        <v>1</v>
      </c>
      <c r="K2932" s="1" t="n">
        <v>0</v>
      </c>
      <c r="M2932" s="1" t="s">
        <v>23</v>
      </c>
      <c r="N2932" s="1" t="n">
        <v>138</v>
      </c>
      <c r="O2932" s="1" t="s">
        <v>16724</v>
      </c>
      <c r="P2932" s="1" t="n">
        <v>6897</v>
      </c>
      <c r="Q2932" s="1" t="s">
        <v>16725</v>
      </c>
      <c r="R2932" s="1" t="s">
        <v>16726</v>
      </c>
      <c r="S2932" s="1" t="s">
        <v>16727</v>
      </c>
      <c r="T2932" s="1" t="s">
        <v>12809</v>
      </c>
      <c r="U2932" s="1" t="s">
        <v>16728</v>
      </c>
    </row>
    <row r="2933" customFormat="false" ht="13.8" hidden="false" customHeight="false" outlineLevel="0" collapsed="false">
      <c r="A2933" s="1" t="n">
        <v>2932</v>
      </c>
      <c r="B2933" s="2" t="s">
        <v>16729</v>
      </c>
      <c r="C2933" s="1" t="n">
        <v>4</v>
      </c>
      <c r="D2933" s="1" t="n">
        <v>13</v>
      </c>
      <c r="E2933" s="1" t="n">
        <v>25</v>
      </c>
      <c r="F2933" s="1" t="n">
        <v>36</v>
      </c>
      <c r="G2933" s="1" t="n">
        <v>40</v>
      </c>
      <c r="H2933" s="1" t="n">
        <v>53</v>
      </c>
      <c r="I2933" s="1" t="str">
        <f aca="false">RIGHT(("0"&amp;C2933),2)&amp;RIGHT(("0"&amp;D2933),2)&amp;RIGHT(("0"&amp;E2933),2)&amp;RIGHT(("0"&amp;F2933),2)&amp;RIGHT(("0"&amp;G2933),2)&amp;RIGHT(("0"&amp;H2933),2)</f>
        <v>041325364053</v>
      </c>
      <c r="J2933" s="1" t="n">
        <f aca="false">COUNTIF(I:I,I2933)</f>
        <v>1</v>
      </c>
      <c r="K2933" s="1" t="n">
        <v>1</v>
      </c>
      <c r="L2933" s="1" t="s">
        <v>16730</v>
      </c>
      <c r="M2933" s="1" t="s">
        <v>16731</v>
      </c>
      <c r="N2933" s="1" t="n">
        <v>144</v>
      </c>
      <c r="O2933" s="1" t="s">
        <v>16732</v>
      </c>
      <c r="P2933" s="1" t="n">
        <v>6869</v>
      </c>
      <c r="Q2933" s="1" t="s">
        <v>16733</v>
      </c>
      <c r="R2933" s="1" t="s">
        <v>23</v>
      </c>
      <c r="S2933" s="1" t="s">
        <v>16734</v>
      </c>
      <c r="T2933" s="1" t="s">
        <v>4337</v>
      </c>
      <c r="U2933" s="1" t="s">
        <v>16735</v>
      </c>
    </row>
    <row r="2934" customFormat="false" ht="13.8" hidden="false" customHeight="false" outlineLevel="0" collapsed="false">
      <c r="A2934" s="1" t="n">
        <v>2933</v>
      </c>
      <c r="B2934" s="2" t="s">
        <v>16736</v>
      </c>
      <c r="C2934" s="1" t="n">
        <v>1</v>
      </c>
      <c r="D2934" s="1" t="n">
        <v>18</v>
      </c>
      <c r="E2934" s="1" t="n">
        <v>22</v>
      </c>
      <c r="F2934" s="1" t="n">
        <v>42</v>
      </c>
      <c r="G2934" s="1" t="n">
        <v>48</v>
      </c>
      <c r="H2934" s="1" t="n">
        <v>50</v>
      </c>
      <c r="I2934" s="1" t="str">
        <f aca="false">RIGHT(("0"&amp;C2934),2)&amp;RIGHT(("0"&amp;D2934),2)&amp;RIGHT(("0"&amp;E2934),2)&amp;RIGHT(("0"&amp;F2934),2)&amp;RIGHT(("0"&amp;G2934),2)&amp;RIGHT(("0"&amp;H2934),2)</f>
        <v>011822424850</v>
      </c>
      <c r="J2934" s="1" t="n">
        <f aca="false">COUNTIF(I:I,I2934)</f>
        <v>1</v>
      </c>
      <c r="K2934" s="1" t="n">
        <v>0</v>
      </c>
      <c r="M2934" s="1" t="s">
        <v>23</v>
      </c>
      <c r="N2934" s="1" t="n">
        <v>12</v>
      </c>
      <c r="O2934" s="1" t="s">
        <v>16737</v>
      </c>
      <c r="P2934" s="1" t="n">
        <v>1231</v>
      </c>
      <c r="Q2934" s="1" t="s">
        <v>16738</v>
      </c>
      <c r="R2934" s="1" t="s">
        <v>16739</v>
      </c>
      <c r="S2934" s="1" t="s">
        <v>16740</v>
      </c>
      <c r="T2934" s="1" t="s">
        <v>4232</v>
      </c>
      <c r="U2934" s="1" t="s">
        <v>16741</v>
      </c>
    </row>
    <row r="2935" customFormat="false" ht="13.8" hidden="false" customHeight="false" outlineLevel="0" collapsed="false">
      <c r="A2935" s="1" t="n">
        <v>2934</v>
      </c>
      <c r="B2935" s="2" t="s">
        <v>16742</v>
      </c>
      <c r="C2935" s="1" t="n">
        <v>9</v>
      </c>
      <c r="D2935" s="1" t="n">
        <v>17</v>
      </c>
      <c r="E2935" s="1" t="n">
        <v>23</v>
      </c>
      <c r="F2935" s="1" t="n">
        <v>26</v>
      </c>
      <c r="G2935" s="1" t="n">
        <v>33</v>
      </c>
      <c r="H2935" s="1" t="n">
        <v>59</v>
      </c>
      <c r="I2935" s="1" t="str">
        <f aca="false">RIGHT(("0"&amp;C2935),2)&amp;RIGHT(("0"&amp;D2935),2)&amp;RIGHT(("0"&amp;E2935),2)&amp;RIGHT(("0"&amp;F2935),2)&amp;RIGHT(("0"&amp;G2935),2)&amp;RIGHT(("0"&amp;H2935),2)</f>
        <v>091723263359</v>
      </c>
      <c r="J2935" s="1" t="n">
        <f aca="false">COUNTIF(I:I,I2935)</f>
        <v>1</v>
      </c>
      <c r="K2935" s="1" t="n">
        <v>0</v>
      </c>
      <c r="M2935" s="1" t="s">
        <v>23</v>
      </c>
      <c r="N2935" s="1" t="n">
        <v>31</v>
      </c>
      <c r="O2935" s="1" t="s">
        <v>16743</v>
      </c>
      <c r="P2935" s="1" t="n">
        <v>2803</v>
      </c>
      <c r="Q2935" s="1" t="s">
        <v>16744</v>
      </c>
      <c r="R2935" s="1" t="s">
        <v>16745</v>
      </c>
      <c r="S2935" s="1" t="s">
        <v>16746</v>
      </c>
      <c r="T2935" s="1" t="s">
        <v>5686</v>
      </c>
      <c r="U2935" s="1" t="s">
        <v>16747</v>
      </c>
    </row>
    <row r="2936" customFormat="false" ht="13.8" hidden="false" customHeight="false" outlineLevel="0" collapsed="false">
      <c r="A2936" s="1" t="n">
        <v>2935</v>
      </c>
      <c r="B2936" s="2" t="s">
        <v>16748</v>
      </c>
      <c r="C2936" s="1" t="n">
        <v>9</v>
      </c>
      <c r="D2936" s="1" t="n">
        <v>18</v>
      </c>
      <c r="E2936" s="1" t="n">
        <v>28</v>
      </c>
      <c r="F2936" s="1" t="n">
        <v>34</v>
      </c>
      <c r="G2936" s="1" t="n">
        <v>38</v>
      </c>
      <c r="H2936" s="1" t="n">
        <v>57</v>
      </c>
      <c r="I2936" s="1" t="str">
        <f aca="false">RIGHT(("0"&amp;C2936),2)&amp;RIGHT(("0"&amp;D2936),2)&amp;RIGHT(("0"&amp;E2936),2)&amp;RIGHT(("0"&amp;F2936),2)&amp;RIGHT(("0"&amp;G2936),2)&amp;RIGHT(("0"&amp;H2936),2)</f>
        <v>091828343857</v>
      </c>
      <c r="J2936" s="1" t="n">
        <f aca="false">COUNTIF(I:I,I2936)</f>
        <v>1</v>
      </c>
      <c r="K2936" s="1" t="n">
        <v>0</v>
      </c>
      <c r="M2936" s="1" t="s">
        <v>23</v>
      </c>
      <c r="N2936" s="1" t="n">
        <v>45</v>
      </c>
      <c r="O2936" s="1" t="s">
        <v>16749</v>
      </c>
      <c r="P2936" s="1" t="n">
        <v>3341</v>
      </c>
      <c r="Q2936" s="1" t="s">
        <v>16750</v>
      </c>
      <c r="R2936" s="1" t="s">
        <v>16751</v>
      </c>
      <c r="S2936" s="1" t="s">
        <v>16752</v>
      </c>
      <c r="T2936" s="1" t="s">
        <v>7567</v>
      </c>
      <c r="U2936" s="1" t="s">
        <v>16753</v>
      </c>
    </row>
    <row r="2937" customFormat="false" ht="13.8" hidden="false" customHeight="false" outlineLevel="0" collapsed="false">
      <c r="A2937" s="1" t="n">
        <v>2936</v>
      </c>
      <c r="B2937" s="2" t="s">
        <v>16754</v>
      </c>
      <c r="C2937" s="1" t="n">
        <v>4</v>
      </c>
      <c r="D2937" s="1" t="n">
        <v>7</v>
      </c>
      <c r="E2937" s="1" t="n">
        <v>9</v>
      </c>
      <c r="F2937" s="1" t="n">
        <v>15</v>
      </c>
      <c r="G2937" s="1" t="n">
        <v>29</v>
      </c>
      <c r="H2937" s="1" t="n">
        <v>32</v>
      </c>
      <c r="I2937" s="1" t="str">
        <f aca="false">RIGHT(("0"&amp;C2937),2)&amp;RIGHT(("0"&amp;D2937),2)&amp;RIGHT(("0"&amp;E2937),2)&amp;RIGHT(("0"&amp;F2937),2)&amp;RIGHT(("0"&amp;G2937),2)&amp;RIGHT(("0"&amp;H2937),2)</f>
        <v>040709152932</v>
      </c>
      <c r="J2937" s="1" t="n">
        <f aca="false">COUNTIF(I:I,I2937)</f>
        <v>1</v>
      </c>
      <c r="K2937" s="1" t="n">
        <v>0</v>
      </c>
      <c r="M2937" s="1" t="s">
        <v>23</v>
      </c>
      <c r="N2937" s="1" t="n">
        <v>61</v>
      </c>
      <c r="O2937" s="1" t="s">
        <v>16755</v>
      </c>
      <c r="P2937" s="1" t="n">
        <v>5298</v>
      </c>
      <c r="Q2937" s="1" t="s">
        <v>16756</v>
      </c>
      <c r="R2937" s="1" t="s">
        <v>16757</v>
      </c>
      <c r="S2937" s="1" t="s">
        <v>16758</v>
      </c>
      <c r="T2937" s="1" t="s">
        <v>7574</v>
      </c>
      <c r="U2937" s="1" t="s">
        <v>16759</v>
      </c>
    </row>
    <row r="2938" customFormat="false" ht="13.8" hidden="false" customHeight="false" outlineLevel="0" collapsed="false">
      <c r="A2938" s="1" t="n">
        <v>2937</v>
      </c>
      <c r="B2938" s="2" t="s">
        <v>16760</v>
      </c>
      <c r="C2938" s="1" t="n">
        <v>12</v>
      </c>
      <c r="D2938" s="1" t="n">
        <v>17</v>
      </c>
      <c r="E2938" s="1" t="n">
        <v>26</v>
      </c>
      <c r="F2938" s="1" t="n">
        <v>34</v>
      </c>
      <c r="G2938" s="1" t="n">
        <v>44</v>
      </c>
      <c r="H2938" s="1" t="n">
        <v>52</v>
      </c>
      <c r="I2938" s="1" t="str">
        <f aca="false">RIGHT(("0"&amp;C2938),2)&amp;RIGHT(("0"&amp;D2938),2)&amp;RIGHT(("0"&amp;E2938),2)&amp;RIGHT(("0"&amp;F2938),2)&amp;RIGHT(("0"&amp;G2938),2)&amp;RIGHT(("0"&amp;H2938),2)</f>
        <v>121726344452</v>
      </c>
      <c r="J2938" s="1" t="n">
        <f aca="false">COUNTIF(I:I,I2938)</f>
        <v>1</v>
      </c>
      <c r="K2938" s="1" t="n">
        <v>0</v>
      </c>
      <c r="M2938" s="1" t="s">
        <v>23</v>
      </c>
      <c r="N2938" s="1" t="n">
        <v>68</v>
      </c>
      <c r="O2938" s="1" t="s">
        <v>16761</v>
      </c>
      <c r="P2938" s="1" t="n">
        <v>4467</v>
      </c>
      <c r="Q2938" s="1" t="s">
        <v>16762</v>
      </c>
      <c r="R2938" s="1" t="s">
        <v>16763</v>
      </c>
      <c r="S2938" s="1" t="s">
        <v>16764</v>
      </c>
      <c r="T2938" s="1" t="s">
        <v>5255</v>
      </c>
      <c r="U2938" s="1" t="s">
        <v>16765</v>
      </c>
    </row>
    <row r="2939" customFormat="false" ht="13.8" hidden="false" customHeight="false" outlineLevel="0" collapsed="false">
      <c r="A2939" s="1" t="n">
        <v>2938</v>
      </c>
      <c r="B2939" s="2" t="s">
        <v>16766</v>
      </c>
      <c r="C2939" s="1" t="n">
        <v>10</v>
      </c>
      <c r="D2939" s="1" t="n">
        <v>14</v>
      </c>
      <c r="E2939" s="1" t="n">
        <v>15</v>
      </c>
      <c r="F2939" s="1" t="n">
        <v>35</v>
      </c>
      <c r="G2939" s="1" t="n">
        <v>44</v>
      </c>
      <c r="H2939" s="1" t="n">
        <v>56</v>
      </c>
      <c r="I2939" s="1" t="str">
        <f aca="false">RIGHT(("0"&amp;C2939),2)&amp;RIGHT(("0"&amp;D2939),2)&amp;RIGHT(("0"&amp;E2939),2)&amp;RIGHT(("0"&amp;F2939),2)&amp;RIGHT(("0"&amp;G2939),2)&amp;RIGHT(("0"&amp;H2939),2)</f>
        <v>101415354456</v>
      </c>
      <c r="J2939" s="1" t="n">
        <f aca="false">COUNTIF(I:I,I2939)</f>
        <v>1</v>
      </c>
      <c r="K2939" s="1" t="n">
        <v>0</v>
      </c>
      <c r="M2939" s="1" t="s">
        <v>23</v>
      </c>
      <c r="N2939" s="1" t="n">
        <v>65</v>
      </c>
      <c r="O2939" s="1" t="s">
        <v>16767</v>
      </c>
      <c r="P2939" s="1" t="n">
        <v>4955</v>
      </c>
      <c r="Q2939" s="1" t="s">
        <v>16768</v>
      </c>
      <c r="R2939" s="1" t="s">
        <v>16769</v>
      </c>
      <c r="S2939" s="1" t="s">
        <v>16770</v>
      </c>
      <c r="T2939" s="1" t="s">
        <v>8835</v>
      </c>
      <c r="U2939" s="1" t="s">
        <v>16771</v>
      </c>
    </row>
    <row r="2940" customFormat="false" ht="13.8" hidden="false" customHeight="false" outlineLevel="0" collapsed="false">
      <c r="A2940" s="1" t="n">
        <v>2939</v>
      </c>
      <c r="B2940" s="2" t="s">
        <v>16772</v>
      </c>
      <c r="C2940" s="1" t="n">
        <v>22</v>
      </c>
      <c r="D2940" s="1" t="n">
        <v>31</v>
      </c>
      <c r="E2940" s="1" t="n">
        <v>33</v>
      </c>
      <c r="F2940" s="1" t="n">
        <v>37</v>
      </c>
      <c r="G2940" s="1" t="n">
        <v>42</v>
      </c>
      <c r="H2940" s="1" t="n">
        <v>49</v>
      </c>
      <c r="I2940" s="1" t="str">
        <f aca="false">RIGHT(("0"&amp;C2940),2)&amp;RIGHT(("0"&amp;D2940),2)&amp;RIGHT(("0"&amp;E2940),2)&amp;RIGHT(("0"&amp;F2940),2)&amp;RIGHT(("0"&amp;G2940),2)&amp;RIGHT(("0"&amp;H2940),2)</f>
        <v>223133374249</v>
      </c>
      <c r="J2940" s="1" t="n">
        <f aca="false">COUNTIF(I:I,I2940)</f>
        <v>1</v>
      </c>
      <c r="K2940" s="1" t="n">
        <v>0</v>
      </c>
      <c r="M2940" s="1" t="s">
        <v>23</v>
      </c>
      <c r="N2940" s="1" t="n">
        <v>77</v>
      </c>
      <c r="O2940" s="1" t="s">
        <v>16773</v>
      </c>
      <c r="P2940" s="1" t="n">
        <v>4159</v>
      </c>
      <c r="Q2940" s="1" t="s">
        <v>16774</v>
      </c>
      <c r="R2940" s="1" t="s">
        <v>16775</v>
      </c>
      <c r="S2940" s="1" t="s">
        <v>16776</v>
      </c>
      <c r="T2940" s="1" t="s">
        <v>9535</v>
      </c>
      <c r="U2940" s="1" t="s">
        <v>16777</v>
      </c>
    </row>
    <row r="2941" customFormat="false" ht="13.8" hidden="false" customHeight="false" outlineLevel="0" collapsed="false">
      <c r="A2941" s="1" t="n">
        <v>2940</v>
      </c>
      <c r="B2941" s="2" t="s">
        <v>16778</v>
      </c>
      <c r="C2941" s="1" t="n">
        <v>7</v>
      </c>
      <c r="D2941" s="1" t="n">
        <v>8</v>
      </c>
      <c r="E2941" s="1" t="n">
        <v>9</v>
      </c>
      <c r="F2941" s="1" t="n">
        <v>13</v>
      </c>
      <c r="G2941" s="1" t="n">
        <v>22</v>
      </c>
      <c r="H2941" s="1" t="n">
        <v>53</v>
      </c>
      <c r="I2941" s="1" t="str">
        <f aca="false">RIGHT(("0"&amp;C2941),2)&amp;RIGHT(("0"&amp;D2941),2)&amp;RIGHT(("0"&amp;E2941),2)&amp;RIGHT(("0"&amp;F2941),2)&amp;RIGHT(("0"&amp;G2941),2)&amp;RIGHT(("0"&amp;H2941),2)</f>
        <v>070809132253</v>
      </c>
      <c r="J2941" s="1" t="n">
        <f aca="false">COUNTIF(I:I,I2941)</f>
        <v>1</v>
      </c>
      <c r="K2941" s="1" t="n">
        <v>1</v>
      </c>
      <c r="L2941" s="1" t="s">
        <v>8637</v>
      </c>
      <c r="M2941" s="1" t="s">
        <v>16779</v>
      </c>
      <c r="N2941" s="1" t="n">
        <v>170</v>
      </c>
      <c r="O2941" s="1" t="s">
        <v>16780</v>
      </c>
      <c r="P2941" s="1" t="n">
        <v>13794</v>
      </c>
      <c r="Q2941" s="1" t="s">
        <v>16781</v>
      </c>
      <c r="R2941" s="1" t="s">
        <v>23</v>
      </c>
      <c r="S2941" s="1" t="s">
        <v>16782</v>
      </c>
      <c r="T2941" s="1" t="s">
        <v>4337</v>
      </c>
      <c r="U2941" s="1" t="s">
        <v>16783</v>
      </c>
    </row>
    <row r="2942" customFormat="false" ht="13.8" hidden="false" customHeight="false" outlineLevel="0" collapsed="false">
      <c r="A2942" s="1" t="n">
        <v>2941</v>
      </c>
      <c r="B2942" s="2" t="s">
        <v>16784</v>
      </c>
      <c r="C2942" s="1" t="n">
        <v>14</v>
      </c>
      <c r="D2942" s="1" t="n">
        <v>30</v>
      </c>
      <c r="E2942" s="1" t="n">
        <v>33</v>
      </c>
      <c r="F2942" s="1" t="n">
        <v>35</v>
      </c>
      <c r="G2942" s="1" t="n">
        <v>48</v>
      </c>
      <c r="H2942" s="1" t="n">
        <v>51</v>
      </c>
      <c r="I2942" s="1" t="str">
        <f aca="false">RIGHT(("0"&amp;C2942),2)&amp;RIGHT(("0"&amp;D2942),2)&amp;RIGHT(("0"&amp;E2942),2)&amp;RIGHT(("0"&amp;F2942),2)&amp;RIGHT(("0"&amp;G2942),2)&amp;RIGHT(("0"&amp;H2942),2)</f>
        <v>143033354851</v>
      </c>
      <c r="J2942" s="1" t="n">
        <f aca="false">COUNTIF(I:I,I2942)</f>
        <v>1</v>
      </c>
      <c r="K2942" s="1" t="n">
        <v>0</v>
      </c>
      <c r="M2942" s="1" t="s">
        <v>23</v>
      </c>
      <c r="N2942" s="1" t="n">
        <v>24</v>
      </c>
      <c r="O2942" s="1" t="s">
        <v>16785</v>
      </c>
      <c r="P2942" s="1" t="n">
        <v>1523</v>
      </c>
      <c r="Q2942" s="1" t="s">
        <v>16786</v>
      </c>
      <c r="R2942" s="1" t="s">
        <v>16787</v>
      </c>
      <c r="S2942" s="1" t="s">
        <v>16788</v>
      </c>
      <c r="T2942" s="1" t="s">
        <v>4195</v>
      </c>
      <c r="U2942" s="1" t="s">
        <v>16789</v>
      </c>
    </row>
    <row r="2943" customFormat="false" ht="13.8" hidden="false" customHeight="false" outlineLevel="0" collapsed="false">
      <c r="A2943" s="1" t="n">
        <v>2942</v>
      </c>
      <c r="B2943" s="2" t="s">
        <v>16790</v>
      </c>
      <c r="C2943" s="1" t="n">
        <v>12</v>
      </c>
      <c r="D2943" s="1" t="n">
        <v>30</v>
      </c>
      <c r="E2943" s="1" t="n">
        <v>40</v>
      </c>
      <c r="F2943" s="1" t="n">
        <v>46</v>
      </c>
      <c r="G2943" s="1" t="n">
        <v>54</v>
      </c>
      <c r="H2943" s="1" t="n">
        <v>60</v>
      </c>
      <c r="I2943" s="1" t="str">
        <f aca="false">RIGHT(("0"&amp;C2943),2)&amp;RIGHT(("0"&amp;D2943),2)&amp;RIGHT(("0"&amp;E2943),2)&amp;RIGHT(("0"&amp;F2943),2)&amp;RIGHT(("0"&amp;G2943),2)&amp;RIGHT(("0"&amp;H2943),2)</f>
        <v>123040465460</v>
      </c>
      <c r="J2943" s="1" t="n">
        <f aca="false">COUNTIF(I:I,I2943)</f>
        <v>1</v>
      </c>
      <c r="K2943" s="1" t="n">
        <v>0</v>
      </c>
      <c r="M2943" s="1" t="s">
        <v>23</v>
      </c>
      <c r="N2943" s="1" t="n">
        <v>26</v>
      </c>
      <c r="O2943" s="1" t="s">
        <v>16791</v>
      </c>
      <c r="P2943" s="1" t="n">
        <v>2092</v>
      </c>
      <c r="Q2943" s="1" t="s">
        <v>16792</v>
      </c>
      <c r="R2943" s="1" t="s">
        <v>16793</v>
      </c>
      <c r="S2943" s="1" t="s">
        <v>16794</v>
      </c>
      <c r="T2943" s="1" t="s">
        <v>4241</v>
      </c>
      <c r="U2943" s="1" t="s">
        <v>16795</v>
      </c>
    </row>
    <row r="2944" customFormat="false" ht="13.8" hidden="false" customHeight="false" outlineLevel="0" collapsed="false">
      <c r="A2944" s="1" t="n">
        <v>2943</v>
      </c>
      <c r="B2944" s="2" t="s">
        <v>16796</v>
      </c>
      <c r="C2944" s="1" t="n">
        <v>8</v>
      </c>
      <c r="D2944" s="1" t="n">
        <v>29</v>
      </c>
      <c r="E2944" s="1" t="n">
        <v>30</v>
      </c>
      <c r="F2944" s="1" t="n">
        <v>36</v>
      </c>
      <c r="G2944" s="1" t="n">
        <v>39</v>
      </c>
      <c r="H2944" s="1" t="n">
        <v>60</v>
      </c>
      <c r="I2944" s="1" t="str">
        <f aca="false">RIGHT(("0"&amp;C2944),2)&amp;RIGHT(("0"&amp;D2944),2)&amp;RIGHT(("0"&amp;E2944),2)&amp;RIGHT(("0"&amp;F2944),2)&amp;RIGHT(("0"&amp;G2944),2)&amp;RIGHT(("0"&amp;H2944),2)</f>
        <v>082930363960</v>
      </c>
      <c r="J2944" s="1" t="n">
        <f aca="false">COUNTIF(I:I,I2944)</f>
        <v>1</v>
      </c>
      <c r="K2944" s="1" t="n">
        <v>1</v>
      </c>
      <c r="L2944" s="1" t="s">
        <v>12490</v>
      </c>
      <c r="M2944" s="1" t="s">
        <v>16797</v>
      </c>
      <c r="N2944" s="1" t="n">
        <v>21</v>
      </c>
      <c r="O2944" s="1" t="s">
        <v>16798</v>
      </c>
      <c r="P2944" s="1" t="n">
        <v>1720</v>
      </c>
      <c r="Q2944" s="1" t="s">
        <v>16799</v>
      </c>
      <c r="R2944" s="1" t="s">
        <v>23</v>
      </c>
      <c r="S2944" s="1" t="s">
        <v>16800</v>
      </c>
      <c r="T2944" s="1" t="s">
        <v>4337</v>
      </c>
      <c r="U2944" s="1" t="s">
        <v>16801</v>
      </c>
    </row>
    <row r="2945" customFormat="false" ht="13.8" hidden="false" customHeight="false" outlineLevel="0" collapsed="false">
      <c r="A2945" s="1" t="n">
        <v>2944</v>
      </c>
      <c r="B2945" s="2" t="s">
        <v>16802</v>
      </c>
      <c r="C2945" s="1" t="n">
        <v>8</v>
      </c>
      <c r="D2945" s="1" t="n">
        <v>15</v>
      </c>
      <c r="E2945" s="1" t="n">
        <v>23</v>
      </c>
      <c r="F2945" s="1" t="n">
        <v>39</v>
      </c>
      <c r="G2945" s="1" t="n">
        <v>40</v>
      </c>
      <c r="H2945" s="1" t="n">
        <v>59</v>
      </c>
      <c r="I2945" s="1" t="str">
        <f aca="false">RIGHT(("0"&amp;C2945),2)&amp;RIGHT(("0"&amp;D2945),2)&amp;RIGHT(("0"&amp;E2945),2)&amp;RIGHT(("0"&amp;F2945),2)&amp;RIGHT(("0"&amp;G2945),2)&amp;RIGHT(("0"&amp;H2945),2)</f>
        <v>081523394059</v>
      </c>
      <c r="J2945" s="1" t="n">
        <f aca="false">COUNTIF(I:I,I2945)</f>
        <v>1</v>
      </c>
      <c r="K2945" s="1" t="n">
        <v>0</v>
      </c>
      <c r="M2945" s="1" t="s">
        <v>23</v>
      </c>
      <c r="N2945" s="1" t="n">
        <v>13</v>
      </c>
      <c r="O2945" s="1" t="s">
        <v>16803</v>
      </c>
      <c r="P2945" s="1" t="n">
        <v>1536</v>
      </c>
      <c r="Q2945" s="1" t="s">
        <v>16804</v>
      </c>
      <c r="R2945" s="1" t="s">
        <v>16805</v>
      </c>
      <c r="S2945" s="1" t="s">
        <v>16806</v>
      </c>
      <c r="T2945" s="1" t="s">
        <v>5281</v>
      </c>
      <c r="U2945" s="1" t="s">
        <v>16807</v>
      </c>
    </row>
    <row r="2946" customFormat="false" ht="13.8" hidden="false" customHeight="false" outlineLevel="0" collapsed="false">
      <c r="A2946" s="1" t="n">
        <v>2945</v>
      </c>
      <c r="B2946" s="2" t="s">
        <v>16808</v>
      </c>
      <c r="C2946" s="1" t="n">
        <v>1</v>
      </c>
      <c r="D2946" s="1" t="n">
        <v>2</v>
      </c>
      <c r="E2946" s="1" t="n">
        <v>3</v>
      </c>
      <c r="F2946" s="1" t="n">
        <v>7</v>
      </c>
      <c r="G2946" s="1" t="n">
        <v>27</v>
      </c>
      <c r="H2946" s="1" t="n">
        <v>33</v>
      </c>
      <c r="I2946" s="1" t="str">
        <f aca="false">RIGHT(("0"&amp;C2946),2)&amp;RIGHT(("0"&amp;D2946),2)&amp;RIGHT(("0"&amp;E2946),2)&amp;RIGHT(("0"&amp;F2946),2)&amp;RIGHT(("0"&amp;G2946),2)&amp;RIGHT(("0"&amp;H2946),2)</f>
        <v>010203072733</v>
      </c>
      <c r="J2946" s="1" t="n">
        <f aca="false">COUNTIF(I:I,I2946)</f>
        <v>1</v>
      </c>
      <c r="K2946" s="1" t="n">
        <v>1</v>
      </c>
      <c r="L2946" s="1" t="s">
        <v>12247</v>
      </c>
      <c r="M2946" s="1" t="s">
        <v>16809</v>
      </c>
      <c r="N2946" s="1" t="n">
        <v>202</v>
      </c>
      <c r="O2946" s="1" t="s">
        <v>16810</v>
      </c>
      <c r="P2946" s="1" t="n">
        <v>10041</v>
      </c>
      <c r="Q2946" s="1" t="s">
        <v>16811</v>
      </c>
      <c r="R2946" s="1" t="s">
        <v>23</v>
      </c>
      <c r="S2946" s="1" t="s">
        <v>16812</v>
      </c>
      <c r="T2946" s="1" t="s">
        <v>4337</v>
      </c>
      <c r="U2946" s="1" t="s">
        <v>16813</v>
      </c>
    </row>
    <row r="2947" customFormat="false" ht="13.8" hidden="false" customHeight="false" outlineLevel="0" collapsed="false">
      <c r="A2947" s="1" t="n">
        <v>2946</v>
      </c>
      <c r="B2947" s="2" t="s">
        <v>16814</v>
      </c>
      <c r="C2947" s="1" t="n">
        <v>4</v>
      </c>
      <c r="D2947" s="1" t="n">
        <v>13</v>
      </c>
      <c r="E2947" s="1" t="n">
        <v>17</v>
      </c>
      <c r="F2947" s="1" t="n">
        <v>21</v>
      </c>
      <c r="G2947" s="1" t="n">
        <v>49</v>
      </c>
      <c r="H2947" s="1" t="n">
        <v>54</v>
      </c>
      <c r="I2947" s="1" t="str">
        <f aca="false">RIGHT(("0"&amp;C2947),2)&amp;RIGHT(("0"&amp;D2947),2)&amp;RIGHT(("0"&amp;E2947),2)&amp;RIGHT(("0"&amp;F2947),2)&amp;RIGHT(("0"&amp;G2947),2)&amp;RIGHT(("0"&amp;H2947),2)</f>
        <v>041317214954</v>
      </c>
      <c r="J2947" s="1" t="n">
        <f aca="false">COUNTIF(I:I,I2947)</f>
        <v>1</v>
      </c>
      <c r="K2947" s="1" t="n">
        <v>0</v>
      </c>
      <c r="M2947" s="1" t="s">
        <v>23</v>
      </c>
      <c r="N2947" s="1" t="n">
        <v>48</v>
      </c>
      <c r="O2947" s="1" t="s">
        <v>16815</v>
      </c>
      <c r="P2947" s="1" t="n">
        <v>2672</v>
      </c>
      <c r="Q2947" s="1" t="s">
        <v>16816</v>
      </c>
      <c r="R2947" s="1" t="s">
        <v>16817</v>
      </c>
      <c r="S2947" s="1" t="s">
        <v>16818</v>
      </c>
      <c r="T2947" s="1" t="s">
        <v>4347</v>
      </c>
      <c r="U2947" s="1" t="s">
        <v>16819</v>
      </c>
    </row>
    <row r="2948" customFormat="false" ht="13.8" hidden="false" customHeight="false" outlineLevel="0" collapsed="false">
      <c r="A2948" s="1" t="n">
        <v>2947</v>
      </c>
      <c r="B2948" s="2" t="s">
        <v>16820</v>
      </c>
      <c r="C2948" s="1" t="n">
        <v>4</v>
      </c>
      <c r="D2948" s="1" t="n">
        <v>10</v>
      </c>
      <c r="E2948" s="1" t="n">
        <v>15</v>
      </c>
      <c r="F2948" s="1" t="n">
        <v>37</v>
      </c>
      <c r="G2948" s="1" t="n">
        <v>39</v>
      </c>
      <c r="H2948" s="1" t="n">
        <v>44</v>
      </c>
      <c r="I2948" s="1" t="str">
        <f aca="false">RIGHT(("0"&amp;C2948),2)&amp;RIGHT(("0"&amp;D2948),2)&amp;RIGHT(("0"&amp;E2948),2)&amp;RIGHT(("0"&amp;F2948),2)&amp;RIGHT(("0"&amp;G2948),2)&amp;RIGHT(("0"&amp;H2948),2)</f>
        <v>041015373944</v>
      </c>
      <c r="J2948" s="1" t="n">
        <f aca="false">COUNTIF(I:I,I2948)</f>
        <v>1</v>
      </c>
      <c r="K2948" s="1" t="n">
        <v>0</v>
      </c>
      <c r="M2948" s="1" t="s">
        <v>23</v>
      </c>
      <c r="N2948" s="1" t="n">
        <v>86</v>
      </c>
      <c r="O2948" s="1" t="s">
        <v>16821</v>
      </c>
      <c r="P2948" s="1" t="n">
        <v>2287</v>
      </c>
      <c r="Q2948" s="1" t="s">
        <v>16822</v>
      </c>
      <c r="R2948" s="1" t="s">
        <v>16823</v>
      </c>
      <c r="S2948" s="1" t="s">
        <v>16824</v>
      </c>
      <c r="T2948" s="1" t="s">
        <v>3727</v>
      </c>
      <c r="U2948" s="1" t="s">
        <v>16825</v>
      </c>
    </row>
    <row r="2949" customFormat="false" ht="13.8" hidden="false" customHeight="false" outlineLevel="0" collapsed="false">
      <c r="A2949" s="1" t="n">
        <v>2948</v>
      </c>
      <c r="B2949" s="2" t="s">
        <v>16826</v>
      </c>
      <c r="C2949" s="1" t="n">
        <v>6</v>
      </c>
      <c r="D2949" s="1" t="n">
        <v>24</v>
      </c>
      <c r="E2949" s="1" t="n">
        <v>37</v>
      </c>
      <c r="F2949" s="1" t="n">
        <v>52</v>
      </c>
      <c r="G2949" s="1" t="n">
        <v>53</v>
      </c>
      <c r="H2949" s="1" t="n">
        <v>58</v>
      </c>
      <c r="I2949" s="1" t="str">
        <f aca="false">RIGHT(("0"&amp;C2949),2)&amp;RIGHT(("0"&amp;D2949),2)&amp;RIGHT(("0"&amp;E2949),2)&amp;RIGHT(("0"&amp;F2949),2)&amp;RIGHT(("0"&amp;G2949),2)&amp;RIGHT(("0"&amp;H2949),2)</f>
        <v>062437525358</v>
      </c>
      <c r="J2949" s="1" t="n">
        <f aca="false">COUNTIF(I:I,I2949)</f>
        <v>1</v>
      </c>
      <c r="K2949" s="1" t="n">
        <v>0</v>
      </c>
      <c r="M2949" s="1" t="s">
        <v>23</v>
      </c>
      <c r="N2949" s="1" t="n">
        <v>42</v>
      </c>
      <c r="O2949" s="1" t="s">
        <v>16827</v>
      </c>
      <c r="P2949" s="1" t="n">
        <v>2726</v>
      </c>
      <c r="Q2949" s="1" t="s">
        <v>16828</v>
      </c>
      <c r="R2949" s="1" t="s">
        <v>16829</v>
      </c>
      <c r="S2949" s="1" t="s">
        <v>16830</v>
      </c>
      <c r="T2949" s="1" t="s">
        <v>4273</v>
      </c>
      <c r="U2949" s="1" t="s">
        <v>16831</v>
      </c>
    </row>
    <row r="2950" customFormat="false" ht="13.8" hidden="false" customHeight="false" outlineLevel="0" collapsed="false">
      <c r="A2950" s="1" t="n">
        <v>2949</v>
      </c>
      <c r="B2950" s="5" t="s">
        <v>16832</v>
      </c>
      <c r="C2950" s="1" t="n">
        <v>4</v>
      </c>
      <c r="D2950" s="1" t="n">
        <v>6</v>
      </c>
      <c r="E2950" s="1" t="n">
        <v>11</v>
      </c>
      <c r="F2950" s="1" t="n">
        <v>38</v>
      </c>
      <c r="G2950" s="1" t="n">
        <v>49</v>
      </c>
      <c r="H2950" s="1" t="n">
        <v>54</v>
      </c>
      <c r="I2950" s="1" t="str">
        <f aca="false">RIGHT(("0"&amp;C2950),2)&amp;RIGHT(("0"&amp;D2950),2)&amp;RIGHT(("0"&amp;E2950),2)&amp;RIGHT(("0"&amp;F2950),2)&amp;RIGHT(("0"&amp;G2950),2)&amp;RIGHT(("0"&amp;H2950),2)</f>
        <v>040611384954</v>
      </c>
      <c r="J2950" s="1" t="n">
        <f aca="false">COUNTIF(I:I,I2950)</f>
        <v>1</v>
      </c>
      <c r="K2950" s="1" t="n">
        <v>0</v>
      </c>
      <c r="M2950" s="1" t="s">
        <v>23</v>
      </c>
      <c r="N2950" s="1" t="n">
        <v>28</v>
      </c>
      <c r="O2950" s="1" t="s">
        <v>16833</v>
      </c>
      <c r="P2950" s="1" t="n">
        <v>2366</v>
      </c>
      <c r="Q2950" s="1" t="s">
        <v>16834</v>
      </c>
      <c r="R2950" s="1" t="s">
        <v>16835</v>
      </c>
      <c r="S2950" s="1" t="s">
        <v>16836</v>
      </c>
      <c r="T2950" s="1" t="s">
        <v>5294</v>
      </c>
      <c r="U2950" s="1" t="s">
        <v>16837</v>
      </c>
    </row>
    <row r="2951" customFormat="false" ht="13.8" hidden="false" customHeight="false" outlineLevel="0" collapsed="false">
      <c r="A2951" s="1" t="n">
        <v>2950</v>
      </c>
      <c r="B2951" s="5" t="s">
        <v>16838</v>
      </c>
      <c r="C2951" s="1" t="n">
        <v>21</v>
      </c>
      <c r="D2951" s="1" t="n">
        <v>23</v>
      </c>
      <c r="E2951" s="1" t="n">
        <v>42</v>
      </c>
      <c r="F2951" s="1" t="n">
        <v>49</v>
      </c>
      <c r="G2951" s="1" t="n">
        <v>50</v>
      </c>
      <c r="H2951" s="1" t="n">
        <v>60</v>
      </c>
      <c r="I2951" s="1" t="str">
        <f aca="false">RIGHT(("0"&amp;C2951),2)&amp;RIGHT(("0"&amp;D2951),2)&amp;RIGHT(("0"&amp;E2951),2)&amp;RIGHT(("0"&amp;F2951),2)&amp;RIGHT(("0"&amp;G2951),2)&amp;RIGHT(("0"&amp;H2951),2)</f>
        <v>212342495060</v>
      </c>
      <c r="J2951" s="1" t="n">
        <f aca="false">COUNTIF(I:I,I2951)</f>
        <v>1</v>
      </c>
      <c r="K2951" s="1" t="n">
        <v>0</v>
      </c>
      <c r="M2951" s="1" t="s">
        <v>23</v>
      </c>
      <c r="N2951" s="1" t="n">
        <v>25</v>
      </c>
      <c r="O2951" s="1" t="s">
        <v>16839</v>
      </c>
      <c r="P2951" s="1" t="n">
        <v>2016</v>
      </c>
      <c r="Q2951" s="1" t="s">
        <v>16840</v>
      </c>
      <c r="R2951" s="1" t="s">
        <v>16841</v>
      </c>
      <c r="S2951" s="1" t="s">
        <v>16842</v>
      </c>
      <c r="T2951" s="1" t="s">
        <v>8236</v>
      </c>
      <c r="U2951" s="1" t="s">
        <v>16843</v>
      </c>
    </row>
    <row r="2952" customFormat="false" ht="13.8" hidden="false" customHeight="false" outlineLevel="0" collapsed="false">
      <c r="A2952" s="1" t="n">
        <v>2951</v>
      </c>
      <c r="B2952" s="5" t="s">
        <v>16844</v>
      </c>
      <c r="C2952" s="1" t="n">
        <v>5</v>
      </c>
      <c r="D2952" s="1" t="n">
        <v>8</v>
      </c>
      <c r="E2952" s="1" t="n">
        <v>30</v>
      </c>
      <c r="F2952" s="1" t="n">
        <v>31</v>
      </c>
      <c r="G2952" s="1" t="n">
        <v>37</v>
      </c>
      <c r="H2952" s="1" t="n">
        <v>45</v>
      </c>
      <c r="I2952" s="1" t="str">
        <f aca="false">RIGHT(("0"&amp;C2952),2)&amp;RIGHT(("0"&amp;D2952),2)&amp;RIGHT(("0"&amp;E2952),2)&amp;RIGHT(("0"&amp;F2952),2)&amp;RIGHT(("0"&amp;G2952),2)&amp;RIGHT(("0"&amp;H2952),2)</f>
        <v>050830313745</v>
      </c>
      <c r="J2952" s="1" t="n">
        <f aca="false">COUNTIF(I:I,I2952)</f>
        <v>1</v>
      </c>
      <c r="K2952" s="1" t="n">
        <v>0</v>
      </c>
      <c r="M2952" s="1" t="s">
        <v>23</v>
      </c>
      <c r="N2952" s="1" t="n">
        <v>44</v>
      </c>
      <c r="O2952" s="1" t="s">
        <v>16845</v>
      </c>
      <c r="P2952" s="1" t="n">
        <v>3730</v>
      </c>
      <c r="Q2952" s="1" t="s">
        <v>16846</v>
      </c>
      <c r="R2952" s="1" t="s">
        <v>16847</v>
      </c>
      <c r="S2952" s="1" t="s">
        <v>16848</v>
      </c>
      <c r="T2952" s="1" t="s">
        <v>4727</v>
      </c>
      <c r="U2952" s="1" t="s">
        <v>16849</v>
      </c>
      <c r="XFD2952" s="6"/>
    </row>
    <row r="2953" customFormat="false" ht="13.8" hidden="false" customHeight="false" outlineLevel="0" collapsed="false">
      <c r="A2953" s="1" t="n">
        <v>2952</v>
      </c>
      <c r="B2953" s="5" t="s">
        <v>16850</v>
      </c>
      <c r="C2953" s="1" t="n">
        <v>1</v>
      </c>
      <c r="D2953" s="1" t="n">
        <v>20</v>
      </c>
      <c r="E2953" s="1" t="n">
        <v>45</v>
      </c>
      <c r="F2953" s="1" t="n">
        <v>48</v>
      </c>
      <c r="G2953" s="1" t="n">
        <v>51</v>
      </c>
      <c r="H2953" s="1" t="n">
        <v>58</v>
      </c>
      <c r="I2953" s="1" t="str">
        <f aca="false">RIGHT(("0"&amp;C2953),2)&amp;RIGHT(("0"&amp;D2953),2)&amp;RIGHT(("0"&amp;E2953),2)&amp;RIGHT(("0"&amp;F2953),2)&amp;RIGHT(("0"&amp;G2953),2)&amp;RIGHT(("0"&amp;H2953),2)</f>
        <v>012045485158</v>
      </c>
      <c r="J2953" s="1" t="n">
        <f aca="false">COUNTIF(I:I,I2953)</f>
        <v>1</v>
      </c>
      <c r="K2953" s="1" t="n">
        <v>0</v>
      </c>
      <c r="M2953" s="1" t="s">
        <v>23</v>
      </c>
      <c r="N2953" s="1" t="n">
        <v>16</v>
      </c>
      <c r="O2953" s="1" t="s">
        <v>16851</v>
      </c>
      <c r="P2953" s="1" t="n">
        <v>2041</v>
      </c>
      <c r="Q2953" s="1" t="s">
        <v>16852</v>
      </c>
      <c r="R2953" s="1" t="s">
        <v>16853</v>
      </c>
      <c r="S2953" s="1" t="s">
        <v>16854</v>
      </c>
      <c r="T2953" s="1" t="s">
        <v>10065</v>
      </c>
      <c r="U2953" s="1" t="s">
        <v>16855</v>
      </c>
      <c r="XFD2953" s="6"/>
    </row>
    <row r="2954" customFormat="false" ht="13.8" hidden="false" customHeight="false" outlineLevel="0" collapsed="false">
      <c r="A2954" s="1" t="n">
        <v>2953</v>
      </c>
      <c r="B2954" s="5" t="s">
        <v>16856</v>
      </c>
      <c r="C2954" s="1" t="n">
        <v>5</v>
      </c>
      <c r="D2954" s="1" t="n">
        <v>10</v>
      </c>
      <c r="E2954" s="1" t="n">
        <v>24</v>
      </c>
      <c r="F2954" s="1" t="n">
        <v>25</v>
      </c>
      <c r="G2954" s="1" t="n">
        <v>47</v>
      </c>
      <c r="H2954" s="1" t="n">
        <v>54</v>
      </c>
      <c r="I2954" s="1" t="str">
        <f aca="false">RIGHT(("0"&amp;C2954),2)&amp;RIGHT(("0"&amp;D2954),2)&amp;RIGHT(("0"&amp;E2954),2)&amp;RIGHT(("0"&amp;F2954),2)&amp;RIGHT(("0"&amp;G2954),2)&amp;RIGHT(("0"&amp;H2954),2)</f>
        <v>051024254754</v>
      </c>
      <c r="J2954" s="1" t="n">
        <f aca="false">COUNTIF(I:I,I2954)</f>
        <v>1</v>
      </c>
      <c r="K2954" s="1" t="n">
        <v>0</v>
      </c>
      <c r="M2954" s="1" t="s">
        <v>23</v>
      </c>
      <c r="N2954" s="1" t="n">
        <v>61</v>
      </c>
      <c r="O2954" s="1" t="s">
        <v>16857</v>
      </c>
      <c r="P2954" s="1" t="n">
        <v>4925</v>
      </c>
      <c r="Q2954" s="1" t="s">
        <v>16858</v>
      </c>
      <c r="R2954" s="1" t="s">
        <v>16859</v>
      </c>
      <c r="S2954" s="1" t="s">
        <v>16860</v>
      </c>
      <c r="T2954" s="1" t="s">
        <v>8336</v>
      </c>
      <c r="U2954" s="1" t="s">
        <v>16861</v>
      </c>
      <c r="XFD2954" s="6"/>
    </row>
    <row r="2955" customFormat="false" ht="13.8" hidden="false" customHeight="false" outlineLevel="0" collapsed="false">
      <c r="A2955" s="1" t="n">
        <v>2954</v>
      </c>
      <c r="B2955" s="5" t="s">
        <v>16862</v>
      </c>
      <c r="C2955" s="1" t="n">
        <v>1</v>
      </c>
      <c r="D2955" s="1" t="n">
        <v>9</v>
      </c>
      <c r="E2955" s="1" t="n">
        <v>37</v>
      </c>
      <c r="F2955" s="1" t="n">
        <v>39</v>
      </c>
      <c r="G2955" s="1" t="n">
        <v>42</v>
      </c>
      <c r="H2955" s="1" t="n">
        <v>44</v>
      </c>
      <c r="I2955" s="1" t="str">
        <f aca="false">RIGHT(("0"&amp;C2955),2)&amp;RIGHT(("0"&amp;D2955),2)&amp;RIGHT(("0"&amp;E2955),2)&amp;RIGHT(("0"&amp;F2955),2)&amp;RIGHT(("0"&amp;G2955),2)&amp;RIGHT(("0"&amp;H2955),2)</f>
        <v>010937394244</v>
      </c>
      <c r="J2955" s="1" t="n">
        <f aca="false">COUNTIF(I:I,I2955)</f>
        <v>1</v>
      </c>
      <c r="K2955" s="1" t="n">
        <v>0</v>
      </c>
      <c r="M2955" s="1" t="s">
        <v>23</v>
      </c>
      <c r="N2955" s="1" t="n">
        <v>38</v>
      </c>
      <c r="O2955" s="1" t="s">
        <v>16863</v>
      </c>
      <c r="P2955" s="1" t="n">
        <v>4069</v>
      </c>
      <c r="Q2955" s="1" t="s">
        <v>16864</v>
      </c>
      <c r="R2955" s="1" t="s">
        <v>16865</v>
      </c>
      <c r="S2955" s="1" t="s">
        <v>16866</v>
      </c>
      <c r="T2955" s="1" t="s">
        <v>16867</v>
      </c>
      <c r="U2955" s="1" t="s">
        <v>16865</v>
      </c>
      <c r="XFD2955" s="6"/>
    </row>
    <row r="2956" customFormat="false" ht="13.8" hidden="false" customHeight="false" outlineLevel="0" collapsed="false">
      <c r="A2956" s="1" t="n">
        <v>2955</v>
      </c>
      <c r="B2956" s="5" t="s">
        <v>16868</v>
      </c>
      <c r="C2956" s="1" t="n">
        <v>9</v>
      </c>
      <c r="D2956" s="1" t="n">
        <v>13</v>
      </c>
      <c r="E2956" s="1" t="n">
        <v>21</v>
      </c>
      <c r="F2956" s="1" t="n">
        <v>32</v>
      </c>
      <c r="G2956" s="1" t="n">
        <v>33</v>
      </c>
      <c r="H2956" s="1" t="n">
        <v>59</v>
      </c>
      <c r="I2956" s="1" t="str">
        <f aca="false">RIGHT(("0"&amp;C2956),2)&amp;RIGHT(("0"&amp;D2956),2)&amp;RIGHT(("0"&amp;E2956),2)&amp;RIGHT(("0"&amp;F2956),2)&amp;RIGHT(("0"&amp;G2956),2)&amp;RIGHT(("0"&amp;H2956),2)</f>
        <v>091321323359</v>
      </c>
      <c r="J2956" s="1" t="n">
        <f aca="false">COUNTIF(I:I,I2956)</f>
        <v>1</v>
      </c>
      <c r="K2956" s="1" t="n">
        <v>6</v>
      </c>
      <c r="XFD2956" s="6"/>
    </row>
    <row r="2957" customFormat="false" ht="13.8" hidden="false" customHeight="false" outlineLevel="0" collapsed="false">
      <c r="A2957" s="1" t="n">
        <v>2956</v>
      </c>
      <c r="B2957" s="5" t="s">
        <v>16869</v>
      </c>
      <c r="C2957" s="1" t="n">
        <v>10</v>
      </c>
      <c r="D2957" s="1" t="n">
        <v>18</v>
      </c>
      <c r="E2957" s="1" t="n">
        <v>21</v>
      </c>
      <c r="F2957" s="1" t="n">
        <v>24</v>
      </c>
      <c r="G2957" s="1" t="n">
        <v>43</v>
      </c>
      <c r="H2957" s="1" t="n">
        <v>47</v>
      </c>
      <c r="I2957" s="1" t="str">
        <f aca="false">RIGHT(("0"&amp;C2957),2)&amp;RIGHT(("0"&amp;D2957),2)&amp;RIGHT(("0"&amp;E2957),2)&amp;RIGHT(("0"&amp;F2957),2)&amp;RIGHT(("0"&amp;G2957),2)&amp;RIGHT(("0"&amp;H2957),2)</f>
        <v>101821244347</v>
      </c>
      <c r="J2957" s="1" t="n">
        <f aca="false">COUNTIF(I:I,I2957)</f>
        <v>1</v>
      </c>
      <c r="K2957" s="1" t="n">
        <v>0</v>
      </c>
    </row>
    <row r="2958" customFormat="false" ht="13.8" hidden="false" customHeight="false" outlineLevel="0" collapsed="false">
      <c r="A2958" s="1" t="n">
        <v>2957</v>
      </c>
      <c r="B2958" s="5" t="s">
        <v>16870</v>
      </c>
      <c r="C2958" s="1" t="n">
        <v>19</v>
      </c>
      <c r="D2958" s="1" t="n">
        <v>28</v>
      </c>
      <c r="E2958" s="1" t="n">
        <v>36</v>
      </c>
      <c r="F2958" s="1" t="n">
        <v>37</v>
      </c>
      <c r="G2958" s="1" t="n">
        <v>48</v>
      </c>
      <c r="H2958" s="1" t="n">
        <v>52</v>
      </c>
      <c r="I2958" s="1" t="str">
        <f aca="false">RIGHT(("0"&amp;C2958),2)&amp;RIGHT(("0"&amp;D2958),2)&amp;RIGHT(("0"&amp;E2958),2)&amp;RIGHT(("0"&amp;F2958),2)&amp;RIGHT(("0"&amp;G2958),2)&amp;RIGHT(("0"&amp;H2958),2)</f>
        <v>192836374852</v>
      </c>
      <c r="J2958" s="1" t="n">
        <f aca="false">COUNTIF(I:I,I2958)</f>
        <v>1</v>
      </c>
      <c r="K2958" s="1" t="n">
        <v>0</v>
      </c>
    </row>
    <row r="2959" customFormat="false" ht="13.8" hidden="false" customHeight="false" outlineLevel="0" collapsed="false">
      <c r="A2959" s="1" t="n">
        <v>2958</v>
      </c>
      <c r="B2959" s="5" t="s">
        <v>16871</v>
      </c>
      <c r="C2959" s="1" t="n">
        <v>7</v>
      </c>
      <c r="D2959" s="1" t="n">
        <v>9</v>
      </c>
      <c r="E2959" s="1" t="n">
        <v>14</v>
      </c>
      <c r="F2959" s="1" t="n">
        <v>35</v>
      </c>
      <c r="G2959" s="1" t="n">
        <v>42</v>
      </c>
      <c r="H2959" s="1" t="n">
        <v>49</v>
      </c>
      <c r="I2959" s="1" t="str">
        <f aca="false">RIGHT(("0"&amp;C2959),2)&amp;RIGHT(("0"&amp;D2959),2)&amp;RIGHT(("0"&amp;E2959),2)&amp;RIGHT(("0"&amp;F2959),2)&amp;RIGHT(("0"&amp;G2959),2)&amp;RIGHT(("0"&amp;H2959),2)</f>
        <v>070914354249</v>
      </c>
      <c r="J2959" s="1" t="n">
        <f aca="false">COUNTIF(I:I,I2959)</f>
        <v>1</v>
      </c>
      <c r="K2959" s="1" t="n">
        <v>0</v>
      </c>
    </row>
    <row r="2960" customFormat="false" ht="13.8" hidden="false" customHeight="false" outlineLevel="0" collapsed="false">
      <c r="A2960" s="1" t="n">
        <v>2959</v>
      </c>
      <c r="B2960" s="5" t="s">
        <v>16872</v>
      </c>
      <c r="C2960" s="1" t="n">
        <v>18</v>
      </c>
      <c r="D2960" s="1" t="n">
        <v>26</v>
      </c>
      <c r="E2960" s="1" t="n">
        <v>35</v>
      </c>
      <c r="F2960" s="1" t="n">
        <v>41</v>
      </c>
      <c r="G2960" s="1" t="n">
        <v>44</v>
      </c>
      <c r="H2960" s="1" t="n">
        <v>45</v>
      </c>
      <c r="I2960" s="1" t="str">
        <f aca="false">RIGHT(("0"&amp;C2960),2)&amp;RIGHT(("0"&amp;D2960),2)&amp;RIGHT(("0"&amp;E2960),2)&amp;RIGHT(("0"&amp;F2960),2)&amp;RIGHT(("0"&amp;G2960),2)&amp;RIGHT(("0"&amp;H2960),2)</f>
        <v>182635414445</v>
      </c>
      <c r="J2960" s="1" t="n">
        <f aca="false">COUNTIF(I:I,I2960)</f>
        <v>1</v>
      </c>
    </row>
    <row r="2961" customFormat="false" ht="13.8" hidden="false" customHeight="false" outlineLevel="0" collapsed="false">
      <c r="A2961" s="1" t="n">
        <v>2960</v>
      </c>
      <c r="B2961" s="5" t="s">
        <v>16873</v>
      </c>
      <c r="C2961" s="1" t="n">
        <v>3</v>
      </c>
      <c r="D2961" s="1" t="n">
        <v>13</v>
      </c>
      <c r="E2961" s="1" t="n">
        <v>15</v>
      </c>
      <c r="F2961" s="1" t="n">
        <v>16</v>
      </c>
      <c r="G2961" s="1" t="n">
        <v>46</v>
      </c>
      <c r="H2961" s="1" t="n">
        <v>47</v>
      </c>
      <c r="I2961" s="1" t="str">
        <f aca="false">RIGHT(("0"&amp;C2961),2)&amp;RIGHT(("0"&amp;D2961),2)&amp;RIGHT(("0"&amp;E2961),2)&amp;RIGHT(("0"&amp;F2961),2)&amp;RIGHT(("0"&amp;G2961),2)&amp;RIGHT(("0"&amp;H2961),2)</f>
        <v>031315164647</v>
      </c>
      <c r="J2961" s="1" t="n">
        <f aca="false">COUNTIF(I:I,I2961)</f>
        <v>1</v>
      </c>
    </row>
    <row r="2962" customFormat="false" ht="13.8" hidden="false" customHeight="false" outlineLevel="0" collapsed="false">
      <c r="A2962" s="1" t="n">
        <v>2961</v>
      </c>
      <c r="B2962" s="5" t="s">
        <v>16874</v>
      </c>
      <c r="C2962" s="1" t="n">
        <v>10</v>
      </c>
      <c r="D2962" s="1" t="n">
        <v>13</v>
      </c>
      <c r="E2962" s="1" t="n">
        <v>55</v>
      </c>
      <c r="F2962" s="1" t="n">
        <v>56</v>
      </c>
      <c r="G2962" s="1" t="n">
        <v>59</v>
      </c>
      <c r="H2962" s="1" t="n">
        <v>60</v>
      </c>
      <c r="I2962" s="1" t="str">
        <f aca="false">RIGHT(("0"&amp;C2962),2)&amp;RIGHT(("0"&amp;D2962),2)&amp;RIGHT(("0"&amp;E2962),2)&amp;RIGHT(("0"&amp;F2962),2)&amp;RIGHT(("0"&amp;G2962),2)&amp;RIGHT(("0"&amp;H2962),2)</f>
        <v>101355565960</v>
      </c>
      <c r="J2962" s="1" t="n">
        <f aca="false">COUNTIF(I:I,I2962)</f>
        <v>1</v>
      </c>
    </row>
    <row r="2963" customFormat="false" ht="13.8" hidden="false" customHeight="false" outlineLevel="0" collapsed="false">
      <c r="A2963" s="1" t="n">
        <v>2962</v>
      </c>
      <c r="B2963" s="5" t="s">
        <v>16875</v>
      </c>
      <c r="C2963" s="1" t="n">
        <v>6</v>
      </c>
      <c r="D2963" s="1" t="n">
        <v>29</v>
      </c>
      <c r="E2963" s="1" t="n">
        <v>33</v>
      </c>
      <c r="F2963" s="1" t="n">
        <v>38</v>
      </c>
      <c r="G2963" s="1" t="n">
        <v>53</v>
      </c>
      <c r="H2963" s="1" t="n">
        <v>56</v>
      </c>
      <c r="I2963" s="1" t="str">
        <f aca="false">RIGHT(("0"&amp;C2963),2)&amp;RIGHT(("0"&amp;D2963),2)&amp;RIGHT(("0"&amp;E2963),2)&amp;RIGHT(("0"&amp;F2963),2)&amp;RIGHT(("0"&amp;G2963),2)&amp;RIGHT(("0"&amp;H2963),2)</f>
        <v>062933385356</v>
      </c>
      <c r="J2963" s="1" t="n">
        <f aca="false">COUNTIF(I:I,I2963)</f>
        <v>1</v>
      </c>
    </row>
    <row r="2964" customFormat="false" ht="13.8" hidden="false" customHeight="false" outlineLevel="0" collapsed="false">
      <c r="A2964" s="1" t="n">
        <v>2963</v>
      </c>
      <c r="B2964" s="5" t="s">
        <v>16876</v>
      </c>
      <c r="C2964" s="1" t="n">
        <v>6</v>
      </c>
      <c r="D2964" s="1" t="n">
        <v>20</v>
      </c>
      <c r="E2964" s="1" t="n">
        <v>34</v>
      </c>
      <c r="F2964" s="1" t="n">
        <v>44</v>
      </c>
      <c r="G2964" s="1" t="n">
        <v>53</v>
      </c>
      <c r="H2964" s="1" t="n">
        <v>57</v>
      </c>
      <c r="I2964" s="1" t="str">
        <f aca="false">RIGHT(("0"&amp;C2964),2)&amp;RIGHT(("0"&amp;D2964),2)&amp;RIGHT(("0"&amp;E2964),2)&amp;RIGHT(("0"&amp;F2964),2)&amp;RIGHT(("0"&amp;G2964),2)&amp;RIGHT(("0"&amp;H2964),2)</f>
        <v>062034445357</v>
      </c>
      <c r="J2964" s="1" t="n">
        <f aca="false">COUNTIF(I:I,I2964)</f>
        <v>1</v>
      </c>
    </row>
    <row r="2965" customFormat="false" ht="13.8" hidden="false" customHeight="false" outlineLevel="0" collapsed="false">
      <c r="A2965" s="1" t="n">
        <v>2964</v>
      </c>
      <c r="B2965" s="2" t="s">
        <v>16877</v>
      </c>
      <c r="C2965" s="1" t="n">
        <v>3</v>
      </c>
      <c r="D2965" s="1" t="n">
        <v>9</v>
      </c>
      <c r="E2965" s="1" t="n">
        <v>15</v>
      </c>
      <c r="F2965" s="1" t="n">
        <v>17</v>
      </c>
      <c r="G2965" s="1" t="n">
        <v>30</v>
      </c>
      <c r="H2965" s="1" t="n">
        <v>60</v>
      </c>
      <c r="I2965" s="1" t="str">
        <f aca="false">RIGHT(("0"&amp;C2965),2)&amp;RIGHT(("0"&amp;D2965),2)&amp;RIGHT(("0"&amp;E2965),2)&amp;RIGHT(("0"&amp;F2965),2)&amp;RIGHT(("0"&amp;G2965),2)&amp;RIGHT(("0"&amp;H2965),2)</f>
        <v>030915173060</v>
      </c>
      <c r="J2965" s="1" t="n">
        <f aca="false">COUNTIF(I:I,I2965)</f>
        <v>1</v>
      </c>
    </row>
  </sheetData>
  <autoFilter ref="A1:V2959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0"/>
  <sheetViews>
    <sheetView showFormulas="false" showGridLines="true" showRowColHeaders="true" showZeros="true" rightToLeft="false" tabSelected="false" showOutlineSymbols="true" defaultGridColor="true" view="normal" topLeftCell="A107" colorId="64" zoomScale="140" zoomScaleNormal="140" zoomScalePageLayoutView="100" workbookViewId="0">
      <selection pane="topLeft" activeCell="B115" activeCellId="0" sqref="B115"/>
    </sheetView>
  </sheetViews>
  <sheetFormatPr defaultColWidth="11.53515625" defaultRowHeight="12.8" zeroHeight="false" outlineLevelRow="0" outlineLevelCol="0"/>
  <sheetData>
    <row r="1" customFormat="false" ht="13.8" hidden="false" customHeight="false" outlineLevel="0" collapsed="false">
      <c r="A1" s="7" t="s">
        <v>16878</v>
      </c>
      <c r="B1" s="7" t="s">
        <v>16879</v>
      </c>
      <c r="C1" s="7" t="s">
        <v>16880</v>
      </c>
      <c r="D1" s="7" t="s">
        <v>16881</v>
      </c>
      <c r="E1" s="7" t="s">
        <v>16882</v>
      </c>
      <c r="F1" s="7" t="s">
        <v>16883</v>
      </c>
      <c r="G1" s="6" t="str">
        <f aca="false">A1&amp;B1&amp;C1&amp;D1&amp;E1&amp;F1</f>
        <v>102232395359</v>
      </c>
    </row>
    <row r="2" customFormat="false" ht="13.8" hidden="false" customHeight="false" outlineLevel="0" collapsed="false">
      <c r="A2" s="7" t="s">
        <v>16884</v>
      </c>
      <c r="B2" s="7" t="s">
        <v>16885</v>
      </c>
      <c r="C2" s="7" t="s">
        <v>16886</v>
      </c>
      <c r="D2" s="7" t="s">
        <v>16887</v>
      </c>
      <c r="E2" s="7" t="s">
        <v>16888</v>
      </c>
      <c r="F2" s="7" t="s">
        <v>16889</v>
      </c>
      <c r="G2" s="6" t="str">
        <f aca="false">A2&amp;B2&amp;C2&amp;D2&amp;E2&amp;F2</f>
        <v>031833414750</v>
      </c>
    </row>
    <row r="3" customFormat="false" ht="13.8" hidden="false" customHeight="false" outlineLevel="0" collapsed="false">
      <c r="A3" s="7" t="s">
        <v>16890</v>
      </c>
      <c r="B3" s="7" t="s">
        <v>16891</v>
      </c>
      <c r="C3" s="7" t="s">
        <v>16892</v>
      </c>
      <c r="D3" s="7" t="s">
        <v>16893</v>
      </c>
      <c r="E3" s="7" t="s">
        <v>16894</v>
      </c>
      <c r="F3" s="7" t="s">
        <v>16895</v>
      </c>
      <c r="G3" s="6" t="str">
        <f aca="false">A3&amp;B3&amp;C3&amp;D3&amp;E3&amp;F3</f>
        <v>021421384348</v>
      </c>
    </row>
    <row r="4" customFormat="false" ht="13.8" hidden="false" customHeight="false" outlineLevel="0" collapsed="false">
      <c r="A4" s="7" t="s">
        <v>16896</v>
      </c>
      <c r="B4" s="7" t="s">
        <v>16897</v>
      </c>
      <c r="C4" s="7" t="s">
        <v>16898</v>
      </c>
      <c r="D4" s="7" t="s">
        <v>16899</v>
      </c>
      <c r="E4" s="7" t="s">
        <v>16900</v>
      </c>
      <c r="F4" s="7" t="s">
        <v>16901</v>
      </c>
      <c r="G4" s="6" t="str">
        <f aca="false">A4&amp;B4&amp;C4&amp;D4&amp;E4&amp;F4</f>
        <v>061226274457</v>
      </c>
    </row>
    <row r="5" customFormat="false" ht="13.8" hidden="false" customHeight="false" outlineLevel="0" collapsed="false">
      <c r="A5" s="7" t="s">
        <v>16902</v>
      </c>
      <c r="B5" s="7" t="s">
        <v>16903</v>
      </c>
      <c r="C5" s="7" t="s">
        <v>16904</v>
      </c>
      <c r="D5" s="7" t="s">
        <v>16905</v>
      </c>
      <c r="E5" s="7" t="s">
        <v>16881</v>
      </c>
      <c r="F5" s="7" t="s">
        <v>16882</v>
      </c>
      <c r="G5" s="6" t="str">
        <f aca="false">A5&amp;B5&amp;C5&amp;D5&amp;E5&amp;F5</f>
        <v>080919343953</v>
      </c>
    </row>
    <row r="6" customFormat="false" ht="13.8" hidden="false" customHeight="false" outlineLevel="0" collapsed="false">
      <c r="A6" s="7" t="s">
        <v>16878</v>
      </c>
      <c r="B6" s="7" t="s">
        <v>16904</v>
      </c>
      <c r="C6" s="7" t="s">
        <v>16879</v>
      </c>
      <c r="D6" s="7" t="s">
        <v>16906</v>
      </c>
      <c r="E6" s="7" t="s">
        <v>16893</v>
      </c>
      <c r="F6" s="7" t="s">
        <v>16901</v>
      </c>
      <c r="G6" s="6" t="str">
        <f aca="false">A6&amp;B6&amp;C6&amp;D6&amp;E6&amp;F6</f>
        <v>101922373857</v>
      </c>
    </row>
    <row r="7" customFormat="false" ht="13.8" hidden="false" customHeight="false" outlineLevel="0" collapsed="false">
      <c r="A7" s="7" t="s">
        <v>16884</v>
      </c>
      <c r="B7" s="7" t="s">
        <v>16907</v>
      </c>
      <c r="C7" s="7" t="s">
        <v>16908</v>
      </c>
      <c r="D7" s="7" t="s">
        <v>16888</v>
      </c>
      <c r="E7" s="7" t="s">
        <v>16895</v>
      </c>
      <c r="F7" s="7" t="s">
        <v>16909</v>
      </c>
      <c r="G7" s="6" t="str">
        <f aca="false">A7&amp;B7&amp;C7&amp;D7&amp;E7&amp;F7</f>
        <v>031542474855</v>
      </c>
    </row>
    <row r="8" customFormat="false" ht="13.8" hidden="false" customHeight="false" outlineLevel="0" collapsed="false">
      <c r="A8" s="7" t="s">
        <v>16896</v>
      </c>
      <c r="B8" s="7" t="s">
        <v>16885</v>
      </c>
      <c r="C8" s="7" t="s">
        <v>16892</v>
      </c>
      <c r="D8" s="7" t="s">
        <v>16880</v>
      </c>
      <c r="E8" s="7" t="s">
        <v>16906</v>
      </c>
      <c r="F8" s="7" t="s">
        <v>16894</v>
      </c>
      <c r="G8" s="6" t="str">
        <f aca="false">A8&amp;B8&amp;C8&amp;D8&amp;E8&amp;F8</f>
        <v>061821323743</v>
      </c>
    </row>
    <row r="9" customFormat="false" ht="13.8" hidden="false" customHeight="false" outlineLevel="0" collapsed="false">
      <c r="A9" s="7" t="s">
        <v>16891</v>
      </c>
      <c r="B9" s="7" t="s">
        <v>16910</v>
      </c>
      <c r="C9" s="7" t="s">
        <v>16899</v>
      </c>
      <c r="D9" s="7" t="s">
        <v>16886</v>
      </c>
      <c r="E9" s="7" t="s">
        <v>16889</v>
      </c>
      <c r="F9" s="7" t="s">
        <v>16883</v>
      </c>
      <c r="G9" s="6" t="str">
        <f aca="false">A9&amp;B9&amp;C9&amp;D9&amp;E9&amp;F9</f>
        <v>142527335059</v>
      </c>
    </row>
    <row r="10" customFormat="false" ht="13.8" hidden="false" customHeight="false" outlineLevel="0" collapsed="false">
      <c r="A10" s="7" t="s">
        <v>16911</v>
      </c>
      <c r="B10" s="7" t="s">
        <v>16902</v>
      </c>
      <c r="C10" s="7" t="s">
        <v>16897</v>
      </c>
      <c r="D10" s="7" t="s">
        <v>16898</v>
      </c>
      <c r="E10" s="7" t="s">
        <v>16880</v>
      </c>
      <c r="F10" s="7" t="s">
        <v>16881</v>
      </c>
      <c r="G10" s="6" t="str">
        <f aca="false">A10&amp;B10&amp;C10&amp;D10&amp;E10&amp;F10</f>
        <v>010812263239</v>
      </c>
    </row>
    <row r="11" customFormat="false" ht="13.8" hidden="false" customHeight="false" outlineLevel="0" collapsed="false">
      <c r="A11" s="7" t="s">
        <v>16878</v>
      </c>
      <c r="B11" s="7" t="s">
        <v>16885</v>
      </c>
      <c r="C11" s="7" t="s">
        <v>16892</v>
      </c>
      <c r="D11" s="7" t="s">
        <v>16898</v>
      </c>
      <c r="E11" s="7" t="s">
        <v>16888</v>
      </c>
      <c r="F11" s="7" t="s">
        <v>16882</v>
      </c>
      <c r="G11" s="6" t="str">
        <f aca="false">A11&amp;B11&amp;C11&amp;D11&amp;E11&amp;F11</f>
        <v>101821264753</v>
      </c>
    </row>
    <row r="12" customFormat="false" ht="13.8" hidden="false" customHeight="false" outlineLevel="0" collapsed="false">
      <c r="A12" s="7" t="s">
        <v>16884</v>
      </c>
      <c r="B12" s="7" t="s">
        <v>16879</v>
      </c>
      <c r="C12" s="7" t="s">
        <v>16886</v>
      </c>
      <c r="D12" s="7" t="s">
        <v>16881</v>
      </c>
      <c r="E12" s="7" t="s">
        <v>16908</v>
      </c>
      <c r="F12" s="7" t="s">
        <v>16889</v>
      </c>
      <c r="G12" s="6" t="str">
        <f aca="false">A12&amp;B12&amp;C12&amp;D12&amp;E12&amp;F12</f>
        <v>032233394250</v>
      </c>
    </row>
    <row r="13" customFormat="false" ht="13.8" hidden="false" customHeight="false" outlineLevel="0" collapsed="false">
      <c r="A13" s="7" t="s">
        <v>16896</v>
      </c>
      <c r="B13" s="7" t="s">
        <v>16897</v>
      </c>
      <c r="C13" s="7" t="s">
        <v>16904</v>
      </c>
      <c r="D13" s="7" t="s">
        <v>16906</v>
      </c>
      <c r="E13" s="7" t="s">
        <v>16909</v>
      </c>
      <c r="F13" s="7" t="s">
        <v>16883</v>
      </c>
      <c r="G13" s="6" t="str">
        <f aca="false">A13&amp;B13&amp;C13&amp;D13&amp;E13&amp;F13</f>
        <v>061219375559</v>
      </c>
    </row>
    <row r="14" customFormat="false" ht="13.8" hidden="false" customHeight="false" outlineLevel="0" collapsed="false">
      <c r="A14" s="7" t="s">
        <v>16890</v>
      </c>
      <c r="B14" s="7" t="s">
        <v>16891</v>
      </c>
      <c r="C14" s="7" t="s">
        <v>16910</v>
      </c>
      <c r="D14" s="7" t="s">
        <v>16880</v>
      </c>
      <c r="E14" s="7" t="s">
        <v>16893</v>
      </c>
      <c r="F14" s="7" t="s">
        <v>16901</v>
      </c>
      <c r="G14" s="6" t="str">
        <f aca="false">A14&amp;B14&amp;C14&amp;D14&amp;E14&amp;F14</f>
        <v>021425323857</v>
      </c>
    </row>
    <row r="15" customFormat="false" ht="13.8" hidden="false" customHeight="false" outlineLevel="0" collapsed="false">
      <c r="A15" s="7" t="s">
        <v>16902</v>
      </c>
      <c r="B15" s="7" t="s">
        <v>16899</v>
      </c>
      <c r="C15" s="7" t="s">
        <v>16887</v>
      </c>
      <c r="D15" s="7" t="s">
        <v>16894</v>
      </c>
      <c r="E15" s="7" t="s">
        <v>16895</v>
      </c>
      <c r="F15" s="7" t="s">
        <v>16889</v>
      </c>
      <c r="G15" s="6" t="str">
        <f aca="false">A15&amp;B15&amp;C15&amp;D15&amp;E15&amp;F15</f>
        <v>082741434850</v>
      </c>
    </row>
    <row r="16" customFormat="false" ht="13.8" hidden="false" customHeight="false" outlineLevel="0" collapsed="false">
      <c r="A16" s="7" t="s">
        <v>16884</v>
      </c>
      <c r="B16" s="7" t="s">
        <v>16878</v>
      </c>
      <c r="C16" s="7" t="s">
        <v>16907</v>
      </c>
      <c r="D16" s="7" t="s">
        <v>16892</v>
      </c>
      <c r="E16" s="7" t="s">
        <v>16881</v>
      </c>
      <c r="F16" s="7" t="s">
        <v>16882</v>
      </c>
      <c r="G16" s="6" t="str">
        <f aca="false">A16&amp;B16&amp;C16&amp;D16&amp;E16&amp;F16</f>
        <v>031015213953</v>
      </c>
    </row>
    <row r="17" customFormat="false" ht="13.8" hidden="false" customHeight="false" outlineLevel="0" collapsed="false">
      <c r="A17" s="7" t="s">
        <v>16911</v>
      </c>
      <c r="B17" s="7" t="s">
        <v>16897</v>
      </c>
      <c r="C17" s="7" t="s">
        <v>16886</v>
      </c>
      <c r="D17" s="7" t="s">
        <v>16893</v>
      </c>
      <c r="E17" s="7" t="s">
        <v>16888</v>
      </c>
      <c r="F17" s="7" t="s">
        <v>16909</v>
      </c>
      <c r="G17" s="6" t="str">
        <f aca="false">A17&amp;B17&amp;C17&amp;D17&amp;E17&amp;F17</f>
        <v>011233384755</v>
      </c>
    </row>
    <row r="18" customFormat="false" ht="13.8" hidden="false" customHeight="false" outlineLevel="0" collapsed="false">
      <c r="A18" s="7" t="s">
        <v>16903</v>
      </c>
      <c r="B18" s="7" t="s">
        <v>16879</v>
      </c>
      <c r="C18" s="7" t="s">
        <v>16905</v>
      </c>
      <c r="D18" s="7" t="s">
        <v>16906</v>
      </c>
      <c r="E18" s="7" t="s">
        <v>16895</v>
      </c>
      <c r="F18" s="7" t="s">
        <v>16901</v>
      </c>
      <c r="G18" s="6" t="str">
        <f aca="false">A18&amp;B18&amp;C18&amp;D18&amp;E18&amp;F18</f>
        <v>092234374857</v>
      </c>
    </row>
    <row r="19" customFormat="false" ht="13.8" hidden="false" customHeight="false" outlineLevel="0" collapsed="false">
      <c r="A19" s="7" t="s">
        <v>16896</v>
      </c>
      <c r="B19" s="7" t="s">
        <v>16891</v>
      </c>
      <c r="C19" s="7" t="s">
        <v>16885</v>
      </c>
      <c r="D19" s="7" t="s">
        <v>16880</v>
      </c>
      <c r="E19" s="7" t="s">
        <v>16908</v>
      </c>
      <c r="F19" s="7" t="s">
        <v>16883</v>
      </c>
      <c r="G19" s="6" t="str">
        <f aca="false">A19&amp;B19&amp;C19&amp;D19&amp;E19&amp;F19</f>
        <v>061418324259</v>
      </c>
    </row>
    <row r="20" customFormat="false" ht="13.8" hidden="false" customHeight="false" outlineLevel="0" collapsed="false">
      <c r="A20" s="7" t="s">
        <v>16902</v>
      </c>
      <c r="B20" s="7" t="s">
        <v>16904</v>
      </c>
      <c r="C20" s="7" t="s">
        <v>16898</v>
      </c>
      <c r="D20" s="7" t="s">
        <v>16894</v>
      </c>
      <c r="E20" s="7" t="s">
        <v>16900</v>
      </c>
      <c r="F20" s="7" t="s">
        <v>16889</v>
      </c>
      <c r="G20" s="6" t="str">
        <f aca="false">A20&amp;B20&amp;C20&amp;D20&amp;E20&amp;F20</f>
        <v>081926434450</v>
      </c>
    </row>
    <row r="21" customFormat="false" ht="13.8" hidden="false" customHeight="false" outlineLevel="0" collapsed="false">
      <c r="A21" s="7" t="s">
        <v>16912</v>
      </c>
      <c r="B21" s="7" t="s">
        <v>16903</v>
      </c>
      <c r="C21" s="7" t="s">
        <v>16897</v>
      </c>
      <c r="D21" s="7" t="s">
        <v>16892</v>
      </c>
      <c r="E21" s="7" t="s">
        <v>16886</v>
      </c>
      <c r="F21" s="7" t="s">
        <v>16913</v>
      </c>
      <c r="G21" s="6" t="str">
        <f aca="false">A21&amp;B21&amp;C21&amp;D21&amp;E21&amp;F21</f>
        <v>040912213358</v>
      </c>
    </row>
    <row r="22" customFormat="false" ht="13.8" hidden="false" customHeight="false" outlineLevel="0" collapsed="false">
      <c r="A22" s="7" t="s">
        <v>16884</v>
      </c>
      <c r="B22" s="7" t="s">
        <v>16907</v>
      </c>
      <c r="C22" s="7" t="s">
        <v>16914</v>
      </c>
      <c r="D22" s="7" t="s">
        <v>16908</v>
      </c>
      <c r="E22" s="7" t="s">
        <v>16915</v>
      </c>
      <c r="F22" s="7" t="s">
        <v>16916</v>
      </c>
      <c r="G22" s="6" t="str">
        <f aca="false">A22&amp;B22&amp;C22&amp;D22&amp;E22&amp;F22</f>
        <v>031529425160</v>
      </c>
    </row>
    <row r="23" customFormat="false" ht="13.8" hidden="false" customHeight="false" outlineLevel="0" collapsed="false">
      <c r="A23" s="7" t="s">
        <v>16917</v>
      </c>
      <c r="B23" s="7" t="s">
        <v>16918</v>
      </c>
      <c r="C23" s="7" t="s">
        <v>16904</v>
      </c>
      <c r="D23" s="7" t="s">
        <v>16893</v>
      </c>
      <c r="E23" s="7" t="s">
        <v>16900</v>
      </c>
      <c r="F23" s="7" t="s">
        <v>16909</v>
      </c>
      <c r="G23" s="6" t="str">
        <f aca="false">A23&amp;B23&amp;C23&amp;D23&amp;E23&amp;F23</f>
        <v>050719384455</v>
      </c>
    </row>
    <row r="24" customFormat="false" ht="13.8" hidden="false" customHeight="false" outlineLevel="0" collapsed="false">
      <c r="A24" s="7" t="s">
        <v>16911</v>
      </c>
      <c r="B24" s="7" t="s">
        <v>16919</v>
      </c>
      <c r="C24" s="7" t="s">
        <v>16879</v>
      </c>
      <c r="D24" s="7" t="s">
        <v>16920</v>
      </c>
      <c r="E24" s="7" t="s">
        <v>16895</v>
      </c>
      <c r="F24" s="7" t="s">
        <v>16883</v>
      </c>
      <c r="G24" s="6" t="str">
        <f aca="false">A24&amp;B24&amp;C24&amp;D24&amp;E24&amp;F24</f>
        <v>011622304859</v>
      </c>
    </row>
    <row r="25" customFormat="false" ht="13.8" hidden="false" customHeight="false" outlineLevel="0" collapsed="false">
      <c r="A25" s="7" t="s">
        <v>16902</v>
      </c>
      <c r="B25" s="7" t="s">
        <v>16921</v>
      </c>
      <c r="C25" s="7" t="s">
        <v>16922</v>
      </c>
      <c r="D25" s="7" t="s">
        <v>16906</v>
      </c>
      <c r="E25" s="7" t="s">
        <v>16923</v>
      </c>
      <c r="F25" s="7" t="s">
        <v>16882</v>
      </c>
      <c r="G25" s="6" t="str">
        <f aca="false">A25&amp;B25&amp;C25&amp;D25&amp;E25&amp;F25</f>
        <v>081128374953</v>
      </c>
    </row>
    <row r="26" customFormat="false" ht="13.8" hidden="false" customHeight="false" outlineLevel="0" collapsed="false">
      <c r="A26" s="7" t="s">
        <v>16890</v>
      </c>
      <c r="B26" s="7" t="s">
        <v>16891</v>
      </c>
      <c r="C26" s="7" t="s">
        <v>16910</v>
      </c>
      <c r="D26" s="7" t="s">
        <v>16924</v>
      </c>
      <c r="E26" s="7" t="s">
        <v>16888</v>
      </c>
      <c r="F26" s="7" t="s">
        <v>16925</v>
      </c>
      <c r="G26" s="6" t="str">
        <f aca="false">A26&amp;B26&amp;C26&amp;D26&amp;E26&amp;F26</f>
        <v>021425364752</v>
      </c>
    </row>
    <row r="27" customFormat="false" ht="13.8" hidden="false" customHeight="false" outlineLevel="0" collapsed="false">
      <c r="A27" s="7" t="s">
        <v>16878</v>
      </c>
      <c r="B27" s="7" t="s">
        <v>16885</v>
      </c>
      <c r="C27" s="7" t="s">
        <v>16926</v>
      </c>
      <c r="D27" s="7" t="s">
        <v>16927</v>
      </c>
      <c r="E27" s="7" t="s">
        <v>16887</v>
      </c>
      <c r="F27" s="7" t="s">
        <v>16889</v>
      </c>
      <c r="G27" s="6" t="str">
        <f aca="false">A27&amp;B27&amp;C27&amp;D27&amp;E27&amp;F27</f>
        <v>101823314150</v>
      </c>
    </row>
    <row r="28" customFormat="false" ht="13.8" hidden="false" customHeight="false" outlineLevel="0" collapsed="false">
      <c r="A28" s="7" t="s">
        <v>16896</v>
      </c>
      <c r="B28" s="7" t="s">
        <v>16928</v>
      </c>
      <c r="C28" s="7" t="s">
        <v>16929</v>
      </c>
      <c r="D28" s="7" t="s">
        <v>16905</v>
      </c>
      <c r="E28" s="7" t="s">
        <v>16894</v>
      </c>
      <c r="F28" s="7" t="s">
        <v>16901</v>
      </c>
      <c r="G28" s="6" t="str">
        <f aca="false">A28&amp;B28&amp;C28&amp;D28&amp;E28&amp;F28</f>
        <v>061720344357</v>
      </c>
    </row>
    <row r="29" customFormat="false" ht="13.8" hidden="false" customHeight="false" outlineLevel="0" collapsed="false">
      <c r="A29" s="7" t="s">
        <v>16930</v>
      </c>
      <c r="B29" s="7" t="s">
        <v>16931</v>
      </c>
      <c r="C29" s="7" t="s">
        <v>16899</v>
      </c>
      <c r="D29" s="7" t="s">
        <v>16881</v>
      </c>
      <c r="E29" s="7" t="s">
        <v>16932</v>
      </c>
      <c r="F29" s="7" t="s">
        <v>16933</v>
      </c>
      <c r="G29" s="6" t="str">
        <f aca="false">A29&amp;B29&amp;C29&amp;D29&amp;E29&amp;F29</f>
        <v>132427394554</v>
      </c>
    </row>
    <row r="30" customFormat="false" ht="13.8" hidden="false" customHeight="false" outlineLevel="0" collapsed="false">
      <c r="A30" s="7" t="s">
        <v>16898</v>
      </c>
      <c r="B30" s="7" t="s">
        <v>16880</v>
      </c>
      <c r="C30" s="7" t="s">
        <v>16934</v>
      </c>
      <c r="D30" s="7" t="s">
        <v>16935</v>
      </c>
      <c r="E30" s="7" t="s">
        <v>16936</v>
      </c>
      <c r="F30" s="7" t="s">
        <v>16937</v>
      </c>
      <c r="G30" s="6" t="str">
        <f aca="false">A30&amp;B30&amp;C30&amp;D30&amp;E30&amp;F30</f>
        <v>263235404656</v>
      </c>
    </row>
    <row r="31" customFormat="false" ht="13.8" hidden="false" customHeight="false" outlineLevel="0" collapsed="false">
      <c r="A31" s="7" t="s">
        <v>16884</v>
      </c>
      <c r="B31" s="7" t="s">
        <v>16897</v>
      </c>
      <c r="C31" s="7" t="s">
        <v>16892</v>
      </c>
      <c r="D31" s="7" t="s">
        <v>16920</v>
      </c>
      <c r="E31" s="7" t="s">
        <v>16881</v>
      </c>
      <c r="F31" s="7" t="s">
        <v>16925</v>
      </c>
      <c r="G31" s="6" t="str">
        <f aca="false">A31&amp;B31&amp;C31&amp;D31&amp;E31&amp;F31</f>
        <v>031221303952</v>
      </c>
    </row>
    <row r="32" customFormat="false" ht="13.8" hidden="false" customHeight="false" outlineLevel="0" collapsed="false">
      <c r="A32" s="7" t="s">
        <v>16896</v>
      </c>
      <c r="B32" s="7" t="s">
        <v>16930</v>
      </c>
      <c r="C32" s="7" t="s">
        <v>16885</v>
      </c>
      <c r="D32" s="7" t="s">
        <v>16892</v>
      </c>
      <c r="E32" s="7" t="s">
        <v>16908</v>
      </c>
      <c r="F32" s="7" t="s">
        <v>16916</v>
      </c>
      <c r="G32" s="6" t="str">
        <f aca="false">A32&amp;B32&amp;C32&amp;D32&amp;E32&amp;F32</f>
        <v>061318214260</v>
      </c>
    </row>
    <row r="33" customFormat="false" ht="13.8" hidden="false" customHeight="false" outlineLevel="0" collapsed="false">
      <c r="A33" s="7" t="s">
        <v>16911</v>
      </c>
      <c r="B33" s="7" t="s">
        <v>16899</v>
      </c>
      <c r="C33" s="7" t="s">
        <v>16880</v>
      </c>
      <c r="D33" s="7" t="s">
        <v>16935</v>
      </c>
      <c r="E33" s="7" t="s">
        <v>16915</v>
      </c>
      <c r="F33" s="7" t="s">
        <v>16901</v>
      </c>
      <c r="G33" s="6" t="str">
        <f aca="false">A33&amp;B33&amp;C33&amp;D33&amp;E33&amp;F33</f>
        <v>012732405157</v>
      </c>
    </row>
    <row r="34" customFormat="false" ht="13.8" hidden="false" customHeight="false" outlineLevel="0" collapsed="false">
      <c r="A34" s="7" t="s">
        <v>16896</v>
      </c>
      <c r="B34" s="7" t="s">
        <v>16904</v>
      </c>
      <c r="C34" s="7" t="s">
        <v>16927</v>
      </c>
      <c r="D34" s="7" t="s">
        <v>16906</v>
      </c>
      <c r="E34" s="7" t="s">
        <v>16887</v>
      </c>
      <c r="F34" s="7" t="s">
        <v>16908</v>
      </c>
      <c r="G34" s="6" t="str">
        <f aca="false">A34&amp;B34&amp;C34&amp;D34&amp;E34&amp;F34</f>
        <v>061931374142</v>
      </c>
    </row>
    <row r="35" customFormat="false" ht="13.8" hidden="false" customHeight="false" outlineLevel="0" collapsed="false">
      <c r="A35" s="7" t="s">
        <v>16884</v>
      </c>
      <c r="B35" s="7" t="s">
        <v>16917</v>
      </c>
      <c r="C35" s="7" t="s">
        <v>16878</v>
      </c>
      <c r="D35" s="7" t="s">
        <v>16924</v>
      </c>
      <c r="E35" s="7" t="s">
        <v>16937</v>
      </c>
      <c r="F35" s="7" t="s">
        <v>16913</v>
      </c>
      <c r="G35" s="6" t="str">
        <f aca="false">A35&amp;B35&amp;C35&amp;D35&amp;E35&amp;F35</f>
        <v>030510365658</v>
      </c>
    </row>
    <row r="36" customFormat="false" ht="13.8" hidden="false" customHeight="false" outlineLevel="0" collapsed="false">
      <c r="A36" s="7" t="s">
        <v>16890</v>
      </c>
      <c r="B36" s="7" t="s">
        <v>16891</v>
      </c>
      <c r="C36" s="7" t="s">
        <v>16906</v>
      </c>
      <c r="D36" s="7" t="s">
        <v>16909</v>
      </c>
      <c r="E36" s="7" t="s">
        <v>16937</v>
      </c>
      <c r="F36" s="7" t="s">
        <v>16883</v>
      </c>
      <c r="G36" s="6" t="str">
        <f aca="false">A36&amp;B36&amp;C36&amp;D36&amp;E36&amp;F36</f>
        <v>021437555659</v>
      </c>
    </row>
    <row r="37" customFormat="false" ht="13.8" hidden="false" customHeight="false" outlineLevel="0" collapsed="false">
      <c r="A37" s="7" t="s">
        <v>16918</v>
      </c>
      <c r="B37" s="7" t="s">
        <v>16878</v>
      </c>
      <c r="C37" s="7" t="s">
        <v>16891</v>
      </c>
      <c r="D37" s="7" t="s">
        <v>16929</v>
      </c>
      <c r="E37" s="7" t="s">
        <v>16925</v>
      </c>
      <c r="F37" s="7" t="s">
        <v>16916</v>
      </c>
      <c r="G37" s="6" t="str">
        <f aca="false">A37&amp;B37&amp;C37&amp;D37&amp;E37&amp;F37</f>
        <v>071014205260</v>
      </c>
    </row>
    <row r="38" customFormat="false" ht="13.8" hidden="false" customHeight="false" outlineLevel="0" collapsed="false">
      <c r="A38" s="7" t="s">
        <v>16917</v>
      </c>
      <c r="B38" s="7" t="s">
        <v>16902</v>
      </c>
      <c r="C38" s="7" t="s">
        <v>16920</v>
      </c>
      <c r="D38" s="7" t="s">
        <v>16927</v>
      </c>
      <c r="E38" s="7" t="s">
        <v>16906</v>
      </c>
      <c r="F38" s="7" t="s">
        <v>16932</v>
      </c>
      <c r="G38" s="6" t="str">
        <f aca="false">A38&amp;B38&amp;C38&amp;D38&amp;E38&amp;F38</f>
        <v>050830313745</v>
      </c>
    </row>
    <row r="39" customFormat="false" ht="13.8" hidden="false" customHeight="false" outlineLevel="0" collapsed="false">
      <c r="A39" s="7" t="s">
        <v>16896</v>
      </c>
      <c r="B39" s="7" t="s">
        <v>16930</v>
      </c>
      <c r="C39" s="7" t="s">
        <v>16907</v>
      </c>
      <c r="D39" s="7" t="s">
        <v>16904</v>
      </c>
      <c r="E39" s="7" t="s">
        <v>16927</v>
      </c>
      <c r="F39" s="7" t="s">
        <v>16888</v>
      </c>
      <c r="G39" s="6" t="str">
        <f aca="false">A39&amp;B39&amp;C39&amp;D39&amp;E39&amp;F39</f>
        <v>061315193147</v>
      </c>
    </row>
    <row r="40" customFormat="false" ht="13.8" hidden="false" customHeight="false" outlineLevel="0" collapsed="false">
      <c r="A40" s="7" t="s">
        <v>16912</v>
      </c>
      <c r="B40" s="7" t="s">
        <v>16917</v>
      </c>
      <c r="C40" s="7" t="s">
        <v>16928</v>
      </c>
      <c r="D40" s="7" t="s">
        <v>16879</v>
      </c>
      <c r="E40" s="7" t="s">
        <v>16894</v>
      </c>
      <c r="F40" s="7" t="s">
        <v>16883</v>
      </c>
      <c r="G40" s="6" t="str">
        <f aca="false">A40&amp;B40&amp;C40&amp;D40&amp;E40&amp;F40</f>
        <v>040517224359</v>
      </c>
    </row>
    <row r="41" customFormat="false" ht="13.8" hidden="false" customHeight="false" outlineLevel="0" collapsed="false">
      <c r="A41" s="7" t="s">
        <v>16890</v>
      </c>
      <c r="B41" s="7" t="s">
        <v>16919</v>
      </c>
      <c r="C41" s="7" t="s">
        <v>16929</v>
      </c>
      <c r="D41" s="7" t="s">
        <v>16887</v>
      </c>
      <c r="E41" s="7" t="s">
        <v>16894</v>
      </c>
      <c r="F41" s="7" t="s">
        <v>16909</v>
      </c>
      <c r="G41" s="6" t="str">
        <f aca="false">A41&amp;B41&amp;C41&amp;D41&amp;E41&amp;F41</f>
        <v>021620414355</v>
      </c>
    </row>
    <row r="42" customFormat="false" ht="13.8" hidden="false" customHeight="false" outlineLevel="0" collapsed="false">
      <c r="A42" s="7" t="s">
        <v>16902</v>
      </c>
      <c r="B42" s="7" t="s">
        <v>16919</v>
      </c>
      <c r="C42" s="7" t="s">
        <v>16931</v>
      </c>
      <c r="D42" s="7" t="s">
        <v>16927</v>
      </c>
      <c r="E42" s="7" t="s">
        <v>16894</v>
      </c>
      <c r="F42" s="7" t="s">
        <v>16901</v>
      </c>
      <c r="G42" s="6" t="str">
        <f aca="false">A42&amp;B42&amp;C42&amp;D42&amp;E42&amp;F42</f>
        <v>081624314357</v>
      </c>
    </row>
    <row r="43" customFormat="false" ht="13.8" hidden="false" customHeight="false" outlineLevel="0" collapsed="false">
      <c r="A43" s="7" t="s">
        <v>16890</v>
      </c>
      <c r="B43" s="7" t="s">
        <v>16902</v>
      </c>
      <c r="C43" s="7" t="s">
        <v>16929</v>
      </c>
      <c r="D43" s="7" t="s">
        <v>16927</v>
      </c>
      <c r="E43" s="7" t="s">
        <v>16887</v>
      </c>
      <c r="F43" s="7" t="s">
        <v>16909</v>
      </c>
      <c r="G43" s="6" t="str">
        <f aca="false">A43&amp;B43&amp;C43&amp;D43&amp;E43&amp;F43</f>
        <v>020820314155</v>
      </c>
    </row>
    <row r="44" customFormat="false" ht="13.8" hidden="false" customHeight="false" outlineLevel="0" collapsed="false">
      <c r="A44" s="7" t="s">
        <v>16919</v>
      </c>
      <c r="B44" s="7" t="s">
        <v>16931</v>
      </c>
      <c r="C44" s="7" t="s">
        <v>16927</v>
      </c>
      <c r="D44" s="7" t="s">
        <v>16887</v>
      </c>
      <c r="E44" s="7" t="s">
        <v>16894</v>
      </c>
      <c r="F44" s="7" t="s">
        <v>16901</v>
      </c>
      <c r="G44" s="6" t="str">
        <f aca="false">A44&amp;B44&amp;C44&amp;D44&amp;E44&amp;F44</f>
        <v>162431414357</v>
      </c>
    </row>
    <row r="45" customFormat="false" ht="13.8" hidden="false" customHeight="false" outlineLevel="0" collapsed="false">
      <c r="A45" s="7" t="s">
        <v>16890</v>
      </c>
      <c r="B45" s="7" t="s">
        <v>16902</v>
      </c>
      <c r="C45" s="7" t="s">
        <v>16931</v>
      </c>
      <c r="D45" s="7" t="s">
        <v>16887</v>
      </c>
      <c r="E45" s="7" t="s">
        <v>16909</v>
      </c>
      <c r="F45" s="7" t="s">
        <v>16901</v>
      </c>
      <c r="G45" s="6" t="str">
        <f aca="false">A45&amp;B45&amp;C45&amp;D45&amp;E45&amp;F45</f>
        <v>020824415557</v>
      </c>
    </row>
    <row r="46" customFormat="false" ht="13.8" hidden="false" customHeight="false" outlineLevel="0" collapsed="false">
      <c r="A46" s="7" t="s">
        <v>16919</v>
      </c>
      <c r="B46" s="7" t="s">
        <v>16929</v>
      </c>
      <c r="C46" s="7" t="s">
        <v>16927</v>
      </c>
      <c r="D46" s="7" t="s">
        <v>16894</v>
      </c>
      <c r="E46" s="7" t="s">
        <v>16909</v>
      </c>
      <c r="F46" s="7" t="s">
        <v>16901</v>
      </c>
      <c r="G46" s="6" t="str">
        <f aca="false">A46&amp;B46&amp;C46&amp;D46&amp;E46&amp;F46</f>
        <v>162031435557</v>
      </c>
    </row>
    <row r="47" customFormat="false" ht="13.8" hidden="false" customHeight="false" outlineLevel="0" collapsed="false">
      <c r="A47" s="7" t="s">
        <v>16890</v>
      </c>
      <c r="B47" s="7" t="s">
        <v>16929</v>
      </c>
      <c r="C47" s="7" t="s">
        <v>16931</v>
      </c>
      <c r="D47" s="7" t="s">
        <v>16927</v>
      </c>
      <c r="E47" s="7" t="s">
        <v>16887</v>
      </c>
      <c r="F47" s="7" t="s">
        <v>16894</v>
      </c>
      <c r="G47" s="6" t="str">
        <f aca="false">A47&amp;B47&amp;C47&amp;D47&amp;E47&amp;F47</f>
        <v>022024314143</v>
      </c>
    </row>
    <row r="48" customFormat="false" ht="13.8" hidden="false" customHeight="false" outlineLevel="0" collapsed="false">
      <c r="A48" s="7" t="s">
        <v>16902</v>
      </c>
      <c r="B48" s="7" t="s">
        <v>16919</v>
      </c>
      <c r="C48" s="7" t="s">
        <v>16929</v>
      </c>
      <c r="D48" s="7" t="s">
        <v>16887</v>
      </c>
      <c r="E48" s="7" t="s">
        <v>16909</v>
      </c>
      <c r="F48" s="7" t="s">
        <v>16901</v>
      </c>
      <c r="G48" s="6" t="str">
        <f aca="false">A48&amp;B48&amp;C48&amp;D48&amp;E48&amp;F48</f>
        <v>081620415557</v>
      </c>
    </row>
    <row r="49" customFormat="false" ht="13.8" hidden="false" customHeight="false" outlineLevel="0" collapsed="false">
      <c r="A49" s="7" t="s">
        <v>16890</v>
      </c>
      <c r="B49" s="7" t="s">
        <v>16919</v>
      </c>
      <c r="C49" s="7" t="s">
        <v>16931</v>
      </c>
      <c r="D49" s="7" t="s">
        <v>16894</v>
      </c>
      <c r="E49" s="7" t="s">
        <v>16909</v>
      </c>
      <c r="F49" s="7" t="s">
        <v>16901</v>
      </c>
      <c r="G49" s="6" t="str">
        <f aca="false">A49&amp;B49&amp;C49&amp;D49&amp;E49&amp;F49</f>
        <v>021624435557</v>
      </c>
    </row>
    <row r="50" customFormat="false" ht="13.8" hidden="false" customHeight="false" outlineLevel="0" collapsed="false">
      <c r="A50" s="7" t="s">
        <v>16902</v>
      </c>
      <c r="B50" s="7" t="s">
        <v>16929</v>
      </c>
      <c r="C50" s="7" t="s">
        <v>16927</v>
      </c>
      <c r="D50" s="7" t="s">
        <v>16887</v>
      </c>
      <c r="E50" s="7" t="s">
        <v>16894</v>
      </c>
      <c r="F50" s="7" t="s">
        <v>16909</v>
      </c>
      <c r="G50" s="6" t="str">
        <f aca="false">A50&amp;B50&amp;C50&amp;D50&amp;E50&amp;F50</f>
        <v>082031414355</v>
      </c>
    </row>
    <row r="51" customFormat="false" ht="13.8" hidden="false" customHeight="false" outlineLevel="0" collapsed="false">
      <c r="A51" s="7" t="s">
        <v>16884</v>
      </c>
      <c r="B51" s="7" t="s">
        <v>16896</v>
      </c>
      <c r="C51" s="7" t="s">
        <v>16921</v>
      </c>
      <c r="D51" s="7" t="s">
        <v>16931</v>
      </c>
      <c r="E51" s="7" t="s">
        <v>16922</v>
      </c>
      <c r="F51" s="7" t="s">
        <v>16934</v>
      </c>
      <c r="G51" s="6" t="str">
        <f aca="false">A51&amp;B51&amp;C51&amp;D51&amp;E51&amp;F51</f>
        <v>030611242835</v>
      </c>
    </row>
    <row r="52" customFormat="false" ht="13.8" hidden="false" customHeight="false" outlineLevel="0" collapsed="false">
      <c r="A52" s="7" t="s">
        <v>16890</v>
      </c>
      <c r="B52" s="7" t="s">
        <v>16929</v>
      </c>
      <c r="C52" s="7" t="s">
        <v>16914</v>
      </c>
      <c r="D52" s="7" t="s">
        <v>16927</v>
      </c>
      <c r="E52" s="7" t="s">
        <v>16905</v>
      </c>
      <c r="F52" s="7" t="s">
        <v>16895</v>
      </c>
      <c r="G52" s="6" t="str">
        <f aca="false">A52&amp;B52&amp;C52&amp;D52&amp;E52&amp;F52</f>
        <v>022029313448</v>
      </c>
    </row>
    <row r="53" customFormat="false" ht="13.8" hidden="false" customHeight="false" outlineLevel="0" collapsed="false">
      <c r="A53" s="7" t="s">
        <v>16919</v>
      </c>
      <c r="B53" s="7" t="s">
        <v>16931</v>
      </c>
      <c r="C53" s="7" t="s">
        <v>16914</v>
      </c>
      <c r="D53" s="7" t="s">
        <v>16905</v>
      </c>
      <c r="E53" s="7" t="s">
        <v>16935</v>
      </c>
      <c r="F53" s="7" t="s">
        <v>16909</v>
      </c>
      <c r="G53" s="6" t="str">
        <f aca="false">A53&amp;B53&amp;C53&amp;D53&amp;E53&amp;F53</f>
        <v>162429344055</v>
      </c>
    </row>
    <row r="54" customFormat="false" ht="13.8" hidden="false" customHeight="false" outlineLevel="0" collapsed="false">
      <c r="A54" s="7" t="s">
        <v>16904</v>
      </c>
      <c r="B54" s="7" t="s">
        <v>16910</v>
      </c>
      <c r="C54" s="7" t="s">
        <v>16886</v>
      </c>
      <c r="D54" s="7" t="s">
        <v>16934</v>
      </c>
      <c r="E54" s="7" t="s">
        <v>16906</v>
      </c>
      <c r="F54" s="7" t="s">
        <v>16887</v>
      </c>
      <c r="G54" s="6" t="str">
        <f aca="false">A54&amp;B54&amp;C54&amp;D54&amp;E54&amp;F54</f>
        <v>192533353741</v>
      </c>
    </row>
    <row r="55" customFormat="false" ht="13.8" hidden="false" customHeight="false" outlineLevel="0" collapsed="false">
      <c r="A55" s="7" t="s">
        <v>16896</v>
      </c>
      <c r="B55" s="7" t="s">
        <v>16921</v>
      </c>
      <c r="C55" s="7" t="s">
        <v>16910</v>
      </c>
      <c r="D55" s="7" t="s">
        <v>16880</v>
      </c>
      <c r="E55" s="7" t="s">
        <v>16932</v>
      </c>
      <c r="F55" s="7" t="s">
        <v>16889</v>
      </c>
      <c r="G55" s="6" t="str">
        <f aca="false">A55&amp;B55&amp;C55&amp;D55&amp;E55&amp;F55</f>
        <v>061125324550</v>
      </c>
    </row>
    <row r="56" customFormat="false" ht="13.8" hidden="false" customHeight="false" outlineLevel="0" collapsed="false">
      <c r="A56" s="7" t="s">
        <v>16896</v>
      </c>
      <c r="B56" s="7" t="s">
        <v>16897</v>
      </c>
      <c r="C56" s="7" t="s">
        <v>16904</v>
      </c>
      <c r="D56" s="7" t="s">
        <v>16926</v>
      </c>
      <c r="E56" s="7" t="s">
        <v>16913</v>
      </c>
      <c r="F56" s="7" t="s">
        <v>16916</v>
      </c>
      <c r="G56" s="6" t="str">
        <f aca="false">A56&amp;B56&amp;C56&amp;D56&amp;E56&amp;F56</f>
        <v>061219235860</v>
      </c>
    </row>
    <row r="57" customFormat="false" ht="13.8" hidden="false" customHeight="false" outlineLevel="0" collapsed="false">
      <c r="A57" s="7" t="s">
        <v>16912</v>
      </c>
      <c r="B57" s="7" t="s">
        <v>16892</v>
      </c>
      <c r="C57" s="7" t="s">
        <v>16931</v>
      </c>
      <c r="D57" s="7" t="s">
        <v>16893</v>
      </c>
      <c r="E57" s="7" t="s">
        <v>16913</v>
      </c>
      <c r="F57" s="7" t="s">
        <v>16916</v>
      </c>
      <c r="G57" s="6" t="str">
        <f aca="false">A57&amp;B57&amp;C57&amp;D57&amp;E57&amp;F57</f>
        <v>042124385860</v>
      </c>
    </row>
    <row r="58" customFormat="false" ht="13.8" hidden="false" customHeight="false" outlineLevel="0" collapsed="false">
      <c r="A58" s="7" t="s">
        <v>16903</v>
      </c>
      <c r="B58" s="7" t="s">
        <v>16878</v>
      </c>
      <c r="C58" s="7" t="s">
        <v>16885</v>
      </c>
      <c r="D58" s="7" t="s">
        <v>16886</v>
      </c>
      <c r="E58" s="7" t="s">
        <v>16935</v>
      </c>
      <c r="F58" s="7" t="s">
        <v>16888</v>
      </c>
      <c r="G58" s="6" t="str">
        <f aca="false">A58&amp;B58&amp;C58&amp;D58&amp;E58&amp;F58</f>
        <v>091018334047</v>
      </c>
    </row>
    <row r="59" customFormat="false" ht="13.8" hidden="false" customHeight="false" outlineLevel="0" collapsed="false">
      <c r="A59" s="7" t="s">
        <v>16884</v>
      </c>
      <c r="B59" s="7" t="s">
        <v>16929</v>
      </c>
      <c r="C59" s="7" t="s">
        <v>16926</v>
      </c>
      <c r="D59" s="7" t="s">
        <v>16931</v>
      </c>
      <c r="E59" s="7" t="s">
        <v>16887</v>
      </c>
      <c r="F59" s="7" t="s">
        <v>16932</v>
      </c>
      <c r="G59" s="6" t="str">
        <f aca="false">A59&amp;B59&amp;C59&amp;D59&amp;E59&amp;F59</f>
        <v>032023244145</v>
      </c>
    </row>
    <row r="60" customFormat="false" ht="13.8" hidden="false" customHeight="false" outlineLevel="0" collapsed="false">
      <c r="A60" s="7" t="s">
        <v>16903</v>
      </c>
      <c r="B60" s="7" t="s">
        <v>16928</v>
      </c>
      <c r="C60" s="7" t="s">
        <v>16898</v>
      </c>
      <c r="D60" s="7" t="s">
        <v>16881</v>
      </c>
      <c r="E60" s="7" t="s">
        <v>16888</v>
      </c>
      <c r="F60" s="7" t="s">
        <v>16923</v>
      </c>
      <c r="G60" s="6" t="str">
        <f aca="false">A60&amp;B60&amp;C60&amp;D60&amp;E60&amp;F60</f>
        <v>091726394749</v>
      </c>
    </row>
    <row r="61" customFormat="false" ht="13.8" hidden="false" customHeight="false" outlineLevel="0" collapsed="false">
      <c r="A61" s="7" t="s">
        <v>16912</v>
      </c>
      <c r="B61" s="7" t="s">
        <v>16918</v>
      </c>
      <c r="C61" s="7" t="s">
        <v>16903</v>
      </c>
      <c r="D61" s="7" t="s">
        <v>16885</v>
      </c>
      <c r="E61" s="7" t="s">
        <v>16910</v>
      </c>
      <c r="F61" s="7" t="s">
        <v>16886</v>
      </c>
      <c r="G61" s="6" t="str">
        <f aca="false">A61&amp;B61&amp;C61&amp;D61&amp;E61&amp;F61</f>
        <v>040709182533</v>
      </c>
    </row>
    <row r="62" customFormat="false" ht="13.8" hidden="false" customHeight="false" outlineLevel="0" collapsed="false">
      <c r="A62" s="7" t="s">
        <v>16902</v>
      </c>
      <c r="B62" s="7" t="s">
        <v>16921</v>
      </c>
      <c r="C62" s="7" t="s">
        <v>16879</v>
      </c>
      <c r="D62" s="7" t="s">
        <v>16935</v>
      </c>
      <c r="E62" s="7" t="s">
        <v>16915</v>
      </c>
      <c r="F62" s="7" t="s">
        <v>16909</v>
      </c>
      <c r="G62" s="6" t="str">
        <f aca="false">A62&amp;B62&amp;C62&amp;D62&amp;E62&amp;F62</f>
        <v>081122405155</v>
      </c>
    </row>
    <row r="63" customFormat="false" ht="13.8" hidden="false" customHeight="false" outlineLevel="0" collapsed="false">
      <c r="A63" s="7" t="s">
        <v>16911</v>
      </c>
      <c r="B63" s="7" t="s">
        <v>16878</v>
      </c>
      <c r="C63" s="7" t="s">
        <v>16907</v>
      </c>
      <c r="D63" s="7" t="s">
        <v>16928</v>
      </c>
      <c r="E63" s="7" t="s">
        <v>16922</v>
      </c>
      <c r="F63" s="7" t="s">
        <v>16883</v>
      </c>
      <c r="G63" s="6" t="str">
        <f aca="false">A63&amp;B63&amp;C63&amp;D63&amp;E63&amp;F63</f>
        <v>011015172859</v>
      </c>
    </row>
    <row r="64" customFormat="false" ht="13.8" hidden="false" customHeight="false" outlineLevel="0" collapsed="false">
      <c r="A64" s="7" t="s">
        <v>16890</v>
      </c>
      <c r="B64" s="7" t="s">
        <v>16904</v>
      </c>
      <c r="C64" s="7" t="s">
        <v>16931</v>
      </c>
      <c r="D64" s="7" t="s">
        <v>16924</v>
      </c>
      <c r="E64" s="7" t="s">
        <v>16932</v>
      </c>
      <c r="F64" s="7" t="s">
        <v>16901</v>
      </c>
      <c r="G64" s="6" t="str">
        <f aca="false">A64&amp;B64&amp;C64&amp;D64&amp;E64&amp;F64</f>
        <v>021924364557</v>
      </c>
    </row>
    <row r="65" customFormat="false" ht="13.8" hidden="false" customHeight="false" outlineLevel="0" collapsed="false">
      <c r="A65" s="7" t="s">
        <v>16918</v>
      </c>
      <c r="B65" s="7" t="s">
        <v>16921</v>
      </c>
      <c r="C65" s="7" t="s">
        <v>16928</v>
      </c>
      <c r="D65" s="7" t="s">
        <v>16924</v>
      </c>
      <c r="E65" s="7" t="s">
        <v>16935</v>
      </c>
      <c r="F65" s="7" t="s">
        <v>16915</v>
      </c>
      <c r="G65" s="6" t="str">
        <f aca="false">A65&amp;B65&amp;C65&amp;D65&amp;E65&amp;F65</f>
        <v>071117364051</v>
      </c>
    </row>
    <row r="66" customFormat="false" ht="13.8" hidden="false" customHeight="false" outlineLevel="0" collapsed="false">
      <c r="A66" s="7" t="s">
        <v>16911</v>
      </c>
      <c r="B66" s="7" t="s">
        <v>16917</v>
      </c>
      <c r="C66" s="7" t="s">
        <v>16918</v>
      </c>
      <c r="D66" s="7" t="s">
        <v>16914</v>
      </c>
      <c r="E66" s="7" t="s">
        <v>16925</v>
      </c>
      <c r="F66" s="7" t="s">
        <v>16882</v>
      </c>
      <c r="G66" s="6" t="str">
        <f aca="false">A66&amp;B66&amp;C66&amp;D66&amp;E66&amp;F66</f>
        <v>010507295253</v>
      </c>
    </row>
    <row r="67" customFormat="false" ht="13.8" hidden="false" customHeight="false" outlineLevel="0" collapsed="false">
      <c r="A67" s="7" t="s">
        <v>16903</v>
      </c>
      <c r="B67" s="7" t="s">
        <v>16921</v>
      </c>
      <c r="C67" s="7" t="s">
        <v>16897</v>
      </c>
      <c r="D67" s="7" t="s">
        <v>16887</v>
      </c>
      <c r="E67" s="7" t="s">
        <v>16894</v>
      </c>
      <c r="F67" s="7" t="s">
        <v>16889</v>
      </c>
      <c r="G67" s="6" t="str">
        <f aca="false">A67&amp;B67&amp;C67&amp;D67&amp;E67&amp;F67</f>
        <v>091112414350</v>
      </c>
    </row>
    <row r="68" customFormat="false" ht="13.8" hidden="false" customHeight="false" outlineLevel="0" collapsed="false">
      <c r="A68" s="7" t="s">
        <v>16931</v>
      </c>
      <c r="B68" s="7" t="s">
        <v>16914</v>
      </c>
      <c r="C68" s="7" t="s">
        <v>16932</v>
      </c>
      <c r="D68" s="7" t="s">
        <v>16923</v>
      </c>
      <c r="E68" s="7" t="s">
        <v>16915</v>
      </c>
      <c r="F68" s="7" t="s">
        <v>16916</v>
      </c>
      <c r="G68" s="6" t="str">
        <f aca="false">A68&amp;B68&amp;C68&amp;D68&amp;E68&amp;F68</f>
        <v>242945495160</v>
      </c>
    </row>
    <row r="69" customFormat="false" ht="13.8" hidden="false" customHeight="false" outlineLevel="0" collapsed="false">
      <c r="A69" s="7" t="s">
        <v>16921</v>
      </c>
      <c r="B69" s="7" t="s">
        <v>16879</v>
      </c>
      <c r="C69" s="7" t="s">
        <v>16924</v>
      </c>
      <c r="D69" s="7" t="s">
        <v>16895</v>
      </c>
      <c r="E69" s="7" t="s">
        <v>16909</v>
      </c>
      <c r="F69" s="7" t="s">
        <v>16916</v>
      </c>
      <c r="G69" s="6" t="str">
        <f aca="false">A69&amp;B69&amp;C69&amp;D69&amp;E69&amp;F69</f>
        <v>112236485560</v>
      </c>
    </row>
    <row r="70" customFormat="false" ht="13.8" hidden="false" customHeight="false" outlineLevel="0" collapsed="false">
      <c r="A70" s="7" t="s">
        <v>16890</v>
      </c>
      <c r="B70" s="7" t="s">
        <v>16912</v>
      </c>
      <c r="C70" s="7" t="s">
        <v>16917</v>
      </c>
      <c r="D70" s="7" t="s">
        <v>16903</v>
      </c>
      <c r="E70" s="7" t="s">
        <v>16892</v>
      </c>
      <c r="F70" s="7" t="s">
        <v>16926</v>
      </c>
      <c r="G70" s="6" t="str">
        <f aca="false">A70&amp;B70&amp;C70&amp;D70&amp;E70&amp;F70</f>
        <v>020405092123</v>
      </c>
    </row>
    <row r="71" customFormat="false" ht="13.8" hidden="false" customHeight="false" outlineLevel="0" collapsed="false">
      <c r="A71" s="7" t="s">
        <v>16912</v>
      </c>
      <c r="B71" s="7" t="s">
        <v>16878</v>
      </c>
      <c r="C71" s="7" t="s">
        <v>16926</v>
      </c>
      <c r="D71" s="7" t="s">
        <v>16886</v>
      </c>
      <c r="E71" s="7" t="s">
        <v>16908</v>
      </c>
      <c r="F71" s="7" t="s">
        <v>16882</v>
      </c>
      <c r="G71" s="6" t="str">
        <f aca="false">A71&amp;B71&amp;C71&amp;D71&amp;E71&amp;F71</f>
        <v>041023334253</v>
      </c>
    </row>
    <row r="72" customFormat="false" ht="13.8" hidden="false" customHeight="false" outlineLevel="0" collapsed="false">
      <c r="A72" s="7" t="s">
        <v>16917</v>
      </c>
      <c r="B72" s="7" t="s">
        <v>16931</v>
      </c>
      <c r="C72" s="7" t="s">
        <v>16905</v>
      </c>
      <c r="D72" s="7" t="s">
        <v>16906</v>
      </c>
      <c r="E72" s="7" t="s">
        <v>16887</v>
      </c>
      <c r="F72" s="7" t="s">
        <v>16933</v>
      </c>
      <c r="G72" s="6" t="str">
        <f aca="false">A72&amp;B72&amp;C72&amp;D72&amp;E72&amp;F72</f>
        <v>052434374154</v>
      </c>
    </row>
    <row r="73" customFormat="false" ht="13.8" hidden="false" customHeight="false" outlineLevel="0" collapsed="false">
      <c r="A73" s="7" t="s">
        <v>16878</v>
      </c>
      <c r="B73" s="7" t="s">
        <v>16926</v>
      </c>
      <c r="C73" s="7" t="s">
        <v>16886</v>
      </c>
      <c r="D73" s="7" t="s">
        <v>16893</v>
      </c>
      <c r="E73" s="7" t="s">
        <v>16908</v>
      </c>
      <c r="F73" s="7" t="s">
        <v>16933</v>
      </c>
      <c r="G73" s="6" t="str">
        <f aca="false">A73&amp;B73&amp;C73&amp;D73&amp;E73&amp;F73</f>
        <v>102333384254</v>
      </c>
    </row>
    <row r="74" customFormat="false" ht="13.8" hidden="false" customHeight="false" outlineLevel="0" collapsed="false">
      <c r="A74" s="7" t="s">
        <v>16912</v>
      </c>
      <c r="B74" s="7" t="s">
        <v>16917</v>
      </c>
      <c r="C74" s="7" t="s">
        <v>16931</v>
      </c>
      <c r="D74" s="7" t="s">
        <v>16905</v>
      </c>
      <c r="E74" s="7" t="s">
        <v>16887</v>
      </c>
      <c r="F74" s="7" t="s">
        <v>16882</v>
      </c>
      <c r="G74" s="6" t="str">
        <f aca="false">A74&amp;B74&amp;C74&amp;D74&amp;E74&amp;F74</f>
        <v>040524344153</v>
      </c>
    </row>
    <row r="75" customFormat="false" ht="13.8" hidden="false" customHeight="false" outlineLevel="0" collapsed="false">
      <c r="A75" s="7" t="s">
        <v>16878</v>
      </c>
      <c r="B75" s="7" t="s">
        <v>16931</v>
      </c>
      <c r="C75" s="7" t="s">
        <v>16886</v>
      </c>
      <c r="D75" s="7" t="s">
        <v>16906</v>
      </c>
      <c r="E75" s="7" t="s">
        <v>16908</v>
      </c>
      <c r="F75" s="7" t="s">
        <v>16933</v>
      </c>
      <c r="G75" s="6" t="str">
        <f aca="false">A75&amp;B75&amp;C75&amp;D75&amp;E75&amp;F75</f>
        <v>102433374254</v>
      </c>
    </row>
    <row r="76" customFormat="false" ht="13.8" hidden="false" customHeight="false" outlineLevel="0" collapsed="false">
      <c r="A76" s="7" t="s">
        <v>16917</v>
      </c>
      <c r="B76" s="7" t="s">
        <v>16926</v>
      </c>
      <c r="C76" s="7" t="s">
        <v>16905</v>
      </c>
      <c r="D76" s="7" t="s">
        <v>16893</v>
      </c>
      <c r="E76" s="7" t="s">
        <v>16887</v>
      </c>
      <c r="F76" s="7" t="s">
        <v>16882</v>
      </c>
      <c r="G76" s="6" t="str">
        <f aca="false">A76&amp;B76&amp;C76&amp;D76&amp;E76&amp;F76</f>
        <v>052334384153</v>
      </c>
    </row>
    <row r="77" customFormat="false" ht="13.8" hidden="false" customHeight="false" outlineLevel="0" collapsed="false">
      <c r="A77" s="7" t="s">
        <v>16912</v>
      </c>
      <c r="B77" s="7" t="s">
        <v>16878</v>
      </c>
      <c r="C77" s="7" t="s">
        <v>16931</v>
      </c>
      <c r="D77" s="7" t="s">
        <v>16886</v>
      </c>
      <c r="E77" s="7" t="s">
        <v>16906</v>
      </c>
      <c r="F77" s="7" t="s">
        <v>16933</v>
      </c>
      <c r="G77" s="6" t="str">
        <f aca="false">A77&amp;B77&amp;C77&amp;D77&amp;E77&amp;F77</f>
        <v>041024333754</v>
      </c>
    </row>
    <row r="78" customFormat="false" ht="13.8" hidden="false" customHeight="false" outlineLevel="0" collapsed="false">
      <c r="A78" s="7" t="s">
        <v>16917</v>
      </c>
      <c r="B78" s="7" t="s">
        <v>16926</v>
      </c>
      <c r="C78" s="7" t="s">
        <v>16905</v>
      </c>
      <c r="D78" s="7" t="s">
        <v>16887</v>
      </c>
      <c r="E78" s="7" t="s">
        <v>16908</v>
      </c>
      <c r="F78" s="7" t="s">
        <v>16882</v>
      </c>
      <c r="G78" s="6" t="str">
        <f aca="false">A78&amp;B78&amp;C78&amp;D78&amp;E78&amp;F78</f>
        <v>052334414253</v>
      </c>
    </row>
    <row r="79" customFormat="false" ht="13.8" hidden="false" customHeight="false" outlineLevel="0" collapsed="false">
      <c r="A79" s="7" t="s">
        <v>16878</v>
      </c>
      <c r="B79" s="7" t="s">
        <v>16931</v>
      </c>
      <c r="C79" s="7" t="s">
        <v>16886</v>
      </c>
      <c r="D79" s="7" t="s">
        <v>16893</v>
      </c>
      <c r="E79" s="7" t="s">
        <v>16887</v>
      </c>
      <c r="F79" s="7" t="s">
        <v>16933</v>
      </c>
      <c r="G79" s="6" t="str">
        <f aca="false">A79&amp;B79&amp;C79&amp;D79&amp;E79&amp;F79</f>
        <v>102433384154</v>
      </c>
    </row>
    <row r="80" customFormat="false" ht="13.8" hidden="false" customHeight="false" outlineLevel="0" collapsed="false">
      <c r="A80" s="7" t="s">
        <v>16912</v>
      </c>
      <c r="B80" s="7" t="s">
        <v>16917</v>
      </c>
      <c r="C80" s="7" t="s">
        <v>16926</v>
      </c>
      <c r="D80" s="7" t="s">
        <v>16906</v>
      </c>
      <c r="E80" s="7" t="s">
        <v>16908</v>
      </c>
      <c r="F80" s="7" t="s">
        <v>16882</v>
      </c>
      <c r="G80" s="6" t="str">
        <f aca="false">A80&amp;B80&amp;C80&amp;D80&amp;E80&amp;F80</f>
        <v>040523374253</v>
      </c>
    </row>
    <row r="81" customFormat="false" ht="13.8" hidden="false" customHeight="false" outlineLevel="0" collapsed="false">
      <c r="A81" s="7" t="s">
        <v>16911</v>
      </c>
      <c r="B81" s="7" t="s">
        <v>16878</v>
      </c>
      <c r="C81" s="7" t="s">
        <v>16921</v>
      </c>
      <c r="D81" s="7" t="s">
        <v>16930</v>
      </c>
      <c r="E81" s="7" t="s">
        <v>16899</v>
      </c>
      <c r="F81" s="7" t="s">
        <v>16889</v>
      </c>
      <c r="G81" s="6" t="str">
        <f aca="false">A81&amp;B81&amp;C81&amp;D81&amp;E81&amp;F81</f>
        <v>011011132750</v>
      </c>
    </row>
    <row r="82" customFormat="false" ht="13.8" hidden="false" customHeight="false" outlineLevel="0" collapsed="false">
      <c r="A82" s="7" t="s">
        <v>16917</v>
      </c>
      <c r="B82" s="7" t="s">
        <v>16878</v>
      </c>
      <c r="C82" s="7" t="s">
        <v>16929</v>
      </c>
      <c r="D82" s="7" t="s">
        <v>16886</v>
      </c>
      <c r="E82" s="7" t="s">
        <v>16924</v>
      </c>
      <c r="F82" s="7" t="s">
        <v>16913</v>
      </c>
      <c r="G82" s="6" t="str">
        <f aca="false">A82&amp;B82&amp;C82&amp;D82&amp;E82&amp;F82</f>
        <v>051020333658</v>
      </c>
    </row>
    <row r="83" customFormat="false" ht="13.8" hidden="false" customHeight="false" outlineLevel="0" collapsed="false">
      <c r="A83" s="7" t="s">
        <v>16884</v>
      </c>
      <c r="B83" s="7" t="s">
        <v>16878</v>
      </c>
      <c r="C83" s="7" t="s">
        <v>16905</v>
      </c>
      <c r="D83" s="7" t="s">
        <v>16887</v>
      </c>
      <c r="E83" s="7" t="s">
        <v>16882</v>
      </c>
      <c r="F83" s="7" t="s">
        <v>16937</v>
      </c>
      <c r="G83" s="6" t="str">
        <f aca="false">A83&amp;B83&amp;C83&amp;D83&amp;E83&amp;F83</f>
        <v>031034415356</v>
      </c>
    </row>
    <row r="84" customFormat="false" ht="13.8" hidden="false" customHeight="false" outlineLevel="0" collapsed="false">
      <c r="A84" s="7" t="s">
        <v>16917</v>
      </c>
      <c r="B84" s="7" t="s">
        <v>16929</v>
      </c>
      <c r="C84" s="7" t="s">
        <v>16886</v>
      </c>
      <c r="D84" s="7" t="s">
        <v>16906</v>
      </c>
      <c r="E84" s="7" t="s">
        <v>16908</v>
      </c>
      <c r="F84" s="7" t="s">
        <v>16913</v>
      </c>
      <c r="G84" s="6" t="str">
        <f aca="false">A84&amp;B84&amp;C84&amp;D84&amp;E84&amp;F84</f>
        <v>052033374258</v>
      </c>
    </row>
    <row r="85" customFormat="false" ht="13.8" hidden="false" customHeight="false" outlineLevel="0" collapsed="false">
      <c r="A85" s="7" t="s">
        <v>16912</v>
      </c>
      <c r="B85" s="7" t="s">
        <v>16928</v>
      </c>
      <c r="C85" s="7" t="s">
        <v>16898</v>
      </c>
      <c r="D85" s="7" t="s">
        <v>16881</v>
      </c>
      <c r="E85" s="7" t="s">
        <v>16895</v>
      </c>
      <c r="F85" s="7" t="s">
        <v>16915</v>
      </c>
      <c r="G85" s="6" t="str">
        <f aca="false">A85&amp;B85&amp;C85&amp;D85&amp;E85&amp;F85</f>
        <v>041726394851</v>
      </c>
    </row>
    <row r="86" customFormat="false" ht="13.8" hidden="false" customHeight="false" outlineLevel="0" collapsed="false">
      <c r="A86" s="7" t="s">
        <v>16902</v>
      </c>
      <c r="B86" s="7" t="s">
        <v>16904</v>
      </c>
      <c r="C86" s="7" t="s">
        <v>16899</v>
      </c>
      <c r="D86" s="7" t="s">
        <v>16934</v>
      </c>
      <c r="E86" s="7" t="s">
        <v>16900</v>
      </c>
      <c r="F86" s="7" t="s">
        <v>16925</v>
      </c>
      <c r="G86" s="6" t="str">
        <f aca="false">A86&amp;B86&amp;C86&amp;D86&amp;E86&amp;F86</f>
        <v>081927354452</v>
      </c>
    </row>
    <row r="87" customFormat="false" ht="13.8" hidden="false" customHeight="false" outlineLevel="0" collapsed="false">
      <c r="A87" s="7" t="s">
        <v>16897</v>
      </c>
      <c r="B87" s="7" t="s">
        <v>16926</v>
      </c>
      <c r="C87" s="7" t="s">
        <v>16920</v>
      </c>
      <c r="D87" s="7" t="s">
        <v>16893</v>
      </c>
      <c r="E87" s="7" t="s">
        <v>16932</v>
      </c>
      <c r="F87" s="7" t="s">
        <v>16889</v>
      </c>
      <c r="G87" s="6" t="str">
        <f aca="false">A87&amp;B87&amp;C87&amp;D87&amp;E87&amp;F87</f>
        <v>122330384550</v>
      </c>
    </row>
    <row r="88" customFormat="false" ht="13.8" hidden="false" customHeight="false" outlineLevel="0" collapsed="false">
      <c r="A88" s="7" t="s">
        <v>16921</v>
      </c>
      <c r="B88" s="7" t="s">
        <v>16892</v>
      </c>
      <c r="C88" s="7" t="s">
        <v>16914</v>
      </c>
      <c r="D88" s="7" t="s">
        <v>16908</v>
      </c>
      <c r="E88" s="7" t="s">
        <v>16909</v>
      </c>
      <c r="F88" s="7" t="s">
        <v>16883</v>
      </c>
      <c r="G88" s="6" t="str">
        <f aca="false">A88&amp;B88&amp;C88&amp;D88&amp;E88&amp;F88</f>
        <v>112129425559</v>
      </c>
    </row>
    <row r="89" customFormat="false" ht="13.8" hidden="false" customHeight="false" outlineLevel="0" collapsed="false">
      <c r="A89" s="7" t="s">
        <v>16890</v>
      </c>
      <c r="B89" s="7" t="s">
        <v>16907</v>
      </c>
      <c r="C89" s="7" t="s">
        <v>16879</v>
      </c>
      <c r="D89" s="7" t="s">
        <v>16927</v>
      </c>
      <c r="E89" s="7" t="s">
        <v>16923</v>
      </c>
      <c r="F89" s="7" t="s">
        <v>16916</v>
      </c>
      <c r="G89" s="6" t="str">
        <f aca="false">A89&amp;B89&amp;C89&amp;D89&amp;E89&amp;F89</f>
        <v>021522314960</v>
      </c>
    </row>
    <row r="90" customFormat="false" ht="13.8" hidden="false" customHeight="false" outlineLevel="0" collapsed="false">
      <c r="A90" s="7" t="s">
        <v>16918</v>
      </c>
      <c r="B90" s="7" t="s">
        <v>16891</v>
      </c>
      <c r="C90" s="7" t="s">
        <v>16922</v>
      </c>
      <c r="D90" s="7" t="s">
        <v>16936</v>
      </c>
      <c r="E90" s="7" t="s">
        <v>16933</v>
      </c>
      <c r="F90" s="7" t="s">
        <v>16901</v>
      </c>
      <c r="G90" s="6" t="str">
        <f aca="false">A90&amp;B90&amp;C90&amp;D90&amp;E90&amp;F90</f>
        <v>071428465457</v>
      </c>
    </row>
    <row r="91" customFormat="false" ht="13.8" hidden="false" customHeight="false" outlineLevel="0" collapsed="false">
      <c r="A91" s="7" t="s">
        <v>16912</v>
      </c>
      <c r="B91" s="7" t="s">
        <v>16907</v>
      </c>
      <c r="C91" s="7" t="s">
        <v>16899</v>
      </c>
      <c r="D91" s="7" t="s">
        <v>16933</v>
      </c>
      <c r="E91" s="7" t="s">
        <v>16937</v>
      </c>
      <c r="F91" s="7" t="s">
        <v>16913</v>
      </c>
      <c r="G91" s="6" t="str">
        <f aca="false">A91&amp;B91&amp;C91&amp;D91&amp;E91&amp;F91</f>
        <v>041527545658</v>
      </c>
    </row>
    <row r="92" customFormat="false" ht="13.8" hidden="false" customHeight="false" outlineLevel="0" collapsed="false">
      <c r="A92" s="7" t="s">
        <v>16917</v>
      </c>
      <c r="B92" s="7" t="s">
        <v>16907</v>
      </c>
      <c r="C92" s="7" t="s">
        <v>16899</v>
      </c>
      <c r="D92" s="7" t="s">
        <v>16933</v>
      </c>
      <c r="E92" s="7" t="s">
        <v>16937</v>
      </c>
      <c r="F92" s="7" t="s">
        <v>16913</v>
      </c>
      <c r="G92" s="6" t="str">
        <f aca="false">A92&amp;B92&amp;C92&amp;D92&amp;E92&amp;F92</f>
        <v>051527545658</v>
      </c>
    </row>
    <row r="93" customFormat="false" ht="13.8" hidden="false" customHeight="false" outlineLevel="0" collapsed="false">
      <c r="A93" s="7" t="s">
        <v>16911</v>
      </c>
      <c r="B93" s="7" t="s">
        <v>16896</v>
      </c>
      <c r="C93" s="7" t="s">
        <v>16928</v>
      </c>
      <c r="D93" s="7" t="s">
        <v>16879</v>
      </c>
      <c r="E93" s="7" t="s">
        <v>16931</v>
      </c>
      <c r="F93" s="7" t="s">
        <v>16934</v>
      </c>
      <c r="G93" s="6" t="str">
        <f aca="false">A93&amp;B93&amp;C93&amp;D93&amp;E93&amp;F93</f>
        <v>010617222435</v>
      </c>
    </row>
    <row r="94" customFormat="false" ht="13.8" hidden="false" customHeight="false" outlineLevel="0" collapsed="false">
      <c r="A94" s="7" t="s">
        <v>16884</v>
      </c>
      <c r="B94" s="7" t="s">
        <v>16918</v>
      </c>
      <c r="C94" s="7" t="s">
        <v>16878</v>
      </c>
      <c r="D94" s="7" t="s">
        <v>16880</v>
      </c>
      <c r="E94" s="7" t="s">
        <v>16886</v>
      </c>
      <c r="F94" s="7" t="s">
        <v>16934</v>
      </c>
      <c r="G94" s="6" t="str">
        <f aca="false">A94&amp;B94&amp;C94&amp;D94&amp;E94&amp;F94</f>
        <v>030710323335</v>
      </c>
    </row>
    <row r="95" customFormat="false" ht="13.8" hidden="false" customHeight="false" outlineLevel="0" collapsed="false">
      <c r="A95" s="7" t="s">
        <v>16890</v>
      </c>
      <c r="B95" s="7" t="s">
        <v>16917</v>
      </c>
      <c r="C95" s="7" t="s">
        <v>16918</v>
      </c>
      <c r="D95" s="7" t="s">
        <v>16904</v>
      </c>
      <c r="E95" s="7" t="s">
        <v>16892</v>
      </c>
      <c r="F95" s="7" t="s">
        <v>16931</v>
      </c>
      <c r="G95" s="6" t="str">
        <f aca="false">A95&amp;B95&amp;C95&amp;D95&amp;E95&amp;F95</f>
        <v>020507192124</v>
      </c>
    </row>
    <row r="96" customFormat="false" ht="13.8" hidden="false" customHeight="false" outlineLevel="0" collapsed="false">
      <c r="A96" s="7" t="s">
        <v>16918</v>
      </c>
      <c r="B96" s="7" t="s">
        <v>16897</v>
      </c>
      <c r="C96" s="7" t="s">
        <v>16904</v>
      </c>
      <c r="D96" s="7" t="s">
        <v>16899</v>
      </c>
      <c r="E96" s="7" t="s">
        <v>16888</v>
      </c>
      <c r="F96" s="7" t="s">
        <v>16937</v>
      </c>
      <c r="G96" s="6" t="str">
        <f aca="false">A96&amp;B96&amp;C96&amp;D96&amp;E96&amp;F96</f>
        <v>071219274756</v>
      </c>
    </row>
    <row r="97" customFormat="false" ht="13.8" hidden="false" customHeight="false" outlineLevel="0" collapsed="false">
      <c r="A97" s="7" t="s">
        <v>16884</v>
      </c>
      <c r="B97" s="7" t="s">
        <v>16918</v>
      </c>
      <c r="C97" s="7" t="s">
        <v>16885</v>
      </c>
      <c r="D97" s="7" t="s">
        <v>16914</v>
      </c>
      <c r="E97" s="7" t="s">
        <v>16908</v>
      </c>
      <c r="F97" s="7" t="s">
        <v>16937</v>
      </c>
      <c r="G97" s="6" t="str">
        <f aca="false">A97&amp;B97&amp;C97&amp;D97&amp;E97&amp;F97</f>
        <v>030718294256</v>
      </c>
    </row>
    <row r="98" customFormat="false" ht="13.8" hidden="false" customHeight="false" outlineLevel="0" collapsed="false">
      <c r="A98" s="7" t="s">
        <v>16917</v>
      </c>
      <c r="B98" s="7" t="s">
        <v>16897</v>
      </c>
      <c r="C98" s="7" t="s">
        <v>16931</v>
      </c>
      <c r="D98" s="7" t="s">
        <v>16886</v>
      </c>
      <c r="E98" s="7" t="s">
        <v>16888</v>
      </c>
      <c r="F98" s="7" t="s">
        <v>16916</v>
      </c>
      <c r="G98" s="6" t="str">
        <f aca="false">A98&amp;B98&amp;C98&amp;D98&amp;E98&amp;F98</f>
        <v>051224334760</v>
      </c>
    </row>
    <row r="99" customFormat="false" ht="13.8" hidden="false" customHeight="false" outlineLevel="0" collapsed="false">
      <c r="A99" s="7" t="s">
        <v>16918</v>
      </c>
      <c r="B99" s="7" t="s">
        <v>16878</v>
      </c>
      <c r="C99" s="7" t="s">
        <v>16930</v>
      </c>
      <c r="D99" s="7" t="s">
        <v>16929</v>
      </c>
      <c r="E99" s="7" t="s">
        <v>16898</v>
      </c>
      <c r="F99" s="7" t="s">
        <v>16937</v>
      </c>
      <c r="G99" s="6" t="str">
        <f aca="false">A99&amp;B99&amp;C99&amp;D99&amp;E99&amp;F99</f>
        <v>071013202656</v>
      </c>
    </row>
    <row r="100" customFormat="false" ht="13.8" hidden="false" customHeight="false" outlineLevel="0" collapsed="false">
      <c r="A100" s="7" t="s">
        <v>16890</v>
      </c>
      <c r="B100" s="7" t="s">
        <v>16912</v>
      </c>
      <c r="C100" s="7" t="s">
        <v>16928</v>
      </c>
      <c r="D100" s="7" t="s">
        <v>16929</v>
      </c>
      <c r="E100" s="7" t="s">
        <v>16892</v>
      </c>
      <c r="F100" s="7" t="s">
        <v>16931</v>
      </c>
      <c r="G100" s="6" t="str">
        <f aca="false">A100&amp;B100&amp;C100&amp;D100&amp;E100&amp;F100</f>
        <v>020417202124</v>
      </c>
    </row>
    <row r="101" customFormat="false" ht="12.8" hidden="false" customHeight="true" outlineLevel="0" collapsed="false">
      <c r="A101" s="8" t="s">
        <v>16890</v>
      </c>
      <c r="B101" s="8" t="s">
        <v>16885</v>
      </c>
      <c r="C101" s="8" t="s">
        <v>16910</v>
      </c>
      <c r="D101" s="8" t="s">
        <v>16880</v>
      </c>
      <c r="E101" s="8" t="s">
        <v>16935</v>
      </c>
      <c r="F101" s="8" t="s">
        <v>16888</v>
      </c>
      <c r="G101" s="6" t="str">
        <f aca="false">A101&amp;B101&amp;C101&amp;D101&amp;E101&amp;F101</f>
        <v>021825324047</v>
      </c>
    </row>
    <row r="102" customFormat="false" ht="12.8" hidden="false" customHeight="true" outlineLevel="0" collapsed="false">
      <c r="A102" s="8" t="s">
        <v>16917</v>
      </c>
      <c r="B102" s="8" t="s">
        <v>16929</v>
      </c>
      <c r="C102" s="8" t="s">
        <v>16898</v>
      </c>
      <c r="D102" s="8" t="s">
        <v>16927</v>
      </c>
      <c r="E102" s="8" t="s">
        <v>16935</v>
      </c>
      <c r="F102" s="8" t="s">
        <v>16889</v>
      </c>
      <c r="G102" s="6" t="str">
        <f aca="false">A102&amp;B102&amp;C102&amp;D102&amp;E102&amp;F102</f>
        <v>052026314050</v>
      </c>
    </row>
    <row r="103" customFormat="false" ht="12.8" hidden="false" customHeight="true" outlineLevel="0" collapsed="false">
      <c r="A103" s="8" t="s">
        <v>16917</v>
      </c>
      <c r="B103" s="8" t="s">
        <v>16928</v>
      </c>
      <c r="C103" s="8" t="s">
        <v>16892</v>
      </c>
      <c r="D103" s="8" t="s">
        <v>16880</v>
      </c>
      <c r="E103" s="8" t="s">
        <v>16888</v>
      </c>
      <c r="F103" s="8" t="s">
        <v>16933</v>
      </c>
      <c r="G103" s="6" t="str">
        <f aca="false">A103&amp;B103&amp;C103&amp;D103&amp;E103&amp;F103</f>
        <v>051721324754</v>
      </c>
    </row>
    <row r="104" customFormat="false" ht="12.8" hidden="false" customHeight="true" outlineLevel="0" collapsed="false">
      <c r="A104" s="8" t="s">
        <v>16878</v>
      </c>
      <c r="B104" s="8" t="s">
        <v>16928</v>
      </c>
      <c r="C104" s="8" t="s">
        <v>16931</v>
      </c>
      <c r="D104" s="8" t="s">
        <v>16927</v>
      </c>
      <c r="E104" s="8" t="s">
        <v>16893</v>
      </c>
      <c r="F104" s="8" t="s">
        <v>16933</v>
      </c>
      <c r="G104" s="6" t="str">
        <f aca="false">A104&amp;B104&amp;C104&amp;D104&amp;E104&amp;F104</f>
        <v>101724313854</v>
      </c>
    </row>
    <row r="105" customFormat="false" ht="12.8" hidden="false" customHeight="true" outlineLevel="0" collapsed="false">
      <c r="A105" s="8" t="s">
        <v>16878</v>
      </c>
      <c r="B105" s="8" t="s">
        <v>16929</v>
      </c>
      <c r="C105" s="8" t="s">
        <v>16898</v>
      </c>
      <c r="D105" s="8" t="s">
        <v>16905</v>
      </c>
      <c r="E105" s="8" t="s">
        <v>16894</v>
      </c>
      <c r="F105" s="8" t="s">
        <v>16889</v>
      </c>
      <c r="G105" s="6" t="str">
        <f aca="false">A105&amp;B105&amp;C105&amp;D105&amp;E105&amp;F105</f>
        <v>102026344350</v>
      </c>
    </row>
    <row r="106" customFormat="false" ht="12.8" hidden="false" customHeight="true" outlineLevel="0" collapsed="false">
      <c r="A106" s="8" t="s">
        <v>16917</v>
      </c>
      <c r="B106" s="8" t="s">
        <v>16919</v>
      </c>
      <c r="C106" s="8" t="s">
        <v>16892</v>
      </c>
      <c r="D106" s="8" t="s">
        <v>16899</v>
      </c>
      <c r="E106" s="8" t="s">
        <v>16886</v>
      </c>
      <c r="F106" s="8" t="s">
        <v>16925</v>
      </c>
      <c r="G106" s="6" t="str">
        <f aca="false">A106&amp;B106&amp;C106&amp;D106&amp;E106&amp;F106</f>
        <v>051621273352</v>
      </c>
    </row>
    <row r="107" customFormat="false" ht="12.8" hidden="false" customHeight="true" outlineLevel="0" collapsed="false">
      <c r="A107" s="8" t="s">
        <v>16921</v>
      </c>
      <c r="B107" s="8" t="s">
        <v>16929</v>
      </c>
      <c r="C107" s="8" t="s">
        <v>16898</v>
      </c>
      <c r="D107" s="8" t="s">
        <v>16905</v>
      </c>
      <c r="E107" s="8" t="s">
        <v>16894</v>
      </c>
      <c r="F107" s="8" t="s">
        <v>16889</v>
      </c>
      <c r="G107" s="6" t="str">
        <f aca="false">A107&amp;B107&amp;C107&amp;D107&amp;E107&amp;F107</f>
        <v>112026344350</v>
      </c>
    </row>
    <row r="108" customFormat="false" ht="12.8" hidden="false" customHeight="true" outlineLevel="0" collapsed="false">
      <c r="A108" s="8" t="s">
        <v>16890</v>
      </c>
      <c r="B108" s="8" t="s">
        <v>16928</v>
      </c>
      <c r="C108" s="8" t="s">
        <v>16931</v>
      </c>
      <c r="D108" s="8" t="s">
        <v>16880</v>
      </c>
      <c r="E108" s="8" t="s">
        <v>16894</v>
      </c>
      <c r="F108" s="8" t="s">
        <v>16933</v>
      </c>
      <c r="G108" s="6" t="str">
        <f aca="false">A108&amp;B108&amp;C108&amp;D108&amp;E108&amp;F108</f>
        <v>021724324354</v>
      </c>
    </row>
    <row r="109" customFormat="false" ht="12.8" hidden="false" customHeight="true" outlineLevel="0" collapsed="false">
      <c r="A109" s="8" t="s">
        <v>16890</v>
      </c>
      <c r="B109" s="8" t="s">
        <v>16891</v>
      </c>
      <c r="C109" s="8" t="s">
        <v>16910</v>
      </c>
      <c r="D109" s="8" t="s">
        <v>16899</v>
      </c>
      <c r="E109" s="8" t="s">
        <v>16893</v>
      </c>
      <c r="F109" s="8" t="s">
        <v>16925</v>
      </c>
      <c r="G109" s="6" t="str">
        <f aca="false">A109&amp;B109&amp;C109&amp;D109&amp;E109&amp;F109</f>
        <v>021425273852</v>
      </c>
    </row>
    <row r="110" customFormat="false" ht="12.8" hidden="false" customHeight="true" outlineLevel="0" collapsed="false">
      <c r="A110" s="8" t="s">
        <v>16878</v>
      </c>
      <c r="B110" s="8" t="s">
        <v>16919</v>
      </c>
      <c r="C110" s="8" t="s">
        <v>16879</v>
      </c>
      <c r="D110" s="8" t="s">
        <v>16905</v>
      </c>
      <c r="E110" s="8" t="s">
        <v>16895</v>
      </c>
      <c r="F110" s="8" t="s">
        <v>16938</v>
      </c>
      <c r="G110" s="6" t="str">
        <f aca="false">A110&amp;B110&amp;C110&amp;D110&amp;E110&amp;F110</f>
        <v>101622344857 </v>
      </c>
    </row>
    <row r="111" customFormat="false" ht="12.8" hidden="false" customHeight="true" outlineLevel="0" collapsed="false">
      <c r="A111" s="8" t="s">
        <v>16912</v>
      </c>
      <c r="B111" s="9" t="n">
        <v>10</v>
      </c>
      <c r="C111" s="9" t="n">
        <v>16</v>
      </c>
      <c r="D111" s="9" t="n">
        <v>21</v>
      </c>
      <c r="E111" s="9" t="n">
        <v>26</v>
      </c>
      <c r="F111" s="9" t="n">
        <v>27</v>
      </c>
      <c r="G111" s="6" t="str">
        <f aca="false">A111&amp;B111&amp;C111&amp;D111&amp;E111&amp;F111</f>
        <v>041016212627</v>
      </c>
    </row>
    <row r="112" customFormat="false" ht="12.8" hidden="false" customHeight="true" outlineLevel="0" collapsed="false">
      <c r="A112" s="8" t="s">
        <v>16903</v>
      </c>
      <c r="B112" s="9" t="n">
        <v>11</v>
      </c>
      <c r="C112" s="9" t="n">
        <v>17</v>
      </c>
      <c r="D112" s="9" t="n">
        <v>24</v>
      </c>
      <c r="E112" s="9" t="n">
        <v>29</v>
      </c>
      <c r="F112" s="9" t="n">
        <v>38</v>
      </c>
      <c r="G112" s="6" t="str">
        <f aca="false">A112&amp;B112&amp;C112&amp;D112&amp;E112&amp;F112</f>
        <v>091117242938</v>
      </c>
    </row>
    <row r="113" customFormat="false" ht="12.8" hidden="false" customHeight="true" outlineLevel="0" collapsed="false">
      <c r="A113" s="8" t="s">
        <v>16897</v>
      </c>
      <c r="B113" s="9" t="n">
        <v>13</v>
      </c>
      <c r="C113" s="9" t="n">
        <v>15</v>
      </c>
      <c r="D113" s="9" t="n">
        <v>18</v>
      </c>
      <c r="E113" s="9" t="n">
        <v>20</v>
      </c>
      <c r="F113" s="9" t="n">
        <v>37</v>
      </c>
      <c r="G113" s="6" t="str">
        <f aca="false">A113&amp;B113&amp;C113&amp;D113&amp;E113&amp;F113</f>
        <v>121315182037</v>
      </c>
    </row>
    <row r="114" customFormat="false" ht="12.8" hidden="false" customHeight="true" outlineLevel="0" collapsed="false">
      <c r="A114" s="8" t="s">
        <v>16910</v>
      </c>
      <c r="B114" s="9" t="n">
        <v>27</v>
      </c>
      <c r="C114" s="9" t="n">
        <v>34</v>
      </c>
      <c r="D114" s="9" t="n">
        <v>41</v>
      </c>
      <c r="E114" s="9" t="n">
        <v>44</v>
      </c>
      <c r="F114" s="9" t="n">
        <v>49</v>
      </c>
      <c r="G114" s="6" t="str">
        <f aca="false">A114&amp;B114&amp;C114&amp;D114&amp;E114&amp;F114</f>
        <v>252734414449</v>
      </c>
    </row>
    <row r="115" customFormat="false" ht="12.8" hidden="false" customHeight="true" outlineLevel="0" collapsed="false">
      <c r="A115" s="8" t="s">
        <v>16891</v>
      </c>
      <c r="B115" s="9" t="n">
        <v>19</v>
      </c>
      <c r="C115" s="9" t="n">
        <v>35</v>
      </c>
      <c r="D115" s="9" t="n">
        <v>45</v>
      </c>
      <c r="E115" s="9" t="n">
        <v>54</v>
      </c>
      <c r="F115" s="9" t="n">
        <v>57</v>
      </c>
      <c r="G115" s="6" t="str">
        <f aca="false">A115&amp;B115&amp;C115&amp;D115&amp;E115&amp;F115</f>
        <v>141935455457</v>
      </c>
    </row>
    <row r="116" customFormat="false" ht="12.8" hidden="false" customHeight="true" outlineLevel="0" collapsed="false">
      <c r="A116" s="8" t="s">
        <v>16878</v>
      </c>
      <c r="B116" s="9" t="n">
        <v>25</v>
      </c>
      <c r="C116" s="9" t="n">
        <v>28</v>
      </c>
      <c r="D116" s="9" t="n">
        <v>39</v>
      </c>
      <c r="E116" s="9" t="n">
        <v>40</v>
      </c>
      <c r="F116" s="9" t="n">
        <v>42</v>
      </c>
      <c r="G116" s="6" t="str">
        <f aca="false">A116&amp;B116&amp;C116&amp;D116&amp;E116&amp;F116</f>
        <v>102528394042</v>
      </c>
    </row>
    <row r="117" customFormat="false" ht="12.8" hidden="false" customHeight="true" outlineLevel="0" collapsed="false">
      <c r="A117" s="8" t="s">
        <v>16912</v>
      </c>
      <c r="B117" s="9" t="n">
        <v>17</v>
      </c>
      <c r="C117" s="9" t="n">
        <v>24</v>
      </c>
      <c r="D117" s="9" t="n">
        <v>38</v>
      </c>
      <c r="E117" s="9" t="n">
        <v>47</v>
      </c>
      <c r="F117" s="9" t="n">
        <v>48</v>
      </c>
      <c r="G117" s="6" t="str">
        <f aca="false">A117&amp;B117&amp;C117&amp;D117&amp;E117&amp;F117</f>
        <v>041724384748</v>
      </c>
    </row>
    <row r="118" customFormat="false" ht="12.8" hidden="false" customHeight="true" outlineLevel="0" collapsed="false">
      <c r="A118" s="8" t="s">
        <v>16921</v>
      </c>
      <c r="B118" s="9" t="n">
        <v>20</v>
      </c>
      <c r="C118" s="9" t="n">
        <v>29</v>
      </c>
      <c r="D118" s="9" t="n">
        <v>37</v>
      </c>
      <c r="E118" s="9" t="n">
        <v>50</v>
      </c>
      <c r="F118" s="9" t="n">
        <v>51</v>
      </c>
      <c r="G118" s="6" t="str">
        <f aca="false">A118&amp;B118&amp;C118&amp;D118&amp;E118&amp;F118</f>
        <v>112029375051</v>
      </c>
    </row>
    <row r="119" customFormat="false" ht="12.8" hidden="false" customHeight="true" outlineLevel="0" collapsed="false">
      <c r="A119" s="8" t="s">
        <v>16930</v>
      </c>
      <c r="B119" s="9" t="n">
        <v>18</v>
      </c>
      <c r="C119" s="9" t="n">
        <v>26</v>
      </c>
      <c r="D119" s="9" t="n">
        <v>34</v>
      </c>
      <c r="E119" s="9" t="n">
        <v>41</v>
      </c>
      <c r="F119" s="9" t="n">
        <v>59</v>
      </c>
      <c r="G119" s="6" t="str">
        <f aca="false">A119&amp;B119&amp;C119&amp;D119&amp;E119&amp;F119</f>
        <v>131826344159</v>
      </c>
    </row>
    <row r="120" customFormat="false" ht="12.8" hidden="false" customHeight="true" outlineLevel="0" collapsed="false">
      <c r="A120" s="8" t="s">
        <v>16903</v>
      </c>
      <c r="B120" s="9" t="n">
        <v>12</v>
      </c>
      <c r="C120" s="9" t="n">
        <v>21</v>
      </c>
      <c r="D120" s="9" t="n">
        <v>35</v>
      </c>
      <c r="E120" s="9" t="n">
        <v>52</v>
      </c>
      <c r="F120" s="9" t="n">
        <v>54</v>
      </c>
      <c r="G120" s="6" t="str">
        <f aca="false">A120&amp;B120&amp;C120&amp;D120&amp;E120&amp;F120</f>
        <v>091221355254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1.53515625" defaultRowHeight="13.8" zeroHeight="false" outlineLevelRow="0" outlineLevelCol="0"/>
  <cols>
    <col collapsed="false" customWidth="false" hidden="false" outlineLevel="0" max="1" min="1" style="1" width="11.53"/>
  </cols>
  <sheetData>
    <row r="1" customFormat="false" ht="13.8" hidden="false" customHeight="false" outlineLevel="0" collapsed="false">
      <c r="A1" s="5" t="n">
        <v>1</v>
      </c>
      <c r="B1" s="6" t="s">
        <v>16939</v>
      </c>
      <c r="C1" s="10" t="n">
        <f aca="false">COUNTIF('MEGA SENA'!C:C,A1)</f>
        <v>288</v>
      </c>
      <c r="D1" s="6" t="n">
        <f aca="false">MOD(C1,4)</f>
        <v>0</v>
      </c>
      <c r="E1" s="6" t="str">
        <f aca="false">IF(D1=0,"",MOD(C1,8))</f>
        <v/>
      </c>
    </row>
    <row r="2" customFormat="false" ht="13.8" hidden="false" customHeight="false" outlineLevel="0" collapsed="false">
      <c r="A2" s="5" t="n">
        <v>2</v>
      </c>
      <c r="B2" s="6" t="s">
        <v>16939</v>
      </c>
      <c r="C2" s="10" t="n">
        <f aca="false">COUNTIF('MEGA SENA'!C:C,A2)</f>
        <v>269</v>
      </c>
      <c r="D2" s="6" t="n">
        <f aca="false">MOD(C2,4)</f>
        <v>1</v>
      </c>
      <c r="E2" s="6" t="n">
        <f aca="false">IF(D2=0,"",MOD(C2,8))</f>
        <v>5</v>
      </c>
    </row>
    <row r="3" customFormat="false" ht="13.8" hidden="false" customHeight="false" outlineLevel="0" collapsed="false">
      <c r="A3" s="5" t="n">
        <v>4</v>
      </c>
      <c r="B3" s="6" t="s">
        <v>16939</v>
      </c>
      <c r="C3" s="10" t="n">
        <f aca="false">COUNTIF('MEGA SENA'!C:C,A3)</f>
        <v>248</v>
      </c>
      <c r="D3" s="6" t="n">
        <f aca="false">MOD(C3,4)</f>
        <v>0</v>
      </c>
      <c r="E3" s="6" t="str">
        <f aca="false">IF(D3=0,"",MOD(C3,8))</f>
        <v/>
      </c>
    </row>
    <row r="4" customFormat="false" ht="13.8" hidden="false" customHeight="false" outlineLevel="0" collapsed="false">
      <c r="A4" s="5" t="n">
        <v>3</v>
      </c>
      <c r="B4" s="6" t="s">
        <v>16939</v>
      </c>
      <c r="C4" s="10" t="n">
        <f aca="false">COUNTIF('MEGA SENA'!C:C,A4)</f>
        <v>228</v>
      </c>
      <c r="D4" s="6" t="n">
        <f aca="false">MOD(C4,4)</f>
        <v>0</v>
      </c>
      <c r="E4" s="6" t="str">
        <f aca="false">IF(D4=0,"",MOD(C4,8))</f>
        <v/>
      </c>
    </row>
    <row r="5" customFormat="false" ht="13.8" hidden="false" customHeight="false" outlineLevel="0" collapsed="false">
      <c r="A5" s="5" t="n">
        <v>5</v>
      </c>
      <c r="B5" s="6" t="s">
        <v>16939</v>
      </c>
      <c r="C5" s="10" t="n">
        <f aca="false">COUNTIF('MEGA SENA'!C:C,A5)</f>
        <v>215</v>
      </c>
      <c r="D5" s="6" t="n">
        <f aca="false">MOD(C5,4)</f>
        <v>3</v>
      </c>
      <c r="E5" s="6" t="n">
        <f aca="false">IF(D5=0,"",MOD(C5,8))</f>
        <v>7</v>
      </c>
    </row>
    <row r="6" customFormat="false" ht="13.8" hidden="false" customHeight="false" outlineLevel="0" collapsed="false">
      <c r="A6" s="5" t="n">
        <v>6</v>
      </c>
      <c r="B6" s="6" t="s">
        <v>16939</v>
      </c>
      <c r="C6" s="10" t="n">
        <f aca="false">COUNTIF('MEGA SENA'!C:C,A6)</f>
        <v>184</v>
      </c>
      <c r="D6" s="6" t="n">
        <f aca="false">MOD(C6,4)</f>
        <v>0</v>
      </c>
      <c r="E6" s="6" t="str">
        <f aca="false">IF(D6=0,"",MOD(C6,8))</f>
        <v/>
      </c>
    </row>
    <row r="7" customFormat="false" ht="13.8" hidden="false" customHeight="false" outlineLevel="0" collapsed="false">
      <c r="A7" s="5" t="n">
        <v>7</v>
      </c>
      <c r="B7" s="6" t="s">
        <v>16939</v>
      </c>
      <c r="C7" s="10" t="n">
        <f aca="false">COUNTIF('MEGA SENA'!C:C,A7)</f>
        <v>179</v>
      </c>
      <c r="D7" s="6" t="n">
        <f aca="false">MOD(C7,4)</f>
        <v>3</v>
      </c>
      <c r="E7" s="6" t="n">
        <f aca="false">IF(D7=0,"",MOD(C7,8))</f>
        <v>3</v>
      </c>
    </row>
    <row r="8" customFormat="false" ht="13.8" hidden="false" customHeight="false" outlineLevel="0" collapsed="false">
      <c r="A8" s="5" t="n">
        <v>8</v>
      </c>
      <c r="B8" s="6" t="s">
        <v>16939</v>
      </c>
      <c r="C8" s="10" t="n">
        <f aca="false">COUNTIF('MEGA SENA'!C:C,A8)</f>
        <v>165</v>
      </c>
      <c r="D8" s="6" t="n">
        <f aca="false">MOD(C8,4)</f>
        <v>1</v>
      </c>
      <c r="E8" s="6" t="n">
        <f aca="false">IF(D8=0,"",MOD(C8,8))</f>
        <v>5</v>
      </c>
    </row>
    <row r="9" customFormat="false" ht="13.8" hidden="false" customHeight="false" outlineLevel="0" collapsed="false">
      <c r="A9" s="5" t="n">
        <v>10</v>
      </c>
      <c r="B9" s="6" t="s">
        <v>16939</v>
      </c>
      <c r="C9" s="10" t="n">
        <f aca="false">COUNTIF('MEGA SENA'!C:C,A9)</f>
        <v>158</v>
      </c>
      <c r="D9" s="6" t="n">
        <f aca="false">MOD(C9,4)</f>
        <v>2</v>
      </c>
      <c r="E9" s="6" t="n">
        <f aca="false">IF(D9=0,"",MOD(C9,8))</f>
        <v>6</v>
      </c>
    </row>
    <row r="10" customFormat="false" ht="13.8" hidden="false" customHeight="false" outlineLevel="0" collapsed="false">
      <c r="A10" s="5" t="n">
        <v>9</v>
      </c>
      <c r="B10" s="6" t="s">
        <v>16939</v>
      </c>
      <c r="C10" s="10" t="n">
        <f aca="false">COUNTIF('MEGA SENA'!C:C,A10)</f>
        <v>144</v>
      </c>
      <c r="D10" s="6" t="n">
        <f aca="false">MOD(C10,4)</f>
        <v>0</v>
      </c>
      <c r="E10" s="6" t="str">
        <f aca="false">IF(D10=0,"",MOD(C10,8))</f>
        <v/>
      </c>
    </row>
    <row r="11" customFormat="false" ht="13.8" hidden="false" customHeight="false" outlineLevel="0" collapsed="false">
      <c r="A11" s="5" t="n">
        <v>11</v>
      </c>
      <c r="B11" s="6" t="s">
        <v>16939</v>
      </c>
      <c r="C11" s="10" t="n">
        <f aca="false">COUNTIF('MEGA SENA'!C:C,A11)</f>
        <v>106</v>
      </c>
      <c r="D11" s="6" t="n">
        <f aca="false">MOD(C11,4)</f>
        <v>2</v>
      </c>
      <c r="E11" s="6" t="n">
        <f aca="false">IF(D11=0,"",MOD(C11,8))</f>
        <v>2</v>
      </c>
    </row>
    <row r="12" customFormat="false" ht="13.8" hidden="false" customHeight="false" outlineLevel="0" collapsed="false">
      <c r="A12" s="5" t="n">
        <v>12</v>
      </c>
      <c r="B12" s="6" t="s">
        <v>16939</v>
      </c>
      <c r="C12" s="10" t="n">
        <f aca="false">COUNTIF('MEGA SENA'!C:C,A12)</f>
        <v>95</v>
      </c>
      <c r="D12" s="6" t="n">
        <f aca="false">MOD(C12,4)</f>
        <v>3</v>
      </c>
      <c r="E12" s="6" t="n">
        <f aca="false">IF(D12=0,"",MOD(C12,8))</f>
        <v>7</v>
      </c>
    </row>
    <row r="13" customFormat="false" ht="13.8" hidden="false" customHeight="false" outlineLevel="0" collapsed="false">
      <c r="A13" s="5" t="n">
        <v>13</v>
      </c>
      <c r="B13" s="6" t="s">
        <v>16939</v>
      </c>
      <c r="C13" s="10" t="n">
        <f aca="false">COUNTIF('MEGA SENA'!C:C,A13)</f>
        <v>79</v>
      </c>
      <c r="D13" s="6" t="n">
        <f aca="false">MOD(C13,4)</f>
        <v>3</v>
      </c>
      <c r="E13" s="6" t="n">
        <f aca="false">IF(D13=0,"",MOD(C13,8))</f>
        <v>7</v>
      </c>
    </row>
    <row r="14" customFormat="false" ht="13.8" hidden="false" customHeight="false" outlineLevel="0" collapsed="false">
      <c r="A14" s="5" t="n">
        <v>14</v>
      </c>
      <c r="B14" s="6" t="s">
        <v>16939</v>
      </c>
      <c r="C14" s="10" t="n">
        <f aca="false">COUNTIF('MEGA SENA'!C:C,A14)</f>
        <v>79</v>
      </c>
      <c r="D14" s="6" t="n">
        <f aca="false">MOD(C14,4)</f>
        <v>3</v>
      </c>
      <c r="E14" s="6" t="n">
        <f aca="false">IF(D14=0,"",MOD(C14,8))</f>
        <v>7</v>
      </c>
    </row>
    <row r="15" customFormat="false" ht="13.8" hidden="false" customHeight="false" outlineLevel="0" collapsed="false">
      <c r="A15" s="5" t="n">
        <v>15</v>
      </c>
      <c r="B15" s="6" t="s">
        <v>16939</v>
      </c>
      <c r="C15" s="10" t="n">
        <f aca="false">COUNTIF('MEGA SENA'!C:C,A15)</f>
        <v>67</v>
      </c>
      <c r="D15" s="6" t="n">
        <f aca="false">MOD(C15,4)</f>
        <v>3</v>
      </c>
      <c r="E15" s="6" t="n">
        <f aca="false">IF(D15=0,"",MOD(C15,8))</f>
        <v>3</v>
      </c>
    </row>
    <row r="16" customFormat="false" ht="13.8" hidden="false" customHeight="false" outlineLevel="0" collapsed="false">
      <c r="A16" s="5" t="n">
        <v>17</v>
      </c>
      <c r="B16" s="6" t="s">
        <v>16939</v>
      </c>
      <c r="C16" s="10" t="n">
        <f aca="false">COUNTIF('MEGA SENA'!C:C,A16)</f>
        <v>63</v>
      </c>
      <c r="D16" s="6" t="n">
        <f aca="false">MOD(C16,4)</f>
        <v>3</v>
      </c>
      <c r="E16" s="6" t="n">
        <f aca="false">IF(D16=0,"",MOD(C16,8))</f>
        <v>7</v>
      </c>
    </row>
    <row r="17" customFormat="false" ht="13.8" hidden="false" customHeight="false" outlineLevel="0" collapsed="false">
      <c r="A17" s="5" t="n">
        <v>16</v>
      </c>
      <c r="B17" s="6" t="s">
        <v>16939</v>
      </c>
      <c r="C17" s="10" t="n">
        <f aca="false">COUNTIF('MEGA SENA'!C:C,A17)</f>
        <v>60</v>
      </c>
      <c r="D17" s="6" t="n">
        <f aca="false">MOD(C17,4)</f>
        <v>0</v>
      </c>
      <c r="E17" s="6" t="str">
        <f aca="false">IF(D17=0,"",MOD(C17,8))</f>
        <v/>
      </c>
    </row>
    <row r="18" customFormat="false" ht="13.8" hidden="false" customHeight="false" outlineLevel="0" collapsed="false">
      <c r="A18" s="5" t="n">
        <v>20</v>
      </c>
      <c r="B18" s="6" t="s">
        <v>16939</v>
      </c>
      <c r="C18" s="10" t="n">
        <f aca="false">COUNTIF('MEGA SENA'!C:C,A18)</f>
        <v>46</v>
      </c>
      <c r="D18" s="6" t="n">
        <f aca="false">MOD(C18,4)</f>
        <v>2</v>
      </c>
      <c r="E18" s="6" t="n">
        <f aca="false">IF(D18=0,"",MOD(C18,8))</f>
        <v>6</v>
      </c>
    </row>
    <row r="19" customFormat="false" ht="13.8" hidden="false" customHeight="false" outlineLevel="0" collapsed="false">
      <c r="A19" s="5" t="n">
        <v>19</v>
      </c>
      <c r="B19" s="6" t="s">
        <v>16939</v>
      </c>
      <c r="C19" s="10" t="n">
        <f aca="false">COUNTIF('MEGA SENA'!C:C,A19)</f>
        <v>42</v>
      </c>
      <c r="D19" s="6" t="n">
        <f aca="false">MOD(C19,4)</f>
        <v>2</v>
      </c>
      <c r="E19" s="6" t="n">
        <f aca="false">IF(D19=0,"",MOD(C19,8))</f>
        <v>2</v>
      </c>
    </row>
    <row r="20" customFormat="false" ht="13.8" hidden="false" customHeight="false" outlineLevel="0" collapsed="false">
      <c r="A20" s="5" t="n">
        <v>18</v>
      </c>
      <c r="B20" s="6" t="s">
        <v>16939</v>
      </c>
      <c r="C20" s="10" t="n">
        <f aca="false">COUNTIF('MEGA SENA'!C:C,A20)</f>
        <v>39</v>
      </c>
      <c r="D20" s="6" t="n">
        <f aca="false">MOD(C20,4)</f>
        <v>3</v>
      </c>
      <c r="E20" s="6" t="n">
        <f aca="false">IF(D20=0,"",MOD(C20,8))</f>
        <v>7</v>
      </c>
    </row>
    <row r="21" customFormat="false" ht="13.8" hidden="false" customHeight="false" outlineLevel="0" collapsed="false">
      <c r="A21" s="5" t="n">
        <v>23</v>
      </c>
      <c r="B21" s="6" t="s">
        <v>16939</v>
      </c>
      <c r="C21" s="10" t="n">
        <f aca="false">COUNTIF('MEGA SENA'!C:C,A21)</f>
        <v>29</v>
      </c>
      <c r="D21" s="6" t="n">
        <f aca="false">MOD(C21,4)</f>
        <v>1</v>
      </c>
      <c r="E21" s="6" t="n">
        <f aca="false">IF(D21=0,"",MOD(C21,8))</f>
        <v>5</v>
      </c>
    </row>
    <row r="22" customFormat="false" ht="13.8" hidden="false" customHeight="false" outlineLevel="0" collapsed="false">
      <c r="A22" s="5" t="n">
        <v>21</v>
      </c>
      <c r="B22" s="6" t="s">
        <v>16939</v>
      </c>
      <c r="C22" s="10" t="n">
        <f aca="false">COUNTIF('MEGA SENA'!C:C,A22)</f>
        <v>28</v>
      </c>
      <c r="D22" s="6" t="n">
        <f aca="false">MOD(C22,4)</f>
        <v>0</v>
      </c>
      <c r="E22" s="6" t="str">
        <f aca="false">IF(D22=0,"",MOD(C22,8))</f>
        <v/>
      </c>
    </row>
    <row r="23" customFormat="false" ht="13.8" hidden="false" customHeight="false" outlineLevel="0" collapsed="false">
      <c r="A23" s="5" t="n">
        <v>22</v>
      </c>
      <c r="B23" s="6" t="s">
        <v>16939</v>
      </c>
      <c r="C23" s="10" t="n">
        <f aca="false">COUNTIF('MEGA SENA'!C:C,A23)</f>
        <v>27</v>
      </c>
      <c r="D23" s="6" t="n">
        <f aca="false">MOD(C23,4)</f>
        <v>3</v>
      </c>
      <c r="E23" s="6" t="n">
        <f aca="false">IF(D23=0,"",MOD(C23,8))</f>
        <v>3</v>
      </c>
    </row>
    <row r="24" customFormat="false" ht="13.8" hidden="false" customHeight="false" outlineLevel="0" collapsed="false">
      <c r="A24" s="5" t="n">
        <v>25</v>
      </c>
      <c r="B24" s="6" t="s">
        <v>16939</v>
      </c>
      <c r="C24" s="10" t="n">
        <f aca="false">COUNTIF('MEGA SENA'!C:C,A24)</f>
        <v>22</v>
      </c>
      <c r="D24" s="6" t="n">
        <f aca="false">MOD(C24,4)</f>
        <v>2</v>
      </c>
      <c r="E24" s="6" t="n">
        <f aca="false">IF(D24=0,"",MOD(C24,8))</f>
        <v>6</v>
      </c>
    </row>
    <row r="25" customFormat="false" ht="13.8" hidden="false" customHeight="false" outlineLevel="0" collapsed="false">
      <c r="A25" s="5" t="n">
        <v>24</v>
      </c>
      <c r="B25" s="6" t="s">
        <v>16939</v>
      </c>
      <c r="C25" s="10" t="n">
        <f aca="false">COUNTIF('MEGA SENA'!C:C,A25)</f>
        <v>17</v>
      </c>
      <c r="D25" s="6" t="n">
        <f aca="false">MOD(C25,4)</f>
        <v>1</v>
      </c>
      <c r="E25" s="6" t="n">
        <f aca="false">IF(D25=0,"",MOD(C25,8))</f>
        <v>1</v>
      </c>
    </row>
    <row r="26" customFormat="false" ht="13.8" hidden="false" customHeight="false" outlineLevel="0" collapsed="false">
      <c r="A26" s="5" t="n">
        <v>26</v>
      </c>
      <c r="B26" s="6" t="s">
        <v>16939</v>
      </c>
      <c r="C26" s="10" t="n">
        <f aca="false">COUNTIF('MEGA SENA'!C:C,A26)</f>
        <v>16</v>
      </c>
      <c r="D26" s="6" t="n">
        <f aca="false">MOD(C26,4)</f>
        <v>0</v>
      </c>
      <c r="E26" s="6" t="str">
        <f aca="false">IF(D26=0,"",MOD(C26,8))</f>
        <v/>
      </c>
    </row>
    <row r="27" customFormat="false" ht="13.8" hidden="false" customHeight="false" outlineLevel="0" collapsed="false">
      <c r="A27" s="5" t="n">
        <v>27</v>
      </c>
      <c r="B27" s="6" t="s">
        <v>16939</v>
      </c>
      <c r="C27" s="10" t="n">
        <f aca="false">COUNTIF('MEGA SENA'!C:C,A27)</f>
        <v>12</v>
      </c>
      <c r="D27" s="6" t="n">
        <f aca="false">MOD(C27,4)</f>
        <v>0</v>
      </c>
      <c r="E27" s="6" t="str">
        <f aca="false">IF(D27=0,"",MOD(C27,8))</f>
        <v/>
      </c>
    </row>
    <row r="28" customFormat="false" ht="13.8" hidden="false" customHeight="false" outlineLevel="0" collapsed="false">
      <c r="A28" s="5" t="n">
        <v>28</v>
      </c>
      <c r="B28" s="6" t="s">
        <v>16939</v>
      </c>
      <c r="C28" s="10" t="n">
        <f aca="false">COUNTIF('MEGA SENA'!C:C,A28)</f>
        <v>12</v>
      </c>
      <c r="D28" s="6" t="n">
        <f aca="false">MOD(C28,4)</f>
        <v>0</v>
      </c>
      <c r="E28" s="6" t="str">
        <f aca="false">IF(D28=0,"",MOD(C28,8))</f>
        <v/>
      </c>
    </row>
    <row r="29" customFormat="false" ht="13.8" hidden="false" customHeight="false" outlineLevel="0" collapsed="false">
      <c r="A29" s="5" t="n">
        <v>29</v>
      </c>
      <c r="B29" s="6" t="s">
        <v>16939</v>
      </c>
      <c r="C29" s="10" t="n">
        <f aca="false">COUNTIF('MEGA SENA'!C:C,A29)</f>
        <v>11</v>
      </c>
      <c r="D29" s="6" t="n">
        <f aca="false">MOD(C29,4)</f>
        <v>3</v>
      </c>
      <c r="E29" s="6" t="n">
        <f aca="false">IF(D29=0,"",MOD(C29,8))</f>
        <v>3</v>
      </c>
    </row>
    <row r="30" customFormat="false" ht="13.8" hidden="false" customHeight="false" outlineLevel="0" collapsed="false">
      <c r="A30" s="5" t="n">
        <v>30</v>
      </c>
      <c r="B30" s="6" t="s">
        <v>16939</v>
      </c>
      <c r="C30" s="10" t="n">
        <f aca="false">COUNTIF('MEGA SENA'!C:C,A30)</f>
        <v>7</v>
      </c>
      <c r="D30" s="6" t="n">
        <f aca="false">MOD(C30,4)</f>
        <v>3</v>
      </c>
      <c r="E30" s="6" t="n">
        <f aca="false">IF(D30=0,"",MOD(C30,8))</f>
        <v>7</v>
      </c>
    </row>
    <row r="31" customFormat="false" ht="13.8" hidden="false" customHeight="false" outlineLevel="0" collapsed="false">
      <c r="A31" s="5" t="n">
        <v>31</v>
      </c>
      <c r="B31" s="6" t="s">
        <v>16939</v>
      </c>
      <c r="C31" s="10" t="n">
        <f aca="false">COUNTIF('MEGA SENA'!C:C,A31)</f>
        <v>7</v>
      </c>
      <c r="D31" s="6" t="n">
        <f aca="false">MOD(C31,4)</f>
        <v>3</v>
      </c>
      <c r="E31" s="6" t="n">
        <f aca="false">IF(D31=0,"",MOD(C31,8))</f>
        <v>7</v>
      </c>
    </row>
    <row r="32" customFormat="false" ht="13.8" hidden="false" customHeight="false" outlineLevel="0" collapsed="false">
      <c r="A32" s="5" t="n">
        <v>33</v>
      </c>
      <c r="B32" s="6" t="s">
        <v>16939</v>
      </c>
      <c r="C32" s="10" t="n">
        <f aca="false">COUNTIF('MEGA SENA'!C:C,A32)</f>
        <v>5</v>
      </c>
      <c r="D32" s="6" t="n">
        <f aca="false">MOD(C32,4)</f>
        <v>1</v>
      </c>
      <c r="E32" s="6" t="n">
        <f aca="false">IF(D32=0,"",MOD(C32,8))</f>
        <v>5</v>
      </c>
    </row>
    <row r="33" customFormat="false" ht="13.8" hidden="false" customHeight="false" outlineLevel="0" collapsed="false">
      <c r="A33" s="5" t="n">
        <v>32</v>
      </c>
      <c r="B33" s="6" t="s">
        <v>16939</v>
      </c>
      <c r="C33" s="10" t="n">
        <f aca="false">COUNTIF('MEGA SENA'!C:C,A33)</f>
        <v>3</v>
      </c>
      <c r="D33" s="6" t="n">
        <f aca="false">MOD(C33,4)</f>
        <v>3</v>
      </c>
      <c r="E33" s="6" t="n">
        <f aca="false">IF(D33=0,"",MOD(C33,8))</f>
        <v>3</v>
      </c>
    </row>
    <row r="34" customFormat="false" ht="13.8" hidden="false" customHeight="false" outlineLevel="0" collapsed="false">
      <c r="A34" s="5" t="n">
        <v>35</v>
      </c>
      <c r="B34" s="6" t="s">
        <v>16939</v>
      </c>
      <c r="C34" s="10" t="n">
        <f aca="false">COUNTIF('MEGA SENA'!C:C,A34)</f>
        <v>3</v>
      </c>
      <c r="D34" s="6" t="n">
        <f aca="false">MOD(C34,4)</f>
        <v>3</v>
      </c>
      <c r="E34" s="6" t="n">
        <f aca="false">IF(D34=0,"",MOD(C34,8))</f>
        <v>3</v>
      </c>
    </row>
    <row r="35" customFormat="false" ht="13.8" hidden="false" customHeight="false" outlineLevel="0" collapsed="false">
      <c r="A35" s="5" t="n">
        <v>34</v>
      </c>
      <c r="B35" s="6" t="s">
        <v>16939</v>
      </c>
      <c r="C35" s="10" t="n">
        <f aca="false">COUNTIF('MEGA SENA'!C:C,A35)</f>
        <v>2</v>
      </c>
      <c r="D35" s="6" t="n">
        <f aca="false">MOD(C35,4)</f>
        <v>2</v>
      </c>
      <c r="E35" s="6" t="n">
        <f aca="false">IF(D35=0,"",MOD(C35,8))</f>
        <v>2</v>
      </c>
    </row>
    <row r="36" customFormat="false" ht="13.8" hidden="false" customHeight="false" outlineLevel="0" collapsed="false">
      <c r="A36" s="5" t="n">
        <v>41</v>
      </c>
      <c r="B36" s="6" t="s">
        <v>16939</v>
      </c>
      <c r="C36" s="10" t="n">
        <f aca="false">COUNTIF('MEGA SENA'!C:C,A36)</f>
        <v>2</v>
      </c>
      <c r="D36" s="6" t="n">
        <f aca="false">MOD(C36,4)</f>
        <v>2</v>
      </c>
      <c r="E36" s="6" t="n">
        <f aca="false">IF(D36=0,"",MOD(C36,8))</f>
        <v>2</v>
      </c>
    </row>
    <row r="37" customFormat="false" ht="13.8" hidden="false" customHeight="false" outlineLevel="0" collapsed="false">
      <c r="A37" s="5" t="n">
        <v>36</v>
      </c>
      <c r="B37" s="6" t="s">
        <v>16939</v>
      </c>
      <c r="C37" s="10" t="n">
        <f aca="false">COUNTIF('MEGA SENA'!C:C,A37)</f>
        <v>1</v>
      </c>
      <c r="D37" s="6" t="n">
        <f aca="false">MOD(C37,4)</f>
        <v>1</v>
      </c>
      <c r="E37" s="6" t="n">
        <f aca="false">IF(D37=0,"",MOD(C37,8))</f>
        <v>1</v>
      </c>
    </row>
    <row r="38" customFormat="false" ht="13.8" hidden="false" customHeight="false" outlineLevel="0" collapsed="false">
      <c r="A38" s="5" t="n">
        <v>37</v>
      </c>
      <c r="B38" s="6" t="s">
        <v>16939</v>
      </c>
      <c r="C38" s="10" t="n">
        <f aca="false">COUNTIF('MEGA SENA'!C:C,A38)</f>
        <v>1</v>
      </c>
      <c r="D38" s="6" t="n">
        <f aca="false">MOD(C38,4)</f>
        <v>1</v>
      </c>
      <c r="E38" s="6" t="n">
        <f aca="false">IF(D38=0,"",MOD(C38,8))</f>
        <v>1</v>
      </c>
    </row>
    <row r="39" customFormat="false" ht="13.8" hidden="false" customHeight="false" outlineLevel="0" collapsed="false">
      <c r="A39" s="5" t="n">
        <v>38</v>
      </c>
      <c r="B39" s="6" t="s">
        <v>16939</v>
      </c>
      <c r="C39" s="10" t="n">
        <f aca="false">COUNTIF('MEGA SENA'!C:C,A39)</f>
        <v>1</v>
      </c>
      <c r="D39" s="6" t="n">
        <f aca="false">MOD(C39,4)</f>
        <v>1</v>
      </c>
      <c r="E39" s="6" t="n">
        <f aca="false">IF(D39=0,"",MOD(C39,8))</f>
        <v>1</v>
      </c>
    </row>
    <row r="40" customFormat="false" ht="13.8" hidden="false" customHeight="false" outlineLevel="0" collapsed="false">
      <c r="A40" s="5" t="n">
        <v>39</v>
      </c>
      <c r="B40" s="6" t="s">
        <v>16939</v>
      </c>
      <c r="C40" s="10" t="n">
        <f aca="false">COUNTIF('MEGA SENA'!C:C,A40)</f>
        <v>1</v>
      </c>
      <c r="D40" s="6" t="n">
        <f aca="false">MOD(C40,4)</f>
        <v>1</v>
      </c>
      <c r="E40" s="6" t="n">
        <f aca="false">IF(D40=0,"",MOD(C40,8))</f>
        <v>1</v>
      </c>
    </row>
    <row r="41" customFormat="false" ht="13.8" hidden="false" customHeight="false" outlineLevel="0" collapsed="false">
      <c r="A41" s="5" t="n">
        <v>43</v>
      </c>
      <c r="B41" s="6" t="s">
        <v>16939</v>
      </c>
      <c r="C41" s="10" t="n">
        <f aca="false">COUNTIF('MEGA SENA'!C:C,A41)</f>
        <v>1</v>
      </c>
      <c r="D41" s="6" t="n">
        <f aca="false">MOD(C41,4)</f>
        <v>1</v>
      </c>
      <c r="E41" s="6" t="n">
        <f aca="false">IF(D41=0,"",MOD(C41,8))</f>
        <v>1</v>
      </c>
    </row>
    <row r="42" customFormat="false" ht="13.8" hidden="false" customHeight="false" outlineLevel="0" collapsed="false">
      <c r="A42" s="5" t="n">
        <v>46</v>
      </c>
      <c r="B42" s="6" t="s">
        <v>16939</v>
      </c>
      <c r="C42" s="10" t="n">
        <f aca="false">COUNTIF('MEGA SENA'!C:C,A42)</f>
        <v>1</v>
      </c>
      <c r="D42" s="6" t="n">
        <f aca="false">MOD(C42,4)</f>
        <v>1</v>
      </c>
      <c r="E42" s="6" t="n">
        <f aca="false">IF(D42=0,"",MOD(C42,8))</f>
        <v>1</v>
      </c>
    </row>
    <row r="43" customFormat="false" ht="13.8" hidden="false" customHeight="false" outlineLevel="0" collapsed="false">
      <c r="A43" s="5" t="n">
        <v>50</v>
      </c>
      <c r="B43" s="6" t="s">
        <v>16939</v>
      </c>
      <c r="C43" s="10" t="n">
        <f aca="false">COUNTIF('MEGA SENA'!C:C,A43)</f>
        <v>1</v>
      </c>
      <c r="D43" s="6" t="n">
        <f aca="false">MOD(C43,4)</f>
        <v>1</v>
      </c>
      <c r="E43" s="6" t="n">
        <f aca="false">IF(D43=0,"",MOD(C43,8))</f>
        <v>1</v>
      </c>
    </row>
    <row r="44" customFormat="false" ht="13.8" hidden="false" customHeight="false" outlineLevel="0" collapsed="false">
      <c r="A44" s="5" t="n">
        <v>40</v>
      </c>
      <c r="B44" s="6" t="s">
        <v>16939</v>
      </c>
      <c r="C44" s="10" t="n">
        <f aca="false">COUNTIF('MEGA SENA'!C:C,A44)</f>
        <v>0</v>
      </c>
      <c r="D44" s="6" t="n">
        <f aca="false">MOD(C44,4)</f>
        <v>0</v>
      </c>
      <c r="E44" s="6" t="str">
        <f aca="false">IF(D44=0,"",MOD(C44,8))</f>
        <v/>
      </c>
    </row>
    <row r="45" customFormat="false" ht="13.8" hidden="false" customHeight="false" outlineLevel="0" collapsed="false">
      <c r="A45" s="5" t="n">
        <v>42</v>
      </c>
      <c r="B45" s="6" t="s">
        <v>16939</v>
      </c>
      <c r="C45" s="10" t="n">
        <f aca="false">COUNTIF('MEGA SENA'!C:C,A45)</f>
        <v>0</v>
      </c>
      <c r="D45" s="6" t="n">
        <f aca="false">MOD(C45,4)</f>
        <v>0</v>
      </c>
      <c r="E45" s="6" t="str">
        <f aca="false">IF(D45=0,"",MOD(C45,8))</f>
        <v/>
      </c>
    </row>
    <row r="46" customFormat="false" ht="13.8" hidden="false" customHeight="false" outlineLevel="0" collapsed="false">
      <c r="A46" s="5" t="n">
        <v>44</v>
      </c>
      <c r="B46" s="6" t="s">
        <v>16939</v>
      </c>
      <c r="C46" s="10" t="n">
        <f aca="false">COUNTIF('MEGA SENA'!C:C,A46)</f>
        <v>0</v>
      </c>
      <c r="D46" s="6" t="n">
        <f aca="false">MOD(C46,4)</f>
        <v>0</v>
      </c>
      <c r="E46" s="6" t="str">
        <f aca="false">IF(D46=0,"",MOD(C46,8))</f>
        <v/>
      </c>
    </row>
    <row r="47" customFormat="false" ht="13.8" hidden="false" customHeight="false" outlineLevel="0" collapsed="false">
      <c r="A47" s="5" t="n">
        <v>45</v>
      </c>
      <c r="B47" s="6" t="s">
        <v>16939</v>
      </c>
      <c r="C47" s="10" t="n">
        <f aca="false">COUNTIF('MEGA SENA'!C:C,A47)</f>
        <v>0</v>
      </c>
      <c r="D47" s="6" t="n">
        <f aca="false">MOD(C47,4)</f>
        <v>0</v>
      </c>
      <c r="E47" s="6" t="str">
        <f aca="false">IF(D47=0,"",MOD(C47,8))</f>
        <v/>
      </c>
    </row>
    <row r="48" customFormat="false" ht="13.8" hidden="false" customHeight="false" outlineLevel="0" collapsed="false">
      <c r="A48" s="5" t="n">
        <v>47</v>
      </c>
      <c r="B48" s="6" t="s">
        <v>16939</v>
      </c>
      <c r="C48" s="10" t="n">
        <f aca="false">COUNTIF('MEGA SENA'!C:C,A48)</f>
        <v>0</v>
      </c>
      <c r="D48" s="6" t="n">
        <f aca="false">MOD(C48,4)</f>
        <v>0</v>
      </c>
      <c r="E48" s="6" t="str">
        <f aca="false">IF(D48=0,"",MOD(C48,8))</f>
        <v/>
      </c>
    </row>
    <row r="49" customFormat="false" ht="13.8" hidden="false" customHeight="false" outlineLevel="0" collapsed="false">
      <c r="A49" s="5" t="n">
        <v>48</v>
      </c>
      <c r="B49" s="6" t="s">
        <v>16939</v>
      </c>
      <c r="C49" s="10" t="n">
        <f aca="false">COUNTIF('MEGA SENA'!C:C,A49)</f>
        <v>0</v>
      </c>
      <c r="D49" s="6" t="n">
        <f aca="false">MOD(C49,4)</f>
        <v>0</v>
      </c>
      <c r="E49" s="6" t="str">
        <f aca="false">IF(D49=0,"",MOD(C49,8))</f>
        <v/>
      </c>
    </row>
    <row r="50" customFormat="false" ht="13.8" hidden="false" customHeight="false" outlineLevel="0" collapsed="false">
      <c r="A50" s="5" t="n">
        <v>49</v>
      </c>
      <c r="B50" s="6" t="s">
        <v>16939</v>
      </c>
      <c r="C50" s="10" t="n">
        <f aca="false">COUNTIF('MEGA SENA'!C:C,A50)</f>
        <v>0</v>
      </c>
      <c r="D50" s="6" t="n">
        <f aca="false">MOD(C50,4)</f>
        <v>0</v>
      </c>
      <c r="E50" s="6" t="str">
        <f aca="false">IF(D50=0,"",MOD(C50,8))</f>
        <v/>
      </c>
    </row>
    <row r="51" customFormat="false" ht="13.8" hidden="false" customHeight="false" outlineLevel="0" collapsed="false">
      <c r="A51" s="5" t="n">
        <v>51</v>
      </c>
      <c r="B51" s="6" t="s">
        <v>16939</v>
      </c>
      <c r="C51" s="10" t="n">
        <f aca="false">COUNTIF('MEGA SENA'!C:C,A51)</f>
        <v>0</v>
      </c>
      <c r="D51" s="6" t="n">
        <f aca="false">MOD(C51,4)</f>
        <v>0</v>
      </c>
      <c r="E51" s="6" t="str">
        <f aca="false">IF(D51=0,"",MOD(C51,8))</f>
        <v/>
      </c>
    </row>
    <row r="52" customFormat="false" ht="13.8" hidden="false" customHeight="false" outlineLevel="0" collapsed="false">
      <c r="A52" s="5" t="n">
        <v>52</v>
      </c>
      <c r="B52" s="6" t="s">
        <v>16939</v>
      </c>
      <c r="C52" s="10" t="n">
        <f aca="false">COUNTIF('MEGA SENA'!C:C,A52)</f>
        <v>0</v>
      </c>
      <c r="D52" s="6" t="n">
        <f aca="false">MOD(C52,4)</f>
        <v>0</v>
      </c>
      <c r="E52" s="6" t="str">
        <f aca="false">IF(D52=0,"",MOD(C52,8))</f>
        <v/>
      </c>
    </row>
    <row r="53" customFormat="false" ht="13.8" hidden="false" customHeight="false" outlineLevel="0" collapsed="false">
      <c r="A53" s="5" t="n">
        <v>53</v>
      </c>
      <c r="B53" s="6" t="s">
        <v>16939</v>
      </c>
      <c r="C53" s="10" t="n">
        <f aca="false">COUNTIF('MEGA SENA'!C:C,A53)</f>
        <v>0</v>
      </c>
      <c r="D53" s="6" t="n">
        <f aca="false">MOD(C53,4)</f>
        <v>0</v>
      </c>
      <c r="E53" s="6" t="str">
        <f aca="false">IF(D53=0,"",MOD(C53,8))</f>
        <v/>
      </c>
    </row>
    <row r="54" customFormat="false" ht="13.8" hidden="false" customHeight="false" outlineLevel="0" collapsed="false">
      <c r="A54" s="5" t="n">
        <v>54</v>
      </c>
      <c r="B54" s="6" t="s">
        <v>16939</v>
      </c>
      <c r="C54" s="10" t="n">
        <f aca="false">COUNTIF('MEGA SENA'!C:C,A54)</f>
        <v>0</v>
      </c>
      <c r="D54" s="6" t="n">
        <f aca="false">MOD(C54,4)</f>
        <v>0</v>
      </c>
      <c r="E54" s="6" t="str">
        <f aca="false">IF(D54=0,"",MOD(C54,8))</f>
        <v/>
      </c>
    </row>
    <row r="55" customFormat="false" ht="13.8" hidden="false" customHeight="false" outlineLevel="0" collapsed="false">
      <c r="A55" s="5" t="n">
        <v>55</v>
      </c>
      <c r="B55" s="6" t="s">
        <v>16939</v>
      </c>
      <c r="C55" s="10" t="n">
        <f aca="false">COUNTIF('MEGA SENA'!C:C,A55)</f>
        <v>0</v>
      </c>
      <c r="D55" s="6" t="n">
        <f aca="false">MOD(C55,4)</f>
        <v>0</v>
      </c>
      <c r="E55" s="6" t="str">
        <f aca="false">IF(D55=0,"",MOD(C55,8))</f>
        <v/>
      </c>
    </row>
    <row r="56" customFormat="false" ht="13.8" hidden="false" customHeight="false" outlineLevel="0" collapsed="false">
      <c r="A56" s="5" t="n">
        <v>56</v>
      </c>
      <c r="B56" s="6" t="s">
        <v>16939</v>
      </c>
      <c r="C56" s="10" t="n">
        <f aca="false">COUNTIF('MEGA SENA'!C:C,A56)</f>
        <v>0</v>
      </c>
      <c r="D56" s="6" t="n">
        <f aca="false">MOD(C56,4)</f>
        <v>0</v>
      </c>
      <c r="E56" s="6" t="str">
        <f aca="false">IF(D56=0,"",MOD(C56,8))</f>
        <v/>
      </c>
    </row>
    <row r="57" customFormat="false" ht="13.8" hidden="false" customHeight="false" outlineLevel="0" collapsed="false">
      <c r="A57" s="5" t="n">
        <v>57</v>
      </c>
      <c r="B57" s="6" t="s">
        <v>16939</v>
      </c>
      <c r="C57" s="10" t="n">
        <f aca="false">COUNTIF('MEGA SENA'!C:C,A57)</f>
        <v>0</v>
      </c>
      <c r="D57" s="6" t="n">
        <f aca="false">MOD(C57,4)</f>
        <v>0</v>
      </c>
      <c r="E57" s="6" t="str">
        <f aca="false">IF(D57=0,"",MOD(C57,8))</f>
        <v/>
      </c>
    </row>
    <row r="58" customFormat="false" ht="13.8" hidden="false" customHeight="false" outlineLevel="0" collapsed="false">
      <c r="A58" s="5" t="n">
        <v>58</v>
      </c>
      <c r="B58" s="6" t="s">
        <v>16939</v>
      </c>
      <c r="C58" s="10" t="n">
        <f aca="false">COUNTIF('MEGA SENA'!C:C,A58)</f>
        <v>0</v>
      </c>
      <c r="D58" s="6" t="n">
        <f aca="false">MOD(C58,4)</f>
        <v>0</v>
      </c>
      <c r="E58" s="6" t="str">
        <f aca="false">IF(D58=0,"",MOD(C58,8))</f>
        <v/>
      </c>
    </row>
    <row r="59" customFormat="false" ht="13.8" hidden="false" customHeight="false" outlineLevel="0" collapsed="false">
      <c r="A59" s="5" t="n">
        <v>59</v>
      </c>
      <c r="B59" s="6" t="s">
        <v>16939</v>
      </c>
      <c r="C59" s="10" t="n">
        <f aca="false">COUNTIF('MEGA SENA'!C:C,A59)</f>
        <v>0</v>
      </c>
      <c r="D59" s="6" t="n">
        <f aca="false">MOD(C59,4)</f>
        <v>0</v>
      </c>
      <c r="E59" s="6" t="str">
        <f aca="false">IF(D59=0,"",MOD(C59,8))</f>
        <v/>
      </c>
    </row>
    <row r="60" customFormat="false" ht="13.8" hidden="false" customHeight="false" outlineLevel="0" collapsed="false">
      <c r="A60" s="5" t="n">
        <v>60</v>
      </c>
      <c r="B60" s="6" t="s">
        <v>16939</v>
      </c>
      <c r="C60" s="10" t="n">
        <f aca="false">COUNTIF('MEGA SENA'!C:C,A60)</f>
        <v>0</v>
      </c>
      <c r="D60" s="6" t="n">
        <f aca="false">MOD(C60,4)</f>
        <v>0</v>
      </c>
      <c r="E60" s="6" t="str">
        <f aca="false">IF(D60=0,"",MOD(C60,8))</f>
        <v/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1.53515625" defaultRowHeight="13.8" zeroHeight="false" outlineLevelRow="0" outlineLevelCol="0"/>
  <cols>
    <col collapsed="false" customWidth="false" hidden="false" outlineLevel="0" max="3" min="1" style="1" width="11.53"/>
  </cols>
  <sheetData>
    <row r="1" customFormat="false" ht="13.8" hidden="false" customHeight="false" outlineLevel="0" collapsed="false">
      <c r="A1" s="1" t="n">
        <v>13</v>
      </c>
      <c r="B1" s="1" t="s">
        <v>16939</v>
      </c>
      <c r="C1" s="10" t="n">
        <f aca="false">COUNTIF('MEGA SENA'!D:D,A1)</f>
        <v>150</v>
      </c>
      <c r="D1" s="6" t="n">
        <f aca="false">MOD(C1,4)</f>
        <v>2</v>
      </c>
      <c r="E1" s="6" t="n">
        <f aca="false">IF(D1=0,"",MOD(C1,8))</f>
        <v>6</v>
      </c>
    </row>
    <row r="2" customFormat="false" ht="13.8" hidden="false" customHeight="false" outlineLevel="0" collapsed="false">
      <c r="A2" s="1" t="n">
        <v>16</v>
      </c>
      <c r="B2" s="1" t="s">
        <v>16939</v>
      </c>
      <c r="C2" s="10" t="n">
        <f aca="false">COUNTIF('MEGA SENA'!D:D,A2)</f>
        <v>143</v>
      </c>
      <c r="D2" s="6" t="n">
        <f aca="false">MOD(C2,4)</f>
        <v>3</v>
      </c>
      <c r="E2" s="6" t="n">
        <f aca="false">IF(D2=0,"",MOD(C2,8))</f>
        <v>7</v>
      </c>
    </row>
    <row r="3" customFormat="false" ht="13.8" hidden="false" customHeight="false" outlineLevel="0" collapsed="false">
      <c r="A3" s="1" t="n">
        <v>10</v>
      </c>
      <c r="B3" s="1" t="s">
        <v>16939</v>
      </c>
      <c r="C3" s="10" t="n">
        <f aca="false">COUNTIF('MEGA SENA'!D:D,A3)</f>
        <v>138</v>
      </c>
      <c r="D3" s="6" t="n">
        <f aca="false">MOD(C3,4)</f>
        <v>2</v>
      </c>
      <c r="E3" s="6" t="n">
        <f aca="false">IF(D3=0,"",MOD(C3,8))</f>
        <v>2</v>
      </c>
    </row>
    <row r="4" customFormat="false" ht="13.8" hidden="false" customHeight="false" outlineLevel="0" collapsed="false">
      <c r="A4" s="1" t="n">
        <v>11</v>
      </c>
      <c r="B4" s="1" t="s">
        <v>16939</v>
      </c>
      <c r="C4" s="10" t="n">
        <f aca="false">COUNTIF('MEGA SENA'!D:D,A4)</f>
        <v>136</v>
      </c>
      <c r="D4" s="6" t="n">
        <f aca="false">MOD(C4,4)</f>
        <v>0</v>
      </c>
      <c r="E4" s="6" t="str">
        <f aca="false">IF(D4=0,"",MOD(C4,8))</f>
        <v/>
      </c>
    </row>
    <row r="5" customFormat="false" ht="13.8" hidden="false" customHeight="false" outlineLevel="0" collapsed="false">
      <c r="A5" s="1" t="n">
        <v>12</v>
      </c>
      <c r="B5" s="1" t="s">
        <v>16939</v>
      </c>
      <c r="C5" s="10" t="n">
        <f aca="false">COUNTIF('MEGA SENA'!D:D,A5)</f>
        <v>122</v>
      </c>
      <c r="D5" s="6" t="n">
        <f aca="false">MOD(C5,4)</f>
        <v>2</v>
      </c>
      <c r="E5" s="6" t="n">
        <f aca="false">IF(D5=0,"",MOD(C5,8))</f>
        <v>2</v>
      </c>
    </row>
    <row r="6" customFormat="false" ht="13.8" hidden="false" customHeight="false" outlineLevel="0" collapsed="false">
      <c r="A6" s="1" t="n">
        <v>18</v>
      </c>
      <c r="B6" s="1" t="s">
        <v>16939</v>
      </c>
      <c r="C6" s="10" t="n">
        <f aca="false">COUNTIF('MEGA SENA'!D:D,A6)</f>
        <v>122</v>
      </c>
      <c r="D6" s="6" t="n">
        <f aca="false">MOD(C6,4)</f>
        <v>2</v>
      </c>
      <c r="E6" s="6" t="n">
        <f aca="false">IF(D6=0,"",MOD(C6,8))</f>
        <v>2</v>
      </c>
    </row>
    <row r="7" customFormat="false" ht="13.8" hidden="false" customHeight="false" outlineLevel="0" collapsed="false">
      <c r="A7" s="1" t="n">
        <v>17</v>
      </c>
      <c r="B7" s="1" t="s">
        <v>16939</v>
      </c>
      <c r="C7" s="10" t="n">
        <f aca="false">COUNTIF('MEGA SENA'!D:D,A7)</f>
        <v>120</v>
      </c>
      <c r="D7" s="6" t="n">
        <f aca="false">MOD(C7,4)</f>
        <v>0</v>
      </c>
      <c r="E7" s="6" t="str">
        <f aca="false">IF(D7=0,"",MOD(C7,8))</f>
        <v/>
      </c>
    </row>
    <row r="8" customFormat="false" ht="13.8" hidden="false" customHeight="false" outlineLevel="0" collapsed="false">
      <c r="A8" s="1" t="n">
        <v>9</v>
      </c>
      <c r="B8" s="1" t="s">
        <v>16939</v>
      </c>
      <c r="C8" s="10" t="n">
        <f aca="false">COUNTIF('MEGA SENA'!D:D,A8)</f>
        <v>115</v>
      </c>
      <c r="D8" s="6" t="n">
        <f aca="false">MOD(C8,4)</f>
        <v>3</v>
      </c>
      <c r="E8" s="6" t="n">
        <f aca="false">IF(D8=0,"",MOD(C8,8))</f>
        <v>3</v>
      </c>
    </row>
    <row r="9" customFormat="false" ht="13.8" hidden="false" customHeight="false" outlineLevel="0" collapsed="false">
      <c r="A9" s="1" t="n">
        <v>15</v>
      </c>
      <c r="B9" s="1" t="s">
        <v>16939</v>
      </c>
      <c r="C9" s="10" t="n">
        <f aca="false">COUNTIF('MEGA SENA'!D:D,A9)</f>
        <v>114</v>
      </c>
      <c r="D9" s="6" t="n">
        <f aca="false">MOD(C9,4)</f>
        <v>2</v>
      </c>
      <c r="E9" s="6" t="n">
        <f aca="false">IF(D9=0,"",MOD(C9,8))</f>
        <v>2</v>
      </c>
    </row>
    <row r="10" customFormat="false" ht="13.8" hidden="false" customHeight="false" outlineLevel="0" collapsed="false">
      <c r="A10" s="1" t="n">
        <v>14</v>
      </c>
      <c r="B10" s="1" t="s">
        <v>16939</v>
      </c>
      <c r="C10" s="10" t="n">
        <f aca="false">COUNTIF('MEGA SENA'!D:D,A10)</f>
        <v>110</v>
      </c>
      <c r="D10" s="6" t="n">
        <f aca="false">MOD(C10,4)</f>
        <v>2</v>
      </c>
      <c r="E10" s="6" t="n">
        <f aca="false">IF(D10=0,"",MOD(C10,8))</f>
        <v>6</v>
      </c>
    </row>
    <row r="11" customFormat="false" ht="13.8" hidden="false" customHeight="false" outlineLevel="0" collapsed="false">
      <c r="A11" s="1" t="n">
        <v>8</v>
      </c>
      <c r="B11" s="1" t="s">
        <v>16939</v>
      </c>
      <c r="C11" s="10" t="n">
        <f aca="false">COUNTIF('MEGA SENA'!D:D,A11)</f>
        <v>107</v>
      </c>
      <c r="D11" s="6" t="n">
        <f aca="false">MOD(C11,4)</f>
        <v>3</v>
      </c>
      <c r="E11" s="6" t="n">
        <f aca="false">IF(D11=0,"",MOD(C11,8))</f>
        <v>3</v>
      </c>
    </row>
    <row r="12" customFormat="false" ht="13.8" hidden="false" customHeight="false" outlineLevel="0" collapsed="false">
      <c r="A12" s="1" t="n">
        <v>23</v>
      </c>
      <c r="B12" s="1" t="s">
        <v>16939</v>
      </c>
      <c r="C12" s="10" t="n">
        <f aca="false">COUNTIF('MEGA SENA'!D:D,A12)</f>
        <v>105</v>
      </c>
      <c r="D12" s="6" t="n">
        <f aca="false">MOD(C12,4)</f>
        <v>1</v>
      </c>
      <c r="E12" s="6" t="n">
        <f aca="false">IF(D12=0,"",MOD(C12,8))</f>
        <v>1</v>
      </c>
    </row>
    <row r="13" customFormat="false" ht="13.8" hidden="false" customHeight="false" outlineLevel="0" collapsed="false">
      <c r="A13" s="1" t="n">
        <v>6</v>
      </c>
      <c r="B13" s="1" t="s">
        <v>16939</v>
      </c>
      <c r="C13" s="10" t="n">
        <f aca="false">COUNTIF('MEGA SENA'!D:D,A13)</f>
        <v>99</v>
      </c>
      <c r="D13" s="6" t="n">
        <f aca="false">MOD(C13,4)</f>
        <v>3</v>
      </c>
      <c r="E13" s="6" t="n">
        <f aca="false">IF(D13=0,"",MOD(C13,8))</f>
        <v>3</v>
      </c>
    </row>
    <row r="14" customFormat="false" ht="13.8" hidden="false" customHeight="false" outlineLevel="0" collapsed="false">
      <c r="A14" s="1" t="n">
        <v>20</v>
      </c>
      <c r="B14" s="1" t="s">
        <v>16939</v>
      </c>
      <c r="C14" s="10" t="n">
        <f aca="false">COUNTIF('MEGA SENA'!D:D,A14)</f>
        <v>97</v>
      </c>
      <c r="D14" s="6" t="n">
        <f aca="false">MOD(C14,4)</f>
        <v>1</v>
      </c>
      <c r="E14" s="6" t="n">
        <f aca="false">IF(D14=0,"",MOD(C14,8))</f>
        <v>1</v>
      </c>
    </row>
    <row r="15" customFormat="false" ht="13.8" hidden="false" customHeight="false" outlineLevel="0" collapsed="false">
      <c r="A15" s="1" t="n">
        <v>19</v>
      </c>
      <c r="B15" s="1" t="s">
        <v>16939</v>
      </c>
      <c r="C15" s="10" t="n">
        <f aca="false">COUNTIF('MEGA SENA'!D:D,A15)</f>
        <v>95</v>
      </c>
      <c r="D15" s="6" t="n">
        <f aca="false">MOD(C15,4)</f>
        <v>3</v>
      </c>
      <c r="E15" s="6" t="n">
        <f aca="false">IF(D15=0,"",MOD(C15,8))</f>
        <v>7</v>
      </c>
    </row>
    <row r="16" customFormat="false" ht="13.8" hidden="false" customHeight="false" outlineLevel="0" collapsed="false">
      <c r="A16" s="1" t="n">
        <v>5</v>
      </c>
      <c r="B16" s="1" t="s">
        <v>16939</v>
      </c>
      <c r="C16" s="10" t="n">
        <f aca="false">COUNTIF('MEGA SENA'!D:D,A16)</f>
        <v>94</v>
      </c>
      <c r="D16" s="6" t="n">
        <f aca="false">MOD(C16,4)</f>
        <v>2</v>
      </c>
      <c r="E16" s="6" t="n">
        <f aca="false">IF(D16=0,"",MOD(C16,8))</f>
        <v>6</v>
      </c>
    </row>
    <row r="17" customFormat="false" ht="13.8" hidden="false" customHeight="false" outlineLevel="0" collapsed="false">
      <c r="A17" s="1" t="n">
        <v>27</v>
      </c>
      <c r="B17" s="1" t="s">
        <v>16939</v>
      </c>
      <c r="C17" s="10" t="n">
        <f aca="false">COUNTIF('MEGA SENA'!D:D,A17)</f>
        <v>93</v>
      </c>
      <c r="D17" s="6" t="n">
        <f aca="false">MOD(C17,4)</f>
        <v>1</v>
      </c>
      <c r="E17" s="6" t="n">
        <f aca="false">IF(D17=0,"",MOD(C17,8))</f>
        <v>5</v>
      </c>
    </row>
    <row r="18" customFormat="false" ht="13.8" hidden="false" customHeight="false" outlineLevel="0" collapsed="false">
      <c r="A18" s="1" t="n">
        <v>22</v>
      </c>
      <c r="B18" s="1" t="s">
        <v>16939</v>
      </c>
      <c r="C18" s="10" t="n">
        <f aca="false">COUNTIF('MEGA SENA'!D:D,A18)</f>
        <v>81</v>
      </c>
      <c r="D18" s="6" t="n">
        <f aca="false">MOD(C18,4)</f>
        <v>1</v>
      </c>
      <c r="E18" s="6" t="n">
        <f aca="false">IF(D18=0,"",MOD(C18,8))</f>
        <v>1</v>
      </c>
    </row>
    <row r="19" customFormat="false" ht="13.8" hidden="false" customHeight="false" outlineLevel="0" collapsed="false">
      <c r="A19" s="1" t="n">
        <v>24</v>
      </c>
      <c r="B19" s="1" t="s">
        <v>16939</v>
      </c>
      <c r="C19" s="10" t="n">
        <f aca="false">COUNTIF('MEGA SENA'!D:D,A19)</f>
        <v>80</v>
      </c>
      <c r="D19" s="6" t="n">
        <f aca="false">MOD(C19,4)</f>
        <v>0</v>
      </c>
      <c r="E19" s="6" t="str">
        <f aca="false">IF(D19=0,"",MOD(C19,8))</f>
        <v/>
      </c>
    </row>
    <row r="20" customFormat="false" ht="13.8" hidden="false" customHeight="false" outlineLevel="0" collapsed="false">
      <c r="A20" s="1" t="n">
        <v>21</v>
      </c>
      <c r="B20" s="1" t="s">
        <v>16939</v>
      </c>
      <c r="C20" s="10" t="n">
        <f aca="false">COUNTIF('MEGA SENA'!D:D,A20)</f>
        <v>76</v>
      </c>
      <c r="D20" s="6" t="n">
        <f aca="false">MOD(C20,4)</f>
        <v>0</v>
      </c>
      <c r="E20" s="6" t="str">
        <f aca="false">IF(D20=0,"",MOD(C20,8))</f>
        <v/>
      </c>
    </row>
    <row r="21" customFormat="false" ht="13.8" hidden="false" customHeight="false" outlineLevel="0" collapsed="false">
      <c r="A21" s="1" t="n">
        <v>7</v>
      </c>
      <c r="B21" s="1" t="s">
        <v>16939</v>
      </c>
      <c r="C21" s="10" t="n">
        <f aca="false">COUNTIF('MEGA SENA'!D:D,A21)</f>
        <v>75</v>
      </c>
      <c r="D21" s="6" t="n">
        <f aca="false">MOD(C21,4)</f>
        <v>3</v>
      </c>
      <c r="E21" s="6" t="n">
        <f aca="false">IF(D21=0,"",MOD(C21,8))</f>
        <v>3</v>
      </c>
    </row>
    <row r="22" customFormat="false" ht="13.8" hidden="false" customHeight="false" outlineLevel="0" collapsed="false">
      <c r="A22" s="1" t="n">
        <v>25</v>
      </c>
      <c r="B22" s="1" t="s">
        <v>16939</v>
      </c>
      <c r="C22" s="10" t="n">
        <f aca="false">COUNTIF('MEGA SENA'!D:D,A22)</f>
        <v>67</v>
      </c>
      <c r="D22" s="6" t="n">
        <f aca="false">MOD(C22,4)</f>
        <v>3</v>
      </c>
      <c r="E22" s="6" t="n">
        <f aca="false">IF(D22=0,"",MOD(C22,8))</f>
        <v>3</v>
      </c>
    </row>
    <row r="23" customFormat="false" ht="13.8" hidden="false" customHeight="false" outlineLevel="0" collapsed="false">
      <c r="A23" s="1" t="n">
        <v>4</v>
      </c>
      <c r="B23" s="1" t="s">
        <v>16939</v>
      </c>
      <c r="C23" s="10" t="n">
        <f aca="false">COUNTIF('MEGA SENA'!D:D,A23)</f>
        <v>62</v>
      </c>
      <c r="D23" s="6" t="n">
        <f aca="false">MOD(C23,4)</f>
        <v>2</v>
      </c>
      <c r="E23" s="6" t="n">
        <f aca="false">IF(D23=0,"",MOD(C23,8))</f>
        <v>6</v>
      </c>
    </row>
    <row r="24" customFormat="false" ht="13.8" hidden="false" customHeight="false" outlineLevel="0" collapsed="false">
      <c r="A24" s="1" t="n">
        <v>26</v>
      </c>
      <c r="B24" s="1" t="s">
        <v>16939</v>
      </c>
      <c r="C24" s="10" t="n">
        <f aca="false">COUNTIF('MEGA SENA'!D:D,A24)</f>
        <v>56</v>
      </c>
      <c r="D24" s="6" t="n">
        <f aca="false">MOD(C24,4)</f>
        <v>0</v>
      </c>
      <c r="E24" s="6" t="str">
        <f aca="false">IF(D24=0,"",MOD(C24,8))</f>
        <v/>
      </c>
    </row>
    <row r="25" customFormat="false" ht="13.8" hidden="false" customHeight="false" outlineLevel="0" collapsed="false">
      <c r="A25" s="1" t="n">
        <v>28</v>
      </c>
      <c r="B25" s="1" t="s">
        <v>16939</v>
      </c>
      <c r="C25" s="10" t="n">
        <f aca="false">COUNTIF('MEGA SENA'!D:D,A25)</f>
        <v>56</v>
      </c>
      <c r="D25" s="6" t="n">
        <f aca="false">MOD(C25,4)</f>
        <v>0</v>
      </c>
      <c r="E25" s="6" t="str">
        <f aca="false">IF(D25=0,"",MOD(C25,8))</f>
        <v/>
      </c>
    </row>
    <row r="26" customFormat="false" ht="13.8" hidden="false" customHeight="false" outlineLevel="0" collapsed="false">
      <c r="A26" s="1" t="n">
        <v>29</v>
      </c>
      <c r="B26" s="1" t="s">
        <v>16939</v>
      </c>
      <c r="C26" s="10" t="n">
        <f aca="false">COUNTIF('MEGA SENA'!D:D,A26)</f>
        <v>57</v>
      </c>
      <c r="D26" s="6" t="n">
        <f aca="false">MOD(C26,4)</f>
        <v>1</v>
      </c>
      <c r="E26" s="6" t="n">
        <f aca="false">IF(D26=0,"",MOD(C26,8))</f>
        <v>1</v>
      </c>
    </row>
    <row r="27" customFormat="false" ht="13.8" hidden="false" customHeight="false" outlineLevel="0" collapsed="false">
      <c r="A27" s="1" t="n">
        <v>3</v>
      </c>
      <c r="B27" s="1" t="s">
        <v>16939</v>
      </c>
      <c r="C27" s="10" t="n">
        <f aca="false">COUNTIF('MEGA SENA'!D:D,A27)</f>
        <v>45</v>
      </c>
      <c r="D27" s="6" t="n">
        <f aca="false">MOD(C27,4)</f>
        <v>1</v>
      </c>
      <c r="E27" s="6" t="n">
        <f aca="false">IF(D27=0,"",MOD(C27,8))</f>
        <v>5</v>
      </c>
    </row>
    <row r="28" customFormat="false" ht="13.8" hidden="false" customHeight="false" outlineLevel="0" collapsed="false">
      <c r="A28" s="1" t="n">
        <v>30</v>
      </c>
      <c r="B28" s="1" t="s">
        <v>16939</v>
      </c>
      <c r="C28" s="10" t="n">
        <f aca="false">COUNTIF('MEGA SENA'!D:D,A28)</f>
        <v>45</v>
      </c>
      <c r="D28" s="6" t="n">
        <f aca="false">MOD(C28,4)</f>
        <v>1</v>
      </c>
      <c r="E28" s="6" t="n">
        <f aca="false">IF(D28=0,"",MOD(C28,8))</f>
        <v>5</v>
      </c>
    </row>
    <row r="29" customFormat="false" ht="13.8" hidden="false" customHeight="false" outlineLevel="0" collapsed="false">
      <c r="A29" s="1" t="n">
        <v>31</v>
      </c>
      <c r="B29" s="1" t="s">
        <v>16939</v>
      </c>
      <c r="C29" s="10" t="n">
        <f aca="false">COUNTIF('MEGA SENA'!D:D,A29)</f>
        <v>43</v>
      </c>
      <c r="D29" s="6" t="n">
        <f aca="false">MOD(C29,4)</f>
        <v>3</v>
      </c>
      <c r="E29" s="6" t="n">
        <f aca="false">IF(D29=0,"",MOD(C29,8))</f>
        <v>3</v>
      </c>
    </row>
    <row r="30" customFormat="false" ht="13.8" hidden="false" customHeight="false" outlineLevel="0" collapsed="false">
      <c r="A30" s="1" t="n">
        <v>32</v>
      </c>
      <c r="B30" s="1" t="s">
        <v>16939</v>
      </c>
      <c r="C30" s="10" t="n">
        <f aca="false">COUNTIF('MEGA SENA'!D:D,A30)</f>
        <v>37</v>
      </c>
      <c r="D30" s="6" t="n">
        <f aca="false">MOD(C30,4)</f>
        <v>1</v>
      </c>
      <c r="E30" s="6" t="n">
        <f aca="false">IF(D30=0,"",MOD(C30,8))</f>
        <v>5</v>
      </c>
    </row>
    <row r="31" customFormat="false" ht="13.8" hidden="false" customHeight="false" outlineLevel="0" collapsed="false">
      <c r="A31" s="1" t="n">
        <v>33</v>
      </c>
      <c r="B31" s="1" t="s">
        <v>16939</v>
      </c>
      <c r="C31" s="10" t="n">
        <f aca="false">COUNTIF('MEGA SENA'!D:D,A31)</f>
        <v>34</v>
      </c>
      <c r="D31" s="6" t="n">
        <f aca="false">MOD(C31,4)</f>
        <v>2</v>
      </c>
      <c r="E31" s="6" t="n">
        <f aca="false">IF(D31=0,"",MOD(C31,8))</f>
        <v>2</v>
      </c>
    </row>
    <row r="32" customFormat="false" ht="13.8" hidden="false" customHeight="false" outlineLevel="0" collapsed="false">
      <c r="A32" s="1" t="n">
        <v>2</v>
      </c>
      <c r="B32" s="1" t="s">
        <v>16939</v>
      </c>
      <c r="C32" s="10" t="n">
        <f aca="false">COUNTIF('MEGA SENA'!D:D,A32)</f>
        <v>26</v>
      </c>
      <c r="D32" s="6" t="n">
        <f aca="false">MOD(C32,4)</f>
        <v>2</v>
      </c>
      <c r="E32" s="6" t="n">
        <f aca="false">IF(D32=0,"",MOD(C32,8))</f>
        <v>2</v>
      </c>
    </row>
    <row r="33" customFormat="false" ht="13.8" hidden="false" customHeight="false" outlineLevel="0" collapsed="false">
      <c r="A33" s="1" t="n">
        <v>36</v>
      </c>
      <c r="B33" s="1" t="s">
        <v>16939</v>
      </c>
      <c r="C33" s="10" t="n">
        <f aca="false">COUNTIF('MEGA SENA'!D:D,A33)</f>
        <v>26</v>
      </c>
      <c r="D33" s="6" t="n">
        <f aca="false">MOD(C33,4)</f>
        <v>2</v>
      </c>
      <c r="E33" s="6" t="n">
        <f aca="false">IF(D33=0,"",MOD(C33,8))</f>
        <v>2</v>
      </c>
    </row>
    <row r="34" customFormat="false" ht="13.8" hidden="false" customHeight="false" outlineLevel="0" collapsed="false">
      <c r="A34" s="1" t="n">
        <v>37</v>
      </c>
      <c r="B34" s="1" t="s">
        <v>16939</v>
      </c>
      <c r="C34" s="10" t="n">
        <f aca="false">COUNTIF('MEGA SENA'!D:D,A34)</f>
        <v>25</v>
      </c>
      <c r="D34" s="6" t="n">
        <f aca="false">MOD(C34,4)</f>
        <v>1</v>
      </c>
      <c r="E34" s="6" t="n">
        <f aca="false">IF(D34=0,"",MOD(C34,8))</f>
        <v>1</v>
      </c>
    </row>
    <row r="35" customFormat="false" ht="13.8" hidden="false" customHeight="false" outlineLevel="0" collapsed="false">
      <c r="A35" s="1" t="n">
        <v>35</v>
      </c>
      <c r="B35" s="1" t="s">
        <v>16939</v>
      </c>
      <c r="C35" s="10" t="n">
        <f aca="false">COUNTIF('MEGA SENA'!D:D,A35)</f>
        <v>22</v>
      </c>
      <c r="D35" s="6" t="n">
        <f aca="false">MOD(C35,4)</f>
        <v>2</v>
      </c>
      <c r="E35" s="6" t="n">
        <f aca="false">IF(D35=0,"",MOD(C35,8))</f>
        <v>6</v>
      </c>
    </row>
    <row r="36" customFormat="false" ht="13.8" hidden="false" customHeight="false" outlineLevel="0" collapsed="false">
      <c r="A36" s="1" t="n">
        <v>34</v>
      </c>
      <c r="B36" s="1" t="s">
        <v>16939</v>
      </c>
      <c r="C36" s="10" t="n">
        <f aca="false">COUNTIF('MEGA SENA'!D:D,A36)</f>
        <v>18</v>
      </c>
      <c r="D36" s="6" t="n">
        <f aca="false">MOD(C36,4)</f>
        <v>2</v>
      </c>
      <c r="E36" s="6" t="n">
        <f aca="false">IF(D36=0,"",MOD(C36,8))</f>
        <v>2</v>
      </c>
    </row>
    <row r="37" customFormat="false" ht="13.8" hidden="false" customHeight="false" outlineLevel="0" collapsed="false">
      <c r="A37" s="1" t="n">
        <v>40</v>
      </c>
      <c r="B37" s="1" t="s">
        <v>16939</v>
      </c>
      <c r="C37" s="10" t="n">
        <f aca="false">COUNTIF('MEGA SENA'!D:D,A37)</f>
        <v>16</v>
      </c>
      <c r="D37" s="6" t="n">
        <f aca="false">MOD(C37,4)</f>
        <v>0</v>
      </c>
      <c r="E37" s="6" t="str">
        <f aca="false">IF(D37=0,"",MOD(C37,8))</f>
        <v/>
      </c>
    </row>
    <row r="38" customFormat="false" ht="13.8" hidden="false" customHeight="false" outlineLevel="0" collapsed="false">
      <c r="A38" s="1" t="n">
        <v>38</v>
      </c>
      <c r="B38" s="1" t="s">
        <v>16939</v>
      </c>
      <c r="C38" s="10" t="n">
        <f aca="false">COUNTIF('MEGA SENA'!D:D,A38)</f>
        <v>12</v>
      </c>
      <c r="D38" s="6" t="n">
        <f aca="false">MOD(C38,4)</f>
        <v>0</v>
      </c>
      <c r="E38" s="6" t="str">
        <f aca="false">IF(D38=0,"",MOD(C38,8))</f>
        <v/>
      </c>
    </row>
    <row r="39" customFormat="false" ht="13.8" hidden="false" customHeight="false" outlineLevel="0" collapsed="false">
      <c r="A39" s="1" t="n">
        <v>41</v>
      </c>
      <c r="B39" s="1" t="s">
        <v>16939</v>
      </c>
      <c r="C39" s="10" t="n">
        <f aca="false">COUNTIF('MEGA SENA'!D:D,A39)</f>
        <v>10</v>
      </c>
      <c r="D39" s="6" t="n">
        <f aca="false">MOD(C39,4)</f>
        <v>2</v>
      </c>
      <c r="E39" s="6" t="n">
        <f aca="false">IF(D39=0,"",MOD(C39,8))</f>
        <v>2</v>
      </c>
    </row>
    <row r="40" customFormat="false" ht="13.8" hidden="false" customHeight="false" outlineLevel="0" collapsed="false">
      <c r="A40" s="1" t="n">
        <v>39</v>
      </c>
      <c r="B40" s="1" t="s">
        <v>16939</v>
      </c>
      <c r="C40" s="10" t="n">
        <f aca="false">COUNTIF('MEGA SENA'!D:D,A40)</f>
        <v>8</v>
      </c>
      <c r="D40" s="6" t="n">
        <f aca="false">MOD(C40,4)</f>
        <v>0</v>
      </c>
      <c r="E40" s="6" t="str">
        <f aca="false">IF(D40=0,"",MOD(C40,8))</f>
        <v/>
      </c>
    </row>
    <row r="41" customFormat="false" ht="13.8" hidden="false" customHeight="false" outlineLevel="0" collapsed="false">
      <c r="A41" s="1" t="n">
        <v>44</v>
      </c>
      <c r="B41" s="1" t="s">
        <v>16939</v>
      </c>
      <c r="C41" s="10" t="n">
        <f aca="false">COUNTIF('MEGA SENA'!D:D,A41)</f>
        <v>7</v>
      </c>
      <c r="D41" s="6" t="n">
        <f aca="false">MOD(C41,4)</f>
        <v>3</v>
      </c>
      <c r="E41" s="6" t="n">
        <f aca="false">IF(D41=0,"",MOD(C41,8))</f>
        <v>7</v>
      </c>
    </row>
    <row r="42" customFormat="false" ht="13.8" hidden="false" customHeight="false" outlineLevel="0" collapsed="false">
      <c r="A42" s="1" t="n">
        <v>43</v>
      </c>
      <c r="B42" s="1" t="s">
        <v>16939</v>
      </c>
      <c r="C42" s="10" t="n">
        <f aca="false">COUNTIF('MEGA SENA'!D:D,A42)</f>
        <v>5</v>
      </c>
      <c r="D42" s="6" t="n">
        <f aca="false">MOD(C42,4)</f>
        <v>1</v>
      </c>
      <c r="E42" s="6" t="n">
        <f aca="false">IF(D42=0,"",MOD(C42,8))</f>
        <v>5</v>
      </c>
    </row>
    <row r="43" customFormat="false" ht="13.8" hidden="false" customHeight="false" outlineLevel="0" collapsed="false">
      <c r="A43" s="1" t="n">
        <v>42</v>
      </c>
      <c r="B43" s="1" t="s">
        <v>16939</v>
      </c>
      <c r="C43" s="10" t="n">
        <f aca="false">COUNTIF('MEGA SENA'!D:D,A43)</f>
        <v>4</v>
      </c>
      <c r="D43" s="6" t="n">
        <f aca="false">MOD(C43,4)</f>
        <v>0</v>
      </c>
      <c r="E43" s="6" t="str">
        <f aca="false">IF(D43=0,"",MOD(C43,8))</f>
        <v/>
      </c>
    </row>
    <row r="44" customFormat="false" ht="13.8" hidden="false" customHeight="false" outlineLevel="0" collapsed="false">
      <c r="A44" s="1" t="n">
        <v>45</v>
      </c>
      <c r="B44" s="1" t="s">
        <v>16939</v>
      </c>
      <c r="C44" s="10" t="n">
        <f aca="false">COUNTIF('MEGA SENA'!D:D,A44)</f>
        <v>3</v>
      </c>
      <c r="D44" s="6" t="n">
        <f aca="false">MOD(C44,4)</f>
        <v>3</v>
      </c>
      <c r="E44" s="6" t="n">
        <f aca="false">IF(D44=0,"",MOD(C44,8))</f>
        <v>3</v>
      </c>
    </row>
    <row r="45" customFormat="false" ht="13.8" hidden="false" customHeight="false" outlineLevel="0" collapsed="false">
      <c r="A45" s="1" t="n">
        <v>47</v>
      </c>
      <c r="B45" s="1" t="s">
        <v>16939</v>
      </c>
      <c r="C45" s="10" t="n">
        <f aca="false">COUNTIF('MEGA SENA'!D:D,A45)</f>
        <v>3</v>
      </c>
      <c r="D45" s="6" t="n">
        <f aca="false">MOD(C45,4)</f>
        <v>3</v>
      </c>
      <c r="E45" s="6" t="n">
        <f aca="false">IF(D45=0,"",MOD(C45,8))</f>
        <v>3</v>
      </c>
    </row>
    <row r="46" customFormat="false" ht="13.8" hidden="false" customHeight="false" outlineLevel="0" collapsed="false">
      <c r="A46" s="1" t="n">
        <v>48</v>
      </c>
      <c r="B46" s="1" t="s">
        <v>16939</v>
      </c>
      <c r="C46" s="10" t="n">
        <f aca="false">COUNTIF('MEGA SENA'!D:D,A46)</f>
        <v>2</v>
      </c>
      <c r="D46" s="6" t="n">
        <f aca="false">MOD(C46,4)</f>
        <v>2</v>
      </c>
      <c r="E46" s="6" t="n">
        <f aca="false">IF(D46=0,"",MOD(C46,8))</f>
        <v>2</v>
      </c>
    </row>
    <row r="47" customFormat="false" ht="13.8" hidden="false" customHeight="false" outlineLevel="0" collapsed="false">
      <c r="A47" s="1" t="n">
        <v>46</v>
      </c>
      <c r="B47" s="1" t="s">
        <v>16939</v>
      </c>
      <c r="C47" s="10" t="n">
        <f aca="false">COUNTIF('MEGA SENA'!D:D,A47)</f>
        <v>1</v>
      </c>
      <c r="D47" s="6" t="n">
        <f aca="false">MOD(C47,4)</f>
        <v>1</v>
      </c>
      <c r="E47" s="6" t="n">
        <f aca="false">IF(D47=0,"",MOD(C47,8))</f>
        <v>1</v>
      </c>
    </row>
    <row r="48" customFormat="false" ht="13.8" hidden="false" customHeight="false" outlineLevel="0" collapsed="false">
      <c r="A48" s="1" t="n">
        <v>50</v>
      </c>
      <c r="B48" s="1" t="s">
        <v>16939</v>
      </c>
      <c r="C48" s="10" t="n">
        <f aca="false">COUNTIF('MEGA SENA'!D:D,A48)</f>
        <v>1</v>
      </c>
      <c r="D48" s="6" t="n">
        <f aca="false">MOD(C48,4)</f>
        <v>1</v>
      </c>
      <c r="E48" s="6" t="n">
        <f aca="false">IF(D48=0,"",MOD(C48,8))</f>
        <v>1</v>
      </c>
    </row>
    <row r="49" customFormat="false" ht="13.8" hidden="false" customHeight="false" outlineLevel="0" collapsed="false">
      <c r="A49" s="1" t="n">
        <v>51</v>
      </c>
      <c r="B49" s="1" t="s">
        <v>16939</v>
      </c>
      <c r="C49" s="10" t="n">
        <f aca="false">COUNTIF('MEGA SENA'!D:D,A49)</f>
        <v>1</v>
      </c>
      <c r="D49" s="6" t="n">
        <f aca="false">MOD(C49,4)</f>
        <v>1</v>
      </c>
      <c r="E49" s="6" t="n">
        <f aca="false">IF(D49=0,"",MOD(C49,8))</f>
        <v>1</v>
      </c>
    </row>
    <row r="50" customFormat="false" ht="13.8" hidden="false" customHeight="false" outlineLevel="0" collapsed="false">
      <c r="A50" s="1" t="n">
        <v>1</v>
      </c>
      <c r="B50" s="1" t="s">
        <v>16939</v>
      </c>
      <c r="C50" s="10" t="n">
        <f aca="false">COUNTIF('MEGA SENA'!D:D,A50)</f>
        <v>0</v>
      </c>
      <c r="D50" s="6" t="n">
        <f aca="false">MOD(C50,4)</f>
        <v>0</v>
      </c>
      <c r="E50" s="6" t="str">
        <f aca="false">IF(D50=0,"",MOD(C50,8))</f>
        <v/>
      </c>
    </row>
    <row r="51" customFormat="false" ht="13.8" hidden="false" customHeight="false" outlineLevel="0" collapsed="false">
      <c r="A51" s="1" t="n">
        <v>49</v>
      </c>
      <c r="B51" s="1" t="s">
        <v>16939</v>
      </c>
      <c r="C51" s="10" t="n">
        <f aca="false">COUNTIF('MEGA SENA'!D:D,A51)</f>
        <v>0</v>
      </c>
      <c r="D51" s="6" t="n">
        <f aca="false">MOD(C51,4)</f>
        <v>0</v>
      </c>
      <c r="E51" s="6" t="str">
        <f aca="false">IF(D51=0,"",MOD(C51,8))</f>
        <v/>
      </c>
    </row>
    <row r="52" customFormat="false" ht="13.8" hidden="false" customHeight="false" outlineLevel="0" collapsed="false">
      <c r="A52" s="1" t="n">
        <v>52</v>
      </c>
      <c r="B52" s="1" t="s">
        <v>16939</v>
      </c>
      <c r="C52" s="10" t="n">
        <f aca="false">COUNTIF('MEGA SENA'!D:D,A52)</f>
        <v>0</v>
      </c>
      <c r="D52" s="6" t="n">
        <f aca="false">MOD(C52,4)</f>
        <v>0</v>
      </c>
      <c r="E52" s="6" t="str">
        <f aca="false">IF(D52=0,"",MOD(C52,8))</f>
        <v/>
      </c>
    </row>
    <row r="53" customFormat="false" ht="13.8" hidden="false" customHeight="false" outlineLevel="0" collapsed="false">
      <c r="A53" s="1" t="n">
        <v>53</v>
      </c>
      <c r="B53" s="1" t="s">
        <v>16939</v>
      </c>
      <c r="C53" s="10" t="n">
        <f aca="false">COUNTIF('MEGA SENA'!D:D,A53)</f>
        <v>0</v>
      </c>
      <c r="D53" s="6" t="n">
        <f aca="false">MOD(C53,4)</f>
        <v>0</v>
      </c>
      <c r="E53" s="6" t="str">
        <f aca="false">IF(D53=0,"",MOD(C53,8))</f>
        <v/>
      </c>
    </row>
    <row r="54" customFormat="false" ht="13.8" hidden="false" customHeight="false" outlineLevel="0" collapsed="false">
      <c r="A54" s="1" t="n">
        <v>54</v>
      </c>
      <c r="B54" s="1" t="s">
        <v>16939</v>
      </c>
      <c r="C54" s="10" t="n">
        <f aca="false">COUNTIF('MEGA SENA'!D:D,A54)</f>
        <v>0</v>
      </c>
      <c r="D54" s="6" t="n">
        <f aca="false">MOD(C54,4)</f>
        <v>0</v>
      </c>
      <c r="E54" s="6" t="str">
        <f aca="false">IF(D54=0,"",MOD(C54,8))</f>
        <v/>
      </c>
    </row>
    <row r="55" customFormat="false" ht="13.8" hidden="false" customHeight="false" outlineLevel="0" collapsed="false">
      <c r="A55" s="1" t="n">
        <v>55</v>
      </c>
      <c r="B55" s="1" t="s">
        <v>16939</v>
      </c>
      <c r="C55" s="10" t="n">
        <f aca="false">COUNTIF('MEGA SENA'!D:D,A55)</f>
        <v>0</v>
      </c>
      <c r="D55" s="6" t="n">
        <f aca="false">MOD(C55,4)</f>
        <v>0</v>
      </c>
      <c r="E55" s="6" t="str">
        <f aca="false">IF(D55=0,"",MOD(C55,8))</f>
        <v/>
      </c>
    </row>
    <row r="56" customFormat="false" ht="13.8" hidden="false" customHeight="false" outlineLevel="0" collapsed="false">
      <c r="A56" s="1" t="n">
        <v>56</v>
      </c>
      <c r="B56" s="1" t="s">
        <v>16939</v>
      </c>
      <c r="C56" s="10" t="n">
        <f aca="false">COUNTIF('MEGA SENA'!D:D,A56)</f>
        <v>0</v>
      </c>
      <c r="D56" s="6" t="n">
        <f aca="false">MOD(C56,4)</f>
        <v>0</v>
      </c>
      <c r="E56" s="6" t="str">
        <f aca="false">IF(D56=0,"",MOD(C56,8))</f>
        <v/>
      </c>
    </row>
    <row r="57" customFormat="false" ht="13.8" hidden="false" customHeight="false" outlineLevel="0" collapsed="false">
      <c r="A57" s="1" t="n">
        <v>57</v>
      </c>
      <c r="B57" s="1" t="s">
        <v>16939</v>
      </c>
      <c r="C57" s="10" t="n">
        <f aca="false">COUNTIF('MEGA SENA'!D:D,A57)</f>
        <v>0</v>
      </c>
      <c r="D57" s="6" t="n">
        <f aca="false">MOD(C57,4)</f>
        <v>0</v>
      </c>
      <c r="E57" s="6" t="str">
        <f aca="false">IF(D57=0,"",MOD(C57,8))</f>
        <v/>
      </c>
    </row>
    <row r="58" customFormat="false" ht="13.8" hidden="false" customHeight="false" outlineLevel="0" collapsed="false">
      <c r="A58" s="1" t="n">
        <v>58</v>
      </c>
      <c r="B58" s="1" t="s">
        <v>16939</v>
      </c>
      <c r="C58" s="10" t="n">
        <f aca="false">COUNTIF('MEGA SENA'!D:D,A58)</f>
        <v>0</v>
      </c>
      <c r="D58" s="6" t="n">
        <f aca="false">MOD(C58,4)</f>
        <v>0</v>
      </c>
      <c r="E58" s="6" t="str">
        <f aca="false">IF(D58=0,"",MOD(C58,8))</f>
        <v/>
      </c>
    </row>
    <row r="59" customFormat="false" ht="13.8" hidden="false" customHeight="false" outlineLevel="0" collapsed="false">
      <c r="A59" s="1" t="n">
        <v>59</v>
      </c>
      <c r="B59" s="1" t="s">
        <v>16939</v>
      </c>
      <c r="C59" s="10" t="n">
        <f aca="false">COUNTIF('MEGA SENA'!D:D,A59)</f>
        <v>0</v>
      </c>
      <c r="D59" s="6" t="n">
        <f aca="false">MOD(C59,4)</f>
        <v>0</v>
      </c>
      <c r="E59" s="6" t="str">
        <f aca="false">IF(D59=0,"",MOD(C59,8))</f>
        <v/>
      </c>
    </row>
    <row r="60" customFormat="false" ht="13.8" hidden="false" customHeight="false" outlineLevel="0" collapsed="false">
      <c r="A60" s="1" t="n">
        <v>60</v>
      </c>
      <c r="B60" s="1" t="s">
        <v>16939</v>
      </c>
      <c r="C60" s="10" t="n">
        <f aca="false">COUNTIF('MEGA SENA'!D:D,A60)</f>
        <v>0</v>
      </c>
      <c r="D60" s="6" t="n">
        <f aca="false">MOD(C60,4)</f>
        <v>0</v>
      </c>
      <c r="E60" s="6" t="str">
        <f aca="false">IF(D60=0,"",MOD(C60,8))</f>
        <v/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1.53515625" defaultRowHeight="13.8" zeroHeight="false" outlineLevelRow="0" outlineLevelCol="0"/>
  <cols>
    <col collapsed="false" customWidth="false" hidden="false" outlineLevel="0" max="3" min="1" style="1" width="11.53"/>
  </cols>
  <sheetData>
    <row r="1" customFormat="false" ht="13.8" hidden="false" customHeight="false" outlineLevel="0" collapsed="false">
      <c r="A1" s="1" t="n">
        <v>28</v>
      </c>
      <c r="B1" s="1" t="s">
        <v>16939</v>
      </c>
      <c r="C1" s="10" t="n">
        <f aca="false">COUNTIF('MEGA SENA'!E:E,A1)</f>
        <v>121</v>
      </c>
      <c r="D1" s="6" t="n">
        <f aca="false">MOD(C1,4)</f>
        <v>1</v>
      </c>
      <c r="E1" s="6" t="n">
        <f aca="false">IF(D1=0,"",MOD(C1,8))</f>
        <v>1</v>
      </c>
    </row>
    <row r="2" customFormat="false" ht="13.8" hidden="false" customHeight="false" outlineLevel="0" collapsed="false">
      <c r="A2" s="1" t="n">
        <v>24</v>
      </c>
      <c r="B2" s="1" t="s">
        <v>16939</v>
      </c>
      <c r="C2" s="10" t="n">
        <f aca="false">COUNTIF('MEGA SENA'!E:E,A2)</f>
        <v>116</v>
      </c>
      <c r="D2" s="6" t="n">
        <f aca="false">MOD(C2,4)</f>
        <v>0</v>
      </c>
      <c r="E2" s="6" t="str">
        <f aca="false">IF(D2=0,"",MOD(C2,8))</f>
        <v/>
      </c>
    </row>
    <row r="3" customFormat="false" ht="13.8" hidden="false" customHeight="false" outlineLevel="0" collapsed="false">
      <c r="A3" s="1" t="n">
        <v>23</v>
      </c>
      <c r="B3" s="1" t="s">
        <v>16939</v>
      </c>
      <c r="C3" s="10" t="n">
        <f aca="false">COUNTIF('MEGA SENA'!E:E,A3)</f>
        <v>111</v>
      </c>
      <c r="D3" s="6" t="n">
        <f aca="false">MOD(C3,4)</f>
        <v>3</v>
      </c>
      <c r="E3" s="6" t="n">
        <f aca="false">IF(D3=0,"",MOD(C3,8))</f>
        <v>7</v>
      </c>
    </row>
    <row r="4" customFormat="false" ht="13.8" hidden="false" customHeight="false" outlineLevel="0" collapsed="false">
      <c r="A4" s="1" t="n">
        <v>30</v>
      </c>
      <c r="B4" s="1" t="s">
        <v>16939</v>
      </c>
      <c r="C4" s="10" t="n">
        <f aca="false">COUNTIF('MEGA SENA'!E:E,A4)</f>
        <v>111</v>
      </c>
      <c r="D4" s="6" t="n">
        <f aca="false">MOD(C4,4)</f>
        <v>3</v>
      </c>
      <c r="E4" s="6" t="n">
        <f aca="false">IF(D4=0,"",MOD(C4,8))</f>
        <v>7</v>
      </c>
    </row>
    <row r="5" customFormat="false" ht="13.8" hidden="false" customHeight="false" outlineLevel="0" collapsed="false">
      <c r="A5" s="1" t="n">
        <v>19</v>
      </c>
      <c r="B5" s="1" t="s">
        <v>16939</v>
      </c>
      <c r="C5" s="10" t="n">
        <f aca="false">COUNTIF('MEGA SENA'!E:E,A5)</f>
        <v>105</v>
      </c>
      <c r="D5" s="6" t="n">
        <f aca="false">MOD(C5,4)</f>
        <v>1</v>
      </c>
      <c r="E5" s="6" t="n">
        <f aca="false">IF(D5=0,"",MOD(C5,8))</f>
        <v>1</v>
      </c>
    </row>
    <row r="6" customFormat="false" ht="13.8" hidden="false" customHeight="false" outlineLevel="0" collapsed="false">
      <c r="A6" s="1" t="n">
        <v>34</v>
      </c>
      <c r="B6" s="1" t="s">
        <v>16939</v>
      </c>
      <c r="C6" s="10" t="n">
        <f aca="false">COUNTIF('MEGA SENA'!E:E,A6)</f>
        <v>104</v>
      </c>
      <c r="D6" s="6" t="n">
        <f aca="false">MOD(C6,4)</f>
        <v>0</v>
      </c>
      <c r="E6" s="6" t="str">
        <f aca="false">IF(D6=0,"",MOD(C6,8))</f>
        <v/>
      </c>
    </row>
    <row r="7" customFormat="false" ht="13.8" hidden="false" customHeight="false" outlineLevel="0" collapsed="false">
      <c r="A7" s="1" t="n">
        <v>29</v>
      </c>
      <c r="B7" s="1" t="s">
        <v>16939</v>
      </c>
      <c r="C7" s="10" t="n">
        <f aca="false">COUNTIF('MEGA SENA'!E:E,A7)</f>
        <v>102</v>
      </c>
      <c r="D7" s="6" t="n">
        <f aca="false">MOD(C7,4)</f>
        <v>2</v>
      </c>
      <c r="E7" s="6" t="n">
        <f aca="false">IF(D7=0,"",MOD(C7,8))</f>
        <v>6</v>
      </c>
    </row>
    <row r="8" customFormat="false" ht="13.8" hidden="false" customHeight="false" outlineLevel="0" collapsed="false">
      <c r="A8" s="1" t="n">
        <v>32</v>
      </c>
      <c r="B8" s="1" t="s">
        <v>16939</v>
      </c>
      <c r="C8" s="10" t="n">
        <f aca="false">COUNTIF('MEGA SENA'!E:E,A8)</f>
        <v>102</v>
      </c>
      <c r="D8" s="6" t="n">
        <f aca="false">MOD(C8,4)</f>
        <v>2</v>
      </c>
      <c r="E8" s="6" t="n">
        <f aca="false">IF(D8=0,"",MOD(C8,8))</f>
        <v>6</v>
      </c>
    </row>
    <row r="9" customFormat="false" ht="13.8" hidden="false" customHeight="false" outlineLevel="0" collapsed="false">
      <c r="A9" s="1" t="n">
        <v>25</v>
      </c>
      <c r="B9" s="1" t="s">
        <v>16939</v>
      </c>
      <c r="C9" s="10" t="n">
        <f aca="false">COUNTIF('MEGA SENA'!E:E,A9)</f>
        <v>101</v>
      </c>
      <c r="D9" s="6" t="n">
        <f aca="false">MOD(C9,4)</f>
        <v>1</v>
      </c>
      <c r="E9" s="6" t="n">
        <f aca="false">IF(D9=0,"",MOD(C9,8))</f>
        <v>5</v>
      </c>
    </row>
    <row r="10" customFormat="false" ht="13.8" hidden="false" customHeight="false" outlineLevel="0" collapsed="false">
      <c r="A10" s="1" t="n">
        <v>17</v>
      </c>
      <c r="B10" s="1" t="s">
        <v>16939</v>
      </c>
      <c r="C10" s="10" t="n">
        <f aca="false">COUNTIF('MEGA SENA'!E:E,A10)</f>
        <v>98</v>
      </c>
      <c r="D10" s="6" t="n">
        <f aca="false">MOD(C10,4)</f>
        <v>2</v>
      </c>
      <c r="E10" s="6" t="n">
        <f aca="false">IF(D10=0,"",MOD(C10,8))</f>
        <v>2</v>
      </c>
    </row>
    <row r="11" customFormat="false" ht="13.8" hidden="false" customHeight="false" outlineLevel="0" collapsed="false">
      <c r="A11" s="1" t="n">
        <v>31</v>
      </c>
      <c r="B11" s="1" t="s">
        <v>16939</v>
      </c>
      <c r="C11" s="10" t="n">
        <f aca="false">COUNTIF('MEGA SENA'!E:E,A11)</f>
        <v>98</v>
      </c>
      <c r="D11" s="6" t="n">
        <f aca="false">MOD(C11,4)</f>
        <v>2</v>
      </c>
      <c r="E11" s="6" t="n">
        <f aca="false">IF(D11=0,"",MOD(C11,8))</f>
        <v>2</v>
      </c>
    </row>
    <row r="12" customFormat="false" ht="13.8" hidden="false" customHeight="false" outlineLevel="0" collapsed="false">
      <c r="A12" s="1" t="n">
        <v>26</v>
      </c>
      <c r="B12" s="1" t="s">
        <v>16939</v>
      </c>
      <c r="C12" s="10" t="n">
        <f aca="false">COUNTIF('MEGA SENA'!E:E,A12)</f>
        <v>94</v>
      </c>
      <c r="D12" s="6" t="n">
        <f aca="false">MOD(C12,4)</f>
        <v>2</v>
      </c>
      <c r="E12" s="6" t="n">
        <f aca="false">IF(D12=0,"",MOD(C12,8))</f>
        <v>6</v>
      </c>
    </row>
    <row r="13" customFormat="false" ht="13.8" hidden="false" customHeight="false" outlineLevel="0" collapsed="false">
      <c r="A13" s="1" t="n">
        <v>20</v>
      </c>
      <c r="B13" s="1" t="s">
        <v>16939</v>
      </c>
      <c r="C13" s="10" t="n">
        <f aca="false">COUNTIF('MEGA SENA'!E:E,A13)</f>
        <v>92</v>
      </c>
      <c r="D13" s="6" t="n">
        <f aca="false">MOD(C13,4)</f>
        <v>0</v>
      </c>
      <c r="E13" s="6" t="str">
        <f aca="false">IF(D13=0,"",MOD(C13,8))</f>
        <v/>
      </c>
    </row>
    <row r="14" customFormat="false" ht="13.8" hidden="false" customHeight="false" outlineLevel="0" collapsed="false">
      <c r="A14" s="1" t="n">
        <v>27</v>
      </c>
      <c r="B14" s="1" t="s">
        <v>16939</v>
      </c>
      <c r="C14" s="10" t="n">
        <f aca="false">COUNTIF('MEGA SENA'!E:E,A14)</f>
        <v>92</v>
      </c>
      <c r="D14" s="6" t="n">
        <f aca="false">MOD(C14,4)</f>
        <v>0</v>
      </c>
      <c r="E14" s="6" t="str">
        <f aca="false">IF(D14=0,"",MOD(C14,8))</f>
        <v/>
      </c>
    </row>
    <row r="15" customFormat="false" ht="13.8" hidden="false" customHeight="false" outlineLevel="0" collapsed="false">
      <c r="A15" s="1" t="n">
        <v>22</v>
      </c>
      <c r="B15" s="1" t="s">
        <v>16939</v>
      </c>
      <c r="C15" s="10" t="n">
        <f aca="false">COUNTIF('MEGA SENA'!E:E,A15)</f>
        <v>87</v>
      </c>
      <c r="D15" s="6" t="n">
        <f aca="false">MOD(C15,4)</f>
        <v>3</v>
      </c>
      <c r="E15" s="6" t="n">
        <f aca="false">IF(D15=0,"",MOD(C15,8))</f>
        <v>7</v>
      </c>
    </row>
    <row r="16" customFormat="false" ht="13.8" hidden="false" customHeight="false" outlineLevel="0" collapsed="false">
      <c r="A16" s="1" t="n">
        <v>21</v>
      </c>
      <c r="B16" s="1" t="s">
        <v>16939</v>
      </c>
      <c r="C16" s="10" t="n">
        <f aca="false">COUNTIF('MEGA SENA'!E:E,A16)</f>
        <v>86</v>
      </c>
      <c r="D16" s="6" t="n">
        <f aca="false">MOD(C16,4)</f>
        <v>2</v>
      </c>
      <c r="E16" s="6" t="n">
        <f aca="false">IF(D16=0,"",MOD(C16,8))</f>
        <v>6</v>
      </c>
    </row>
    <row r="17" customFormat="false" ht="13.8" hidden="false" customHeight="false" outlineLevel="0" collapsed="false">
      <c r="A17" s="1" t="n">
        <v>14</v>
      </c>
      <c r="B17" s="1" t="s">
        <v>16939</v>
      </c>
      <c r="C17" s="10" t="n">
        <f aca="false">COUNTIF('MEGA SENA'!E:E,A17)</f>
        <v>82</v>
      </c>
      <c r="D17" s="6" t="n">
        <f aca="false">MOD(C17,4)</f>
        <v>2</v>
      </c>
      <c r="E17" s="6" t="n">
        <f aca="false">IF(D17=0,"",MOD(C17,8))</f>
        <v>2</v>
      </c>
    </row>
    <row r="18" customFormat="false" ht="13.8" hidden="false" customHeight="false" outlineLevel="0" collapsed="false">
      <c r="A18" s="1" t="n">
        <v>33</v>
      </c>
      <c r="B18" s="1" t="s">
        <v>16939</v>
      </c>
      <c r="C18" s="10" t="n">
        <f aca="false">COUNTIF('MEGA SENA'!E:E,A18)</f>
        <v>83</v>
      </c>
      <c r="D18" s="6" t="n">
        <f aca="false">MOD(C18,4)</f>
        <v>3</v>
      </c>
      <c r="E18" s="6" t="n">
        <f aca="false">IF(D18=0,"",MOD(C18,8))</f>
        <v>3</v>
      </c>
    </row>
    <row r="19" customFormat="false" ht="13.8" hidden="false" customHeight="false" outlineLevel="0" collapsed="false">
      <c r="A19" s="1" t="n">
        <v>18</v>
      </c>
      <c r="B19" s="1" t="s">
        <v>16939</v>
      </c>
      <c r="C19" s="10" t="n">
        <f aca="false">COUNTIF('MEGA SENA'!E:E,A19)</f>
        <v>80</v>
      </c>
      <c r="D19" s="6" t="n">
        <f aca="false">MOD(C19,4)</f>
        <v>0</v>
      </c>
      <c r="E19" s="6" t="str">
        <f aca="false">IF(D19=0,"",MOD(C19,8))</f>
        <v/>
      </c>
    </row>
    <row r="20" customFormat="false" ht="13.8" hidden="false" customHeight="false" outlineLevel="0" collapsed="false">
      <c r="A20" s="1" t="n">
        <v>16</v>
      </c>
      <c r="B20" s="1" t="s">
        <v>16939</v>
      </c>
      <c r="C20" s="10" t="n">
        <f aca="false">COUNTIF('MEGA SENA'!E:E,A20)</f>
        <v>79</v>
      </c>
      <c r="D20" s="6" t="n">
        <f aca="false">MOD(C20,4)</f>
        <v>3</v>
      </c>
      <c r="E20" s="6" t="n">
        <f aca="false">IF(D20=0,"",MOD(C20,8))</f>
        <v>7</v>
      </c>
    </row>
    <row r="21" customFormat="false" ht="13.8" hidden="false" customHeight="false" outlineLevel="0" collapsed="false">
      <c r="A21" s="1" t="n">
        <v>35</v>
      </c>
      <c r="B21" s="1" t="s">
        <v>16939</v>
      </c>
      <c r="C21" s="10" t="n">
        <f aca="false">COUNTIF('MEGA SENA'!E:E,A21)</f>
        <v>74</v>
      </c>
      <c r="D21" s="6" t="n">
        <f aca="false">MOD(C21,4)</f>
        <v>2</v>
      </c>
      <c r="E21" s="6" t="n">
        <f aca="false">IF(D21=0,"",MOD(C21,8))</f>
        <v>2</v>
      </c>
    </row>
    <row r="22" customFormat="false" ht="13.8" hidden="false" customHeight="false" outlineLevel="0" collapsed="false">
      <c r="A22" s="1" t="n">
        <v>37</v>
      </c>
      <c r="B22" s="1" t="s">
        <v>16939</v>
      </c>
      <c r="C22" s="10" t="n">
        <f aca="false">COUNTIF('MEGA SENA'!E:E,A22)</f>
        <v>73</v>
      </c>
      <c r="D22" s="6" t="n">
        <f aca="false">MOD(C22,4)</f>
        <v>1</v>
      </c>
      <c r="E22" s="6" t="n">
        <f aca="false">IF(D22=0,"",MOD(C22,8))</f>
        <v>1</v>
      </c>
    </row>
    <row r="23" customFormat="false" ht="13.8" hidden="false" customHeight="false" outlineLevel="0" collapsed="false">
      <c r="A23" s="1" t="n">
        <v>36</v>
      </c>
      <c r="B23" s="1" t="s">
        <v>16939</v>
      </c>
      <c r="C23" s="10" t="n">
        <f aca="false">COUNTIF('MEGA SENA'!E:E,A23)</f>
        <v>68</v>
      </c>
      <c r="D23" s="6" t="n">
        <f aca="false">MOD(C23,4)</f>
        <v>0</v>
      </c>
      <c r="E23" s="6" t="str">
        <f aca="false">IF(D23=0,"",MOD(C23,8))</f>
        <v/>
      </c>
    </row>
    <row r="24" customFormat="false" ht="13.8" hidden="false" customHeight="false" outlineLevel="0" collapsed="false">
      <c r="A24" s="1" t="n">
        <v>38</v>
      </c>
      <c r="B24" s="1" t="s">
        <v>16939</v>
      </c>
      <c r="C24" s="10" t="n">
        <f aca="false">COUNTIF('MEGA SENA'!E:E,A24)</f>
        <v>66</v>
      </c>
      <c r="D24" s="6" t="n">
        <f aca="false">MOD(C24,4)</f>
        <v>2</v>
      </c>
      <c r="E24" s="6" t="n">
        <f aca="false">IF(D24=0,"",MOD(C24,8))</f>
        <v>2</v>
      </c>
    </row>
    <row r="25" customFormat="false" ht="13.8" hidden="false" customHeight="false" outlineLevel="0" collapsed="false">
      <c r="A25" s="1" t="n">
        <v>15</v>
      </c>
      <c r="B25" s="1" t="s">
        <v>16939</v>
      </c>
      <c r="C25" s="10" t="n">
        <f aca="false">COUNTIF('MEGA SENA'!E:E,A25)</f>
        <v>66</v>
      </c>
      <c r="D25" s="6" t="n">
        <f aca="false">MOD(C25,4)</f>
        <v>2</v>
      </c>
      <c r="E25" s="6" t="n">
        <f aca="false">IF(D25=0,"",MOD(C25,8))</f>
        <v>2</v>
      </c>
    </row>
    <row r="26" customFormat="false" ht="13.8" hidden="false" customHeight="false" outlineLevel="0" collapsed="false">
      <c r="A26" s="1" t="n">
        <v>13</v>
      </c>
      <c r="B26" s="1" t="s">
        <v>16939</v>
      </c>
      <c r="C26" s="10" t="n">
        <f aca="false">COUNTIF('MEGA SENA'!E:E,A26)</f>
        <v>64</v>
      </c>
      <c r="D26" s="6" t="n">
        <f aca="false">MOD(C26,4)</f>
        <v>0</v>
      </c>
      <c r="E26" s="6" t="str">
        <f aca="false">IF(D26=0,"",MOD(C26,8))</f>
        <v/>
      </c>
    </row>
    <row r="27" customFormat="false" ht="13.8" hidden="false" customHeight="false" outlineLevel="0" collapsed="false">
      <c r="A27" s="1" t="n">
        <v>11</v>
      </c>
      <c r="B27" s="1" t="s">
        <v>16939</v>
      </c>
      <c r="C27" s="10" t="n">
        <f aca="false">COUNTIF('MEGA SENA'!E:E,A27)</f>
        <v>60</v>
      </c>
      <c r="D27" s="6" t="n">
        <f aca="false">MOD(C27,4)</f>
        <v>0</v>
      </c>
      <c r="E27" s="6" t="str">
        <f aca="false">IF(D27=0,"",MOD(C27,8))</f>
        <v/>
      </c>
    </row>
    <row r="28" customFormat="false" ht="13.8" hidden="false" customHeight="false" outlineLevel="0" collapsed="false">
      <c r="A28" s="1" t="n">
        <v>12</v>
      </c>
      <c r="B28" s="1" t="s">
        <v>16939</v>
      </c>
      <c r="C28" s="10" t="n">
        <f aca="false">COUNTIF('MEGA SENA'!E:E,A28)</f>
        <v>52</v>
      </c>
      <c r="D28" s="6" t="n">
        <f aca="false">MOD(C28,4)</f>
        <v>0</v>
      </c>
      <c r="E28" s="6" t="str">
        <f aca="false">IF(D28=0,"",MOD(C28,8))</f>
        <v/>
      </c>
    </row>
    <row r="29" customFormat="false" ht="13.8" hidden="false" customHeight="false" outlineLevel="0" collapsed="false">
      <c r="A29" s="1" t="n">
        <v>39</v>
      </c>
      <c r="B29" s="1" t="s">
        <v>16939</v>
      </c>
      <c r="C29" s="10" t="n">
        <f aca="false">COUNTIF('MEGA SENA'!E:E,A29)</f>
        <v>50</v>
      </c>
      <c r="D29" s="6" t="n">
        <f aca="false">MOD(C29,4)</f>
        <v>2</v>
      </c>
      <c r="E29" s="6" t="n">
        <f aca="false">IF(D29=0,"",MOD(C29,8))</f>
        <v>2</v>
      </c>
    </row>
    <row r="30" customFormat="false" ht="13.8" hidden="false" customHeight="false" outlineLevel="0" collapsed="false">
      <c r="A30" s="1" t="n">
        <v>40</v>
      </c>
      <c r="B30" s="1" t="s">
        <v>16939</v>
      </c>
      <c r="C30" s="10" t="n">
        <f aca="false">COUNTIF('MEGA SENA'!E:E,A30)</f>
        <v>48</v>
      </c>
      <c r="D30" s="6" t="n">
        <f aca="false">MOD(C30,4)</f>
        <v>0</v>
      </c>
      <c r="E30" s="6" t="str">
        <f aca="false">IF(D30=0,"",MOD(C30,8))</f>
        <v/>
      </c>
    </row>
    <row r="31" customFormat="false" ht="13.8" hidden="false" customHeight="false" outlineLevel="0" collapsed="false">
      <c r="A31" s="1" t="n">
        <v>42</v>
      </c>
      <c r="B31" s="1" t="s">
        <v>16939</v>
      </c>
      <c r="C31" s="10" t="n">
        <f aca="false">COUNTIF('MEGA SENA'!E:E,A31)</f>
        <v>45</v>
      </c>
      <c r="D31" s="6" t="n">
        <f aca="false">MOD(C31,4)</f>
        <v>1</v>
      </c>
      <c r="E31" s="6" t="n">
        <f aca="false">IF(D31=0,"",MOD(C31,8))</f>
        <v>5</v>
      </c>
    </row>
    <row r="32" customFormat="false" ht="13.8" hidden="false" customHeight="false" outlineLevel="0" collapsed="false">
      <c r="A32" s="1" t="n">
        <v>10</v>
      </c>
      <c r="B32" s="1" t="s">
        <v>16939</v>
      </c>
      <c r="C32" s="10" t="n">
        <f aca="false">COUNTIF('MEGA SENA'!E:E,A32)</f>
        <v>43</v>
      </c>
      <c r="D32" s="6" t="n">
        <f aca="false">MOD(C32,4)</f>
        <v>3</v>
      </c>
      <c r="E32" s="6" t="n">
        <f aca="false">IF(D32=0,"",MOD(C32,8))</f>
        <v>3</v>
      </c>
    </row>
    <row r="33" customFormat="false" ht="13.8" hidden="false" customHeight="false" outlineLevel="0" collapsed="false">
      <c r="A33" s="1" t="n">
        <v>43</v>
      </c>
      <c r="B33" s="1" t="s">
        <v>16939</v>
      </c>
      <c r="C33" s="10" t="n">
        <f aca="false">COUNTIF('MEGA SENA'!E:E,A33)</f>
        <v>37</v>
      </c>
      <c r="D33" s="6" t="n">
        <f aca="false">MOD(C33,4)</f>
        <v>1</v>
      </c>
      <c r="E33" s="6" t="n">
        <f aca="false">IF(D33=0,"",MOD(C33,8))</f>
        <v>5</v>
      </c>
    </row>
    <row r="34" customFormat="false" ht="13.8" hidden="false" customHeight="false" outlineLevel="0" collapsed="false">
      <c r="A34" s="1" t="n">
        <v>41</v>
      </c>
      <c r="B34" s="1" t="s">
        <v>16939</v>
      </c>
      <c r="C34" s="10" t="n">
        <f aca="false">COUNTIF('MEGA SENA'!E:E,A34)</f>
        <v>33</v>
      </c>
      <c r="D34" s="6" t="n">
        <f aca="false">MOD(C34,4)</f>
        <v>1</v>
      </c>
      <c r="E34" s="6" t="n">
        <f aca="false">IF(D34=0,"",MOD(C34,8))</f>
        <v>1</v>
      </c>
    </row>
    <row r="35" customFormat="false" ht="13.8" hidden="false" customHeight="false" outlineLevel="0" collapsed="false">
      <c r="A35" s="1" t="n">
        <v>44</v>
      </c>
      <c r="B35" s="1" t="s">
        <v>16939</v>
      </c>
      <c r="C35" s="10" t="n">
        <f aca="false">COUNTIF('MEGA SENA'!E:E,A35)</f>
        <v>33</v>
      </c>
      <c r="D35" s="6" t="n">
        <f aca="false">MOD(C35,4)</f>
        <v>1</v>
      </c>
      <c r="E35" s="6" t="n">
        <f aca="false">IF(D35=0,"",MOD(C35,8))</f>
        <v>1</v>
      </c>
    </row>
    <row r="36" customFormat="false" ht="13.8" hidden="false" customHeight="false" outlineLevel="0" collapsed="false">
      <c r="A36" s="1" t="n">
        <v>45</v>
      </c>
      <c r="B36" s="1" t="s">
        <v>16939</v>
      </c>
      <c r="C36" s="10" t="n">
        <f aca="false">COUNTIF('MEGA SENA'!E:E,A36)</f>
        <v>28</v>
      </c>
      <c r="D36" s="6" t="n">
        <f aca="false">MOD(C36,4)</f>
        <v>0</v>
      </c>
      <c r="E36" s="6" t="str">
        <f aca="false">IF(D36=0,"",MOD(C36,8))</f>
        <v/>
      </c>
    </row>
    <row r="37" customFormat="false" ht="13.8" hidden="false" customHeight="false" outlineLevel="0" collapsed="false">
      <c r="A37" s="1" t="n">
        <v>7</v>
      </c>
      <c r="B37" s="1" t="s">
        <v>16939</v>
      </c>
      <c r="C37" s="10" t="n">
        <f aca="false">COUNTIF('MEGA SENA'!E:E,A37)</f>
        <v>22</v>
      </c>
      <c r="D37" s="6" t="n">
        <f aca="false">MOD(C37,4)</f>
        <v>2</v>
      </c>
      <c r="E37" s="6" t="n">
        <f aca="false">IF(D37=0,"",MOD(C37,8))</f>
        <v>6</v>
      </c>
    </row>
    <row r="38" customFormat="false" ht="13.8" hidden="false" customHeight="false" outlineLevel="0" collapsed="false">
      <c r="A38" s="1" t="n">
        <v>9</v>
      </c>
      <c r="B38" s="1" t="s">
        <v>16939</v>
      </c>
      <c r="C38" s="10" t="n">
        <f aca="false">COUNTIF('MEGA SENA'!E:E,A38)</f>
        <v>22</v>
      </c>
      <c r="D38" s="6" t="n">
        <f aca="false">MOD(C38,4)</f>
        <v>2</v>
      </c>
      <c r="E38" s="6" t="n">
        <f aca="false">IF(D38=0,"",MOD(C38,8))</f>
        <v>6</v>
      </c>
    </row>
    <row r="39" customFormat="false" ht="13.8" hidden="false" customHeight="false" outlineLevel="0" collapsed="false">
      <c r="A39" s="1" t="n">
        <v>46</v>
      </c>
      <c r="B39" s="1" t="s">
        <v>16939</v>
      </c>
      <c r="C39" s="10" t="n">
        <f aca="false">COUNTIF('MEGA SENA'!E:E,A39)</f>
        <v>22</v>
      </c>
      <c r="D39" s="6" t="n">
        <f aca="false">MOD(C39,4)</f>
        <v>2</v>
      </c>
      <c r="E39" s="6" t="n">
        <f aca="false">IF(D39=0,"",MOD(C39,8))</f>
        <v>6</v>
      </c>
    </row>
    <row r="40" customFormat="false" ht="13.8" hidden="false" customHeight="false" outlineLevel="0" collapsed="false">
      <c r="A40" s="1" t="n">
        <v>8</v>
      </c>
      <c r="B40" s="1" t="s">
        <v>16939</v>
      </c>
      <c r="C40" s="10" t="n">
        <f aca="false">COUNTIF('MEGA SENA'!E:E,A40)</f>
        <v>19</v>
      </c>
      <c r="D40" s="6" t="n">
        <f aca="false">MOD(C40,4)</f>
        <v>3</v>
      </c>
      <c r="E40" s="6" t="n">
        <f aca="false">IF(D40=0,"",MOD(C40,8))</f>
        <v>3</v>
      </c>
    </row>
    <row r="41" customFormat="false" ht="13.8" hidden="false" customHeight="false" outlineLevel="0" collapsed="false">
      <c r="A41" s="1" t="n">
        <v>47</v>
      </c>
      <c r="B41" s="1" t="s">
        <v>16939</v>
      </c>
      <c r="C41" s="10" t="n">
        <f aca="false">COUNTIF('MEGA SENA'!E:E,A41)</f>
        <v>16</v>
      </c>
      <c r="D41" s="6" t="n">
        <f aca="false">MOD(C41,4)</f>
        <v>0</v>
      </c>
      <c r="E41" s="6" t="str">
        <f aca="false">IF(D41=0,"",MOD(C41,8))</f>
        <v/>
      </c>
    </row>
    <row r="42" customFormat="false" ht="13.8" hidden="false" customHeight="false" outlineLevel="0" collapsed="false">
      <c r="A42" s="1" t="n">
        <v>5</v>
      </c>
      <c r="B42" s="1" t="s">
        <v>16939</v>
      </c>
      <c r="C42" s="10" t="n">
        <f aca="false">COUNTIF('MEGA SENA'!E:E,A42)</f>
        <v>13</v>
      </c>
      <c r="D42" s="6" t="n">
        <f aca="false">MOD(C42,4)</f>
        <v>1</v>
      </c>
      <c r="E42" s="6" t="n">
        <f aca="false">IF(D42=0,"",MOD(C42,8))</f>
        <v>5</v>
      </c>
    </row>
    <row r="43" customFormat="false" ht="13.8" hidden="false" customHeight="false" outlineLevel="0" collapsed="false">
      <c r="A43" s="1" t="n">
        <v>6</v>
      </c>
      <c r="B43" s="1" t="s">
        <v>16939</v>
      </c>
      <c r="C43" s="10" t="n">
        <f aca="false">COUNTIF('MEGA SENA'!E:E,A43)</f>
        <v>13</v>
      </c>
      <c r="D43" s="6" t="n">
        <f aca="false">MOD(C43,4)</f>
        <v>1</v>
      </c>
      <c r="E43" s="6" t="n">
        <f aca="false">IF(D43=0,"",MOD(C43,8))</f>
        <v>5</v>
      </c>
    </row>
    <row r="44" customFormat="false" ht="13.8" hidden="false" customHeight="false" outlineLevel="0" collapsed="false">
      <c r="A44" s="1" t="n">
        <v>48</v>
      </c>
      <c r="B44" s="1" t="s">
        <v>16939</v>
      </c>
      <c r="C44" s="10" t="n">
        <f aca="false">COUNTIF('MEGA SENA'!E:E,A44)</f>
        <v>12</v>
      </c>
      <c r="D44" s="6" t="n">
        <f aca="false">MOD(C44,4)</f>
        <v>0</v>
      </c>
      <c r="E44" s="6" t="str">
        <f aca="false">IF(D44=0,"",MOD(C44,8))</f>
        <v/>
      </c>
    </row>
    <row r="45" customFormat="false" ht="13.8" hidden="false" customHeight="false" outlineLevel="0" collapsed="false">
      <c r="A45" s="1" t="n">
        <v>50</v>
      </c>
      <c r="B45" s="1" t="s">
        <v>16939</v>
      </c>
      <c r="C45" s="10" t="n">
        <f aca="false">COUNTIF('MEGA SENA'!E:E,A45)</f>
        <v>12</v>
      </c>
      <c r="D45" s="6" t="n">
        <f aca="false">MOD(C45,4)</f>
        <v>0</v>
      </c>
      <c r="E45" s="6" t="str">
        <f aca="false">IF(D45=0,"",MOD(C45,8))</f>
        <v/>
      </c>
    </row>
    <row r="46" customFormat="false" ht="13.8" hidden="false" customHeight="false" outlineLevel="0" collapsed="false">
      <c r="A46" s="1" t="n">
        <v>49</v>
      </c>
      <c r="B46" s="1" t="s">
        <v>16939</v>
      </c>
      <c r="C46" s="10" t="n">
        <f aca="false">COUNTIF('MEGA SENA'!E:E,A46)</f>
        <v>9</v>
      </c>
      <c r="D46" s="6" t="n">
        <f aca="false">MOD(C46,4)</f>
        <v>1</v>
      </c>
      <c r="E46" s="6" t="n">
        <f aca="false">IF(D46=0,"",MOD(C46,8))</f>
        <v>1</v>
      </c>
    </row>
    <row r="47" customFormat="false" ht="13.8" hidden="false" customHeight="false" outlineLevel="0" collapsed="false">
      <c r="A47" s="1" t="n">
        <v>4</v>
      </c>
      <c r="B47" s="1" t="s">
        <v>16939</v>
      </c>
      <c r="C47" s="10" t="n">
        <f aca="false">COUNTIF('MEGA SENA'!E:E,A47)</f>
        <v>4</v>
      </c>
      <c r="D47" s="6" t="n">
        <f aca="false">MOD(C47,4)</f>
        <v>0</v>
      </c>
      <c r="E47" s="6" t="str">
        <f aca="false">IF(D47=0,"",MOD(C47,8))</f>
        <v/>
      </c>
    </row>
    <row r="48" customFormat="false" ht="13.8" hidden="false" customHeight="false" outlineLevel="0" collapsed="false">
      <c r="A48" s="1" t="n">
        <v>51</v>
      </c>
      <c r="B48" s="1" t="s">
        <v>16939</v>
      </c>
      <c r="C48" s="10" t="n">
        <f aca="false">COUNTIF('MEGA SENA'!E:E,A48)</f>
        <v>4</v>
      </c>
      <c r="D48" s="6" t="n">
        <f aca="false">MOD(C48,4)</f>
        <v>0</v>
      </c>
      <c r="E48" s="6" t="str">
        <f aca="false">IF(D48=0,"",MOD(C48,8))</f>
        <v/>
      </c>
    </row>
    <row r="49" customFormat="false" ht="13.8" hidden="false" customHeight="false" outlineLevel="0" collapsed="false">
      <c r="A49" s="1" t="n">
        <v>52</v>
      </c>
      <c r="B49" s="1" t="s">
        <v>16939</v>
      </c>
      <c r="C49" s="10" t="n">
        <f aca="false">COUNTIF('MEGA SENA'!E:E,A49)</f>
        <v>3</v>
      </c>
      <c r="D49" s="6" t="n">
        <f aca="false">MOD(C49,4)</f>
        <v>3</v>
      </c>
      <c r="E49" s="6" t="n">
        <f aca="false">IF(D49=0,"",MOD(C49,8))</f>
        <v>3</v>
      </c>
    </row>
    <row r="50" customFormat="false" ht="13.8" hidden="false" customHeight="false" outlineLevel="0" collapsed="false">
      <c r="A50" s="1" t="n">
        <v>53</v>
      </c>
      <c r="B50" s="1" t="s">
        <v>16939</v>
      </c>
      <c r="C50" s="10" t="n">
        <f aca="false">COUNTIF('MEGA SENA'!E:E,A50)</f>
        <v>3</v>
      </c>
      <c r="D50" s="6" t="n">
        <f aca="false">MOD(C50,4)</f>
        <v>3</v>
      </c>
      <c r="E50" s="6" t="n">
        <f aca="false">IF(D50=0,"",MOD(C50,8))</f>
        <v>3</v>
      </c>
    </row>
    <row r="51" customFormat="false" ht="13.8" hidden="false" customHeight="false" outlineLevel="0" collapsed="false">
      <c r="A51" s="1" t="n">
        <v>3</v>
      </c>
      <c r="B51" s="1" t="s">
        <v>16939</v>
      </c>
      <c r="C51" s="10" t="n">
        <f aca="false">COUNTIF('MEGA SENA'!E:E,A51)</f>
        <v>2</v>
      </c>
      <c r="D51" s="6" t="n">
        <f aca="false">MOD(C51,4)</f>
        <v>2</v>
      </c>
      <c r="E51" s="6" t="n">
        <f aca="false">IF(D51=0,"",MOD(C51,8))</f>
        <v>2</v>
      </c>
    </row>
    <row r="52" customFormat="false" ht="13.8" hidden="false" customHeight="false" outlineLevel="0" collapsed="false">
      <c r="A52" s="1" t="n">
        <v>54</v>
      </c>
      <c r="B52" s="1" t="s">
        <v>16939</v>
      </c>
      <c r="C52" s="10" t="n">
        <f aca="false">COUNTIF('MEGA SENA'!E:E,A52)</f>
        <v>2</v>
      </c>
      <c r="D52" s="6" t="n">
        <f aca="false">MOD(C52,4)</f>
        <v>2</v>
      </c>
      <c r="E52" s="6" t="n">
        <f aca="false">IF(D52=0,"",MOD(C52,8))</f>
        <v>2</v>
      </c>
    </row>
    <row r="53" customFormat="false" ht="13.8" hidden="false" customHeight="false" outlineLevel="0" collapsed="false">
      <c r="A53" s="1" t="n">
        <v>55</v>
      </c>
      <c r="B53" s="1" t="s">
        <v>16939</v>
      </c>
      <c r="C53" s="10" t="n">
        <f aca="false">COUNTIF('MEGA SENA'!E:E,A53)</f>
        <v>1</v>
      </c>
      <c r="D53" s="6" t="n">
        <f aca="false">MOD(C53,4)</f>
        <v>1</v>
      </c>
      <c r="E53" s="6" t="n">
        <f aca="false">IF(D53=0,"",MOD(C53,8))</f>
        <v>1</v>
      </c>
    </row>
    <row r="54" customFormat="false" ht="13.8" hidden="false" customHeight="false" outlineLevel="0" collapsed="false">
      <c r="A54" s="1" t="n">
        <v>56</v>
      </c>
      <c r="B54" s="1" t="s">
        <v>16939</v>
      </c>
      <c r="C54" s="10" t="n">
        <f aca="false">COUNTIF('MEGA SENA'!E:E,A54)</f>
        <v>1</v>
      </c>
      <c r="D54" s="6" t="n">
        <f aca="false">MOD(C54,4)</f>
        <v>1</v>
      </c>
      <c r="E54" s="6" t="n">
        <f aca="false">IF(D54=0,"",MOD(C54,8))</f>
        <v>1</v>
      </c>
    </row>
    <row r="55" customFormat="false" ht="13.8" hidden="false" customHeight="false" outlineLevel="0" collapsed="false">
      <c r="A55" s="1" t="n">
        <v>1</v>
      </c>
      <c r="B55" s="1" t="s">
        <v>16939</v>
      </c>
      <c r="C55" s="10" t="n">
        <f aca="false">COUNTIF('MEGA SENA'!E:E,A55)</f>
        <v>0</v>
      </c>
      <c r="D55" s="6" t="n">
        <f aca="false">MOD(C55,4)</f>
        <v>0</v>
      </c>
      <c r="E55" s="6" t="str">
        <f aca="false">IF(D55=0,"",MOD(C55,8))</f>
        <v/>
      </c>
    </row>
    <row r="56" customFormat="false" ht="13.8" hidden="false" customHeight="false" outlineLevel="0" collapsed="false">
      <c r="A56" s="1" t="n">
        <v>2</v>
      </c>
      <c r="B56" s="1" t="s">
        <v>16939</v>
      </c>
      <c r="C56" s="10" t="n">
        <f aca="false">COUNTIF('MEGA SENA'!E:E,A56)</f>
        <v>0</v>
      </c>
      <c r="D56" s="6" t="n">
        <f aca="false">MOD(C56,4)</f>
        <v>0</v>
      </c>
      <c r="E56" s="6" t="str">
        <f aca="false">IF(D56=0,"",MOD(C56,8))</f>
        <v/>
      </c>
    </row>
    <row r="57" customFormat="false" ht="13.8" hidden="false" customHeight="false" outlineLevel="0" collapsed="false">
      <c r="A57" s="1" t="n">
        <v>57</v>
      </c>
      <c r="B57" s="1" t="s">
        <v>16939</v>
      </c>
      <c r="C57" s="10" t="n">
        <f aca="false">COUNTIF('MEGA SENA'!E:E,A57)</f>
        <v>0</v>
      </c>
      <c r="D57" s="6" t="n">
        <f aca="false">MOD(C57,4)</f>
        <v>0</v>
      </c>
      <c r="E57" s="6" t="str">
        <f aca="false">IF(D57=0,"",MOD(C57,8))</f>
        <v/>
      </c>
    </row>
    <row r="58" customFormat="false" ht="13.8" hidden="false" customHeight="false" outlineLevel="0" collapsed="false">
      <c r="A58" s="1" t="n">
        <v>58</v>
      </c>
      <c r="B58" s="1" t="s">
        <v>16939</v>
      </c>
      <c r="C58" s="10" t="n">
        <f aca="false">COUNTIF('MEGA SENA'!E:E,A58)</f>
        <v>0</v>
      </c>
      <c r="D58" s="6" t="n">
        <f aca="false">MOD(C58,4)</f>
        <v>0</v>
      </c>
      <c r="E58" s="6" t="str">
        <f aca="false">IF(D58=0,"",MOD(C58,8))</f>
        <v/>
      </c>
    </row>
    <row r="59" customFormat="false" ht="13.8" hidden="false" customHeight="false" outlineLevel="0" collapsed="false">
      <c r="A59" s="1" t="n">
        <v>59</v>
      </c>
      <c r="B59" s="1" t="s">
        <v>16939</v>
      </c>
      <c r="C59" s="10" t="n">
        <f aca="false">COUNTIF('MEGA SENA'!E:E,A59)</f>
        <v>0</v>
      </c>
      <c r="D59" s="6" t="n">
        <f aca="false">MOD(C59,4)</f>
        <v>0</v>
      </c>
      <c r="E59" s="6" t="str">
        <f aca="false">IF(D59=0,"",MOD(C59,8))</f>
        <v/>
      </c>
    </row>
    <row r="60" customFormat="false" ht="13.8" hidden="false" customHeight="false" outlineLevel="0" collapsed="false">
      <c r="A60" s="1" t="n">
        <v>60</v>
      </c>
      <c r="B60" s="1" t="s">
        <v>16939</v>
      </c>
      <c r="C60" s="10" t="n">
        <f aca="false">COUNTIF('MEGA SENA'!E:E,A60)</f>
        <v>0</v>
      </c>
      <c r="D60" s="6" t="n">
        <f aca="false">MOD(C60,4)</f>
        <v>0</v>
      </c>
      <c r="E60" s="6" t="str">
        <f aca="false">IF(D60=0,"",MOD(C60,8))</f>
        <v/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C19" activeCellId="0" sqref="C19"/>
    </sheetView>
  </sheetViews>
  <sheetFormatPr defaultColWidth="11.53515625" defaultRowHeight="13.8" zeroHeight="false" outlineLevelRow="0" outlineLevelCol="0"/>
  <cols>
    <col collapsed="false" customWidth="false" hidden="false" outlineLevel="0" max="3" min="1" style="1" width="11.53"/>
  </cols>
  <sheetData>
    <row r="1" customFormat="false" ht="13.8" hidden="false" customHeight="false" outlineLevel="0" collapsed="false">
      <c r="A1" s="1" t="n">
        <v>37</v>
      </c>
      <c r="B1" s="1" t="s">
        <v>16939</v>
      </c>
      <c r="C1" s="10" t="n">
        <f aca="false">COUNTIF('MEGA SENA'!F:F,A1)</f>
        <v>125</v>
      </c>
      <c r="D1" s="6" t="n">
        <f aca="false">MOD(C1,4)</f>
        <v>1</v>
      </c>
      <c r="E1" s="10" t="n">
        <f aca="false">IF(D1=0,"",MOD(C1,8))</f>
        <v>5</v>
      </c>
    </row>
    <row r="2" customFormat="false" ht="13.8" hidden="false" customHeight="false" outlineLevel="0" collapsed="false">
      <c r="A2" s="1" t="n">
        <v>35</v>
      </c>
      <c r="B2" s="1" t="s">
        <v>16939</v>
      </c>
      <c r="C2" s="10" t="n">
        <f aca="false">COUNTIF('MEGA SENA'!F:F,A2)</f>
        <v>123</v>
      </c>
      <c r="D2" s="6" t="n">
        <f aca="false">MOD(C2,4)</f>
        <v>3</v>
      </c>
      <c r="E2" s="10" t="n">
        <f aca="false">IF(D2=0,"",MOD(C2,8))</f>
        <v>3</v>
      </c>
    </row>
    <row r="3" customFormat="false" ht="13.8" hidden="false" customHeight="false" outlineLevel="0" collapsed="false">
      <c r="A3" s="1" t="n">
        <v>34</v>
      </c>
      <c r="B3" s="1" t="s">
        <v>16939</v>
      </c>
      <c r="C3" s="10" t="n">
        <f aca="false">COUNTIF('MEGA SENA'!F:F,A3)</f>
        <v>119</v>
      </c>
      <c r="D3" s="6" t="n">
        <f aca="false">MOD(C3,4)</f>
        <v>3</v>
      </c>
      <c r="E3" s="10" t="n">
        <f aca="false">IF(D3=0,"",MOD(C3,8))</f>
        <v>7</v>
      </c>
    </row>
    <row r="4" customFormat="false" ht="13.8" hidden="false" customHeight="false" outlineLevel="0" collapsed="false">
      <c r="A4" s="1" t="n">
        <v>33</v>
      </c>
      <c r="B4" s="1" t="s">
        <v>16939</v>
      </c>
      <c r="C4" s="10" t="n">
        <f aca="false">COUNTIF('MEGA SENA'!F:F,A4)</f>
        <v>117</v>
      </c>
      <c r="D4" s="6" t="n">
        <f aca="false">MOD(C4,4)</f>
        <v>1</v>
      </c>
      <c r="E4" s="10" t="n">
        <f aca="false">IF(D4=0,"",MOD(C4,8))</f>
        <v>5</v>
      </c>
    </row>
    <row r="5" customFormat="false" ht="13.8" hidden="false" customHeight="false" outlineLevel="0" collapsed="false">
      <c r="A5" s="1" t="n">
        <v>41</v>
      </c>
      <c r="B5" s="1" t="s">
        <v>16939</v>
      </c>
      <c r="C5" s="10" t="n">
        <f aca="false">COUNTIF('MEGA SENA'!F:F,A5)</f>
        <v>116</v>
      </c>
      <c r="D5" s="6" t="n">
        <f aca="false">MOD(C5,4)</f>
        <v>0</v>
      </c>
      <c r="E5" s="10" t="str">
        <f aca="false">IF(D5=0,"",MOD(C5,8))</f>
        <v/>
      </c>
    </row>
    <row r="6" customFormat="false" ht="13.8" hidden="false" customHeight="false" outlineLevel="0" collapsed="false">
      <c r="A6" s="1" t="n">
        <v>39</v>
      </c>
      <c r="B6" s="1" t="s">
        <v>16939</v>
      </c>
      <c r="C6" s="10" t="n">
        <f aca="false">COUNTIF('MEGA SENA'!F:F,A6)</f>
        <v>113</v>
      </c>
      <c r="D6" s="6" t="n">
        <f aca="false">MOD(C6,4)</f>
        <v>1</v>
      </c>
      <c r="E6" s="10" t="n">
        <f aca="false">IF(D6=0,"",MOD(C6,8))</f>
        <v>1</v>
      </c>
    </row>
    <row r="7" customFormat="false" ht="13.8" hidden="false" customHeight="false" outlineLevel="0" collapsed="false">
      <c r="A7" s="1" t="n">
        <v>38</v>
      </c>
      <c r="B7" s="1" t="s">
        <v>16939</v>
      </c>
      <c r="C7" s="10" t="n">
        <f aca="false">COUNTIF('MEGA SENA'!F:F,A7)</f>
        <v>113</v>
      </c>
      <c r="D7" s="6" t="n">
        <f aca="false">MOD(C7,4)</f>
        <v>1</v>
      </c>
      <c r="E7" s="10" t="n">
        <f aca="false">IF(D7=0,"",MOD(C7,8))</f>
        <v>1</v>
      </c>
    </row>
    <row r="8" customFormat="false" ht="13.8" hidden="false" customHeight="false" outlineLevel="0" collapsed="false">
      <c r="A8" s="1" t="n">
        <v>32</v>
      </c>
      <c r="B8" s="1" t="s">
        <v>16939</v>
      </c>
      <c r="C8" s="10" t="n">
        <f aca="false">COUNTIF('MEGA SENA'!F:F,A8)</f>
        <v>106</v>
      </c>
      <c r="D8" s="6" t="n">
        <f aca="false">MOD(C8,4)</f>
        <v>2</v>
      </c>
      <c r="E8" s="10" t="n">
        <f aca="false">IF(D8=0,"",MOD(C8,8))</f>
        <v>2</v>
      </c>
    </row>
    <row r="9" customFormat="false" ht="13.8" hidden="false" customHeight="false" outlineLevel="0" collapsed="false">
      <c r="A9" s="1" t="n">
        <v>36</v>
      </c>
      <c r="B9" s="1" t="s">
        <v>16939</v>
      </c>
      <c r="C9" s="10" t="n">
        <f aca="false">COUNTIF('MEGA SENA'!F:F,A9)</f>
        <v>103</v>
      </c>
      <c r="D9" s="6" t="n">
        <f aca="false">MOD(C9,4)</f>
        <v>3</v>
      </c>
      <c r="E9" s="10" t="n">
        <f aca="false">IF(D9=0,"",MOD(C9,8))</f>
        <v>7</v>
      </c>
    </row>
    <row r="10" customFormat="false" ht="13.8" hidden="false" customHeight="false" outlineLevel="0" collapsed="false">
      <c r="A10" s="1" t="n">
        <v>40</v>
      </c>
      <c r="B10" s="1" t="s">
        <v>16939</v>
      </c>
      <c r="C10" s="10" t="n">
        <f aca="false">COUNTIF('MEGA SENA'!F:F,A10)</f>
        <v>103</v>
      </c>
      <c r="D10" s="6" t="n">
        <f aca="false">MOD(C10,4)</f>
        <v>3</v>
      </c>
      <c r="E10" s="10" t="n">
        <f aca="false">IF(D10=0,"",MOD(C10,8))</f>
        <v>7</v>
      </c>
    </row>
    <row r="11" customFormat="false" ht="13.8" hidden="false" customHeight="false" outlineLevel="0" collapsed="false">
      <c r="A11" s="1" t="n">
        <v>30</v>
      </c>
      <c r="B11" s="1" t="s">
        <v>16939</v>
      </c>
      <c r="C11" s="10" t="n">
        <f aca="false">COUNTIF('MEGA SENA'!F:F,A11)</f>
        <v>97</v>
      </c>
      <c r="D11" s="6" t="n">
        <f aca="false">MOD(C11,4)</f>
        <v>1</v>
      </c>
      <c r="E11" s="10" t="n">
        <f aca="false">IF(D11=0,"",MOD(C11,8))</f>
        <v>1</v>
      </c>
    </row>
    <row r="12" customFormat="false" ht="13.8" hidden="false" customHeight="false" outlineLevel="0" collapsed="false">
      <c r="A12" s="1" t="n">
        <v>44</v>
      </c>
      <c r="B12" s="1" t="s">
        <v>16939</v>
      </c>
      <c r="C12" s="10" t="n">
        <f aca="false">COUNTIF('MEGA SENA'!F:F,A12)</f>
        <v>98</v>
      </c>
      <c r="D12" s="6" t="n">
        <f aca="false">MOD(C12,4)</f>
        <v>2</v>
      </c>
      <c r="E12" s="10" t="n">
        <f aca="false">IF(D12=0,"",MOD(C12,8))</f>
        <v>2</v>
      </c>
    </row>
    <row r="13" customFormat="false" ht="13.8" hidden="false" customHeight="false" outlineLevel="0" collapsed="false">
      <c r="A13" s="1" t="n">
        <v>43</v>
      </c>
      <c r="B13" s="1" t="s">
        <v>16939</v>
      </c>
      <c r="C13" s="10" t="n">
        <f aca="false">COUNTIF('MEGA SENA'!F:F,A13)</f>
        <v>94</v>
      </c>
      <c r="D13" s="6" t="n">
        <f aca="false">MOD(C13,4)</f>
        <v>2</v>
      </c>
      <c r="E13" s="10" t="n">
        <f aca="false">IF(D13=0,"",MOD(C13,8))</f>
        <v>6</v>
      </c>
    </row>
    <row r="14" customFormat="false" ht="13.8" hidden="false" customHeight="false" outlineLevel="0" collapsed="false">
      <c r="A14" s="1" t="n">
        <v>46</v>
      </c>
      <c r="B14" s="1" t="s">
        <v>16939</v>
      </c>
      <c r="C14" s="10" t="n">
        <f aca="false">COUNTIF('MEGA SENA'!F:F,A14)</f>
        <v>94</v>
      </c>
      <c r="D14" s="6" t="n">
        <f aca="false">MOD(C14,4)</f>
        <v>2</v>
      </c>
      <c r="E14" s="10" t="n">
        <f aca="false">IF(D14=0,"",MOD(C14,8))</f>
        <v>6</v>
      </c>
    </row>
    <row r="15" customFormat="false" ht="13.8" hidden="false" customHeight="false" outlineLevel="0" collapsed="false">
      <c r="A15" s="1" t="n">
        <v>42</v>
      </c>
      <c r="B15" s="1" t="s">
        <v>16939</v>
      </c>
      <c r="C15" s="10" t="n">
        <f aca="false">COUNTIF('MEGA SENA'!F:F,A15)</f>
        <v>90</v>
      </c>
      <c r="D15" s="6" t="n">
        <f aca="false">MOD(C15,4)</f>
        <v>2</v>
      </c>
      <c r="E15" s="10" t="n">
        <f aca="false">IF(D15=0,"",MOD(C15,8))</f>
        <v>2</v>
      </c>
    </row>
    <row r="16" customFormat="false" ht="13.8" hidden="false" customHeight="false" outlineLevel="0" collapsed="false">
      <c r="A16" s="1" t="n">
        <v>29</v>
      </c>
      <c r="B16" s="1" t="s">
        <v>16939</v>
      </c>
      <c r="C16" s="10" t="n">
        <f aca="false">COUNTIF('MEGA SENA'!F:F,A16)</f>
        <v>86</v>
      </c>
      <c r="D16" s="6" t="n">
        <f aca="false">MOD(C16,4)</f>
        <v>2</v>
      </c>
      <c r="E16" s="10" t="n">
        <f aca="false">IF(D16=0,"",MOD(C16,8))</f>
        <v>6</v>
      </c>
    </row>
    <row r="17" customFormat="false" ht="13.8" hidden="false" customHeight="false" outlineLevel="0" collapsed="false">
      <c r="A17" s="1" t="n">
        <v>27</v>
      </c>
      <c r="B17" s="1" t="s">
        <v>16939</v>
      </c>
      <c r="C17" s="10" t="n">
        <f aca="false">COUNTIF('MEGA SENA'!F:F,A17)</f>
        <v>83</v>
      </c>
      <c r="D17" s="6" t="n">
        <f aca="false">MOD(C17,4)</f>
        <v>3</v>
      </c>
      <c r="E17" s="10" t="n">
        <f aca="false">IF(D17=0,"",MOD(C17,8))</f>
        <v>3</v>
      </c>
    </row>
    <row r="18" customFormat="false" ht="13.8" hidden="false" customHeight="false" outlineLevel="0" collapsed="false">
      <c r="A18" s="1" t="n">
        <v>31</v>
      </c>
      <c r="B18" s="1" t="s">
        <v>16939</v>
      </c>
      <c r="C18" s="10" t="n">
        <f aca="false">COUNTIF('MEGA SENA'!F:F,A18)</f>
        <v>79</v>
      </c>
      <c r="D18" s="6" t="n">
        <f aca="false">MOD(C18,4)</f>
        <v>3</v>
      </c>
      <c r="E18" s="10" t="n">
        <f aca="false">IF(D18=0,"",MOD(C18,8))</f>
        <v>7</v>
      </c>
    </row>
    <row r="19" customFormat="false" ht="13.8" hidden="false" customHeight="false" outlineLevel="0" collapsed="false">
      <c r="A19" s="1" t="n">
        <v>25</v>
      </c>
      <c r="B19" s="1" t="s">
        <v>16939</v>
      </c>
      <c r="C19" s="10" t="n">
        <f aca="false">COUNTIF('MEGA SENA'!F:F,A19)</f>
        <v>77</v>
      </c>
      <c r="D19" s="6" t="n">
        <f aca="false">MOD(C19,4)</f>
        <v>1</v>
      </c>
      <c r="E19" s="10" t="n">
        <f aca="false">IF(D19=0,"",MOD(C19,8))</f>
        <v>5</v>
      </c>
    </row>
    <row r="20" customFormat="false" ht="13.8" hidden="false" customHeight="false" outlineLevel="0" collapsed="false">
      <c r="A20" s="1" t="n">
        <v>28</v>
      </c>
      <c r="B20" s="1" t="s">
        <v>16939</v>
      </c>
      <c r="C20" s="10" t="n">
        <f aca="false">COUNTIF('MEGA SENA'!F:F,A20)</f>
        <v>74</v>
      </c>
      <c r="D20" s="6" t="n">
        <f aca="false">MOD(C20,4)</f>
        <v>2</v>
      </c>
      <c r="E20" s="10" t="n">
        <f aca="false">IF(D20=0,"",MOD(C20,8))</f>
        <v>2</v>
      </c>
    </row>
    <row r="21" customFormat="false" ht="13.8" hidden="false" customHeight="false" outlineLevel="0" collapsed="false">
      <c r="A21" s="1" t="n">
        <v>47</v>
      </c>
      <c r="B21" s="1" t="s">
        <v>16939</v>
      </c>
      <c r="C21" s="10" t="n">
        <f aca="false">COUNTIF('MEGA SENA'!F:F,A21)</f>
        <v>72</v>
      </c>
      <c r="D21" s="6" t="n">
        <f aca="false">MOD(C21,4)</f>
        <v>0</v>
      </c>
      <c r="E21" s="10" t="str">
        <f aca="false">IF(D21=0,"",MOD(C21,8))</f>
        <v/>
      </c>
    </row>
    <row r="22" customFormat="false" ht="13.8" hidden="false" customHeight="false" outlineLevel="0" collapsed="false">
      <c r="A22" s="1" t="n">
        <v>24</v>
      </c>
      <c r="B22" s="1" t="s">
        <v>16939</v>
      </c>
      <c r="C22" s="10" t="n">
        <f aca="false">COUNTIF('MEGA SENA'!F:F,A22)</f>
        <v>71</v>
      </c>
      <c r="D22" s="6" t="n">
        <f aca="false">MOD(C22,4)</f>
        <v>3</v>
      </c>
      <c r="E22" s="10" t="n">
        <f aca="false">IF(D22=0,"",MOD(C22,8))</f>
        <v>7</v>
      </c>
    </row>
    <row r="23" customFormat="false" ht="13.8" hidden="false" customHeight="false" outlineLevel="0" collapsed="false">
      <c r="A23" s="1" t="n">
        <v>45</v>
      </c>
      <c r="B23" s="1" t="s">
        <v>16939</v>
      </c>
      <c r="C23" s="10" t="n">
        <f aca="false">COUNTIF('MEGA SENA'!F:F,A23)</f>
        <v>64</v>
      </c>
      <c r="D23" s="6" t="n">
        <f aca="false">MOD(C23,4)</f>
        <v>0</v>
      </c>
      <c r="E23" s="10" t="str">
        <f aca="false">IF(D23=0,"",MOD(C23,8))</f>
        <v/>
      </c>
    </row>
    <row r="24" customFormat="false" ht="13.8" hidden="false" customHeight="false" outlineLevel="0" collapsed="false">
      <c r="A24" s="1" t="n">
        <v>26</v>
      </c>
      <c r="B24" s="1" t="s">
        <v>16939</v>
      </c>
      <c r="C24" s="10" t="n">
        <f aca="false">COUNTIF('MEGA SENA'!F:F,A24)</f>
        <v>61</v>
      </c>
      <c r="D24" s="6" t="n">
        <f aca="false">MOD(C24,4)</f>
        <v>1</v>
      </c>
      <c r="E24" s="10" t="n">
        <f aca="false">IF(D24=0,"",MOD(C24,8))</f>
        <v>5</v>
      </c>
    </row>
    <row r="25" customFormat="false" ht="13.8" hidden="false" customHeight="false" outlineLevel="0" collapsed="false">
      <c r="A25" s="1" t="n">
        <v>22</v>
      </c>
      <c r="B25" s="1" t="s">
        <v>16939</v>
      </c>
      <c r="C25" s="10" t="n">
        <f aca="false">COUNTIF('MEGA SENA'!F:F,A25)</f>
        <v>49</v>
      </c>
      <c r="D25" s="6" t="n">
        <f aca="false">MOD(C25,4)</f>
        <v>1</v>
      </c>
      <c r="E25" s="10" t="n">
        <f aca="false">IF(D25=0,"",MOD(C25,8))</f>
        <v>1</v>
      </c>
    </row>
    <row r="26" customFormat="false" ht="13.8" hidden="false" customHeight="false" outlineLevel="0" collapsed="false">
      <c r="A26" s="1" t="n">
        <v>21</v>
      </c>
      <c r="B26" s="1" t="s">
        <v>16939</v>
      </c>
      <c r="C26" s="10" t="n">
        <f aca="false">COUNTIF('MEGA SENA'!F:F,A26)</f>
        <v>46</v>
      </c>
      <c r="D26" s="6" t="n">
        <f aca="false">MOD(C26,4)</f>
        <v>2</v>
      </c>
      <c r="E26" s="10" t="n">
        <f aca="false">IF(D26=0,"",MOD(C26,8))</f>
        <v>6</v>
      </c>
    </row>
    <row r="27" customFormat="false" ht="13.8" hidden="false" customHeight="false" outlineLevel="0" collapsed="false">
      <c r="A27" s="1" t="n">
        <v>23</v>
      </c>
      <c r="B27" s="1" t="s">
        <v>16939</v>
      </c>
      <c r="C27" s="10" t="n">
        <f aca="false">COUNTIF('MEGA SENA'!F:F,A27)</f>
        <v>46</v>
      </c>
      <c r="D27" s="6" t="n">
        <f aca="false">MOD(C27,4)</f>
        <v>2</v>
      </c>
      <c r="E27" s="10" t="n">
        <f aca="false">IF(D27=0,"",MOD(C27,8))</f>
        <v>6</v>
      </c>
    </row>
    <row r="28" customFormat="false" ht="13.8" hidden="false" customHeight="false" outlineLevel="0" collapsed="false">
      <c r="A28" s="1" t="n">
        <v>50</v>
      </c>
      <c r="B28" s="1" t="s">
        <v>16939</v>
      </c>
      <c r="C28" s="10" t="n">
        <f aca="false">COUNTIF('MEGA SENA'!F:F,A28)</f>
        <v>46</v>
      </c>
      <c r="D28" s="6" t="n">
        <f aca="false">MOD(C28,4)</f>
        <v>2</v>
      </c>
      <c r="E28" s="10" t="n">
        <f aca="false">IF(D28=0,"",MOD(C28,8))</f>
        <v>6</v>
      </c>
    </row>
    <row r="29" customFormat="false" ht="13.8" hidden="false" customHeight="false" outlineLevel="0" collapsed="false">
      <c r="A29" s="1" t="n">
        <v>49</v>
      </c>
      <c r="B29" s="1" t="s">
        <v>16939</v>
      </c>
      <c r="C29" s="10" t="n">
        <f aca="false">COUNTIF('MEGA SENA'!F:F,A29)</f>
        <v>45</v>
      </c>
      <c r="D29" s="6" t="n">
        <f aca="false">MOD(C29,4)</f>
        <v>1</v>
      </c>
      <c r="E29" s="10" t="n">
        <f aca="false">IF(D29=0,"",MOD(C29,8))</f>
        <v>5</v>
      </c>
    </row>
    <row r="30" customFormat="false" ht="13.8" hidden="false" customHeight="false" outlineLevel="0" collapsed="false">
      <c r="A30" s="1" t="n">
        <v>20</v>
      </c>
      <c r="B30" s="1" t="s">
        <v>16939</v>
      </c>
      <c r="C30" s="10" t="n">
        <f aca="false">COUNTIF('MEGA SENA'!F:F,A30)</f>
        <v>43</v>
      </c>
      <c r="D30" s="6" t="n">
        <f aca="false">MOD(C30,4)</f>
        <v>3</v>
      </c>
      <c r="E30" s="10" t="n">
        <f aca="false">IF(D30=0,"",MOD(C30,8))</f>
        <v>3</v>
      </c>
    </row>
    <row r="31" customFormat="false" ht="13.8" hidden="false" customHeight="false" outlineLevel="0" collapsed="false">
      <c r="A31" s="1" t="n">
        <v>48</v>
      </c>
      <c r="B31" s="1" t="s">
        <v>16939</v>
      </c>
      <c r="C31" s="10" t="n">
        <f aca="false">COUNTIF('MEGA SENA'!F:F,A31)</f>
        <v>42</v>
      </c>
      <c r="D31" s="6" t="n">
        <f aca="false">MOD(C31,4)</f>
        <v>2</v>
      </c>
      <c r="E31" s="10" t="n">
        <f aca="false">IF(D31=0,"",MOD(C31,8))</f>
        <v>2</v>
      </c>
    </row>
    <row r="32" customFormat="false" ht="13.8" hidden="false" customHeight="false" outlineLevel="0" collapsed="false">
      <c r="A32" s="1" t="n">
        <v>19</v>
      </c>
      <c r="B32" s="1" t="s">
        <v>16939</v>
      </c>
      <c r="C32" s="10" t="n">
        <f aca="false">COUNTIF('MEGA SENA'!F:F,A32)</f>
        <v>40</v>
      </c>
      <c r="D32" s="6" t="n">
        <f aca="false">MOD(C32,4)</f>
        <v>0</v>
      </c>
      <c r="E32" s="10" t="str">
        <f aca="false">IF(D32=0,"",MOD(C32,8))</f>
        <v/>
      </c>
    </row>
    <row r="33" customFormat="false" ht="13.8" hidden="false" customHeight="false" outlineLevel="0" collapsed="false">
      <c r="A33" s="1" t="n">
        <v>18</v>
      </c>
      <c r="B33" s="1" t="s">
        <v>16939</v>
      </c>
      <c r="C33" s="10" t="n">
        <f aca="false">COUNTIF('MEGA SENA'!F:F,A33)</f>
        <v>38</v>
      </c>
      <c r="D33" s="6" t="n">
        <f aca="false">MOD(C33,4)</f>
        <v>2</v>
      </c>
      <c r="E33" s="10" t="n">
        <f aca="false">IF(D33=0,"",MOD(C33,8))</f>
        <v>6</v>
      </c>
    </row>
    <row r="34" customFormat="false" ht="13.8" hidden="false" customHeight="false" outlineLevel="0" collapsed="false">
      <c r="A34" s="1" t="n">
        <v>52</v>
      </c>
      <c r="B34" s="1" t="s">
        <v>16939</v>
      </c>
      <c r="C34" s="10" t="n">
        <f aca="false">COUNTIF('MEGA SENA'!F:F,A34)</f>
        <v>36</v>
      </c>
      <c r="D34" s="6" t="n">
        <f aca="false">MOD(C34,4)</f>
        <v>0</v>
      </c>
      <c r="E34" s="10" t="str">
        <f aca="false">IF(D34=0,"",MOD(C34,8))</f>
        <v/>
      </c>
    </row>
    <row r="35" customFormat="false" ht="13.8" hidden="false" customHeight="false" outlineLevel="0" collapsed="false">
      <c r="A35" s="1" t="n">
        <v>51</v>
      </c>
      <c r="B35" s="1" t="s">
        <v>16939</v>
      </c>
      <c r="C35" s="10" t="n">
        <f aca="false">COUNTIF('MEGA SENA'!F:F,A35)</f>
        <v>35</v>
      </c>
      <c r="D35" s="6" t="n">
        <f aca="false">MOD(C35,4)</f>
        <v>3</v>
      </c>
      <c r="E35" s="10" t="n">
        <f aca="false">IF(D35=0,"",MOD(C35,8))</f>
        <v>3</v>
      </c>
    </row>
    <row r="36" customFormat="false" ht="13.8" hidden="false" customHeight="false" outlineLevel="0" collapsed="false">
      <c r="A36" s="1" t="n">
        <v>53</v>
      </c>
      <c r="B36" s="1" t="s">
        <v>16939</v>
      </c>
      <c r="C36" s="10" t="n">
        <f aca="false">COUNTIF('MEGA SENA'!F:F,A36)</f>
        <v>30</v>
      </c>
      <c r="D36" s="6" t="n">
        <f aca="false">MOD(C36,4)</f>
        <v>2</v>
      </c>
      <c r="E36" s="10" t="n">
        <f aca="false">IF(D36=0,"",MOD(C36,8))</f>
        <v>6</v>
      </c>
    </row>
    <row r="37" customFormat="false" ht="13.8" hidden="false" customHeight="false" outlineLevel="0" collapsed="false">
      <c r="A37" s="1" t="n">
        <v>54</v>
      </c>
      <c r="B37" s="1" t="s">
        <v>16939</v>
      </c>
      <c r="C37" s="10" t="n">
        <f aca="false">COUNTIF('MEGA SENA'!F:F,A37)</f>
        <v>28</v>
      </c>
      <c r="D37" s="6" t="n">
        <f aca="false">MOD(C37,4)</f>
        <v>0</v>
      </c>
      <c r="E37" s="10" t="str">
        <f aca="false">IF(D37=0,"",MOD(C37,8))</f>
        <v/>
      </c>
    </row>
    <row r="38" customFormat="false" ht="13.8" hidden="false" customHeight="false" outlineLevel="0" collapsed="false">
      <c r="A38" s="1" t="n">
        <v>17</v>
      </c>
      <c r="B38" s="1" t="s">
        <v>16939</v>
      </c>
      <c r="C38" s="10" t="n">
        <f aca="false">COUNTIF('MEGA SENA'!F:F,A38)</f>
        <v>28</v>
      </c>
      <c r="D38" s="6" t="n">
        <f aca="false">MOD(C38,4)</f>
        <v>0</v>
      </c>
      <c r="E38" s="10" t="str">
        <f aca="false">IF(D38=0,"",MOD(C38,8))</f>
        <v/>
      </c>
    </row>
    <row r="39" customFormat="false" ht="13.8" hidden="false" customHeight="false" outlineLevel="0" collapsed="false">
      <c r="A39" s="1" t="n">
        <v>16</v>
      </c>
      <c r="B39" s="1" t="s">
        <v>16939</v>
      </c>
      <c r="C39" s="10" t="n">
        <f aca="false">COUNTIF('MEGA SENA'!F:F,A39)</f>
        <v>23</v>
      </c>
      <c r="D39" s="6" t="n">
        <f aca="false">MOD(C39,4)</f>
        <v>3</v>
      </c>
      <c r="E39" s="10" t="n">
        <f aca="false">IF(D39=0,"",MOD(C39,8))</f>
        <v>7</v>
      </c>
    </row>
    <row r="40" customFormat="false" ht="13.8" hidden="false" customHeight="false" outlineLevel="0" collapsed="false">
      <c r="A40" s="1" t="n">
        <v>15</v>
      </c>
      <c r="B40" s="1" t="s">
        <v>16939</v>
      </c>
      <c r="C40" s="10" t="n">
        <f aca="false">COUNTIF('MEGA SENA'!F:F,A40)</f>
        <v>17</v>
      </c>
      <c r="D40" s="6" t="n">
        <f aca="false">MOD(C40,4)</f>
        <v>1</v>
      </c>
      <c r="E40" s="10" t="n">
        <f aca="false">IF(D40=0,"",MOD(C40,8))</f>
        <v>1</v>
      </c>
    </row>
    <row r="41" customFormat="false" ht="13.8" hidden="false" customHeight="false" outlineLevel="0" collapsed="false">
      <c r="A41" s="1" t="n">
        <v>14</v>
      </c>
      <c r="B41" s="1" t="s">
        <v>16939</v>
      </c>
      <c r="C41" s="10" t="n">
        <f aca="false">COUNTIF('MEGA SENA'!F:F,A41)</f>
        <v>16</v>
      </c>
      <c r="D41" s="6" t="n">
        <f aca="false">MOD(C41,4)</f>
        <v>0</v>
      </c>
      <c r="E41" s="10" t="str">
        <f aca="false">IF(D41=0,"",MOD(C41,8))</f>
        <v/>
      </c>
    </row>
    <row r="42" customFormat="false" ht="13.8" hidden="false" customHeight="false" outlineLevel="0" collapsed="false">
      <c r="A42" s="1" t="n">
        <v>13</v>
      </c>
      <c r="B42" s="1" t="s">
        <v>16939</v>
      </c>
      <c r="C42" s="10" t="n">
        <f aca="false">COUNTIF('MEGA SENA'!F:F,A42)</f>
        <v>14</v>
      </c>
      <c r="D42" s="6" t="n">
        <f aca="false">MOD(C42,4)</f>
        <v>2</v>
      </c>
      <c r="E42" s="10" t="n">
        <f aca="false">IF(D42=0,"",MOD(C42,8))</f>
        <v>6</v>
      </c>
    </row>
    <row r="43" customFormat="false" ht="13.8" hidden="false" customHeight="false" outlineLevel="0" collapsed="false">
      <c r="A43" s="1" t="n">
        <v>55</v>
      </c>
      <c r="B43" s="1" t="s">
        <v>16939</v>
      </c>
      <c r="C43" s="10" t="n">
        <f aca="false">COUNTIF('MEGA SENA'!F:F,A43)</f>
        <v>14</v>
      </c>
      <c r="D43" s="6" t="n">
        <f aca="false">MOD(C43,4)</f>
        <v>2</v>
      </c>
      <c r="E43" s="10" t="n">
        <f aca="false">IF(D43=0,"",MOD(C43,8))</f>
        <v>6</v>
      </c>
    </row>
    <row r="44" customFormat="false" ht="13.8" hidden="false" customHeight="false" outlineLevel="0" collapsed="false">
      <c r="A44" s="1" t="n">
        <v>56</v>
      </c>
      <c r="B44" s="1" t="s">
        <v>16939</v>
      </c>
      <c r="C44" s="10" t="n">
        <f aca="false">COUNTIF('MEGA SENA'!F:F,A44)</f>
        <v>10</v>
      </c>
      <c r="D44" s="6" t="n">
        <f aca="false">MOD(C44,4)</f>
        <v>2</v>
      </c>
      <c r="E44" s="10" t="n">
        <f aca="false">IF(D44=0,"",MOD(C44,8))</f>
        <v>2</v>
      </c>
    </row>
    <row r="45" customFormat="false" ht="13.8" hidden="false" customHeight="false" outlineLevel="0" collapsed="false">
      <c r="A45" s="1" t="n">
        <v>12</v>
      </c>
      <c r="B45" s="1" t="s">
        <v>16939</v>
      </c>
      <c r="C45" s="10" t="n">
        <f aca="false">COUNTIF('MEGA SENA'!F:F,A45)</f>
        <v>9</v>
      </c>
      <c r="D45" s="6" t="n">
        <f aca="false">MOD(C45,4)</f>
        <v>1</v>
      </c>
      <c r="E45" s="10" t="n">
        <f aca="false">IF(D45=0,"",MOD(C45,8))</f>
        <v>1</v>
      </c>
    </row>
    <row r="46" customFormat="false" ht="13.8" hidden="false" customHeight="false" outlineLevel="0" collapsed="false">
      <c r="A46" s="1" t="n">
        <v>10</v>
      </c>
      <c r="B46" s="1" t="s">
        <v>16939</v>
      </c>
      <c r="C46" s="10" t="n">
        <f aca="false">COUNTIF('MEGA SENA'!F:F,A46)</f>
        <v>8</v>
      </c>
      <c r="D46" s="6" t="n">
        <f aca="false">MOD(C46,4)</f>
        <v>0</v>
      </c>
      <c r="E46" s="10" t="str">
        <f aca="false">IF(D46=0,"",MOD(C46,8))</f>
        <v/>
      </c>
    </row>
    <row r="47" customFormat="false" ht="13.8" hidden="false" customHeight="false" outlineLevel="0" collapsed="false">
      <c r="A47" s="1" t="n">
        <v>57</v>
      </c>
      <c r="B47" s="1" t="s">
        <v>16939</v>
      </c>
      <c r="C47" s="10" t="n">
        <f aca="false">COUNTIF('MEGA SENA'!F:F,A47)</f>
        <v>8</v>
      </c>
      <c r="D47" s="6" t="n">
        <f aca="false">MOD(C47,4)</f>
        <v>0</v>
      </c>
      <c r="E47" s="10" t="str">
        <f aca="false">IF(D47=0,"",MOD(C47,8))</f>
        <v/>
      </c>
    </row>
    <row r="48" customFormat="false" ht="13.8" hidden="false" customHeight="false" outlineLevel="0" collapsed="false">
      <c r="A48" s="1" t="n">
        <v>11</v>
      </c>
      <c r="B48" s="1" t="s">
        <v>16939</v>
      </c>
      <c r="C48" s="10" t="n">
        <f aca="false">COUNTIF('MEGA SENA'!F:F,A48)</f>
        <v>7</v>
      </c>
      <c r="D48" s="6" t="n">
        <f aca="false">MOD(C48,4)</f>
        <v>3</v>
      </c>
      <c r="E48" s="10" t="n">
        <f aca="false">IF(D48=0,"",MOD(C48,8))</f>
        <v>7</v>
      </c>
    </row>
    <row r="49" customFormat="false" ht="13.8" hidden="false" customHeight="false" outlineLevel="0" collapsed="false">
      <c r="A49" s="1" t="n">
        <v>9</v>
      </c>
      <c r="B49" s="1" t="s">
        <v>16939</v>
      </c>
      <c r="C49" s="10" t="n">
        <f aca="false">COUNTIF('MEGA SENA'!F:F,A49)</f>
        <v>3</v>
      </c>
      <c r="D49" s="6" t="n">
        <f aca="false">MOD(C49,4)</f>
        <v>3</v>
      </c>
      <c r="E49" s="10" t="n">
        <f aca="false">IF(D49=0,"",MOD(C49,8))</f>
        <v>3</v>
      </c>
    </row>
    <row r="50" customFormat="false" ht="13.8" hidden="false" customHeight="false" outlineLevel="0" collapsed="false">
      <c r="A50" s="1" t="n">
        <v>8</v>
      </c>
      <c r="B50" s="1" t="s">
        <v>16939</v>
      </c>
      <c r="C50" s="10" t="n">
        <f aca="false">COUNTIF('MEGA SENA'!F:F,A50)</f>
        <v>2</v>
      </c>
      <c r="D50" s="6" t="n">
        <f aca="false">MOD(C50,4)</f>
        <v>2</v>
      </c>
      <c r="E50" s="10" t="n">
        <f aca="false">IF(D50=0,"",MOD(C50,8))</f>
        <v>2</v>
      </c>
    </row>
    <row r="51" customFormat="false" ht="13.8" hidden="false" customHeight="false" outlineLevel="0" collapsed="false">
      <c r="A51" s="1" t="n">
        <v>58</v>
      </c>
      <c r="B51" s="1" t="s">
        <v>16939</v>
      </c>
      <c r="C51" s="10" t="n">
        <f aca="false">COUNTIF('MEGA SENA'!F:F,A51)</f>
        <v>2</v>
      </c>
      <c r="D51" s="6" t="n">
        <f aca="false">MOD(C51,4)</f>
        <v>2</v>
      </c>
      <c r="E51" s="10" t="n">
        <f aca="false">IF(D51=0,"",MOD(C51,8))</f>
        <v>2</v>
      </c>
    </row>
    <row r="52" customFormat="false" ht="13.8" hidden="false" customHeight="false" outlineLevel="0" collapsed="false">
      <c r="A52" s="1" t="n">
        <v>7</v>
      </c>
      <c r="B52" s="1" t="s">
        <v>16939</v>
      </c>
      <c r="C52" s="10" t="n">
        <f aca="false">COUNTIF('MEGA SENA'!F:F,A52)</f>
        <v>1</v>
      </c>
      <c r="D52" s="6" t="n">
        <f aca="false">MOD(C52,4)</f>
        <v>1</v>
      </c>
      <c r="E52" s="10" t="n">
        <f aca="false">IF(D52=0,"",MOD(C52,8))</f>
        <v>1</v>
      </c>
    </row>
    <row r="53" customFormat="false" ht="13.8" hidden="false" customHeight="false" outlineLevel="0" collapsed="false">
      <c r="A53" s="1" t="n">
        <v>1</v>
      </c>
      <c r="B53" s="1" t="s">
        <v>16939</v>
      </c>
      <c r="C53" s="10" t="n">
        <f aca="false">COUNTIF('MEGA SENA'!F:F,A53)</f>
        <v>0</v>
      </c>
      <c r="D53" s="6" t="n">
        <f aca="false">MOD(C53,4)</f>
        <v>0</v>
      </c>
      <c r="E53" s="10" t="str">
        <f aca="false">IF(D53=0,"",MOD(C53,8))</f>
        <v/>
      </c>
    </row>
    <row r="54" customFormat="false" ht="13.8" hidden="false" customHeight="false" outlineLevel="0" collapsed="false">
      <c r="A54" s="1" t="n">
        <v>2</v>
      </c>
      <c r="B54" s="1" t="s">
        <v>16939</v>
      </c>
      <c r="C54" s="10" t="n">
        <f aca="false">COUNTIF('MEGA SENA'!F:F,A54)</f>
        <v>0</v>
      </c>
      <c r="D54" s="6" t="n">
        <f aca="false">MOD(C54,4)</f>
        <v>0</v>
      </c>
      <c r="E54" s="10" t="str">
        <f aca="false">IF(D54=0,"",MOD(C54,8))</f>
        <v/>
      </c>
    </row>
    <row r="55" customFormat="false" ht="13.8" hidden="false" customHeight="false" outlineLevel="0" collapsed="false">
      <c r="A55" s="1" t="n">
        <v>3</v>
      </c>
      <c r="B55" s="1" t="s">
        <v>16939</v>
      </c>
      <c r="C55" s="10" t="n">
        <f aca="false">COUNTIF('MEGA SENA'!F:F,A55)</f>
        <v>0</v>
      </c>
      <c r="D55" s="6" t="n">
        <f aca="false">MOD(C55,4)</f>
        <v>0</v>
      </c>
      <c r="E55" s="10" t="str">
        <f aca="false">IF(D55=0,"",MOD(C55,8))</f>
        <v/>
      </c>
    </row>
    <row r="56" customFormat="false" ht="13.8" hidden="false" customHeight="false" outlineLevel="0" collapsed="false">
      <c r="A56" s="1" t="n">
        <v>4</v>
      </c>
      <c r="B56" s="1" t="s">
        <v>16939</v>
      </c>
      <c r="C56" s="10" t="n">
        <f aca="false">COUNTIF('MEGA SENA'!F:F,A56)</f>
        <v>0</v>
      </c>
      <c r="D56" s="6" t="n">
        <f aca="false">MOD(C56,4)</f>
        <v>0</v>
      </c>
      <c r="E56" s="10" t="str">
        <f aca="false">IF(D56=0,"",MOD(C56,8))</f>
        <v/>
      </c>
    </row>
    <row r="57" customFormat="false" ht="13.8" hidden="false" customHeight="false" outlineLevel="0" collapsed="false">
      <c r="A57" s="1" t="n">
        <v>5</v>
      </c>
      <c r="B57" s="1" t="s">
        <v>16939</v>
      </c>
      <c r="C57" s="10" t="n">
        <f aca="false">COUNTIF('MEGA SENA'!F:F,A57)</f>
        <v>0</v>
      </c>
      <c r="D57" s="6" t="n">
        <f aca="false">MOD(C57,4)</f>
        <v>0</v>
      </c>
      <c r="E57" s="10" t="str">
        <f aca="false">IF(D57=0,"",MOD(C57,8))</f>
        <v/>
      </c>
    </row>
    <row r="58" customFormat="false" ht="13.8" hidden="false" customHeight="false" outlineLevel="0" collapsed="false">
      <c r="A58" s="1" t="n">
        <v>6</v>
      </c>
      <c r="B58" s="1" t="s">
        <v>16939</v>
      </c>
      <c r="C58" s="10" t="n">
        <f aca="false">COUNTIF('MEGA SENA'!F:F,A58)</f>
        <v>0</v>
      </c>
      <c r="D58" s="6" t="n">
        <f aca="false">MOD(C58,4)</f>
        <v>0</v>
      </c>
      <c r="E58" s="10" t="str">
        <f aca="false">IF(D58=0,"",MOD(C58,8))</f>
        <v/>
      </c>
    </row>
    <row r="59" customFormat="false" ht="13.8" hidden="false" customHeight="false" outlineLevel="0" collapsed="false">
      <c r="A59" s="1" t="n">
        <v>59</v>
      </c>
      <c r="B59" s="1" t="s">
        <v>16939</v>
      </c>
      <c r="C59" s="10" t="n">
        <f aca="false">COUNTIF('MEGA SENA'!F:F,A59)</f>
        <v>0</v>
      </c>
      <c r="D59" s="6" t="n">
        <f aca="false">MOD(C59,4)</f>
        <v>0</v>
      </c>
      <c r="E59" s="10" t="str">
        <f aca="false">IF(D59=0,"",MOD(C59,8))</f>
        <v/>
      </c>
    </row>
    <row r="60" customFormat="false" ht="13.8" hidden="false" customHeight="false" outlineLevel="0" collapsed="false">
      <c r="A60" s="1" t="n">
        <v>60</v>
      </c>
      <c r="B60" s="1" t="s">
        <v>16939</v>
      </c>
      <c r="C60" s="10" t="n">
        <f aca="false">COUNTIF('MEGA SENA'!F:F,A60)</f>
        <v>0</v>
      </c>
      <c r="D60" s="6" t="n">
        <f aca="false">MOD(C60,4)</f>
        <v>0</v>
      </c>
      <c r="E60" s="10" t="str">
        <f aca="false">IF(D60=0,"",MOD(C60,8))</f>
        <v/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1.53515625" defaultRowHeight="13.8" zeroHeight="false" outlineLevelRow="0" outlineLevelCol="0"/>
  <cols>
    <col collapsed="false" customWidth="false" hidden="false" outlineLevel="0" max="3" min="1" style="1" width="11.53"/>
  </cols>
  <sheetData>
    <row r="1" customFormat="false" ht="13.8" hidden="false" customHeight="false" outlineLevel="0" collapsed="false">
      <c r="A1" s="1" t="n">
        <v>46</v>
      </c>
      <c r="B1" s="1" t="s">
        <v>16939</v>
      </c>
      <c r="C1" s="10" t="n">
        <f aca="false">COUNTIF('MEGA SENA'!G:G,A1)</f>
        <v>135</v>
      </c>
      <c r="D1" s="10" t="n">
        <f aca="false">MOD(C1,4)</f>
        <v>3</v>
      </c>
      <c r="E1" s="10" t="n">
        <f aca="false">IF(D1=0,"",MOD(C1,8))</f>
        <v>7</v>
      </c>
    </row>
    <row r="2" customFormat="false" ht="13.8" hidden="false" customHeight="false" outlineLevel="0" collapsed="false">
      <c r="A2" s="1" t="n">
        <v>42</v>
      </c>
      <c r="B2" s="1" t="s">
        <v>16939</v>
      </c>
      <c r="C2" s="10" t="n">
        <f aca="false">COUNTIF('MEGA SENA'!G:G,A2)</f>
        <v>131</v>
      </c>
      <c r="D2" s="10" t="n">
        <f aca="false">MOD(C2,4)</f>
        <v>3</v>
      </c>
      <c r="E2" s="10" t="n">
        <f aca="false">IF(D2=0,"",MOD(C2,8))</f>
        <v>3</v>
      </c>
    </row>
    <row r="3" customFormat="false" ht="13.8" hidden="false" customHeight="false" outlineLevel="0" collapsed="false">
      <c r="A3" s="1" t="n">
        <v>51</v>
      </c>
      <c r="B3" s="1" t="s">
        <v>16939</v>
      </c>
      <c r="C3" s="10" t="n">
        <f aca="false">COUNTIF('MEGA SENA'!G:G,A3)</f>
        <v>129</v>
      </c>
      <c r="D3" s="10" t="n">
        <f aca="false">MOD(C3,4)</f>
        <v>1</v>
      </c>
      <c r="E3" s="10" t="n">
        <f aca="false">IF(D3=0,"",MOD(C3,8))</f>
        <v>1</v>
      </c>
    </row>
    <row r="4" customFormat="false" ht="13.8" hidden="false" customHeight="false" outlineLevel="0" collapsed="false">
      <c r="A4" s="1" t="n">
        <v>45</v>
      </c>
      <c r="B4" s="1" t="s">
        <v>16939</v>
      </c>
      <c r="C4" s="10" t="n">
        <f aca="false">COUNTIF('MEGA SENA'!G:G,A4)</f>
        <v>127</v>
      </c>
      <c r="D4" s="10" t="n">
        <f aca="false">MOD(C4,4)</f>
        <v>3</v>
      </c>
      <c r="E4" s="10" t="n">
        <f aca="false">IF(D4=0,"",MOD(C4,8))</f>
        <v>7</v>
      </c>
    </row>
    <row r="5" customFormat="false" ht="13.8" hidden="false" customHeight="false" outlineLevel="0" collapsed="false">
      <c r="A5" s="1" t="n">
        <v>43</v>
      </c>
      <c r="B5" s="1" t="s">
        <v>16939</v>
      </c>
      <c r="C5" s="10" t="n">
        <f aca="false">COUNTIF('MEGA SENA'!G:G,A5)</f>
        <v>126</v>
      </c>
      <c r="D5" s="10" t="n">
        <f aca="false">MOD(C5,4)</f>
        <v>2</v>
      </c>
      <c r="E5" s="10" t="n">
        <f aca="false">IF(D5=0,"",MOD(C5,8))</f>
        <v>6</v>
      </c>
    </row>
    <row r="6" customFormat="false" ht="13.8" hidden="false" customHeight="false" outlineLevel="0" collapsed="false">
      <c r="A6" s="1" t="n">
        <v>53</v>
      </c>
      <c r="B6" s="1" t="s">
        <v>16939</v>
      </c>
      <c r="C6" s="10" t="n">
        <f aca="false">COUNTIF('MEGA SENA'!G:G,A6)</f>
        <v>127</v>
      </c>
      <c r="D6" s="10" t="n">
        <f aca="false">MOD(C6,4)</f>
        <v>3</v>
      </c>
      <c r="E6" s="10" t="n">
        <f aca="false">IF(D6=0,"",MOD(C6,8))</f>
        <v>7</v>
      </c>
    </row>
    <row r="7" customFormat="false" ht="13.8" hidden="false" customHeight="false" outlineLevel="0" collapsed="false">
      <c r="A7" s="1" t="n">
        <v>49</v>
      </c>
      <c r="B7" s="1" t="s">
        <v>16939</v>
      </c>
      <c r="C7" s="10" t="n">
        <f aca="false">COUNTIF('MEGA SENA'!G:G,A7)</f>
        <v>124</v>
      </c>
      <c r="D7" s="10" t="n">
        <f aca="false">MOD(C7,4)</f>
        <v>0</v>
      </c>
      <c r="E7" s="10" t="str">
        <f aca="false">IF(D7=0,"",MOD(C7,8))</f>
        <v/>
      </c>
    </row>
    <row r="8" customFormat="false" ht="13.8" hidden="false" customHeight="false" outlineLevel="0" collapsed="false">
      <c r="A8" s="1" t="n">
        <v>52</v>
      </c>
      <c r="B8" s="1" t="s">
        <v>16939</v>
      </c>
      <c r="C8" s="10" t="n">
        <f aca="false">COUNTIF('MEGA SENA'!G:G,A8)</f>
        <v>120</v>
      </c>
      <c r="D8" s="10" t="n">
        <f aca="false">MOD(C8,4)</f>
        <v>0</v>
      </c>
      <c r="E8" s="10" t="str">
        <f aca="false">IF(D8=0,"",MOD(C8,8))</f>
        <v/>
      </c>
    </row>
    <row r="9" customFormat="false" ht="13.8" hidden="false" customHeight="false" outlineLevel="0" collapsed="false">
      <c r="A9" s="1" t="n">
        <v>48</v>
      </c>
      <c r="B9" s="1" t="s">
        <v>16939</v>
      </c>
      <c r="C9" s="10" t="n">
        <f aca="false">COUNTIF('MEGA SENA'!G:G,A9)</f>
        <v>117</v>
      </c>
      <c r="D9" s="10" t="n">
        <f aca="false">MOD(C9,4)</f>
        <v>1</v>
      </c>
      <c r="E9" s="10" t="n">
        <f aca="false">IF(D9=0,"",MOD(C9,8))</f>
        <v>5</v>
      </c>
    </row>
    <row r="10" customFormat="false" ht="13.8" hidden="false" customHeight="false" outlineLevel="0" collapsed="false">
      <c r="A10" s="1" t="n">
        <v>41</v>
      </c>
      <c r="B10" s="1" t="s">
        <v>16939</v>
      </c>
      <c r="C10" s="10" t="n">
        <f aca="false">COUNTIF('MEGA SENA'!G:G,A10)</f>
        <v>112</v>
      </c>
      <c r="D10" s="10" t="n">
        <f aca="false">MOD(C10,4)</f>
        <v>0</v>
      </c>
      <c r="E10" s="10" t="str">
        <f aca="false">IF(D10=0,"",MOD(C10,8))</f>
        <v/>
      </c>
    </row>
    <row r="11" customFormat="false" ht="13.8" hidden="false" customHeight="false" outlineLevel="0" collapsed="false">
      <c r="A11" s="1" t="n">
        <v>44</v>
      </c>
      <c r="B11" s="1" t="s">
        <v>16939</v>
      </c>
      <c r="C11" s="10" t="n">
        <f aca="false">COUNTIF('MEGA SENA'!G:G,A11)</f>
        <v>109</v>
      </c>
      <c r="D11" s="10" t="n">
        <f aca="false">MOD(C11,4)</f>
        <v>1</v>
      </c>
      <c r="E11" s="10" t="n">
        <f aca="false">IF(D11=0,"",MOD(C11,8))</f>
        <v>5</v>
      </c>
    </row>
    <row r="12" customFormat="false" ht="13.8" hidden="false" customHeight="false" outlineLevel="0" collapsed="false">
      <c r="A12" s="1" t="n">
        <v>47</v>
      </c>
      <c r="B12" s="1" t="s">
        <v>16939</v>
      </c>
      <c r="C12" s="10" t="n">
        <f aca="false">COUNTIF('MEGA SENA'!G:G,A12)</f>
        <v>109</v>
      </c>
      <c r="D12" s="10" t="n">
        <f aca="false">MOD(C12,4)</f>
        <v>1</v>
      </c>
      <c r="E12" s="10" t="n">
        <f aca="false">IF(D12=0,"",MOD(C12,8))</f>
        <v>5</v>
      </c>
    </row>
    <row r="13" customFormat="false" ht="13.8" hidden="false" customHeight="false" outlineLevel="0" collapsed="false">
      <c r="A13" s="1" t="n">
        <v>50</v>
      </c>
      <c r="B13" s="1" t="s">
        <v>16939</v>
      </c>
      <c r="C13" s="10" t="n">
        <f aca="false">COUNTIF('MEGA SENA'!G:G,A13)</f>
        <v>109</v>
      </c>
      <c r="D13" s="10" t="n">
        <f aca="false">MOD(C13,4)</f>
        <v>1</v>
      </c>
      <c r="E13" s="10" t="n">
        <f aca="false">IF(D13=0,"",MOD(C13,8))</f>
        <v>5</v>
      </c>
    </row>
    <row r="14" customFormat="false" ht="13.8" hidden="false" customHeight="false" outlineLevel="0" collapsed="false">
      <c r="A14" s="1" t="n">
        <v>38</v>
      </c>
      <c r="B14" s="1" t="s">
        <v>16939</v>
      </c>
      <c r="C14" s="10" t="n">
        <f aca="false">COUNTIF('MEGA SENA'!G:G,A14)</f>
        <v>98</v>
      </c>
      <c r="D14" s="10" t="n">
        <f aca="false">MOD(C14,4)</f>
        <v>2</v>
      </c>
      <c r="E14" s="10" t="n">
        <f aca="false">IF(D14=0,"",MOD(C14,8))</f>
        <v>2</v>
      </c>
    </row>
    <row r="15" customFormat="false" ht="13.8" hidden="false" customHeight="false" outlineLevel="0" collapsed="false">
      <c r="A15" s="1" t="n">
        <v>54</v>
      </c>
      <c r="B15" s="1" t="s">
        <v>16939</v>
      </c>
      <c r="C15" s="10" t="n">
        <f aca="false">COUNTIF('MEGA SENA'!G:G,A15)</f>
        <v>93</v>
      </c>
      <c r="D15" s="10" t="n">
        <f aca="false">MOD(C15,4)</f>
        <v>1</v>
      </c>
      <c r="E15" s="10" t="n">
        <f aca="false">IF(D15=0,"",MOD(C15,8))</f>
        <v>5</v>
      </c>
    </row>
    <row r="16" customFormat="false" ht="13.8" hidden="false" customHeight="false" outlineLevel="0" collapsed="false">
      <c r="A16" s="1" t="n">
        <v>40</v>
      </c>
      <c r="B16" s="1" t="s">
        <v>16939</v>
      </c>
      <c r="C16" s="10" t="n">
        <f aca="false">COUNTIF('MEGA SENA'!G:G,A16)</f>
        <v>91</v>
      </c>
      <c r="D16" s="10" t="n">
        <f aca="false">MOD(C16,4)</f>
        <v>3</v>
      </c>
      <c r="E16" s="10" t="n">
        <f aca="false">IF(D16=0,"",MOD(C16,8))</f>
        <v>3</v>
      </c>
    </row>
    <row r="17" customFormat="false" ht="13.8" hidden="false" customHeight="false" outlineLevel="0" collapsed="false">
      <c r="A17" s="1" t="n">
        <v>39</v>
      </c>
      <c r="B17" s="1" t="s">
        <v>16939</v>
      </c>
      <c r="C17" s="10" t="n">
        <f aca="false">COUNTIF('MEGA SENA'!G:G,A17)</f>
        <v>84</v>
      </c>
      <c r="D17" s="10" t="n">
        <f aca="false">MOD(C17,4)</f>
        <v>0</v>
      </c>
      <c r="E17" s="10" t="str">
        <f aca="false">IF(D17=0,"",MOD(C17,8))</f>
        <v/>
      </c>
    </row>
    <row r="18" customFormat="false" ht="13.8" hidden="false" customHeight="false" outlineLevel="0" collapsed="false">
      <c r="A18" s="1" t="n">
        <v>36</v>
      </c>
      <c r="B18" s="1" t="s">
        <v>16939</v>
      </c>
      <c r="C18" s="10" t="n">
        <f aca="false">COUNTIF('MEGA SENA'!G:G,A18)</f>
        <v>83</v>
      </c>
      <c r="D18" s="10" t="n">
        <f aca="false">MOD(C18,4)</f>
        <v>3</v>
      </c>
      <c r="E18" s="10" t="n">
        <f aca="false">IF(D18=0,"",MOD(C18,8))</f>
        <v>3</v>
      </c>
    </row>
    <row r="19" customFormat="false" ht="13.8" hidden="false" customHeight="false" outlineLevel="0" collapsed="false">
      <c r="A19" s="1" t="n">
        <v>55</v>
      </c>
      <c r="B19" s="1" t="s">
        <v>16939</v>
      </c>
      <c r="C19" s="10" t="n">
        <f aca="false">COUNTIF('MEGA SENA'!G:G,A19)</f>
        <v>83</v>
      </c>
      <c r="D19" s="10" t="n">
        <f aca="false">MOD(C19,4)</f>
        <v>3</v>
      </c>
      <c r="E19" s="10" t="n">
        <f aca="false">IF(D19=0,"",MOD(C19,8))</f>
        <v>3</v>
      </c>
    </row>
    <row r="20" customFormat="false" ht="13.8" hidden="false" customHeight="false" outlineLevel="0" collapsed="false">
      <c r="A20" s="1" t="n">
        <v>56</v>
      </c>
      <c r="B20" s="1" t="s">
        <v>16939</v>
      </c>
      <c r="C20" s="10" t="n">
        <f aca="false">COUNTIF('MEGA SENA'!G:G,A20)</f>
        <v>77</v>
      </c>
      <c r="D20" s="10" t="n">
        <f aca="false">MOD(C20,4)</f>
        <v>1</v>
      </c>
      <c r="E20" s="10" t="n">
        <f aca="false">IF(D20=0,"",MOD(C20,8))</f>
        <v>5</v>
      </c>
    </row>
    <row r="21" customFormat="false" ht="13.8" hidden="false" customHeight="false" outlineLevel="0" collapsed="false">
      <c r="A21" s="1" t="n">
        <v>37</v>
      </c>
      <c r="B21" s="1" t="s">
        <v>16939</v>
      </c>
      <c r="C21" s="10" t="n">
        <f aca="false">COUNTIF('MEGA SENA'!G:G,A21)</f>
        <v>72</v>
      </c>
      <c r="D21" s="10" t="n">
        <f aca="false">MOD(C21,4)</f>
        <v>0</v>
      </c>
      <c r="E21" s="10" t="str">
        <f aca="false">IF(D21=0,"",MOD(C21,8))</f>
        <v/>
      </c>
    </row>
    <row r="22" customFormat="false" ht="13.8" hidden="false" customHeight="false" outlineLevel="0" collapsed="false">
      <c r="A22" s="1" t="n">
        <v>57</v>
      </c>
      <c r="B22" s="1" t="s">
        <v>16939</v>
      </c>
      <c r="C22" s="10" t="n">
        <f aca="false">COUNTIF('MEGA SENA'!G:G,A22)</f>
        <v>72</v>
      </c>
      <c r="D22" s="10" t="n">
        <f aca="false">MOD(C22,4)</f>
        <v>0</v>
      </c>
      <c r="E22" s="10" t="str">
        <f aca="false">IF(D22=0,"",MOD(C22,8))</f>
        <v/>
      </c>
    </row>
    <row r="23" customFormat="false" ht="13.8" hidden="false" customHeight="false" outlineLevel="0" collapsed="false">
      <c r="A23" s="1" t="n">
        <v>35</v>
      </c>
      <c r="B23" s="1" t="s">
        <v>16939</v>
      </c>
      <c r="C23" s="10" t="n">
        <f aca="false">COUNTIF('MEGA SENA'!G:G,A23)</f>
        <v>70</v>
      </c>
      <c r="D23" s="10" t="n">
        <f aca="false">MOD(C23,4)</f>
        <v>2</v>
      </c>
      <c r="E23" s="10" t="n">
        <f aca="false">IF(D23=0,"",MOD(C23,8))</f>
        <v>6</v>
      </c>
    </row>
    <row r="24" customFormat="false" ht="13.8" hidden="false" customHeight="false" outlineLevel="0" collapsed="false">
      <c r="A24" s="1" t="n">
        <v>33</v>
      </c>
      <c r="B24" s="1" t="s">
        <v>16939</v>
      </c>
      <c r="C24" s="10" t="n">
        <f aca="false">COUNTIF('MEGA SENA'!G:G,A24)</f>
        <v>68</v>
      </c>
      <c r="D24" s="10" t="n">
        <f aca="false">MOD(C24,4)</f>
        <v>0</v>
      </c>
      <c r="E24" s="10" t="str">
        <f aca="false">IF(D24=0,"",MOD(C24,8))</f>
        <v/>
      </c>
    </row>
    <row r="25" customFormat="false" ht="13.8" hidden="false" customHeight="false" outlineLevel="0" collapsed="false">
      <c r="A25" s="1" t="n">
        <v>34</v>
      </c>
      <c r="B25" s="1" t="s">
        <v>16939</v>
      </c>
      <c r="C25" s="10" t="n">
        <f aca="false">COUNTIF('MEGA SENA'!G:G,A25)</f>
        <v>60</v>
      </c>
      <c r="D25" s="10" t="n">
        <f aca="false">MOD(C25,4)</f>
        <v>0</v>
      </c>
      <c r="E25" s="10" t="str">
        <f aca="false">IF(D25=0,"",MOD(C25,8))</f>
        <v/>
      </c>
    </row>
    <row r="26" customFormat="false" ht="13.8" hidden="false" customHeight="false" outlineLevel="0" collapsed="false">
      <c r="A26" s="1" t="n">
        <v>32</v>
      </c>
      <c r="B26" s="1" t="s">
        <v>16939</v>
      </c>
      <c r="C26" s="10" t="n">
        <f aca="false">COUNTIF('MEGA SENA'!G:G,A26)</f>
        <v>54</v>
      </c>
      <c r="D26" s="10" t="n">
        <f aca="false">MOD(C26,4)</f>
        <v>2</v>
      </c>
      <c r="E26" s="10" t="n">
        <f aca="false">IF(D26=0,"",MOD(C26,8))</f>
        <v>6</v>
      </c>
    </row>
    <row r="27" customFormat="false" ht="13.8" hidden="false" customHeight="false" outlineLevel="0" collapsed="false">
      <c r="A27" s="1" t="n">
        <v>58</v>
      </c>
      <c r="B27" s="1" t="s">
        <v>16939</v>
      </c>
      <c r="C27" s="10" t="n">
        <f aca="false">COUNTIF('MEGA SENA'!G:G,A27)</f>
        <v>46</v>
      </c>
      <c r="D27" s="10" t="n">
        <f aca="false">MOD(C27,4)</f>
        <v>2</v>
      </c>
      <c r="E27" s="10" t="n">
        <f aca="false">IF(D27=0,"",MOD(C27,8))</f>
        <v>6</v>
      </c>
    </row>
    <row r="28" customFormat="false" ht="13.8" hidden="false" customHeight="false" outlineLevel="0" collapsed="false">
      <c r="A28" s="1" t="n">
        <v>30</v>
      </c>
      <c r="B28" s="1" t="s">
        <v>16939</v>
      </c>
      <c r="C28" s="10" t="n">
        <f aca="false">COUNTIF('MEGA SENA'!G:G,A28)</f>
        <v>46</v>
      </c>
      <c r="D28" s="10" t="n">
        <f aca="false">MOD(C28,4)</f>
        <v>2</v>
      </c>
      <c r="E28" s="10" t="n">
        <f aca="false">IF(D28=0,"",MOD(C28,8))</f>
        <v>6</v>
      </c>
    </row>
    <row r="29" customFormat="false" ht="13.8" hidden="false" customHeight="false" outlineLevel="0" collapsed="false">
      <c r="A29" s="1" t="n">
        <v>31</v>
      </c>
      <c r="B29" s="1" t="s">
        <v>16939</v>
      </c>
      <c r="C29" s="10" t="n">
        <f aca="false">COUNTIF('MEGA SENA'!G:G,A29)</f>
        <v>41</v>
      </c>
      <c r="D29" s="10" t="n">
        <f aca="false">MOD(C29,4)</f>
        <v>1</v>
      </c>
      <c r="E29" s="10" t="n">
        <f aca="false">IF(D29=0,"",MOD(C29,8))</f>
        <v>1</v>
      </c>
    </row>
    <row r="30" customFormat="false" ht="13.8" hidden="false" customHeight="false" outlineLevel="0" collapsed="false">
      <c r="A30" s="1" t="n">
        <v>28</v>
      </c>
      <c r="B30" s="1" t="s">
        <v>16939</v>
      </c>
      <c r="C30" s="10" t="n">
        <f aca="false">COUNTIF('MEGA SENA'!G:G,A30)</f>
        <v>34</v>
      </c>
      <c r="D30" s="10" t="n">
        <f aca="false">MOD(C30,4)</f>
        <v>2</v>
      </c>
      <c r="E30" s="10" t="n">
        <f aca="false">IF(D30=0,"",MOD(C30,8))</f>
        <v>2</v>
      </c>
    </row>
    <row r="31" customFormat="false" ht="13.8" hidden="false" customHeight="false" outlineLevel="0" collapsed="false">
      <c r="A31" s="1" t="n">
        <v>29</v>
      </c>
      <c r="B31" s="1" t="s">
        <v>16939</v>
      </c>
      <c r="C31" s="10" t="n">
        <f aca="false">COUNTIF('MEGA SENA'!G:G,A31)</f>
        <v>33</v>
      </c>
      <c r="D31" s="10" t="n">
        <f aca="false">MOD(C31,4)</f>
        <v>1</v>
      </c>
      <c r="E31" s="10" t="n">
        <f aca="false">IF(D31=0,"",MOD(C31,8))</f>
        <v>1</v>
      </c>
    </row>
    <row r="32" customFormat="false" ht="13.8" hidden="false" customHeight="false" outlineLevel="0" collapsed="false">
      <c r="A32" s="1" t="n">
        <v>27</v>
      </c>
      <c r="B32" s="1" t="s">
        <v>16939</v>
      </c>
      <c r="C32" s="10" t="n">
        <f aca="false">COUNTIF('MEGA SENA'!G:G,A32)</f>
        <v>28</v>
      </c>
      <c r="D32" s="10" t="n">
        <f aca="false">MOD(C32,4)</f>
        <v>0</v>
      </c>
      <c r="E32" s="10" t="str">
        <f aca="false">IF(D32=0,"",MOD(C32,8))</f>
        <v/>
      </c>
    </row>
    <row r="33" customFormat="false" ht="13.8" hidden="false" customHeight="false" outlineLevel="0" collapsed="false">
      <c r="A33" s="1" t="n">
        <v>59</v>
      </c>
      <c r="B33" s="1" t="s">
        <v>16939</v>
      </c>
      <c r="C33" s="10" t="n">
        <f aca="false">COUNTIF('MEGA SENA'!G:G,A33)</f>
        <v>26</v>
      </c>
      <c r="D33" s="10" t="n">
        <f aca="false">MOD(C33,4)</f>
        <v>2</v>
      </c>
      <c r="E33" s="10" t="n">
        <f aca="false">IF(D33=0,"",MOD(C33,8))</f>
        <v>2</v>
      </c>
    </row>
    <row r="34" customFormat="false" ht="13.8" hidden="false" customHeight="false" outlineLevel="0" collapsed="false">
      <c r="A34" s="1" t="n">
        <v>25</v>
      </c>
      <c r="B34" s="1" t="s">
        <v>16939</v>
      </c>
      <c r="C34" s="10" t="n">
        <f aca="false">COUNTIF('MEGA SENA'!G:G,A34)</f>
        <v>24</v>
      </c>
      <c r="D34" s="10" t="n">
        <f aca="false">MOD(C34,4)</f>
        <v>0</v>
      </c>
      <c r="E34" s="10" t="str">
        <f aca="false">IF(D34=0,"",MOD(C34,8))</f>
        <v/>
      </c>
    </row>
    <row r="35" customFormat="false" ht="13.8" hidden="false" customHeight="false" outlineLevel="0" collapsed="false">
      <c r="A35" s="1" t="n">
        <v>23</v>
      </c>
      <c r="B35" s="1" t="s">
        <v>16939</v>
      </c>
      <c r="C35" s="10" t="n">
        <f aca="false">COUNTIF('MEGA SENA'!G:G,A35)</f>
        <v>18</v>
      </c>
      <c r="D35" s="10" t="n">
        <f aca="false">MOD(C35,4)</f>
        <v>2</v>
      </c>
      <c r="E35" s="10" t="n">
        <f aca="false">IF(D35=0,"",MOD(C35,8))</f>
        <v>2</v>
      </c>
    </row>
    <row r="36" customFormat="false" ht="13.8" hidden="false" customHeight="false" outlineLevel="0" collapsed="false">
      <c r="A36" s="1" t="n">
        <v>22</v>
      </c>
      <c r="B36" s="1" t="s">
        <v>16939</v>
      </c>
      <c r="C36" s="10" t="n">
        <f aca="false">COUNTIF('MEGA SENA'!G:G,A36)</f>
        <v>17</v>
      </c>
      <c r="D36" s="10" t="n">
        <f aca="false">MOD(C36,4)</f>
        <v>1</v>
      </c>
      <c r="E36" s="10" t="n">
        <f aca="false">IF(D36=0,"",MOD(C36,8))</f>
        <v>1</v>
      </c>
    </row>
    <row r="37" customFormat="false" ht="13.8" hidden="false" customHeight="false" outlineLevel="0" collapsed="false">
      <c r="A37" s="1" t="n">
        <v>26</v>
      </c>
      <c r="B37" s="1" t="s">
        <v>16939</v>
      </c>
      <c r="C37" s="10" t="n">
        <f aca="false">COUNTIF('MEGA SENA'!G:G,A37)</f>
        <v>16</v>
      </c>
      <c r="D37" s="10" t="n">
        <f aca="false">MOD(C37,4)</f>
        <v>0</v>
      </c>
      <c r="E37" s="10" t="str">
        <f aca="false">IF(D37=0,"",MOD(C37,8))</f>
        <v/>
      </c>
    </row>
    <row r="38" customFormat="false" ht="13.8" hidden="false" customHeight="false" outlineLevel="0" collapsed="false">
      <c r="A38" s="1" t="n">
        <v>21</v>
      </c>
      <c r="B38" s="1" t="s">
        <v>16939</v>
      </c>
      <c r="C38" s="10" t="n">
        <f aca="false">COUNTIF('MEGA SENA'!G:G,A38)</f>
        <v>12</v>
      </c>
      <c r="D38" s="10" t="n">
        <f aca="false">MOD(C38,4)</f>
        <v>0</v>
      </c>
      <c r="E38" s="10" t="str">
        <f aca="false">IF(D38=0,"",MOD(C38,8))</f>
        <v/>
      </c>
    </row>
    <row r="39" customFormat="false" ht="13.8" hidden="false" customHeight="false" outlineLevel="0" collapsed="false">
      <c r="A39" s="1" t="n">
        <v>20</v>
      </c>
      <c r="B39" s="1" t="s">
        <v>16939</v>
      </c>
      <c r="C39" s="10" t="n">
        <f aca="false">COUNTIF('MEGA SENA'!G:G,A39)</f>
        <v>11</v>
      </c>
      <c r="D39" s="10" t="n">
        <f aca="false">MOD(C39,4)</f>
        <v>3</v>
      </c>
      <c r="E39" s="10" t="n">
        <f aca="false">IF(D39=0,"",MOD(C39,8))</f>
        <v>3</v>
      </c>
    </row>
    <row r="40" customFormat="false" ht="13.8" hidden="false" customHeight="false" outlineLevel="0" collapsed="false">
      <c r="A40" s="1" t="n">
        <v>24</v>
      </c>
      <c r="B40" s="1" t="s">
        <v>16939</v>
      </c>
      <c r="C40" s="10" t="n">
        <f aca="false">COUNTIF('MEGA SENA'!G:G,A40)</f>
        <v>11</v>
      </c>
      <c r="D40" s="10" t="n">
        <f aca="false">MOD(C40,4)</f>
        <v>3</v>
      </c>
      <c r="E40" s="10" t="n">
        <f aca="false">IF(D40=0,"",MOD(C40,8))</f>
        <v>3</v>
      </c>
    </row>
    <row r="41" customFormat="false" ht="13.8" hidden="false" customHeight="false" outlineLevel="0" collapsed="false">
      <c r="A41" s="1" t="n">
        <v>19</v>
      </c>
      <c r="B41" s="1" t="s">
        <v>16939</v>
      </c>
      <c r="C41" s="10" t="n">
        <f aca="false">COUNTIF('MEGA SENA'!G:G,A41)</f>
        <v>6</v>
      </c>
      <c r="D41" s="10" t="n">
        <f aca="false">MOD(C41,4)</f>
        <v>2</v>
      </c>
      <c r="E41" s="10" t="n">
        <f aca="false">IF(D41=0,"",MOD(C41,8))</f>
        <v>6</v>
      </c>
    </row>
    <row r="42" customFormat="false" ht="13.8" hidden="false" customHeight="false" outlineLevel="0" collapsed="false">
      <c r="A42" s="1" t="n">
        <v>17</v>
      </c>
      <c r="B42" s="1" t="s">
        <v>16939</v>
      </c>
      <c r="C42" s="10" t="n">
        <f aca="false">COUNTIF('MEGA SENA'!G:G,A42)</f>
        <v>4</v>
      </c>
      <c r="D42" s="10" t="n">
        <f aca="false">MOD(C42,4)</f>
        <v>0</v>
      </c>
      <c r="E42" s="10" t="str">
        <f aca="false">IF(D42=0,"",MOD(C42,8))</f>
        <v/>
      </c>
    </row>
    <row r="43" customFormat="false" ht="13.8" hidden="false" customHeight="false" outlineLevel="0" collapsed="false">
      <c r="A43" s="1" t="n">
        <v>18</v>
      </c>
      <c r="B43" s="1" t="s">
        <v>16939</v>
      </c>
      <c r="C43" s="10" t="n">
        <f aca="false">COUNTIF('MEGA SENA'!G:G,A43)</f>
        <v>4</v>
      </c>
      <c r="D43" s="10" t="n">
        <f aca="false">MOD(C43,4)</f>
        <v>0</v>
      </c>
      <c r="E43" s="10" t="str">
        <f aca="false">IF(D43=0,"",MOD(C43,8))</f>
        <v/>
      </c>
    </row>
    <row r="44" customFormat="false" ht="13.8" hidden="false" customHeight="false" outlineLevel="0" collapsed="false">
      <c r="A44" s="1" t="n">
        <v>11</v>
      </c>
      <c r="B44" s="1" t="s">
        <v>16939</v>
      </c>
      <c r="C44" s="10" t="n">
        <f aca="false">COUNTIF('MEGA SENA'!G:G,A44)</f>
        <v>2</v>
      </c>
      <c r="D44" s="10" t="n">
        <f aca="false">MOD(C44,4)</f>
        <v>2</v>
      </c>
      <c r="E44" s="10" t="n">
        <f aca="false">IF(D44=0,"",MOD(C44,8))</f>
        <v>2</v>
      </c>
    </row>
    <row r="45" customFormat="false" ht="13.8" hidden="false" customHeight="false" outlineLevel="0" collapsed="false">
      <c r="A45" s="1" t="n">
        <v>15</v>
      </c>
      <c r="B45" s="1" t="s">
        <v>16939</v>
      </c>
      <c r="C45" s="10" t="n">
        <f aca="false">COUNTIF('MEGA SENA'!G:G,A45)</f>
        <v>2</v>
      </c>
      <c r="D45" s="10" t="n">
        <f aca="false">MOD(C45,4)</f>
        <v>2</v>
      </c>
      <c r="E45" s="10" t="n">
        <f aca="false">IF(D45=0,"",MOD(C45,8))</f>
        <v>2</v>
      </c>
    </row>
    <row r="46" customFormat="false" ht="13.8" hidden="false" customHeight="false" outlineLevel="0" collapsed="false">
      <c r="A46" s="1" t="n">
        <v>12</v>
      </c>
      <c r="B46" s="1" t="s">
        <v>16939</v>
      </c>
      <c r="C46" s="10" t="n">
        <f aca="false">COUNTIF('MEGA SENA'!G:G,A46)</f>
        <v>1</v>
      </c>
      <c r="D46" s="10" t="n">
        <f aca="false">MOD(C46,4)</f>
        <v>1</v>
      </c>
      <c r="E46" s="10" t="n">
        <f aca="false">IF(D46=0,"",MOD(C46,8))</f>
        <v>1</v>
      </c>
    </row>
    <row r="47" customFormat="false" ht="13.8" hidden="false" customHeight="false" outlineLevel="0" collapsed="false">
      <c r="A47" s="1" t="n">
        <v>14</v>
      </c>
      <c r="B47" s="1" t="s">
        <v>16939</v>
      </c>
      <c r="C47" s="10" t="n">
        <f aca="false">COUNTIF('MEGA SENA'!G:G,A47)</f>
        <v>1</v>
      </c>
      <c r="D47" s="10" t="n">
        <f aca="false">MOD(C47,4)</f>
        <v>1</v>
      </c>
      <c r="E47" s="10" t="n">
        <f aca="false">IF(D47=0,"",MOD(C47,8))</f>
        <v>1</v>
      </c>
    </row>
    <row r="48" customFormat="false" ht="13.8" hidden="false" customHeight="false" outlineLevel="0" collapsed="false">
      <c r="A48" s="1" t="n">
        <v>16</v>
      </c>
      <c r="B48" s="1" t="s">
        <v>16939</v>
      </c>
      <c r="C48" s="10" t="n">
        <f aca="false">COUNTIF('MEGA SENA'!G:G,A48)</f>
        <v>1</v>
      </c>
      <c r="D48" s="10" t="n">
        <f aca="false">MOD(C48,4)</f>
        <v>1</v>
      </c>
      <c r="E48" s="10" t="n">
        <f aca="false">IF(D48=0,"",MOD(C48,8))</f>
        <v>1</v>
      </c>
    </row>
    <row r="49" customFormat="false" ht="13.8" hidden="false" customHeight="false" outlineLevel="0" collapsed="false">
      <c r="A49" s="1" t="n">
        <v>1</v>
      </c>
      <c r="B49" s="1" t="s">
        <v>16939</v>
      </c>
      <c r="C49" s="10" t="n">
        <f aca="false">COUNTIF('MEGA SENA'!G:G,A49)</f>
        <v>0</v>
      </c>
      <c r="D49" s="10" t="n">
        <f aca="false">MOD(C49,4)</f>
        <v>0</v>
      </c>
      <c r="E49" s="10" t="str">
        <f aca="false">IF(D49=0,"",MOD(C49,8))</f>
        <v/>
      </c>
    </row>
    <row r="50" customFormat="false" ht="13.8" hidden="false" customHeight="false" outlineLevel="0" collapsed="false">
      <c r="A50" s="1" t="n">
        <v>2</v>
      </c>
      <c r="B50" s="1" t="s">
        <v>16939</v>
      </c>
      <c r="C50" s="10" t="n">
        <f aca="false">COUNTIF('MEGA SENA'!G:G,A50)</f>
        <v>0</v>
      </c>
      <c r="D50" s="10" t="n">
        <f aca="false">MOD(C50,4)</f>
        <v>0</v>
      </c>
      <c r="E50" s="10" t="str">
        <f aca="false">IF(D50=0,"",MOD(C50,8))</f>
        <v/>
      </c>
    </row>
    <row r="51" customFormat="false" ht="13.8" hidden="false" customHeight="false" outlineLevel="0" collapsed="false">
      <c r="A51" s="1" t="n">
        <v>3</v>
      </c>
      <c r="B51" s="1" t="s">
        <v>16939</v>
      </c>
      <c r="C51" s="10" t="n">
        <f aca="false">COUNTIF('MEGA SENA'!G:G,A51)</f>
        <v>0</v>
      </c>
      <c r="D51" s="10" t="n">
        <f aca="false">MOD(C51,4)</f>
        <v>0</v>
      </c>
      <c r="E51" s="10" t="str">
        <f aca="false">IF(D51=0,"",MOD(C51,8))</f>
        <v/>
      </c>
    </row>
    <row r="52" customFormat="false" ht="13.8" hidden="false" customHeight="false" outlineLevel="0" collapsed="false">
      <c r="A52" s="1" t="n">
        <v>4</v>
      </c>
      <c r="B52" s="1" t="s">
        <v>16939</v>
      </c>
      <c r="C52" s="10" t="n">
        <f aca="false">COUNTIF('MEGA SENA'!G:G,A52)</f>
        <v>0</v>
      </c>
      <c r="D52" s="10" t="n">
        <f aca="false">MOD(C52,4)</f>
        <v>0</v>
      </c>
      <c r="E52" s="10" t="str">
        <f aca="false">IF(D52=0,"",MOD(C52,8))</f>
        <v/>
      </c>
    </row>
    <row r="53" customFormat="false" ht="13.8" hidden="false" customHeight="false" outlineLevel="0" collapsed="false">
      <c r="A53" s="1" t="n">
        <v>5</v>
      </c>
      <c r="B53" s="1" t="s">
        <v>16939</v>
      </c>
      <c r="C53" s="10" t="n">
        <f aca="false">COUNTIF('MEGA SENA'!G:G,A53)</f>
        <v>0</v>
      </c>
      <c r="D53" s="10" t="n">
        <f aca="false">MOD(C53,4)</f>
        <v>0</v>
      </c>
      <c r="E53" s="10" t="str">
        <f aca="false">IF(D53=0,"",MOD(C53,8))</f>
        <v/>
      </c>
    </row>
    <row r="54" customFormat="false" ht="13.8" hidden="false" customHeight="false" outlineLevel="0" collapsed="false">
      <c r="A54" s="1" t="n">
        <v>6</v>
      </c>
      <c r="B54" s="1" t="s">
        <v>16939</v>
      </c>
      <c r="C54" s="10" t="n">
        <f aca="false">COUNTIF('MEGA SENA'!G:G,A54)</f>
        <v>0</v>
      </c>
      <c r="D54" s="10" t="n">
        <f aca="false">MOD(C54,4)</f>
        <v>0</v>
      </c>
      <c r="E54" s="10" t="str">
        <f aca="false">IF(D54=0,"",MOD(C54,8))</f>
        <v/>
      </c>
    </row>
    <row r="55" customFormat="false" ht="13.8" hidden="false" customHeight="false" outlineLevel="0" collapsed="false">
      <c r="A55" s="1" t="n">
        <v>7</v>
      </c>
      <c r="B55" s="1" t="s">
        <v>16939</v>
      </c>
      <c r="C55" s="10" t="n">
        <f aca="false">COUNTIF('MEGA SENA'!G:G,A55)</f>
        <v>0</v>
      </c>
      <c r="D55" s="10" t="n">
        <f aca="false">MOD(C55,4)</f>
        <v>0</v>
      </c>
      <c r="E55" s="10" t="str">
        <f aca="false">IF(D55=0,"",MOD(C55,8))</f>
        <v/>
      </c>
    </row>
    <row r="56" customFormat="false" ht="13.8" hidden="false" customHeight="false" outlineLevel="0" collapsed="false">
      <c r="A56" s="1" t="n">
        <v>8</v>
      </c>
      <c r="B56" s="1" t="s">
        <v>16939</v>
      </c>
      <c r="C56" s="10" t="n">
        <f aca="false">COUNTIF('MEGA SENA'!G:G,A56)</f>
        <v>0</v>
      </c>
      <c r="D56" s="10" t="n">
        <f aca="false">MOD(C56,4)</f>
        <v>0</v>
      </c>
      <c r="E56" s="10" t="str">
        <f aca="false">IF(D56=0,"",MOD(C56,8))</f>
        <v/>
      </c>
    </row>
    <row r="57" customFormat="false" ht="13.8" hidden="false" customHeight="false" outlineLevel="0" collapsed="false">
      <c r="A57" s="1" t="n">
        <v>9</v>
      </c>
      <c r="B57" s="1" t="s">
        <v>16939</v>
      </c>
      <c r="C57" s="10" t="n">
        <f aca="false">COUNTIF('MEGA SENA'!G:G,A57)</f>
        <v>0</v>
      </c>
      <c r="D57" s="10" t="n">
        <f aca="false">MOD(C57,4)</f>
        <v>0</v>
      </c>
      <c r="E57" s="10" t="str">
        <f aca="false">IF(D57=0,"",MOD(C57,8))</f>
        <v/>
      </c>
    </row>
    <row r="58" customFormat="false" ht="13.8" hidden="false" customHeight="false" outlineLevel="0" collapsed="false">
      <c r="A58" s="1" t="n">
        <v>10</v>
      </c>
      <c r="B58" s="1" t="s">
        <v>16939</v>
      </c>
      <c r="C58" s="10" t="n">
        <f aca="false">COUNTIF('MEGA SENA'!G:G,A58)</f>
        <v>0</v>
      </c>
      <c r="D58" s="10" t="n">
        <f aca="false">MOD(C58,4)</f>
        <v>0</v>
      </c>
      <c r="E58" s="10" t="str">
        <f aca="false">IF(D58=0,"",MOD(C58,8))</f>
        <v/>
      </c>
    </row>
    <row r="59" customFormat="false" ht="13.8" hidden="false" customHeight="false" outlineLevel="0" collapsed="false">
      <c r="A59" s="1" t="n">
        <v>13</v>
      </c>
      <c r="B59" s="1" t="s">
        <v>16939</v>
      </c>
      <c r="C59" s="10" t="n">
        <f aca="false">COUNTIF('MEGA SENA'!G:G,A59)</f>
        <v>0</v>
      </c>
      <c r="D59" s="10" t="n">
        <f aca="false">MOD(C59,4)</f>
        <v>0</v>
      </c>
      <c r="E59" s="10" t="str">
        <f aca="false">IF(D59=0,"",MOD(C59,8))</f>
        <v/>
      </c>
    </row>
    <row r="60" customFormat="false" ht="13.8" hidden="false" customHeight="false" outlineLevel="0" collapsed="false">
      <c r="A60" s="1" t="n">
        <v>60</v>
      </c>
      <c r="B60" s="1" t="s">
        <v>16939</v>
      </c>
      <c r="C60" s="10" t="n">
        <f aca="false">COUNTIF('MEGA SENA'!G:G,A60)</f>
        <v>0</v>
      </c>
      <c r="D60" s="10" t="n">
        <f aca="false">MOD(C60,4)</f>
        <v>0</v>
      </c>
      <c r="E60" s="10" t="str">
        <f aca="false">IF(D60=0,"",MOD(C60,8))</f>
        <v/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1.53515625" defaultRowHeight="13.8" zeroHeight="false" outlineLevelRow="0" outlineLevelCol="0"/>
  <cols>
    <col collapsed="false" customWidth="false" hidden="false" outlineLevel="0" max="3" min="1" style="1" width="11.53"/>
  </cols>
  <sheetData>
    <row r="1" customFormat="false" ht="13.8" hidden="false" customHeight="false" outlineLevel="0" collapsed="false">
      <c r="A1" s="1" t="n">
        <v>60</v>
      </c>
      <c r="B1" s="1" t="s">
        <v>16939</v>
      </c>
      <c r="C1" s="10" t="n">
        <f aca="false">COUNTIF('MEGA SENA'!H:H,A1)</f>
        <v>285</v>
      </c>
      <c r="D1" s="10" t="n">
        <f aca="false">MOD(C1,4)</f>
        <v>1</v>
      </c>
      <c r="E1" s="10" t="n">
        <f aca="false">IF(D1=0,"",MOD(C1,8))</f>
        <v>5</v>
      </c>
    </row>
    <row r="2" customFormat="false" ht="13.8" hidden="false" customHeight="false" outlineLevel="0" collapsed="false">
      <c r="A2" s="1" t="n">
        <v>59</v>
      </c>
      <c r="B2" s="1" t="s">
        <v>16939</v>
      </c>
      <c r="C2" s="10" t="n">
        <f aca="false">COUNTIF('MEGA SENA'!H:H,A2)</f>
        <v>261</v>
      </c>
      <c r="D2" s="10" t="n">
        <f aca="false">MOD(C2,4)</f>
        <v>1</v>
      </c>
      <c r="E2" s="10" t="n">
        <f aca="false">IF(D2=0,"",MOD(C2,8))</f>
        <v>5</v>
      </c>
    </row>
    <row r="3" customFormat="false" ht="13.8" hidden="false" customHeight="false" outlineLevel="0" collapsed="false">
      <c r="A3" s="1" t="n">
        <v>58</v>
      </c>
      <c r="B3" s="1" t="s">
        <v>16939</v>
      </c>
      <c r="C3" s="10" t="n">
        <f aca="false">COUNTIF('MEGA SENA'!H:H,A3)</f>
        <v>234</v>
      </c>
      <c r="D3" s="10" t="n">
        <f aca="false">MOD(C3,4)</f>
        <v>2</v>
      </c>
      <c r="E3" s="10" t="n">
        <f aca="false">IF(D3=0,"",MOD(C3,8))</f>
        <v>2</v>
      </c>
    </row>
    <row r="4" customFormat="false" ht="13.8" hidden="false" customHeight="false" outlineLevel="0" collapsed="false">
      <c r="A4" s="1" t="n">
        <v>56</v>
      </c>
      <c r="B4" s="1" t="s">
        <v>16939</v>
      </c>
      <c r="C4" s="10" t="n">
        <f aca="false">COUNTIF('MEGA SENA'!H:H,A4)</f>
        <v>224</v>
      </c>
      <c r="D4" s="10" t="n">
        <f aca="false">MOD(C4,4)</f>
        <v>0</v>
      </c>
      <c r="E4" s="10" t="str">
        <f aca="false">IF(D4=0,"",MOD(C4,8))</f>
        <v/>
      </c>
    </row>
    <row r="5" customFormat="false" ht="13.8" hidden="false" customHeight="false" outlineLevel="0" collapsed="false">
      <c r="A5" s="1" t="n">
        <v>57</v>
      </c>
      <c r="B5" s="1" t="s">
        <v>16939</v>
      </c>
      <c r="C5" s="10" t="n">
        <f aca="false">COUNTIF('MEGA SENA'!H:H,A5)</f>
        <v>204</v>
      </c>
      <c r="D5" s="10" t="n">
        <f aca="false">MOD(C5,4)</f>
        <v>0</v>
      </c>
      <c r="E5" s="10" t="str">
        <f aca="false">IF(D5=0,"",MOD(C5,8))</f>
        <v/>
      </c>
    </row>
    <row r="6" customFormat="false" ht="13.8" hidden="false" customHeight="false" outlineLevel="0" collapsed="false">
      <c r="A6" s="1" t="n">
        <v>54</v>
      </c>
      <c r="B6" s="1" t="s">
        <v>16939</v>
      </c>
      <c r="C6" s="10" t="n">
        <f aca="false">COUNTIF('MEGA SENA'!H:H,A6)</f>
        <v>187</v>
      </c>
      <c r="D6" s="10" t="n">
        <f aca="false">MOD(C6,4)</f>
        <v>3</v>
      </c>
      <c r="E6" s="10" t="n">
        <f aca="false">IF(D6=0,"",MOD(C6,8))</f>
        <v>3</v>
      </c>
    </row>
    <row r="7" customFormat="false" ht="13.8" hidden="false" customHeight="false" outlineLevel="0" collapsed="false">
      <c r="A7" s="1" t="n">
        <v>53</v>
      </c>
      <c r="B7" s="1" t="s">
        <v>16939</v>
      </c>
      <c r="C7" s="10" t="n">
        <f aca="false">COUNTIF('MEGA SENA'!H:H,A7)</f>
        <v>178</v>
      </c>
      <c r="D7" s="10" t="n">
        <f aca="false">MOD(C7,4)</f>
        <v>2</v>
      </c>
      <c r="E7" s="10" t="n">
        <f aca="false">IF(D7=0,"",MOD(C7,8))</f>
        <v>2</v>
      </c>
    </row>
    <row r="8" customFormat="false" ht="13.8" hidden="false" customHeight="false" outlineLevel="0" collapsed="false">
      <c r="A8" s="1" t="n">
        <v>55</v>
      </c>
      <c r="B8" s="1" t="s">
        <v>16939</v>
      </c>
      <c r="C8" s="10" t="n">
        <f aca="false">COUNTIF('MEGA SENA'!H:H,A8)</f>
        <v>158</v>
      </c>
      <c r="D8" s="10" t="n">
        <f aca="false">MOD(C8,4)</f>
        <v>2</v>
      </c>
      <c r="E8" s="10" t="n">
        <f aca="false">IF(D8=0,"",MOD(C8,8))</f>
        <v>6</v>
      </c>
    </row>
    <row r="9" customFormat="false" ht="13.8" hidden="false" customHeight="false" outlineLevel="0" collapsed="false">
      <c r="A9" s="1" t="n">
        <v>52</v>
      </c>
      <c r="B9" s="1" t="s">
        <v>16939</v>
      </c>
      <c r="C9" s="10" t="n">
        <f aca="false">COUNTIF('MEGA SENA'!H:H,A9)</f>
        <v>140</v>
      </c>
      <c r="D9" s="10" t="n">
        <f aca="false">MOD(C9,4)</f>
        <v>0</v>
      </c>
      <c r="E9" s="10" t="str">
        <f aca="false">IF(D9=0,"",MOD(C9,8))</f>
        <v/>
      </c>
    </row>
    <row r="10" customFormat="false" ht="13.8" hidden="false" customHeight="false" outlineLevel="0" collapsed="false">
      <c r="A10" s="1" t="n">
        <v>51</v>
      </c>
      <c r="B10" s="1" t="s">
        <v>16939</v>
      </c>
      <c r="C10" s="10" t="n">
        <f aca="false">COUNTIF('MEGA SENA'!H:H,A10)</f>
        <v>132</v>
      </c>
      <c r="D10" s="10" t="n">
        <f aca="false">MOD(C10,4)</f>
        <v>0</v>
      </c>
      <c r="E10" s="10" t="str">
        <f aca="false">IF(D10=0,"",MOD(C10,8))</f>
        <v/>
      </c>
    </row>
    <row r="11" customFormat="false" ht="13.8" hidden="false" customHeight="false" outlineLevel="0" collapsed="false">
      <c r="A11" s="1" t="n">
        <v>49</v>
      </c>
      <c r="B11" s="1" t="s">
        <v>16939</v>
      </c>
      <c r="C11" s="10" t="n">
        <f aca="false">COUNTIF('MEGA SENA'!H:H,A11)</f>
        <v>123</v>
      </c>
      <c r="D11" s="10" t="n">
        <f aca="false">MOD(C11,4)</f>
        <v>3</v>
      </c>
      <c r="E11" s="10" t="n">
        <f aca="false">IF(D11=0,"",MOD(C11,8))</f>
        <v>3</v>
      </c>
    </row>
    <row r="12" customFormat="false" ht="13.8" hidden="false" customHeight="false" outlineLevel="0" collapsed="false">
      <c r="A12" s="1" t="n">
        <v>50</v>
      </c>
      <c r="B12" s="1" t="s">
        <v>16939</v>
      </c>
      <c r="C12" s="10" t="n">
        <f aca="false">COUNTIF('MEGA SENA'!H:H,A12)</f>
        <v>121</v>
      </c>
      <c r="D12" s="10" t="n">
        <f aca="false">MOD(C12,4)</f>
        <v>1</v>
      </c>
      <c r="E12" s="10" t="n">
        <f aca="false">IF(D12=0,"",MOD(C12,8))</f>
        <v>1</v>
      </c>
    </row>
    <row r="13" customFormat="false" ht="13.8" hidden="false" customHeight="false" outlineLevel="0" collapsed="false">
      <c r="A13" s="1" t="n">
        <v>48</v>
      </c>
      <c r="B13" s="1" t="s">
        <v>16939</v>
      </c>
      <c r="C13" s="10" t="n">
        <f aca="false">COUNTIF('MEGA SENA'!H:H,A13)</f>
        <v>104</v>
      </c>
      <c r="D13" s="10" t="n">
        <f aca="false">MOD(C13,4)</f>
        <v>0</v>
      </c>
      <c r="E13" s="10" t="str">
        <f aca="false">IF(D13=0,"",MOD(C13,8))</f>
        <v/>
      </c>
    </row>
    <row r="14" customFormat="false" ht="13.8" hidden="false" customHeight="false" outlineLevel="0" collapsed="false">
      <c r="A14" s="1" t="n">
        <v>47</v>
      </c>
      <c r="B14" s="1" t="s">
        <v>16939</v>
      </c>
      <c r="C14" s="10" t="n">
        <f aca="false">COUNTIF('MEGA SENA'!H:H,A14)</f>
        <v>83</v>
      </c>
      <c r="D14" s="10" t="n">
        <f aca="false">MOD(C14,4)</f>
        <v>3</v>
      </c>
      <c r="E14" s="10" t="n">
        <f aca="false">IF(D14=0,"",MOD(C14,8))</f>
        <v>3</v>
      </c>
    </row>
    <row r="15" customFormat="false" ht="13.8" hidden="false" customHeight="false" outlineLevel="0" collapsed="false">
      <c r="A15" s="1" t="n">
        <v>45</v>
      </c>
      <c r="B15" s="1" t="s">
        <v>16939</v>
      </c>
      <c r="C15" s="10" t="n">
        <f aca="false">COUNTIF('MEGA SENA'!H:H,A15)</f>
        <v>68</v>
      </c>
      <c r="D15" s="10" t="n">
        <f aca="false">MOD(C15,4)</f>
        <v>0</v>
      </c>
      <c r="E15" s="10" t="str">
        <f aca="false">IF(D15=0,"",MOD(C15,8))</f>
        <v/>
      </c>
    </row>
    <row r="16" customFormat="false" ht="13.8" hidden="false" customHeight="false" outlineLevel="0" collapsed="false">
      <c r="A16" s="1" t="n">
        <v>44</v>
      </c>
      <c r="B16" s="1" t="s">
        <v>16939</v>
      </c>
      <c r="C16" s="10" t="n">
        <f aca="false">COUNTIF('MEGA SENA'!H:H,A16)</f>
        <v>65</v>
      </c>
      <c r="D16" s="10" t="n">
        <f aca="false">MOD(C16,4)</f>
        <v>1</v>
      </c>
      <c r="E16" s="10" t="n">
        <f aca="false">IF(D16=0,"",MOD(C16,8))</f>
        <v>1</v>
      </c>
    </row>
    <row r="17" customFormat="false" ht="13.8" hidden="false" customHeight="false" outlineLevel="0" collapsed="false">
      <c r="A17" s="1" t="n">
        <v>46</v>
      </c>
      <c r="B17" s="1" t="s">
        <v>16939</v>
      </c>
      <c r="C17" s="10" t="n">
        <f aca="false">COUNTIF('MEGA SENA'!H:H,A17)</f>
        <v>57</v>
      </c>
      <c r="D17" s="10" t="n">
        <f aca="false">MOD(C17,4)</f>
        <v>1</v>
      </c>
      <c r="E17" s="10" t="n">
        <f aca="false">IF(D17=0,"",MOD(C17,8))</f>
        <v>1</v>
      </c>
    </row>
    <row r="18" customFormat="false" ht="13.8" hidden="false" customHeight="false" outlineLevel="0" collapsed="false">
      <c r="A18" s="1" t="n">
        <v>43</v>
      </c>
      <c r="B18" s="1" t="s">
        <v>16939</v>
      </c>
      <c r="C18" s="10" t="n">
        <f aca="false">COUNTIF('MEGA SENA'!H:H,A18)</f>
        <v>46</v>
      </c>
      <c r="D18" s="10" t="n">
        <f aca="false">MOD(C18,4)</f>
        <v>2</v>
      </c>
      <c r="E18" s="10" t="n">
        <f aca="false">IF(D18=0,"",MOD(C18,8))</f>
        <v>6</v>
      </c>
    </row>
    <row r="19" customFormat="false" ht="13.8" hidden="false" customHeight="false" outlineLevel="0" collapsed="false">
      <c r="A19" s="1" t="n">
        <v>42</v>
      </c>
      <c r="B19" s="1" t="s">
        <v>16939</v>
      </c>
      <c r="C19" s="10" t="n">
        <f aca="false">COUNTIF('MEGA SENA'!H:H,A19)</f>
        <v>42</v>
      </c>
      <c r="D19" s="10" t="n">
        <f aca="false">MOD(C19,4)</f>
        <v>2</v>
      </c>
      <c r="E19" s="10" t="n">
        <f aca="false">IF(D19=0,"",MOD(C19,8))</f>
        <v>2</v>
      </c>
    </row>
    <row r="20" customFormat="false" ht="13.8" hidden="false" customHeight="false" outlineLevel="0" collapsed="false">
      <c r="A20" s="1" t="n">
        <v>41</v>
      </c>
      <c r="B20" s="1" t="s">
        <v>16939</v>
      </c>
      <c r="C20" s="10" t="n">
        <f aca="false">COUNTIF('MEGA SENA'!H:H,A20)</f>
        <v>33</v>
      </c>
      <c r="D20" s="10" t="n">
        <f aca="false">MOD(C20,4)</f>
        <v>1</v>
      </c>
      <c r="E20" s="10" t="n">
        <f aca="false">IF(D20=0,"",MOD(C20,8))</f>
        <v>1</v>
      </c>
    </row>
    <row r="21" customFormat="false" ht="13.8" hidden="false" customHeight="false" outlineLevel="0" collapsed="false">
      <c r="A21" s="1" t="n">
        <v>39</v>
      </c>
      <c r="B21" s="1" t="s">
        <v>16939</v>
      </c>
      <c r="C21" s="10" t="n">
        <f aca="false">COUNTIF('MEGA SENA'!H:H,A21)</f>
        <v>28</v>
      </c>
      <c r="D21" s="10" t="n">
        <f aca="false">MOD(C21,4)</f>
        <v>0</v>
      </c>
      <c r="E21" s="10" t="str">
        <f aca="false">IF(D21=0,"",MOD(C21,8))</f>
        <v/>
      </c>
    </row>
    <row r="22" customFormat="false" ht="13.8" hidden="false" customHeight="false" outlineLevel="0" collapsed="false">
      <c r="A22" s="1" t="n">
        <v>38</v>
      </c>
      <c r="B22" s="1" t="s">
        <v>16939</v>
      </c>
      <c r="C22" s="10" t="n">
        <f aca="false">COUNTIF('MEGA SENA'!H:H,A22)</f>
        <v>27</v>
      </c>
      <c r="D22" s="10" t="n">
        <f aca="false">MOD(C22,4)</f>
        <v>3</v>
      </c>
      <c r="E22" s="10" t="n">
        <f aca="false">IF(D22=0,"",MOD(C22,8))</f>
        <v>3</v>
      </c>
    </row>
    <row r="23" customFormat="false" ht="13.8" hidden="false" customHeight="false" outlineLevel="0" collapsed="false">
      <c r="A23" s="1" t="n">
        <v>37</v>
      </c>
      <c r="B23" s="1" t="s">
        <v>16939</v>
      </c>
      <c r="C23" s="10" t="n">
        <f aca="false">COUNTIF('MEGA SENA'!H:H,A23)</f>
        <v>26</v>
      </c>
      <c r="D23" s="10" t="n">
        <f aca="false">MOD(C23,4)</f>
        <v>2</v>
      </c>
      <c r="E23" s="10" t="n">
        <f aca="false">IF(D23=0,"",MOD(C23,8))</f>
        <v>2</v>
      </c>
    </row>
    <row r="24" customFormat="false" ht="13.8" hidden="false" customHeight="false" outlineLevel="0" collapsed="false">
      <c r="A24" s="1" t="n">
        <v>40</v>
      </c>
      <c r="B24" s="1" t="s">
        <v>16939</v>
      </c>
      <c r="C24" s="10" t="n">
        <f aca="false">COUNTIF('MEGA SENA'!H:H,A24)</f>
        <v>21</v>
      </c>
      <c r="D24" s="10" t="n">
        <f aca="false">MOD(C24,4)</f>
        <v>1</v>
      </c>
      <c r="E24" s="10" t="n">
        <f aca="false">IF(D24=0,"",MOD(C24,8))</f>
        <v>5</v>
      </c>
    </row>
    <row r="25" customFormat="false" ht="13.8" hidden="false" customHeight="false" outlineLevel="0" collapsed="false">
      <c r="A25" s="1" t="n">
        <v>35</v>
      </c>
      <c r="B25" s="1" t="s">
        <v>16939</v>
      </c>
      <c r="C25" s="10" t="n">
        <f aca="false">COUNTIF('MEGA SENA'!H:H,A25)</f>
        <v>20</v>
      </c>
      <c r="D25" s="10" t="n">
        <f aca="false">MOD(C25,4)</f>
        <v>0</v>
      </c>
      <c r="E25" s="10" t="str">
        <f aca="false">IF(D25=0,"",MOD(C25,8))</f>
        <v/>
      </c>
    </row>
    <row r="26" customFormat="false" ht="13.8" hidden="false" customHeight="false" outlineLevel="0" collapsed="false">
      <c r="A26" s="1" t="n">
        <v>36</v>
      </c>
      <c r="B26" s="1" t="s">
        <v>16939</v>
      </c>
      <c r="C26" s="10" t="n">
        <f aca="false">COUNTIF('MEGA SENA'!H:H,A26)</f>
        <v>19</v>
      </c>
      <c r="D26" s="10" t="n">
        <f aca="false">MOD(C26,4)</f>
        <v>3</v>
      </c>
      <c r="E26" s="10" t="n">
        <f aca="false">IF(D26=0,"",MOD(C26,8))</f>
        <v>3</v>
      </c>
    </row>
    <row r="27" customFormat="false" ht="13.8" hidden="false" customHeight="false" outlineLevel="0" collapsed="false">
      <c r="A27" s="1" t="n">
        <v>34</v>
      </c>
      <c r="B27" s="1" t="s">
        <v>16939</v>
      </c>
      <c r="C27" s="10" t="n">
        <f aca="false">COUNTIF('MEGA SENA'!H:H,A27)</f>
        <v>18</v>
      </c>
      <c r="D27" s="10" t="n">
        <f aca="false">MOD(C27,4)</f>
        <v>2</v>
      </c>
      <c r="E27" s="10" t="n">
        <f aca="false">IF(D27=0,"",MOD(C27,8))</f>
        <v>2</v>
      </c>
    </row>
    <row r="28" customFormat="false" ht="13.8" hidden="false" customHeight="false" outlineLevel="0" collapsed="false">
      <c r="A28" s="1" t="n">
        <v>32</v>
      </c>
      <c r="B28" s="1" t="s">
        <v>16939</v>
      </c>
      <c r="C28" s="10" t="n">
        <f aca="false">COUNTIF('MEGA SENA'!H:H,A28)</f>
        <v>11</v>
      </c>
      <c r="D28" s="10" t="n">
        <f aca="false">MOD(C28,4)</f>
        <v>3</v>
      </c>
      <c r="E28" s="10" t="n">
        <f aca="false">IF(D28=0,"",MOD(C28,8))</f>
        <v>3</v>
      </c>
    </row>
    <row r="29" customFormat="false" ht="13.8" hidden="false" customHeight="false" outlineLevel="0" collapsed="false">
      <c r="A29" s="1" t="n">
        <v>33</v>
      </c>
      <c r="B29" s="1" t="s">
        <v>16939</v>
      </c>
      <c r="C29" s="10" t="n">
        <f aca="false">COUNTIF('MEGA SENA'!H:H,A29)</f>
        <v>11</v>
      </c>
      <c r="D29" s="10" t="n">
        <f aca="false">MOD(C29,4)</f>
        <v>3</v>
      </c>
      <c r="E29" s="10" t="n">
        <f aca="false">IF(D29=0,"",MOD(C29,8))</f>
        <v>3</v>
      </c>
    </row>
    <row r="30" customFormat="false" ht="13.8" hidden="false" customHeight="false" outlineLevel="0" collapsed="false">
      <c r="A30" s="1" t="n">
        <v>28</v>
      </c>
      <c r="B30" s="1" t="s">
        <v>16939</v>
      </c>
      <c r="C30" s="10" t="n">
        <f aca="false">COUNTIF('MEGA SENA'!H:H,A30)</f>
        <v>7</v>
      </c>
      <c r="D30" s="10" t="n">
        <f aca="false">MOD(C30,4)</f>
        <v>3</v>
      </c>
      <c r="E30" s="10" t="n">
        <f aca="false">IF(D30=0,"",MOD(C30,8))</f>
        <v>7</v>
      </c>
    </row>
    <row r="31" customFormat="false" ht="13.8" hidden="false" customHeight="false" outlineLevel="0" collapsed="false">
      <c r="A31" s="1" t="n">
        <v>30</v>
      </c>
      <c r="B31" s="1" t="s">
        <v>16939</v>
      </c>
      <c r="C31" s="10" t="n">
        <f aca="false">COUNTIF('MEGA SENA'!H:H,A31)</f>
        <v>7</v>
      </c>
      <c r="D31" s="10" t="n">
        <f aca="false">MOD(C31,4)</f>
        <v>3</v>
      </c>
      <c r="E31" s="10" t="n">
        <f aca="false">IF(D31=0,"",MOD(C31,8))</f>
        <v>7</v>
      </c>
    </row>
    <row r="32" customFormat="false" ht="13.8" hidden="false" customHeight="false" outlineLevel="0" collapsed="false">
      <c r="A32" s="1" t="n">
        <v>29</v>
      </c>
      <c r="B32" s="1" t="s">
        <v>16939</v>
      </c>
      <c r="C32" s="10" t="n">
        <f aca="false">COUNTIF('MEGA SENA'!H:H,A32)</f>
        <v>6</v>
      </c>
      <c r="D32" s="10" t="n">
        <f aca="false">MOD(C32,4)</f>
        <v>2</v>
      </c>
      <c r="E32" s="10" t="n">
        <f aca="false">IF(D32=0,"",MOD(C32,8))</f>
        <v>6</v>
      </c>
    </row>
    <row r="33" customFormat="false" ht="13.8" hidden="false" customHeight="false" outlineLevel="0" collapsed="false">
      <c r="A33" s="1" t="n">
        <v>31</v>
      </c>
      <c r="B33" s="1" t="s">
        <v>16939</v>
      </c>
      <c r="C33" s="10" t="n">
        <f aca="false">COUNTIF('MEGA SENA'!H:H,A33)</f>
        <v>6</v>
      </c>
      <c r="D33" s="10" t="n">
        <f aca="false">MOD(C33,4)</f>
        <v>2</v>
      </c>
      <c r="E33" s="10" t="n">
        <f aca="false">IF(D33=0,"",MOD(C33,8))</f>
        <v>6</v>
      </c>
    </row>
    <row r="34" customFormat="false" ht="13.8" hidden="false" customHeight="false" outlineLevel="0" collapsed="false">
      <c r="A34" s="1" t="n">
        <v>27</v>
      </c>
      <c r="B34" s="1" t="s">
        <v>16939</v>
      </c>
      <c r="C34" s="10" t="n">
        <f aca="false">COUNTIF('MEGA SENA'!H:H,A34)</f>
        <v>4</v>
      </c>
      <c r="D34" s="10" t="n">
        <f aca="false">MOD(C34,4)</f>
        <v>0</v>
      </c>
      <c r="E34" s="10" t="str">
        <f aca="false">IF(D34=0,"",MOD(C34,8))</f>
        <v/>
      </c>
    </row>
    <row r="35" customFormat="false" ht="13.8" hidden="false" customHeight="false" outlineLevel="0" collapsed="false">
      <c r="A35" s="1" t="n">
        <v>25</v>
      </c>
      <c r="B35" s="1" t="s">
        <v>16939</v>
      </c>
      <c r="C35" s="10" t="n">
        <f aca="false">COUNTIF('MEGA SENA'!H:H,A35)</f>
        <v>3</v>
      </c>
      <c r="D35" s="10" t="n">
        <f aca="false">MOD(C35,4)</f>
        <v>3</v>
      </c>
      <c r="E35" s="10" t="n">
        <f aca="false">IF(D35=0,"",MOD(C35,8))</f>
        <v>3</v>
      </c>
    </row>
    <row r="36" customFormat="false" ht="13.8" hidden="false" customHeight="false" outlineLevel="0" collapsed="false">
      <c r="A36" s="1" t="n">
        <v>22</v>
      </c>
      <c r="B36" s="1" t="s">
        <v>16939</v>
      </c>
      <c r="C36" s="10" t="n">
        <f aca="false">COUNTIF('MEGA SENA'!H:H,A36)</f>
        <v>2</v>
      </c>
      <c r="D36" s="10" t="n">
        <f aca="false">MOD(C36,4)</f>
        <v>2</v>
      </c>
      <c r="E36" s="10" t="n">
        <f aca="false">IF(D36=0,"",MOD(C36,8))</f>
        <v>2</v>
      </c>
    </row>
    <row r="37" customFormat="false" ht="13.8" hidden="false" customHeight="false" outlineLevel="0" collapsed="false">
      <c r="A37" s="1" t="n">
        <v>24</v>
      </c>
      <c r="B37" s="1" t="s">
        <v>16939</v>
      </c>
      <c r="C37" s="10" t="n">
        <f aca="false">COUNTIF('MEGA SENA'!H:H,A37)</f>
        <v>2</v>
      </c>
      <c r="D37" s="10" t="n">
        <f aca="false">MOD(C37,4)</f>
        <v>2</v>
      </c>
      <c r="E37" s="10" t="n">
        <f aca="false">IF(D37=0,"",MOD(C37,8))</f>
        <v>2</v>
      </c>
    </row>
    <row r="38" customFormat="false" ht="13.8" hidden="false" customHeight="false" outlineLevel="0" collapsed="false">
      <c r="A38" s="1" t="n">
        <v>26</v>
      </c>
      <c r="B38" s="1" t="s">
        <v>16939</v>
      </c>
      <c r="C38" s="10" t="n">
        <f aca="false">COUNTIF('MEGA SENA'!H:H,A38)</f>
        <v>1</v>
      </c>
      <c r="D38" s="10" t="n">
        <f aca="false">MOD(C38,4)</f>
        <v>1</v>
      </c>
      <c r="E38" s="10" t="n">
        <f aca="false">IF(D38=0,"",MOD(C38,8))</f>
        <v>1</v>
      </c>
    </row>
    <row r="39" customFormat="false" ht="13.8" hidden="false" customHeight="false" outlineLevel="0" collapsed="false">
      <c r="A39" s="1" t="n">
        <v>1</v>
      </c>
      <c r="B39" s="1" t="s">
        <v>16939</v>
      </c>
      <c r="C39" s="10" t="n">
        <f aca="false">COUNTIF('MEGA SENA'!H:H,A39)</f>
        <v>0</v>
      </c>
      <c r="D39" s="10" t="n">
        <f aca="false">MOD(C39,4)</f>
        <v>0</v>
      </c>
      <c r="E39" s="10" t="str">
        <f aca="false">IF(D39=0,"",MOD(C39,8))</f>
        <v/>
      </c>
    </row>
    <row r="40" customFormat="false" ht="13.8" hidden="false" customHeight="false" outlineLevel="0" collapsed="false">
      <c r="A40" s="1" t="n">
        <v>2</v>
      </c>
      <c r="B40" s="1" t="s">
        <v>16939</v>
      </c>
      <c r="C40" s="10" t="n">
        <f aca="false">COUNTIF('MEGA SENA'!H:H,A40)</f>
        <v>0</v>
      </c>
      <c r="D40" s="10" t="n">
        <f aca="false">MOD(C40,4)</f>
        <v>0</v>
      </c>
      <c r="E40" s="10" t="str">
        <f aca="false">IF(D40=0,"",MOD(C40,8))</f>
        <v/>
      </c>
    </row>
    <row r="41" customFormat="false" ht="13.8" hidden="false" customHeight="false" outlineLevel="0" collapsed="false">
      <c r="A41" s="1" t="n">
        <v>3</v>
      </c>
      <c r="B41" s="1" t="s">
        <v>16939</v>
      </c>
      <c r="C41" s="10" t="n">
        <f aca="false">COUNTIF('MEGA SENA'!H:H,A41)</f>
        <v>0</v>
      </c>
      <c r="D41" s="10" t="n">
        <f aca="false">MOD(C41,4)</f>
        <v>0</v>
      </c>
      <c r="E41" s="10" t="str">
        <f aca="false">IF(D41=0,"",MOD(C41,8))</f>
        <v/>
      </c>
    </row>
    <row r="42" customFormat="false" ht="13.8" hidden="false" customHeight="false" outlineLevel="0" collapsed="false">
      <c r="A42" s="1" t="n">
        <v>4</v>
      </c>
      <c r="B42" s="1" t="s">
        <v>16939</v>
      </c>
      <c r="C42" s="10" t="n">
        <f aca="false">COUNTIF('MEGA SENA'!H:H,A42)</f>
        <v>0</v>
      </c>
      <c r="D42" s="10" t="n">
        <f aca="false">MOD(C42,4)</f>
        <v>0</v>
      </c>
      <c r="E42" s="10" t="str">
        <f aca="false">IF(D42=0,"",MOD(C42,8))</f>
        <v/>
      </c>
    </row>
    <row r="43" customFormat="false" ht="13.8" hidden="false" customHeight="false" outlineLevel="0" collapsed="false">
      <c r="A43" s="1" t="n">
        <v>5</v>
      </c>
      <c r="B43" s="1" t="s">
        <v>16939</v>
      </c>
      <c r="C43" s="10" t="n">
        <f aca="false">COUNTIF('MEGA SENA'!H:H,A43)</f>
        <v>0</v>
      </c>
      <c r="D43" s="10" t="n">
        <f aca="false">MOD(C43,4)</f>
        <v>0</v>
      </c>
      <c r="E43" s="10" t="str">
        <f aca="false">IF(D43=0,"",MOD(C43,8))</f>
        <v/>
      </c>
    </row>
    <row r="44" customFormat="false" ht="13.8" hidden="false" customHeight="false" outlineLevel="0" collapsed="false">
      <c r="A44" s="1" t="n">
        <v>6</v>
      </c>
      <c r="B44" s="1" t="s">
        <v>16939</v>
      </c>
      <c r="C44" s="10" t="n">
        <f aca="false">COUNTIF('MEGA SENA'!H:H,A44)</f>
        <v>0</v>
      </c>
      <c r="D44" s="10" t="n">
        <f aca="false">MOD(C44,4)</f>
        <v>0</v>
      </c>
      <c r="E44" s="10" t="str">
        <f aca="false">IF(D44=0,"",MOD(C44,8))</f>
        <v/>
      </c>
    </row>
    <row r="45" customFormat="false" ht="13.8" hidden="false" customHeight="false" outlineLevel="0" collapsed="false">
      <c r="A45" s="1" t="n">
        <v>7</v>
      </c>
      <c r="B45" s="1" t="s">
        <v>16939</v>
      </c>
      <c r="C45" s="10" t="n">
        <f aca="false">COUNTIF('MEGA SENA'!H:H,A45)</f>
        <v>0</v>
      </c>
      <c r="D45" s="10" t="n">
        <f aca="false">MOD(C45,4)</f>
        <v>0</v>
      </c>
      <c r="E45" s="10" t="str">
        <f aca="false">IF(D45=0,"",MOD(C45,8))</f>
        <v/>
      </c>
    </row>
    <row r="46" customFormat="false" ht="13.8" hidden="false" customHeight="false" outlineLevel="0" collapsed="false">
      <c r="A46" s="1" t="n">
        <v>8</v>
      </c>
      <c r="B46" s="1" t="s">
        <v>16939</v>
      </c>
      <c r="C46" s="10" t="n">
        <f aca="false">COUNTIF('MEGA SENA'!H:H,A46)</f>
        <v>0</v>
      </c>
      <c r="D46" s="10" t="n">
        <f aca="false">MOD(C46,4)</f>
        <v>0</v>
      </c>
      <c r="E46" s="10" t="str">
        <f aca="false">IF(D46=0,"",MOD(C46,8))</f>
        <v/>
      </c>
    </row>
    <row r="47" customFormat="false" ht="13.8" hidden="false" customHeight="false" outlineLevel="0" collapsed="false">
      <c r="A47" s="1" t="n">
        <v>9</v>
      </c>
      <c r="B47" s="1" t="s">
        <v>16939</v>
      </c>
      <c r="C47" s="10" t="n">
        <f aca="false">COUNTIF('MEGA SENA'!H:H,A47)</f>
        <v>0</v>
      </c>
      <c r="D47" s="10" t="n">
        <f aca="false">MOD(C47,4)</f>
        <v>0</v>
      </c>
      <c r="E47" s="10" t="str">
        <f aca="false">IF(D47=0,"",MOD(C47,8))</f>
        <v/>
      </c>
    </row>
    <row r="48" customFormat="false" ht="13.8" hidden="false" customHeight="false" outlineLevel="0" collapsed="false">
      <c r="A48" s="1" t="n">
        <v>10</v>
      </c>
      <c r="B48" s="1" t="s">
        <v>16939</v>
      </c>
      <c r="C48" s="10" t="n">
        <f aca="false">COUNTIF('MEGA SENA'!H:H,A48)</f>
        <v>0</v>
      </c>
      <c r="D48" s="10" t="n">
        <f aca="false">MOD(C48,4)</f>
        <v>0</v>
      </c>
      <c r="E48" s="10" t="str">
        <f aca="false">IF(D48=0,"",MOD(C48,8))</f>
        <v/>
      </c>
    </row>
    <row r="49" customFormat="false" ht="13.8" hidden="false" customHeight="false" outlineLevel="0" collapsed="false">
      <c r="A49" s="1" t="n">
        <v>11</v>
      </c>
      <c r="B49" s="1" t="s">
        <v>16939</v>
      </c>
      <c r="C49" s="10" t="n">
        <f aca="false">COUNTIF('MEGA SENA'!H:H,A49)</f>
        <v>0</v>
      </c>
      <c r="D49" s="10" t="n">
        <f aca="false">MOD(C49,4)</f>
        <v>0</v>
      </c>
      <c r="E49" s="10" t="str">
        <f aca="false">IF(D49=0,"",MOD(C49,8))</f>
        <v/>
      </c>
    </row>
    <row r="50" customFormat="false" ht="13.8" hidden="false" customHeight="false" outlineLevel="0" collapsed="false">
      <c r="A50" s="1" t="n">
        <v>12</v>
      </c>
      <c r="B50" s="1" t="s">
        <v>16939</v>
      </c>
      <c r="C50" s="10" t="n">
        <f aca="false">COUNTIF('MEGA SENA'!H:H,A50)</f>
        <v>0</v>
      </c>
      <c r="D50" s="10" t="n">
        <f aca="false">MOD(C50,4)</f>
        <v>0</v>
      </c>
      <c r="E50" s="10" t="str">
        <f aca="false">IF(D50=0,"",MOD(C50,8))</f>
        <v/>
      </c>
    </row>
    <row r="51" customFormat="false" ht="13.8" hidden="false" customHeight="false" outlineLevel="0" collapsed="false">
      <c r="A51" s="1" t="n">
        <v>13</v>
      </c>
      <c r="B51" s="1" t="s">
        <v>16939</v>
      </c>
      <c r="C51" s="10" t="n">
        <f aca="false">COUNTIF('MEGA SENA'!H:H,A51)</f>
        <v>0</v>
      </c>
      <c r="D51" s="10" t="n">
        <f aca="false">MOD(C51,4)</f>
        <v>0</v>
      </c>
      <c r="E51" s="10" t="str">
        <f aca="false">IF(D51=0,"",MOD(C51,8))</f>
        <v/>
      </c>
    </row>
    <row r="52" customFormat="false" ht="13.8" hidden="false" customHeight="false" outlineLevel="0" collapsed="false">
      <c r="A52" s="1" t="n">
        <v>14</v>
      </c>
      <c r="B52" s="1" t="s">
        <v>16939</v>
      </c>
      <c r="C52" s="10" t="n">
        <f aca="false">COUNTIF('MEGA SENA'!H:H,A52)</f>
        <v>0</v>
      </c>
      <c r="D52" s="10" t="n">
        <f aca="false">MOD(C52,4)</f>
        <v>0</v>
      </c>
      <c r="E52" s="10" t="str">
        <f aca="false">IF(D52=0,"",MOD(C52,8))</f>
        <v/>
      </c>
    </row>
    <row r="53" customFormat="false" ht="13.8" hidden="false" customHeight="false" outlineLevel="0" collapsed="false">
      <c r="A53" s="1" t="n">
        <v>15</v>
      </c>
      <c r="B53" s="1" t="s">
        <v>16939</v>
      </c>
      <c r="C53" s="10" t="n">
        <f aca="false">COUNTIF('MEGA SENA'!H:H,A53)</f>
        <v>0</v>
      </c>
      <c r="D53" s="10" t="n">
        <f aca="false">MOD(C53,4)</f>
        <v>0</v>
      </c>
      <c r="E53" s="10" t="str">
        <f aca="false">IF(D53=0,"",MOD(C53,8))</f>
        <v/>
      </c>
    </row>
    <row r="54" customFormat="false" ht="13.8" hidden="false" customHeight="false" outlineLevel="0" collapsed="false">
      <c r="A54" s="1" t="n">
        <v>16</v>
      </c>
      <c r="B54" s="1" t="s">
        <v>16939</v>
      </c>
      <c r="C54" s="10" t="n">
        <f aca="false">COUNTIF('MEGA SENA'!H:H,A54)</f>
        <v>0</v>
      </c>
      <c r="D54" s="10" t="n">
        <f aca="false">MOD(C54,4)</f>
        <v>0</v>
      </c>
      <c r="E54" s="10" t="str">
        <f aca="false">IF(D54=0,"",MOD(C54,8))</f>
        <v/>
      </c>
    </row>
    <row r="55" customFormat="false" ht="13.8" hidden="false" customHeight="false" outlineLevel="0" collapsed="false">
      <c r="A55" s="1" t="n">
        <v>17</v>
      </c>
      <c r="B55" s="1" t="s">
        <v>16939</v>
      </c>
      <c r="C55" s="10" t="n">
        <f aca="false">COUNTIF('MEGA SENA'!H:H,A55)</f>
        <v>0</v>
      </c>
      <c r="D55" s="10" t="n">
        <f aca="false">MOD(C55,4)</f>
        <v>0</v>
      </c>
      <c r="E55" s="10" t="str">
        <f aca="false">IF(D55=0,"",MOD(C55,8))</f>
        <v/>
      </c>
    </row>
    <row r="56" customFormat="false" ht="13.8" hidden="false" customHeight="false" outlineLevel="0" collapsed="false">
      <c r="A56" s="1" t="n">
        <v>18</v>
      </c>
      <c r="B56" s="1" t="s">
        <v>16939</v>
      </c>
      <c r="C56" s="10" t="n">
        <f aca="false">COUNTIF('MEGA SENA'!H:H,A56)</f>
        <v>0</v>
      </c>
      <c r="D56" s="10" t="n">
        <f aca="false">MOD(C56,4)</f>
        <v>0</v>
      </c>
      <c r="E56" s="10" t="str">
        <f aca="false">IF(D56=0,"",MOD(C56,8))</f>
        <v/>
      </c>
    </row>
    <row r="57" customFormat="false" ht="13.8" hidden="false" customHeight="false" outlineLevel="0" collapsed="false">
      <c r="A57" s="1" t="n">
        <v>19</v>
      </c>
      <c r="B57" s="1" t="s">
        <v>16939</v>
      </c>
      <c r="C57" s="10" t="n">
        <f aca="false">COUNTIF('MEGA SENA'!H:H,A57)</f>
        <v>0</v>
      </c>
      <c r="D57" s="10" t="n">
        <f aca="false">MOD(C57,4)</f>
        <v>0</v>
      </c>
      <c r="E57" s="10" t="str">
        <f aca="false">IF(D57=0,"",MOD(C57,8))</f>
        <v/>
      </c>
    </row>
    <row r="58" customFormat="false" ht="13.8" hidden="false" customHeight="false" outlineLevel="0" collapsed="false">
      <c r="A58" s="1" t="n">
        <v>20</v>
      </c>
      <c r="B58" s="1" t="s">
        <v>16939</v>
      </c>
      <c r="C58" s="10" t="n">
        <f aca="false">COUNTIF('MEGA SENA'!H:H,A58)</f>
        <v>0</v>
      </c>
      <c r="D58" s="10" t="n">
        <f aca="false">MOD(C58,4)</f>
        <v>0</v>
      </c>
      <c r="E58" s="10" t="str">
        <f aca="false">IF(D58=0,"",MOD(C58,8))</f>
        <v/>
      </c>
    </row>
    <row r="59" customFormat="false" ht="13.8" hidden="false" customHeight="false" outlineLevel="0" collapsed="false">
      <c r="A59" s="1" t="n">
        <v>21</v>
      </c>
      <c r="B59" s="1" t="s">
        <v>16939</v>
      </c>
      <c r="C59" s="10" t="n">
        <f aca="false">COUNTIF('MEGA SENA'!H:H,A59)</f>
        <v>0</v>
      </c>
      <c r="D59" s="10" t="n">
        <f aca="false">MOD(C59,4)</f>
        <v>0</v>
      </c>
      <c r="E59" s="10" t="str">
        <f aca="false">IF(D59=0,"",MOD(C59,8))</f>
        <v/>
      </c>
    </row>
    <row r="60" customFormat="false" ht="13.8" hidden="false" customHeight="false" outlineLevel="0" collapsed="false">
      <c r="A60" s="1" t="n">
        <v>23</v>
      </c>
      <c r="B60" s="1" t="s">
        <v>16939</v>
      </c>
      <c r="C60" s="10" t="n">
        <f aca="false">COUNTIF('MEGA SENA'!H:H,A60)</f>
        <v>0</v>
      </c>
      <c r="D60" s="10" t="n">
        <f aca="false">MOD(C60,4)</f>
        <v>0</v>
      </c>
      <c r="E60" s="10" t="str">
        <f aca="false">IF(D60=0,"",MOD(C60,8))</f>
        <v/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31" activeCellId="0" sqref="A31"/>
    </sheetView>
  </sheetViews>
  <sheetFormatPr defaultColWidth="11.53515625" defaultRowHeight="12.8" zeroHeight="false" outlineLevelRow="0" outlineLevelCol="0"/>
  <cols>
    <col collapsed="false" customWidth="true" hidden="false" outlineLevel="0" max="7" min="7" style="6" width="13.75"/>
  </cols>
  <sheetData>
    <row r="1" customFormat="false" ht="13.8" hidden="false" customHeight="false" outlineLevel="0" collapsed="false">
      <c r="A1" s="5" t="n">
        <v>2</v>
      </c>
      <c r="B1" s="5" t="n">
        <v>5</v>
      </c>
      <c r="C1" s="5" t="n">
        <v>10</v>
      </c>
      <c r="D1" s="5" t="n">
        <v>11</v>
      </c>
      <c r="E1" s="5" t="n">
        <v>14</v>
      </c>
      <c r="F1" s="5" t="n">
        <v>16</v>
      </c>
      <c r="G1" s="6" t="str">
        <f aca="false">RIGHT("0"&amp;A1,2)&amp;RIGHT("0"&amp;B1,2)&amp;RIGHT("0"&amp;C1,2)&amp;RIGHT("0"&amp;D1,2)&amp;RIGHT("0"&amp;E1,2)&amp;RIGHT("0"&amp;F1,2)</f>
        <v>020510111416</v>
      </c>
      <c r="H1" s="6" t="n">
        <f aca="false">VLOOKUP(A1,bola01!A:C,3,0)</f>
        <v>269</v>
      </c>
      <c r="I1" s="6" t="n">
        <f aca="false">VLOOKUP(B1,bola02!A:C,3,0)</f>
        <v>94</v>
      </c>
      <c r="J1" s="6" t="n">
        <f aca="false">VLOOKUP(C1,bola03!A:C,3,0)</f>
        <v>43</v>
      </c>
      <c r="K1" s="6" t="n">
        <f aca="false">VLOOKUP(D1,bola04!A:C,3,0)</f>
        <v>7</v>
      </c>
      <c r="L1" s="6" t="n">
        <f aca="false">VLOOKUP(E1,bola05!A:C,3,0)</f>
        <v>1</v>
      </c>
      <c r="M1" s="6" t="n">
        <f aca="false">VLOOKUP(F1,bola06!A:C,3,0)</f>
        <v>0</v>
      </c>
    </row>
    <row r="2" customFormat="false" ht="13.8" hidden="false" customHeight="false" outlineLevel="0" collapsed="false">
      <c r="A2" s="5" t="n">
        <v>17</v>
      </c>
      <c r="B2" s="5" t="n">
        <v>18</v>
      </c>
      <c r="C2" s="5" t="n">
        <v>20</v>
      </c>
      <c r="D2" s="5" t="n">
        <v>21</v>
      </c>
      <c r="E2" s="5" t="n">
        <v>22</v>
      </c>
      <c r="F2" s="5" t="n">
        <v>24</v>
      </c>
      <c r="G2" s="6" t="str">
        <f aca="false">RIGHT("0"&amp;A2,2)&amp;RIGHT("0"&amp;B2,2)&amp;RIGHT("0"&amp;C2,2)&amp;RIGHT("0"&amp;D2,2)&amp;RIGHT("0"&amp;E2,2)&amp;RIGHT("0"&amp;F2,2)</f>
        <v>171820212224</v>
      </c>
      <c r="H2" s="6" t="n">
        <f aca="false">VLOOKUP(A2,bola01!A:C,3,0)</f>
        <v>63</v>
      </c>
      <c r="I2" s="6" t="n">
        <f aca="false">VLOOKUP(B2,bola02!A:C,3,0)</f>
        <v>122</v>
      </c>
      <c r="J2" s="6" t="n">
        <f aca="false">VLOOKUP(C2,bola03!A:C,3,0)</f>
        <v>92</v>
      </c>
      <c r="K2" s="6" t="n">
        <f aca="false">VLOOKUP(D2,bola04!A:C,3,0)</f>
        <v>46</v>
      </c>
      <c r="L2" s="6" t="n">
        <f aca="false">VLOOKUP(E2,bola05!A:C,3,0)</f>
        <v>17</v>
      </c>
      <c r="M2" s="6" t="n">
        <f aca="false">VLOOKUP(F2,bola06!A:C,3,0)</f>
        <v>2</v>
      </c>
    </row>
    <row r="3" customFormat="false" ht="13.8" hidden="false" customHeight="false" outlineLevel="0" collapsed="false">
      <c r="A3" s="5" t="n">
        <v>25</v>
      </c>
      <c r="B3" s="5" t="n">
        <v>26</v>
      </c>
      <c r="C3" s="5" t="n">
        <v>27</v>
      </c>
      <c r="D3" s="5" t="n">
        <v>31</v>
      </c>
      <c r="E3" s="5" t="n">
        <v>32</v>
      </c>
      <c r="F3" s="5" t="n">
        <v>33</v>
      </c>
      <c r="G3" s="6" t="str">
        <f aca="false">RIGHT("0"&amp;A3,2)&amp;RIGHT("0"&amp;B3,2)&amp;RIGHT("0"&amp;C3,2)&amp;RIGHT("0"&amp;D3,2)&amp;RIGHT("0"&amp;E3,2)&amp;RIGHT("0"&amp;F3,2)</f>
        <v>252627313233</v>
      </c>
      <c r="H3" s="6" t="n">
        <f aca="false">VLOOKUP(A3,bola01!A:C,3,0)</f>
        <v>22</v>
      </c>
      <c r="I3" s="6" t="n">
        <f aca="false">VLOOKUP(B3,bola02!A:C,3,0)</f>
        <v>56</v>
      </c>
      <c r="J3" s="6" t="n">
        <f aca="false">VLOOKUP(C3,bola03!A:C,3,0)</f>
        <v>92</v>
      </c>
      <c r="K3" s="6" t="n">
        <f aca="false">VLOOKUP(D3,bola04!A:C,3,0)</f>
        <v>79</v>
      </c>
      <c r="L3" s="6" t="n">
        <f aca="false">VLOOKUP(E3,bola05!A:C,3,0)</f>
        <v>54</v>
      </c>
      <c r="M3" s="6" t="n">
        <f aca="false">VLOOKUP(F3,bola06!A:C,3,0)</f>
        <v>11</v>
      </c>
    </row>
    <row r="4" customFormat="false" ht="13.8" hidden="false" customHeight="false" outlineLevel="0" collapsed="false">
      <c r="A4" s="5" t="n">
        <v>34</v>
      </c>
      <c r="B4" s="5" t="n">
        <v>38</v>
      </c>
      <c r="C4" s="5" t="n">
        <v>40</v>
      </c>
      <c r="D4" s="5" t="n">
        <v>41</v>
      </c>
      <c r="E4" s="5" t="n">
        <v>43</v>
      </c>
      <c r="F4" s="5" t="n">
        <v>45</v>
      </c>
      <c r="G4" s="6" t="str">
        <f aca="false">RIGHT("0"&amp;A4,2)&amp;RIGHT("0"&amp;B4,2)&amp;RIGHT("0"&amp;C4,2)&amp;RIGHT("0"&amp;D4,2)&amp;RIGHT("0"&amp;E4,2)&amp;RIGHT("0"&amp;F4,2)</f>
        <v>343840414345</v>
      </c>
      <c r="H4" s="6" t="n">
        <f aca="false">VLOOKUP(A4,bola01!A:C,3,0)</f>
        <v>2</v>
      </c>
      <c r="I4" s="6" t="n">
        <f aca="false">VLOOKUP(B4,bola02!A:C,3,0)</f>
        <v>12</v>
      </c>
      <c r="J4" s="6" t="n">
        <f aca="false">VLOOKUP(C4,bola03!A:C,3,0)</f>
        <v>48</v>
      </c>
      <c r="K4" s="6" t="n">
        <f aca="false">VLOOKUP(D4,bola04!A:C,3,0)</f>
        <v>116</v>
      </c>
      <c r="L4" s="6" t="n">
        <f aca="false">VLOOKUP(E4,bola05!A:C,3,0)</f>
        <v>126</v>
      </c>
      <c r="M4" s="6" t="n">
        <f aca="false">VLOOKUP(F4,bola06!A:C,3,0)</f>
        <v>68</v>
      </c>
    </row>
    <row r="5" customFormat="false" ht="13.8" hidden="false" customHeight="false" outlineLevel="0" collapsed="false">
      <c r="A5" s="5" t="n">
        <v>47</v>
      </c>
      <c r="B5" s="5" t="n">
        <v>48</v>
      </c>
      <c r="C5" s="5" t="n">
        <v>50</v>
      </c>
      <c r="D5" s="5" t="n">
        <v>52</v>
      </c>
      <c r="E5" s="5" t="n">
        <v>54</v>
      </c>
      <c r="F5" s="5" t="n">
        <v>57</v>
      </c>
      <c r="G5" s="6" t="str">
        <f aca="false">RIGHT("0"&amp;A5,2)&amp;RIGHT("0"&amp;B5,2)&amp;RIGHT("0"&amp;C5,2)&amp;RIGHT("0"&amp;D5,2)&amp;RIGHT("0"&amp;E5,2)&amp;RIGHT("0"&amp;F5,2)</f>
        <v>474850525457</v>
      </c>
      <c r="H5" s="6" t="n">
        <f aca="false">VLOOKUP(A5,bola01!A:C,3,0)</f>
        <v>0</v>
      </c>
      <c r="I5" s="6" t="n">
        <f aca="false">VLOOKUP(B5,bola02!A:C,3,0)</f>
        <v>2</v>
      </c>
      <c r="J5" s="6" t="n">
        <f aca="false">VLOOKUP(C5,bola03!A:C,3,0)</f>
        <v>12</v>
      </c>
      <c r="K5" s="6" t="n">
        <f aca="false">VLOOKUP(D5,bola04!A:C,3,0)</f>
        <v>36</v>
      </c>
      <c r="L5" s="6" t="n">
        <f aca="false">VLOOKUP(E5,bola05!A:C,3,0)</f>
        <v>93</v>
      </c>
      <c r="M5" s="6" t="n">
        <f aca="false">VLOOKUP(F5,bola06!A:C,3,0)</f>
        <v>204</v>
      </c>
    </row>
    <row r="6" customFormat="false" ht="13.8" hidden="false" customHeight="false" outlineLevel="0" collapsed="false">
      <c r="A6" s="5" t="n">
        <v>2</v>
      </c>
      <c r="B6" s="5" t="n">
        <v>18</v>
      </c>
      <c r="C6" s="5" t="n">
        <v>25</v>
      </c>
      <c r="D6" s="5" t="n">
        <v>32</v>
      </c>
      <c r="E6" s="5" t="n">
        <v>40</v>
      </c>
      <c r="F6" s="5" t="n">
        <v>47</v>
      </c>
      <c r="G6" s="6" t="str">
        <f aca="false">RIGHT("0"&amp;A6,2)&amp;RIGHT("0"&amp;B6,2)&amp;RIGHT("0"&amp;C6,2)&amp;RIGHT("0"&amp;D6,2)&amp;RIGHT("0"&amp;E6,2)&amp;RIGHT("0"&amp;F6,2)</f>
        <v>021825324047</v>
      </c>
      <c r="H6" s="6" t="n">
        <f aca="false">VLOOKUP(A6,bola01!A:C,3,0)</f>
        <v>269</v>
      </c>
      <c r="I6" s="11" t="n">
        <f aca="false">VLOOKUP(B6,bola02!A:C,3,0)</f>
        <v>122</v>
      </c>
      <c r="J6" s="11" t="n">
        <f aca="false">VLOOKUP(C6,bola03!A:C,3,0)</f>
        <v>101</v>
      </c>
      <c r="K6" s="11" t="n">
        <f aca="false">VLOOKUP(D6,bola04!A:C,3,0)</f>
        <v>106</v>
      </c>
      <c r="L6" s="11" t="n">
        <f aca="false">VLOOKUP(E6,bola05!A:C,3,0)</f>
        <v>91</v>
      </c>
      <c r="M6" s="11" t="n">
        <f aca="false">VLOOKUP(F6,bola06!A:C,3,0)</f>
        <v>83</v>
      </c>
    </row>
    <row r="7" customFormat="false" ht="13.8" hidden="false" customHeight="false" outlineLevel="0" collapsed="false">
      <c r="A7" s="5" t="n">
        <v>5</v>
      </c>
      <c r="B7" s="5" t="n">
        <v>16</v>
      </c>
      <c r="C7" s="5" t="n">
        <v>21</v>
      </c>
      <c r="D7" s="5" t="n">
        <v>27</v>
      </c>
      <c r="E7" s="5" t="n">
        <v>33</v>
      </c>
      <c r="F7" s="5" t="n">
        <v>52</v>
      </c>
      <c r="G7" s="6" t="str">
        <f aca="false">RIGHT("0"&amp;A7,2)&amp;RIGHT("0"&amp;B7,2)&amp;RIGHT("0"&amp;C7,2)&amp;RIGHT("0"&amp;D7,2)&amp;RIGHT("0"&amp;E7,2)&amp;RIGHT("0"&amp;F7,2)</f>
        <v>051621273352</v>
      </c>
      <c r="H7" s="6" t="n">
        <f aca="false">VLOOKUP(A7,bola01!A:C,3,0)</f>
        <v>215</v>
      </c>
      <c r="I7" s="6" t="n">
        <f aca="false">VLOOKUP(B7,bola02!A:C,3,0)</f>
        <v>143</v>
      </c>
      <c r="J7" s="11" t="n">
        <f aca="false">VLOOKUP(C7,bola03!A:C,3,0)</f>
        <v>86</v>
      </c>
      <c r="K7" s="11" t="n">
        <f aca="false">VLOOKUP(D7,bola04!A:C,3,0)</f>
        <v>83</v>
      </c>
      <c r="L7" s="11" t="n">
        <f aca="false">VLOOKUP(E7,bola05!A:C,3,0)</f>
        <v>68</v>
      </c>
      <c r="M7" s="6" t="n">
        <f aca="false">VLOOKUP(F7,bola06!A:C,3,0)</f>
        <v>140</v>
      </c>
    </row>
    <row r="8" customFormat="false" ht="13.8" hidden="false" customHeight="false" outlineLevel="0" collapsed="false">
      <c r="A8" s="5" t="n">
        <v>10</v>
      </c>
      <c r="B8" s="5" t="n">
        <v>17</v>
      </c>
      <c r="C8" s="5" t="n">
        <v>24</v>
      </c>
      <c r="D8" s="5" t="n">
        <v>31</v>
      </c>
      <c r="E8" s="5" t="n">
        <v>38</v>
      </c>
      <c r="F8" s="5" t="n">
        <v>54</v>
      </c>
      <c r="G8" s="6" t="str">
        <f aca="false">RIGHT("0"&amp;A8,2)&amp;RIGHT("0"&amp;B8,2)&amp;RIGHT("0"&amp;C8,2)&amp;RIGHT("0"&amp;D8,2)&amp;RIGHT("0"&amp;E8,2)&amp;RIGHT("0"&amp;F8,2)</f>
        <v>101724313854</v>
      </c>
      <c r="H8" s="6" t="n">
        <f aca="false">VLOOKUP(A8,bola01!A:C,3,0)</f>
        <v>158</v>
      </c>
      <c r="I8" s="11" t="n">
        <f aca="false">VLOOKUP(B8,bola02!A:C,3,0)</f>
        <v>120</v>
      </c>
      <c r="J8" s="6" t="n">
        <f aca="false">VLOOKUP(C8,bola03!A:C,3,0)</f>
        <v>116</v>
      </c>
      <c r="K8" s="11" t="n">
        <f aca="false">VLOOKUP(D8,bola04!A:C,3,0)</f>
        <v>79</v>
      </c>
      <c r="L8" s="11" t="n">
        <f aca="false">VLOOKUP(E8,bola05!A:C,3,0)</f>
        <v>98</v>
      </c>
      <c r="M8" s="11" t="n">
        <f aca="false">VLOOKUP(F8,bola06!A:C,3,0)</f>
        <v>187</v>
      </c>
    </row>
    <row r="9" customFormat="false" ht="13.8" hidden="false" customHeight="false" outlineLevel="0" collapsed="false">
      <c r="A9" s="5" t="n">
        <v>11</v>
      </c>
      <c r="B9" s="5" t="n">
        <v>20</v>
      </c>
      <c r="C9" s="5" t="n">
        <v>26</v>
      </c>
      <c r="D9" s="5" t="n">
        <v>34</v>
      </c>
      <c r="E9" s="5" t="n">
        <v>43</v>
      </c>
      <c r="F9" s="5" t="n">
        <v>50</v>
      </c>
      <c r="G9" s="6" t="str">
        <f aca="false">RIGHT("0"&amp;A9,2)&amp;RIGHT("0"&amp;B9,2)&amp;RIGHT("0"&amp;C9,2)&amp;RIGHT("0"&amp;D9,2)&amp;RIGHT("0"&amp;E9,2)&amp;RIGHT("0"&amp;F9,2)</f>
        <v>112026344350</v>
      </c>
      <c r="H9" s="6" t="n">
        <f aca="false">VLOOKUP(A9,bola01!A:C,3,0)</f>
        <v>106</v>
      </c>
      <c r="I9" s="11" t="n">
        <f aca="false">VLOOKUP(B9,bola02!A:C,3,0)</f>
        <v>97</v>
      </c>
      <c r="J9" s="11" t="n">
        <f aca="false">VLOOKUP(C9,bola03!A:C,3,0)</f>
        <v>94</v>
      </c>
      <c r="K9" s="11" t="n">
        <f aca="false">VLOOKUP(D9,bola04!A:C,3,0)</f>
        <v>119</v>
      </c>
      <c r="L9" s="6" t="n">
        <f aca="false">VLOOKUP(E9,bola05!A:C,3,0)</f>
        <v>126</v>
      </c>
      <c r="M9" s="11" t="n">
        <f aca="false">VLOOKUP(F9,bola06!A:C,3,0)</f>
        <v>121</v>
      </c>
    </row>
    <row r="10" customFormat="false" ht="13.8" hidden="false" customHeight="false" outlineLevel="0" collapsed="false">
      <c r="A10" s="5" t="n">
        <v>14</v>
      </c>
      <c r="B10" s="5" t="n">
        <v>22</v>
      </c>
      <c r="C10" s="5" t="n">
        <v>45</v>
      </c>
      <c r="D10" s="5" t="n">
        <v>48</v>
      </c>
      <c r="E10" s="5" t="n">
        <v>41</v>
      </c>
      <c r="F10" s="5" t="n">
        <v>57</v>
      </c>
      <c r="G10" s="6" t="str">
        <f aca="false">RIGHT("0"&amp;A10,2)&amp;RIGHT("0"&amp;B10,2)&amp;RIGHT("0"&amp;C10,2)&amp;RIGHT("0"&amp;D10,2)&amp;RIGHT("0"&amp;E10,2)&amp;RIGHT("0"&amp;F10,2)</f>
        <v>142245484157</v>
      </c>
      <c r="H10" s="6" t="n">
        <f aca="false">VLOOKUP(A10,bola01!A:C,3,0)</f>
        <v>79</v>
      </c>
      <c r="I10" s="11" t="n">
        <f aca="false">VLOOKUP(B10,bola02!A:C,3,0)</f>
        <v>81</v>
      </c>
      <c r="J10" s="6" t="n">
        <f aca="false">VLOOKUP(C10,bola03!A:C,3,0)</f>
        <v>28</v>
      </c>
      <c r="K10" s="6" t="n">
        <f aca="false">VLOOKUP(D10,bola04!A:C,3,0)</f>
        <v>42</v>
      </c>
      <c r="L10" s="11" t="n">
        <f aca="false">VLOOKUP(E10,bola05!A:C,3,0)</f>
        <v>112</v>
      </c>
      <c r="M10" s="11" t="n">
        <f aca="false">VLOOKUP(F10,bola06!A:C,3,0)</f>
        <v>204</v>
      </c>
    </row>
    <row r="11" customFormat="false" ht="13.8" hidden="false" customHeight="false" outlineLevel="0" collapsed="false">
      <c r="A11" s="5" t="n">
        <v>2</v>
      </c>
      <c r="B11" s="5" t="n">
        <v>10</v>
      </c>
      <c r="C11" s="5" t="n">
        <v>16</v>
      </c>
      <c r="D11" s="5" t="n">
        <v>22</v>
      </c>
      <c r="E11" s="5" t="n">
        <v>33</v>
      </c>
      <c r="F11" s="5" t="n">
        <v>45</v>
      </c>
      <c r="G11" s="6" t="str">
        <f aca="false">RIGHT("0"&amp;A11,2)&amp;RIGHT("0"&amp;B11,2)&amp;RIGHT("0"&amp;C11,2)&amp;RIGHT("0"&amp;D11,2)&amp;RIGHT("0"&amp;E11,2)&amp;RIGHT("0"&amp;F11,2)</f>
        <v>021016223345</v>
      </c>
      <c r="H11" s="11" t="n">
        <f aca="false">VLOOKUP(A11,bola01!A:C,3,0)</f>
        <v>269</v>
      </c>
      <c r="I11" s="6" t="n">
        <f aca="false">VLOOKUP(B11,bola02!A:C,3,0)</f>
        <v>138</v>
      </c>
      <c r="J11" s="6" t="n">
        <f aca="false">VLOOKUP(C11,bola03!A:C,3,0)</f>
        <v>79</v>
      </c>
      <c r="K11" s="6" t="n">
        <f aca="false">VLOOKUP(D11,bola04!A:C,3,0)</f>
        <v>49</v>
      </c>
      <c r="L11" s="11" t="n">
        <f aca="false">VLOOKUP(E11,bola05!A:C,3,0)</f>
        <v>68</v>
      </c>
      <c r="M11" s="11" t="n">
        <f aca="false">VLOOKUP(F11,bola06!A:C,3,0)</f>
        <v>68</v>
      </c>
    </row>
    <row r="12" customFormat="false" ht="13.8" hidden="false" customHeight="false" outlineLevel="0" collapsed="false">
      <c r="A12" s="5" t="n">
        <v>5</v>
      </c>
      <c r="B12" s="5" t="n">
        <v>11</v>
      </c>
      <c r="C12" s="5" t="n">
        <v>18</v>
      </c>
      <c r="D12" s="5" t="n">
        <v>25</v>
      </c>
      <c r="E12" s="5" t="n">
        <v>41</v>
      </c>
      <c r="F12" s="5" t="n">
        <v>52</v>
      </c>
      <c r="G12" s="6" t="str">
        <f aca="false">RIGHT("0"&amp;A12,2)&amp;RIGHT("0"&amp;B12,2)&amp;RIGHT("0"&amp;C12,2)&amp;RIGHT("0"&amp;D12,2)&amp;RIGHT("0"&amp;E12,2)&amp;RIGHT("0"&amp;F12,2)</f>
        <v>051118254152</v>
      </c>
      <c r="H12" s="11" t="n">
        <f aca="false">VLOOKUP(A12,bola01!A:C,3,0)</f>
        <v>215</v>
      </c>
      <c r="I12" s="6" t="n">
        <f aca="false">VLOOKUP(B12,bola02!A:C,3,0)</f>
        <v>136</v>
      </c>
      <c r="J12" s="6" t="n">
        <f aca="false">VLOOKUP(C12,bola03!A:C,3,0)</f>
        <v>80</v>
      </c>
      <c r="K12" s="6" t="n">
        <f aca="false">VLOOKUP(D12,bola04!A:C,3,0)</f>
        <v>77</v>
      </c>
      <c r="L12" s="11" t="n">
        <f aca="false">VLOOKUP(E12,bola05!A:C,3,0)</f>
        <v>112</v>
      </c>
      <c r="M12" s="6" t="n">
        <f aca="false">VLOOKUP(F12,bola06!A:C,3,0)</f>
        <v>140</v>
      </c>
    </row>
    <row r="13" customFormat="false" ht="13.8" hidden="false" customHeight="false" outlineLevel="0" collapsed="false">
      <c r="A13" s="5" t="n">
        <v>10</v>
      </c>
      <c r="B13" s="5" t="n">
        <v>14</v>
      </c>
      <c r="C13" s="5" t="n">
        <v>21</v>
      </c>
      <c r="D13" s="5" t="n">
        <v>27</v>
      </c>
      <c r="E13" s="5" t="n">
        <v>38</v>
      </c>
      <c r="F13" s="5" t="n">
        <v>47</v>
      </c>
      <c r="G13" s="6" t="str">
        <f aca="false">RIGHT("0"&amp;A13,2)&amp;RIGHT("0"&amp;B13,2)&amp;RIGHT("0"&amp;C13,2)&amp;RIGHT("0"&amp;D13,2)&amp;RIGHT("0"&amp;E13,2)&amp;RIGHT("0"&amp;F13,2)</f>
        <v>101421273847</v>
      </c>
      <c r="H13" s="11" t="n">
        <f aca="false">VLOOKUP(A13,bola01!A:C,3,0)</f>
        <v>158</v>
      </c>
      <c r="I13" s="11" t="n">
        <f aca="false">VLOOKUP(B13,bola02!A:C,3,0)</f>
        <v>110</v>
      </c>
      <c r="J13" s="11" t="n">
        <f aca="false">VLOOKUP(C13,bola03!A:C,3,0)</f>
        <v>86</v>
      </c>
      <c r="K13" s="6" t="n">
        <f aca="false">VLOOKUP(D13,bola04!A:C,3,0)</f>
        <v>83</v>
      </c>
      <c r="L13" s="11" t="n">
        <f aca="false">VLOOKUP(E13,bola05!A:C,3,0)</f>
        <v>98</v>
      </c>
      <c r="M13" s="11" t="n">
        <f aca="false">VLOOKUP(F13,bola06!A:C,3,0)</f>
        <v>83</v>
      </c>
    </row>
    <row r="14" customFormat="false" ht="13.8" hidden="false" customHeight="false" outlineLevel="0" collapsed="false">
      <c r="A14" s="5" t="n">
        <v>2</v>
      </c>
      <c r="B14" s="5" t="n">
        <v>17</v>
      </c>
      <c r="C14" s="5" t="n">
        <v>24</v>
      </c>
      <c r="D14" s="5" t="n">
        <v>32</v>
      </c>
      <c r="E14" s="5" t="n">
        <v>43</v>
      </c>
      <c r="F14" s="5" t="n">
        <v>54</v>
      </c>
      <c r="G14" s="6" t="str">
        <f aca="false">RIGHT("0"&amp;A14,2)&amp;RIGHT("0"&amp;B14,2)&amp;RIGHT("0"&amp;C14,2)&amp;RIGHT("0"&amp;D14,2)&amp;RIGHT("0"&amp;E14,2)&amp;RIGHT("0"&amp;F14,2)</f>
        <v>021724324354</v>
      </c>
      <c r="H14" s="11" t="n">
        <f aca="false">VLOOKUP(A14,bola01!A:C,3,0)</f>
        <v>269</v>
      </c>
      <c r="I14" s="11" t="n">
        <f aca="false">VLOOKUP(B14,bola02!A:C,3,0)</f>
        <v>120</v>
      </c>
      <c r="J14" s="6" t="n">
        <f aca="false">VLOOKUP(C14,bola03!A:C,3,0)</f>
        <v>116</v>
      </c>
      <c r="K14" s="11" t="n">
        <f aca="false">VLOOKUP(D14,bola04!A:C,3,0)</f>
        <v>106</v>
      </c>
      <c r="L14" s="6" t="n">
        <f aca="false">VLOOKUP(E14,bola05!A:C,3,0)</f>
        <v>126</v>
      </c>
      <c r="M14" s="11" t="n">
        <f aca="false">VLOOKUP(F14,bola06!A:C,3,0)</f>
        <v>187</v>
      </c>
    </row>
    <row r="15" customFormat="false" ht="13.8" hidden="false" customHeight="false" outlineLevel="0" collapsed="false">
      <c r="A15" s="5" t="n">
        <v>5</v>
      </c>
      <c r="B15" s="5" t="n">
        <v>20</v>
      </c>
      <c r="C15" s="5" t="n">
        <v>26</v>
      </c>
      <c r="D15" s="5" t="n">
        <v>31</v>
      </c>
      <c r="E15" s="5" t="n">
        <v>40</v>
      </c>
      <c r="F15" s="5" t="n">
        <v>50</v>
      </c>
      <c r="G15" s="6" t="str">
        <f aca="false">RIGHT("0"&amp;A15,2)&amp;RIGHT("0"&amp;B15,2)&amp;RIGHT("0"&amp;C15,2)&amp;RIGHT("0"&amp;D15,2)&amp;RIGHT("0"&amp;E15,2)&amp;RIGHT("0"&amp;F15,2)</f>
        <v>052026314050</v>
      </c>
      <c r="H15" s="11" t="n">
        <f aca="false">VLOOKUP(A15,bola01!A:C,3,0)</f>
        <v>215</v>
      </c>
      <c r="I15" s="11" t="n">
        <f aca="false">VLOOKUP(B15,bola02!A:C,3,0)</f>
        <v>97</v>
      </c>
      <c r="J15" s="11" t="n">
        <f aca="false">VLOOKUP(C15,bola03!A:C,3,0)</f>
        <v>94</v>
      </c>
      <c r="K15" s="11" t="n">
        <f aca="false">VLOOKUP(D15,bola04!A:C,3,0)</f>
        <v>79</v>
      </c>
      <c r="L15" s="11" t="n">
        <f aca="false">VLOOKUP(E15,bola05!A:C,3,0)</f>
        <v>91</v>
      </c>
      <c r="M15" s="11" t="n">
        <f aca="false">VLOOKUP(F15,bola06!A:C,3,0)</f>
        <v>121</v>
      </c>
    </row>
    <row r="16" customFormat="false" ht="13.8" hidden="false" customHeight="false" outlineLevel="0" collapsed="false">
      <c r="A16" s="5" t="n">
        <v>10</v>
      </c>
      <c r="B16" s="5" t="n">
        <v>16</v>
      </c>
      <c r="C16" s="5" t="n">
        <v>22</v>
      </c>
      <c r="D16" s="5" t="n">
        <v>34</v>
      </c>
      <c r="E16" s="5" t="n">
        <v>48</v>
      </c>
      <c r="F16" s="5" t="n">
        <v>57</v>
      </c>
      <c r="G16" s="6" t="str">
        <f aca="false">RIGHT("0"&amp;A16,2)&amp;RIGHT("0"&amp;B16,2)&amp;RIGHT("0"&amp;C16,2)&amp;RIGHT("0"&amp;D16,2)&amp;RIGHT("0"&amp;E16,2)&amp;RIGHT("0"&amp;F16,2)</f>
        <v>101622344857</v>
      </c>
      <c r="H16" s="11" t="n">
        <f aca="false">VLOOKUP(A16,bola01!A:C,3,0)</f>
        <v>158</v>
      </c>
      <c r="I16" s="6" t="n">
        <f aca="false">VLOOKUP(B16,bola02!A:C,3,0)</f>
        <v>143</v>
      </c>
      <c r="J16" s="11" t="n">
        <f aca="false">VLOOKUP(C16,bola03!A:C,3,0)</f>
        <v>87</v>
      </c>
      <c r="K16" s="11" t="n">
        <f aca="false">VLOOKUP(D16,bola04!A:C,3,0)</f>
        <v>119</v>
      </c>
      <c r="L16" s="6" t="n">
        <f aca="false">VLOOKUP(E16,bola05!A:C,3,0)</f>
        <v>117</v>
      </c>
      <c r="M16" s="11" t="n">
        <f aca="false">VLOOKUP(F16,bola06!A:C,3,0)</f>
        <v>204</v>
      </c>
    </row>
    <row r="17" customFormat="false" ht="13.8" hidden="false" customHeight="false" outlineLevel="0" collapsed="false">
      <c r="A17" s="5" t="n">
        <v>11</v>
      </c>
      <c r="B17" s="5" t="n">
        <v>18</v>
      </c>
      <c r="C17" s="5" t="n">
        <v>24</v>
      </c>
      <c r="D17" s="5" t="n">
        <v>33</v>
      </c>
      <c r="E17" s="5" t="n">
        <v>41</v>
      </c>
      <c r="F17" s="5" t="n">
        <v>45</v>
      </c>
      <c r="G17" s="6" t="str">
        <f aca="false">RIGHT("0"&amp;A17,2)&amp;RIGHT("0"&amp;B17,2)&amp;RIGHT("0"&amp;C17,2)&amp;RIGHT("0"&amp;D17,2)&amp;RIGHT("0"&amp;E17,2)&amp;RIGHT("0"&amp;F17,2)</f>
        <v>111824334145</v>
      </c>
      <c r="H17" s="6" t="n">
        <f aca="false">VLOOKUP(A17,bola01!A:C,3,0)</f>
        <v>106</v>
      </c>
      <c r="I17" s="11" t="n">
        <f aca="false">VLOOKUP(B17,bola02!A:C,3,0)</f>
        <v>122</v>
      </c>
      <c r="J17" s="6" t="n">
        <f aca="false">VLOOKUP(C17,bola03!A:C,3,0)</f>
        <v>116</v>
      </c>
      <c r="K17" s="11" t="n">
        <f aca="false">VLOOKUP(D17,bola04!A:C,3,0)</f>
        <v>117</v>
      </c>
      <c r="L17" s="11" t="n">
        <f aca="false">VLOOKUP(E17,bola05!A:C,3,0)</f>
        <v>112</v>
      </c>
      <c r="M17" s="11" t="n">
        <f aca="false">VLOOKUP(F17,bola06!A:C,3,0)</f>
        <v>68</v>
      </c>
    </row>
    <row r="18" customFormat="false" ht="13.8" hidden="false" customHeight="false" outlineLevel="0" collapsed="false">
      <c r="A18" s="5" t="n">
        <v>2</v>
      </c>
      <c r="B18" s="5" t="n">
        <v>14</v>
      </c>
      <c r="C18" s="5" t="n">
        <v>25</v>
      </c>
      <c r="D18" s="5" t="n">
        <v>27</v>
      </c>
      <c r="E18" s="5" t="n">
        <v>38</v>
      </c>
      <c r="F18" s="5" t="n">
        <v>52</v>
      </c>
      <c r="G18" s="6" t="str">
        <f aca="false">RIGHT("0"&amp;A18,2)&amp;RIGHT("0"&amp;B18,2)&amp;RIGHT("0"&amp;C18,2)&amp;RIGHT("0"&amp;D18,2)&amp;RIGHT("0"&amp;E18,2)&amp;RIGHT("0"&amp;F18,2)</f>
        <v>021425273852</v>
      </c>
      <c r="H18" s="11" t="n">
        <f aca="false">VLOOKUP(A18,bola01!A:C,3,0)</f>
        <v>269</v>
      </c>
      <c r="I18" s="11" t="n">
        <f aca="false">VLOOKUP(B18,bola02!A:C,3,0)</f>
        <v>110</v>
      </c>
      <c r="J18" s="11" t="n">
        <f aca="false">VLOOKUP(C18,bola03!A:C,3,0)</f>
        <v>101</v>
      </c>
      <c r="K18" s="11" t="n">
        <f aca="false">VLOOKUP(D18,bola04!A:C,3,0)</f>
        <v>83</v>
      </c>
      <c r="L18" s="11" t="n">
        <f aca="false">VLOOKUP(E18,bola05!A:C,3,0)</f>
        <v>98</v>
      </c>
      <c r="M18" s="6" t="n">
        <f aca="false">VLOOKUP(F18,bola06!A:C,3,0)</f>
        <v>140</v>
      </c>
    </row>
    <row r="19" customFormat="false" ht="13.8" hidden="false" customHeight="false" outlineLevel="0" collapsed="false">
      <c r="A19" s="5" t="n">
        <v>5</v>
      </c>
      <c r="B19" s="5" t="n">
        <v>17</v>
      </c>
      <c r="C19" s="5" t="n">
        <v>21</v>
      </c>
      <c r="D19" s="5" t="n">
        <v>32</v>
      </c>
      <c r="E19" s="5" t="n">
        <v>47</v>
      </c>
      <c r="F19" s="5" t="n">
        <v>54</v>
      </c>
      <c r="G19" s="6" t="str">
        <f aca="false">RIGHT("0"&amp;A19,2)&amp;RIGHT("0"&amp;B19,2)&amp;RIGHT("0"&amp;C19,2)&amp;RIGHT("0"&amp;D19,2)&amp;RIGHT("0"&amp;E19,2)&amp;RIGHT("0"&amp;F19,2)</f>
        <v>051721324754</v>
      </c>
      <c r="H19" s="11" t="n">
        <f aca="false">VLOOKUP(A19,bola01!A:C,3,0)</f>
        <v>215</v>
      </c>
      <c r="I19" s="11" t="n">
        <f aca="false">VLOOKUP(B19,bola02!A:C,3,0)</f>
        <v>120</v>
      </c>
      <c r="J19" s="11" t="n">
        <f aca="false">VLOOKUP(C19,bola03!A:C,3,0)</f>
        <v>86</v>
      </c>
      <c r="K19" s="11" t="n">
        <f aca="false">VLOOKUP(D19,bola04!A:C,3,0)</f>
        <v>106</v>
      </c>
      <c r="L19" s="11" t="n">
        <f aca="false">VLOOKUP(E19,bola05!A:C,3,0)</f>
        <v>109</v>
      </c>
      <c r="M19" s="11" t="n">
        <f aca="false">VLOOKUP(F19,bola06!A:C,3,0)</f>
        <v>187</v>
      </c>
    </row>
    <row r="20" customFormat="false" ht="13.8" hidden="false" customHeight="false" outlineLevel="0" collapsed="false">
      <c r="A20" s="5" t="n">
        <v>10</v>
      </c>
      <c r="B20" s="5" t="n">
        <v>20</v>
      </c>
      <c r="C20" s="5" t="n">
        <v>26</v>
      </c>
      <c r="D20" s="5" t="n">
        <v>34</v>
      </c>
      <c r="E20" s="5" t="n">
        <v>43</v>
      </c>
      <c r="F20" s="5" t="n">
        <v>50</v>
      </c>
      <c r="G20" s="6" t="str">
        <f aca="false">RIGHT("0"&amp;A20,2)&amp;RIGHT("0"&amp;B20,2)&amp;RIGHT("0"&amp;C20,2)&amp;RIGHT("0"&amp;D20,2)&amp;RIGHT("0"&amp;E20,2)&amp;RIGHT("0"&amp;F20,2)</f>
        <v>102026344350</v>
      </c>
      <c r="H20" s="11" t="n">
        <f aca="false">VLOOKUP(A20,bola01!A:C,3,0)</f>
        <v>158</v>
      </c>
      <c r="I20" s="11" t="n">
        <f aca="false">VLOOKUP(B20,bola02!A:C,3,0)</f>
        <v>97</v>
      </c>
      <c r="J20" s="11" t="n">
        <f aca="false">VLOOKUP(C20,bola03!A:C,3,0)</f>
        <v>94</v>
      </c>
      <c r="K20" s="11" t="n">
        <f aca="false">VLOOKUP(D20,bola04!A:C,3,0)</f>
        <v>119</v>
      </c>
      <c r="L20" s="6" t="n">
        <f aca="false">VLOOKUP(E20,bola05!A:C,3,0)</f>
        <v>126</v>
      </c>
      <c r="M20" s="11" t="n">
        <f aca="false">VLOOKUP(F20,bola06!A:C,3,0)</f>
        <v>121</v>
      </c>
    </row>
    <row r="21" customFormat="false" ht="12.8" hidden="false" customHeight="true" outlineLevel="0" collapsed="false">
      <c r="A21" s="5" t="n">
        <v>4</v>
      </c>
      <c r="B21" s="5" t="n">
        <v>10</v>
      </c>
      <c r="C21" s="5" t="n">
        <v>16</v>
      </c>
      <c r="D21" s="5" t="n">
        <v>21</v>
      </c>
      <c r="E21" s="5" t="n">
        <v>26</v>
      </c>
      <c r="F21" s="5" t="n">
        <v>27</v>
      </c>
      <c r="G21" s="6" t="str">
        <f aca="false">RIGHT("0"&amp;A21,2)&amp;RIGHT("0"&amp;B21,2)&amp;RIGHT("0"&amp;C21,2)&amp;RIGHT("0"&amp;D21,2)&amp;RIGHT("0"&amp;E21,2)&amp;RIGHT("0"&amp;F21,2)</f>
        <v>041016212627</v>
      </c>
      <c r="H21" s="11" t="n">
        <f aca="false">VLOOKUP(A21,bola01!A:C,3,0)</f>
        <v>248</v>
      </c>
      <c r="I21" s="11" t="n">
        <f aca="false">VLOOKUP(B21,bola02!A:C,3,0)</f>
        <v>138</v>
      </c>
      <c r="J21" s="11" t="n">
        <f aca="false">VLOOKUP(C21,bola03!A:C,3,0)</f>
        <v>79</v>
      </c>
      <c r="K21" s="11" t="n">
        <f aca="false">VLOOKUP(D21,bola04!A:C,3,0)</f>
        <v>46</v>
      </c>
      <c r="L21" s="6" t="n">
        <f aca="false">VLOOKUP(E21,bola05!A:C,3,0)</f>
        <v>16</v>
      </c>
      <c r="M21" s="11" t="n">
        <f aca="false">VLOOKUP(F21,bola06!A:C,3,0)</f>
        <v>4</v>
      </c>
    </row>
    <row r="22" customFormat="false" ht="12.8" hidden="false" customHeight="true" outlineLevel="0" collapsed="false">
      <c r="A22" s="5" t="n">
        <v>9</v>
      </c>
      <c r="B22" s="5" t="n">
        <v>11</v>
      </c>
      <c r="C22" s="5" t="n">
        <v>17</v>
      </c>
      <c r="D22" s="5" t="n">
        <v>24</v>
      </c>
      <c r="E22" s="5" t="n">
        <v>29</v>
      </c>
      <c r="F22" s="5" t="n">
        <v>38</v>
      </c>
      <c r="G22" s="6" t="str">
        <f aca="false">RIGHT("0"&amp;A22,2)&amp;RIGHT("0"&amp;B22,2)&amp;RIGHT("0"&amp;C22,2)&amp;RIGHT("0"&amp;D22,2)&amp;RIGHT("0"&amp;E22,2)&amp;RIGHT("0"&amp;F22,2)</f>
        <v>091117242938</v>
      </c>
      <c r="H22" s="11" t="n">
        <f aca="false">VLOOKUP(A22,bola01!A:C,3,0)</f>
        <v>144</v>
      </c>
      <c r="I22" s="11" t="n">
        <f aca="false">VLOOKUP(B22,bola02!A:C,3,0)</f>
        <v>136</v>
      </c>
      <c r="J22" s="11" t="n">
        <f aca="false">VLOOKUP(C22,bola03!A:C,3,0)</f>
        <v>98</v>
      </c>
      <c r="K22" s="11" t="n">
        <f aca="false">VLOOKUP(D22,bola04!A:C,3,0)</f>
        <v>71</v>
      </c>
      <c r="L22" s="6" t="n">
        <f aca="false">VLOOKUP(E22,bola05!A:C,3,0)</f>
        <v>33</v>
      </c>
      <c r="M22" s="11" t="n">
        <f aca="false">VLOOKUP(F22,bola06!A:C,3,0)</f>
        <v>27</v>
      </c>
    </row>
    <row r="23" customFormat="false" ht="12.8" hidden="false" customHeight="true" outlineLevel="0" collapsed="false">
      <c r="A23" s="5" t="n">
        <v>12</v>
      </c>
      <c r="B23" s="5" t="n">
        <v>13</v>
      </c>
      <c r="C23" s="5" t="n">
        <v>15</v>
      </c>
      <c r="D23" s="5" t="n">
        <v>18</v>
      </c>
      <c r="E23" s="5" t="n">
        <v>20</v>
      </c>
      <c r="F23" s="5" t="n">
        <v>37</v>
      </c>
      <c r="G23" s="6" t="str">
        <f aca="false">RIGHT("0"&amp;A23,2)&amp;RIGHT("0"&amp;B23,2)&amp;RIGHT("0"&amp;C23,2)&amp;RIGHT("0"&amp;D23,2)&amp;RIGHT("0"&amp;E23,2)&amp;RIGHT("0"&amp;F23,2)</f>
        <v>121315182037</v>
      </c>
      <c r="H23" s="11" t="n">
        <f aca="false">VLOOKUP(A23,bola01!A:C,3,0)</f>
        <v>95</v>
      </c>
      <c r="I23" s="11" t="n">
        <f aca="false">VLOOKUP(B23,bola02!A:C,3,0)</f>
        <v>150</v>
      </c>
      <c r="J23" s="11" t="n">
        <f aca="false">VLOOKUP(C23,bola03!A:C,3,0)</f>
        <v>66</v>
      </c>
      <c r="K23" s="11" t="n">
        <f aca="false">VLOOKUP(D23,bola04!A:C,3,0)</f>
        <v>38</v>
      </c>
      <c r="L23" s="6" t="n">
        <f aca="false">VLOOKUP(E23,bola05!A:C,3,0)</f>
        <v>11</v>
      </c>
      <c r="M23" s="11" t="n">
        <f aca="false">VLOOKUP(F23,bola06!A:C,3,0)</f>
        <v>26</v>
      </c>
    </row>
    <row r="24" customFormat="false" ht="12.8" hidden="false" customHeight="true" outlineLevel="0" collapsed="false">
      <c r="A24" s="5" t="n">
        <v>25</v>
      </c>
      <c r="B24" s="5" t="n">
        <v>27</v>
      </c>
      <c r="C24" s="5" t="n">
        <v>34</v>
      </c>
      <c r="D24" s="5" t="n">
        <v>41</v>
      </c>
      <c r="E24" s="5" t="n">
        <v>44</v>
      </c>
      <c r="F24" s="5" t="n">
        <v>49</v>
      </c>
      <c r="G24" s="6" t="str">
        <f aca="false">RIGHT("0"&amp;A24,2)&amp;RIGHT("0"&amp;B24,2)&amp;RIGHT("0"&amp;C24,2)&amp;RIGHT("0"&amp;D24,2)&amp;RIGHT("0"&amp;E24,2)&amp;RIGHT("0"&amp;F24,2)</f>
        <v>252734414449</v>
      </c>
      <c r="H24" s="11" t="n">
        <f aca="false">VLOOKUP(A24,bola01!A:C,3,0)</f>
        <v>22</v>
      </c>
      <c r="I24" s="11" t="n">
        <f aca="false">VLOOKUP(B24,bola02!A:C,3,0)</f>
        <v>93</v>
      </c>
      <c r="J24" s="11" t="n">
        <f aca="false">VLOOKUP(C24,bola03!A:C,3,0)</f>
        <v>104</v>
      </c>
      <c r="K24" s="11" t="n">
        <f aca="false">VLOOKUP(D24,bola04!A:C,3,0)</f>
        <v>116</v>
      </c>
      <c r="L24" s="6" t="n">
        <f aca="false">VLOOKUP(E24,bola05!A:C,3,0)</f>
        <v>109</v>
      </c>
      <c r="M24" s="11" t="n">
        <f aca="false">VLOOKUP(F24,bola06!A:C,3,0)</f>
        <v>123</v>
      </c>
    </row>
    <row r="25" customFormat="false" ht="12.8" hidden="false" customHeight="true" outlineLevel="0" collapsed="false">
      <c r="A25" s="5" t="n">
        <v>14</v>
      </c>
      <c r="B25" s="5" t="n">
        <v>19</v>
      </c>
      <c r="C25" s="5" t="n">
        <v>35</v>
      </c>
      <c r="D25" s="5" t="n">
        <v>45</v>
      </c>
      <c r="E25" s="5" t="n">
        <v>54</v>
      </c>
      <c r="F25" s="5" t="n">
        <v>57</v>
      </c>
      <c r="G25" s="6" t="str">
        <f aca="false">RIGHT("0"&amp;A25,2)&amp;RIGHT("0"&amp;B25,2)&amp;RIGHT("0"&amp;C25,2)&amp;RIGHT("0"&amp;D25,2)&amp;RIGHT("0"&amp;E25,2)&amp;RIGHT("0"&amp;F25,2)</f>
        <v>141935455457</v>
      </c>
      <c r="H25" s="11" t="n">
        <f aca="false">VLOOKUP(A25,bola01!A:C,3,0)</f>
        <v>79</v>
      </c>
      <c r="I25" s="11" t="n">
        <f aca="false">VLOOKUP(B25,bola02!A:C,3,0)</f>
        <v>95</v>
      </c>
      <c r="J25" s="11" t="n">
        <f aca="false">VLOOKUP(C25,bola03!A:C,3,0)</f>
        <v>74</v>
      </c>
      <c r="K25" s="11" t="n">
        <f aca="false">VLOOKUP(D25,bola04!A:C,3,0)</f>
        <v>64</v>
      </c>
      <c r="L25" s="6" t="n">
        <f aca="false">VLOOKUP(E25,bola05!A:C,3,0)</f>
        <v>93</v>
      </c>
      <c r="M25" s="11" t="n">
        <f aca="false">VLOOKUP(F25,bola06!A:C,3,0)</f>
        <v>204</v>
      </c>
    </row>
    <row r="26" customFormat="false" ht="12.8" hidden="false" customHeight="true" outlineLevel="0" collapsed="false">
      <c r="A26" s="5" t="n">
        <v>10</v>
      </c>
      <c r="B26" s="5" t="n">
        <v>25</v>
      </c>
      <c r="C26" s="5" t="n">
        <v>28</v>
      </c>
      <c r="D26" s="5" t="n">
        <v>39</v>
      </c>
      <c r="E26" s="5" t="n">
        <v>40</v>
      </c>
      <c r="F26" s="5" t="n">
        <v>42</v>
      </c>
      <c r="G26" s="6" t="str">
        <f aca="false">RIGHT("0"&amp;A26,2)&amp;RIGHT("0"&amp;B26,2)&amp;RIGHT("0"&amp;C26,2)&amp;RIGHT("0"&amp;D26,2)&amp;RIGHT("0"&amp;E26,2)&amp;RIGHT("0"&amp;F26,2)</f>
        <v>102528394042</v>
      </c>
      <c r="H26" s="11" t="n">
        <f aca="false">VLOOKUP(A26,bola01!A:C,3,0)</f>
        <v>158</v>
      </c>
      <c r="I26" s="11" t="n">
        <f aca="false">VLOOKUP(B26,bola02!A:C,3,0)</f>
        <v>67</v>
      </c>
      <c r="J26" s="11" t="n">
        <f aca="false">VLOOKUP(C26,bola03!A:C,3,0)</f>
        <v>121</v>
      </c>
      <c r="K26" s="11" t="n">
        <f aca="false">VLOOKUP(D26,bola04!A:C,3,0)</f>
        <v>113</v>
      </c>
      <c r="L26" s="6" t="n">
        <f aca="false">VLOOKUP(E26,bola05!A:C,3,0)</f>
        <v>91</v>
      </c>
      <c r="M26" s="11" t="n">
        <f aca="false">VLOOKUP(F26,bola06!A:C,3,0)</f>
        <v>42</v>
      </c>
    </row>
    <row r="27" customFormat="false" ht="12.8" hidden="false" customHeight="true" outlineLevel="0" collapsed="false">
      <c r="A27" s="5" t="n">
        <v>4</v>
      </c>
      <c r="B27" s="5" t="n">
        <v>17</v>
      </c>
      <c r="C27" s="5" t="n">
        <v>24</v>
      </c>
      <c r="D27" s="5" t="n">
        <v>38</v>
      </c>
      <c r="E27" s="5" t="n">
        <v>47</v>
      </c>
      <c r="F27" s="5" t="n">
        <v>48</v>
      </c>
      <c r="G27" s="6" t="str">
        <f aca="false">RIGHT("0"&amp;A27,2)&amp;RIGHT("0"&amp;B27,2)&amp;RIGHT("0"&amp;C27,2)&amp;RIGHT("0"&amp;D27,2)&amp;RIGHT("0"&amp;E27,2)&amp;RIGHT("0"&amp;F27,2)</f>
        <v>041724384748</v>
      </c>
      <c r="H27" s="11" t="n">
        <f aca="false">VLOOKUP(A27,bola01!A:C,3,0)</f>
        <v>248</v>
      </c>
      <c r="I27" s="11" t="n">
        <f aca="false">VLOOKUP(B27,bola02!A:C,3,0)</f>
        <v>120</v>
      </c>
      <c r="J27" s="11" t="n">
        <f aca="false">VLOOKUP(C27,bola03!A:C,3,0)</f>
        <v>116</v>
      </c>
      <c r="K27" s="11" t="n">
        <f aca="false">VLOOKUP(D27,bola04!A:C,3,0)</f>
        <v>113</v>
      </c>
      <c r="L27" s="6" t="n">
        <f aca="false">VLOOKUP(E27,bola05!A:C,3,0)</f>
        <v>109</v>
      </c>
      <c r="M27" s="11" t="n">
        <f aca="false">VLOOKUP(F27,bola06!A:C,3,0)</f>
        <v>104</v>
      </c>
    </row>
    <row r="28" customFormat="false" ht="12.8" hidden="false" customHeight="true" outlineLevel="0" collapsed="false">
      <c r="A28" s="5" t="n">
        <v>11</v>
      </c>
      <c r="B28" s="5" t="n">
        <v>20</v>
      </c>
      <c r="C28" s="5" t="n">
        <v>29</v>
      </c>
      <c r="D28" s="5" t="n">
        <v>37</v>
      </c>
      <c r="E28" s="5" t="n">
        <v>50</v>
      </c>
      <c r="F28" s="5" t="n">
        <v>51</v>
      </c>
      <c r="G28" s="6" t="str">
        <f aca="false">RIGHT("0"&amp;A28,2)&amp;RIGHT("0"&amp;B28,2)&amp;RIGHT("0"&amp;C28,2)&amp;RIGHT("0"&amp;D28,2)&amp;RIGHT("0"&amp;E28,2)&amp;RIGHT("0"&amp;F28,2)</f>
        <v>112029375051</v>
      </c>
      <c r="H28" s="11" t="n">
        <f aca="false">VLOOKUP(A28,bola01!A:C,3,0)</f>
        <v>106</v>
      </c>
      <c r="I28" s="11" t="n">
        <f aca="false">VLOOKUP(B28,bola02!A:C,3,0)</f>
        <v>97</v>
      </c>
      <c r="J28" s="11" t="n">
        <f aca="false">VLOOKUP(C28,bola03!A:C,3,0)</f>
        <v>102</v>
      </c>
      <c r="K28" s="11" t="n">
        <f aca="false">VLOOKUP(D28,bola04!A:C,3,0)</f>
        <v>125</v>
      </c>
      <c r="L28" s="6" t="n">
        <f aca="false">VLOOKUP(E28,bola05!A:C,3,0)</f>
        <v>109</v>
      </c>
      <c r="M28" s="11" t="n">
        <f aca="false">VLOOKUP(F28,bola06!A:C,3,0)</f>
        <v>132</v>
      </c>
    </row>
    <row r="29" customFormat="false" ht="12.8" hidden="false" customHeight="true" outlineLevel="0" collapsed="false">
      <c r="A29" s="5" t="n">
        <v>13</v>
      </c>
      <c r="B29" s="5" t="n">
        <v>18</v>
      </c>
      <c r="C29" s="5" t="n">
        <v>26</v>
      </c>
      <c r="D29" s="5" t="n">
        <v>34</v>
      </c>
      <c r="E29" s="5" t="n">
        <v>41</v>
      </c>
      <c r="F29" s="5" t="n">
        <v>59</v>
      </c>
      <c r="G29" s="6" t="str">
        <f aca="false">RIGHT("0"&amp;A29,2)&amp;RIGHT("0"&amp;B29,2)&amp;RIGHT("0"&amp;C29,2)&amp;RIGHT("0"&amp;D29,2)&amp;RIGHT("0"&amp;E29,2)&amp;RIGHT("0"&amp;F29,2)</f>
        <v>131826344159</v>
      </c>
      <c r="H29" s="11" t="n">
        <f aca="false">VLOOKUP(A29,bola01!A:C,3,0)</f>
        <v>79</v>
      </c>
      <c r="I29" s="11" t="n">
        <f aca="false">VLOOKUP(B29,bola02!A:C,3,0)</f>
        <v>122</v>
      </c>
      <c r="J29" s="11" t="n">
        <f aca="false">VLOOKUP(C29,bola03!A:C,3,0)</f>
        <v>94</v>
      </c>
      <c r="K29" s="11" t="n">
        <f aca="false">VLOOKUP(D29,bola04!A:C,3,0)</f>
        <v>119</v>
      </c>
      <c r="L29" s="6" t="n">
        <f aca="false">VLOOKUP(E29,bola05!A:C,3,0)</f>
        <v>112</v>
      </c>
      <c r="M29" s="11" t="n">
        <f aca="false">VLOOKUP(F29,bola06!A:C,3,0)</f>
        <v>261</v>
      </c>
    </row>
    <row r="30" customFormat="false" ht="12.8" hidden="false" customHeight="true" outlineLevel="0" collapsed="false">
      <c r="A30" s="5" t="n">
        <v>9</v>
      </c>
      <c r="B30" s="5" t="n">
        <v>12</v>
      </c>
      <c r="C30" s="5" t="n">
        <v>21</v>
      </c>
      <c r="D30" s="5" t="n">
        <v>35</v>
      </c>
      <c r="E30" s="5" t="n">
        <v>52</v>
      </c>
      <c r="F30" s="5" t="n">
        <v>54</v>
      </c>
      <c r="G30" s="6" t="str">
        <f aca="false">RIGHT("0"&amp;A30,2)&amp;RIGHT("0"&amp;B30,2)&amp;RIGHT("0"&amp;C30,2)&amp;RIGHT("0"&amp;D30,2)&amp;RIGHT("0"&amp;E30,2)&amp;RIGHT("0"&amp;F30,2)</f>
        <v>091221355254</v>
      </c>
      <c r="H30" s="11" t="n">
        <f aca="false">VLOOKUP(A30,bola01!A:C,3,0)</f>
        <v>144</v>
      </c>
      <c r="I30" s="11" t="n">
        <f aca="false">VLOOKUP(B30,bola02!A:C,3,0)</f>
        <v>122</v>
      </c>
      <c r="J30" s="11" t="n">
        <f aca="false">VLOOKUP(C30,bola03!A:C,3,0)</f>
        <v>86</v>
      </c>
      <c r="K30" s="11" t="n">
        <f aca="false">VLOOKUP(D30,bola04!A:C,3,0)</f>
        <v>123</v>
      </c>
      <c r="L30" s="6" t="n">
        <f aca="false">VLOOKUP(E30,bola05!A:C,3,0)</f>
        <v>120</v>
      </c>
      <c r="M30" s="11" t="n">
        <f aca="false">VLOOKUP(F30,bola06!A:C,3,0)</f>
        <v>187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11.53515625" defaultRowHeight="12.8" zeroHeight="false" outlineLevelRow="0" outlineLevelCol="0"/>
  <sheetData>
    <row r="1" customFormat="false" ht="13.8" hidden="false" customHeight="false" outlineLevel="0" collapsed="false">
      <c r="A1" s="6" t="n">
        <f aca="false">+(7692.11*20)-((7692.11*20)*0.005)-((7692.11*20)*0.04)</f>
        <v>146919.301</v>
      </c>
    </row>
    <row r="2" customFormat="false" ht="16.4" hidden="false" customHeight="false" outlineLevel="0" collapsed="false">
      <c r="A2" s="6" t="n">
        <v>18000</v>
      </c>
      <c r="B2" s="6" t="s">
        <v>16940</v>
      </c>
    </row>
    <row r="3" customFormat="false" ht="13.8" hidden="false" customHeight="false" outlineLevel="0" collapsed="false">
      <c r="A3" s="6" t="n">
        <v>25000</v>
      </c>
      <c r="B3" s="6" t="s">
        <v>16941</v>
      </c>
    </row>
    <row r="4" customFormat="false" ht="13.8" hidden="false" customHeight="false" outlineLevel="0" collapsed="false">
      <c r="A4" s="6" t="n">
        <v>16000</v>
      </c>
      <c r="B4" s="6" t="s">
        <v>16942</v>
      </c>
    </row>
    <row r="5" customFormat="false" ht="13.8" hidden="false" customHeight="false" outlineLevel="0" collapsed="false">
      <c r="A5" s="6" t="n">
        <f aca="false">+1704*12</f>
        <v>20448</v>
      </c>
      <c r="B5" s="6" t="s">
        <v>16943</v>
      </c>
    </row>
    <row r="6" customFormat="false" ht="13.8" hidden="false" customHeight="false" outlineLevel="0" collapsed="false">
      <c r="A6" s="6" t="n">
        <f aca="false">A1-A2-A3-A4-A4</f>
        <v>71919.301</v>
      </c>
      <c r="B6" s="6" t="s">
        <v>16944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16015625" defaultRowHeight="12.8" zeroHeight="false" outlineLevelRow="0" outlineLevelCol="0"/>
  <sheetData>
    <row r="1" customFormat="false" ht="13.8" hidden="false" customHeight="false" outlineLevel="0" collapsed="false">
      <c r="A1" s="6" t="n">
        <v>5</v>
      </c>
      <c r="B1" s="6" t="n">
        <v>10</v>
      </c>
      <c r="C1" s="6" t="n">
        <v>15</v>
      </c>
      <c r="D1" s="6" t="n">
        <v>23</v>
      </c>
      <c r="E1" s="6" t="n">
        <v>24</v>
      </c>
      <c r="F1" s="6" t="n">
        <v>25</v>
      </c>
      <c r="G1" s="6" t="n">
        <v>364</v>
      </c>
      <c r="H1" s="6" t="n">
        <v>49</v>
      </c>
      <c r="I1" s="6" t="n">
        <v>54</v>
      </c>
    </row>
    <row r="2" customFormat="false" ht="13.8" hidden="false" customHeight="false" outlineLevel="0" collapsed="false">
      <c r="A2" s="6" t="n">
        <v>5</v>
      </c>
      <c r="B2" s="6" t="n">
        <v>10</v>
      </c>
      <c r="C2" s="6" t="n">
        <v>11</v>
      </c>
      <c r="D2" s="6" t="n">
        <v>14</v>
      </c>
      <c r="E2" s="6" t="n">
        <v>16</v>
      </c>
      <c r="F2" s="6" t="n">
        <v>31</v>
      </c>
      <c r="G2" s="6" t="n">
        <v>43</v>
      </c>
      <c r="H2" s="6" t="n">
        <v>57</v>
      </c>
      <c r="I2" s="6" t="n">
        <v>58</v>
      </c>
    </row>
    <row r="3" customFormat="false" ht="13.8" hidden="false" customHeight="false" outlineLevel="0" collapsed="false">
      <c r="A3" s="6" t="n">
        <v>4</v>
      </c>
      <c r="B3" s="6" t="n">
        <v>27</v>
      </c>
      <c r="C3" s="6" t="n">
        <v>38</v>
      </c>
      <c r="D3" s="6" t="n">
        <v>46</v>
      </c>
      <c r="E3" s="6" t="n">
        <v>47</v>
      </c>
      <c r="F3" s="6" t="n">
        <v>50</v>
      </c>
      <c r="G3" s="6" t="n">
        <v>51</v>
      </c>
      <c r="H3" s="6" t="n">
        <v>56</v>
      </c>
      <c r="I3" s="6" t="n">
        <v>59</v>
      </c>
    </row>
    <row r="4" customFormat="false" ht="13.8" hidden="false" customHeight="false" outlineLevel="0" collapsed="false">
      <c r="A4" s="6" t="n">
        <v>6</v>
      </c>
      <c r="B4" s="6" t="n">
        <v>8</v>
      </c>
      <c r="C4" s="6" t="n">
        <v>32</v>
      </c>
      <c r="D4" s="6" t="n">
        <v>33</v>
      </c>
      <c r="E4" s="6" t="n">
        <v>37</v>
      </c>
      <c r="F4" s="6" t="n">
        <v>40</v>
      </c>
      <c r="G4" s="6" t="n">
        <v>41</v>
      </c>
      <c r="H4" s="6" t="n">
        <v>53</v>
      </c>
      <c r="I4" s="6" t="n">
        <v>56</v>
      </c>
    </row>
    <row r="5" customFormat="false" ht="13.8" hidden="false" customHeight="false" outlineLevel="0" collapsed="false">
      <c r="A5" s="6" t="n">
        <v>1</v>
      </c>
      <c r="B5" s="6" t="n">
        <v>2</v>
      </c>
      <c r="C5" s="6" t="n">
        <v>3</v>
      </c>
      <c r="D5" s="6" t="n">
        <v>10</v>
      </c>
      <c r="E5" s="6" t="n">
        <v>11</v>
      </c>
      <c r="F5" s="6" t="n">
        <v>12</v>
      </c>
      <c r="G5" s="6" t="n">
        <v>27</v>
      </c>
      <c r="H5" s="6" t="n">
        <v>33</v>
      </c>
      <c r="I5" s="6" t="n">
        <v>56</v>
      </c>
    </row>
    <row r="6" customFormat="false" ht="13.8" hidden="false" customHeight="false" outlineLevel="0" collapsed="false">
      <c r="A6" s="6" t="n">
        <v>3</v>
      </c>
      <c r="B6" s="6" t="n">
        <v>5</v>
      </c>
      <c r="C6" s="6" t="n">
        <v>24</v>
      </c>
      <c r="D6" s="6" t="n">
        <v>42</v>
      </c>
      <c r="E6" s="6" t="n">
        <v>52</v>
      </c>
      <c r="F6" s="6" t="n">
        <v>53</v>
      </c>
      <c r="G6" s="6" t="n">
        <v>54</v>
      </c>
      <c r="H6" s="6" t="n">
        <v>55</v>
      </c>
      <c r="I6" s="6" t="n">
        <v>57</v>
      </c>
    </row>
    <row r="7" customFormat="false" ht="13.8" hidden="false" customHeight="false" outlineLevel="0" collapsed="false">
      <c r="A7" s="6" t="n">
        <v>1</v>
      </c>
      <c r="B7" s="6" t="n">
        <v>5</v>
      </c>
      <c r="C7" s="6" t="n">
        <v>6</v>
      </c>
      <c r="D7" s="6" t="n">
        <v>24</v>
      </c>
      <c r="E7" s="6" t="n">
        <v>26</v>
      </c>
      <c r="F7" s="6" t="n">
        <v>27</v>
      </c>
      <c r="G7" s="6" t="n">
        <v>47</v>
      </c>
      <c r="H7" s="6" t="n">
        <v>50</v>
      </c>
      <c r="I7" s="6" t="n">
        <v>55</v>
      </c>
    </row>
    <row r="8" customFormat="false" ht="13.8" hidden="false" customHeight="false" outlineLevel="0" collapsed="false">
      <c r="A8" s="6" t="n">
        <v>4</v>
      </c>
      <c r="B8" s="6" t="n">
        <v>10</v>
      </c>
      <c r="C8" s="6" t="n">
        <v>11</v>
      </c>
      <c r="D8" s="6" t="n">
        <v>13</v>
      </c>
      <c r="E8" s="6" t="n">
        <v>14</v>
      </c>
      <c r="F8" s="6" t="n">
        <v>27</v>
      </c>
      <c r="G8" s="6" t="n">
        <v>37</v>
      </c>
      <c r="H8" s="6" t="n">
        <v>53</v>
      </c>
      <c r="I8" s="6" t="n">
        <v>56</v>
      </c>
    </row>
    <row r="9" customFormat="false" ht="13.8" hidden="false" customHeight="false" outlineLevel="0" collapsed="false">
      <c r="A9" s="6" t="n">
        <v>6</v>
      </c>
      <c r="B9" s="6" t="n">
        <v>7</v>
      </c>
      <c r="C9" s="6" t="n">
        <v>8</v>
      </c>
      <c r="D9" s="6" t="n">
        <v>3</v>
      </c>
      <c r="E9" s="6" t="n">
        <v>19</v>
      </c>
      <c r="F9" s="6" t="n">
        <v>22</v>
      </c>
      <c r="G9" s="6" t="n">
        <v>51</v>
      </c>
      <c r="H9" s="6" t="n">
        <v>56</v>
      </c>
      <c r="I9" s="6" t="n">
        <v>60</v>
      </c>
    </row>
    <row r="10" customFormat="false" ht="13.8" hidden="false" customHeight="false" outlineLevel="0" collapsed="false">
      <c r="A10" s="6" t="n">
        <v>6</v>
      </c>
      <c r="B10" s="6" t="n">
        <v>7</v>
      </c>
      <c r="C10" s="6" t="n">
        <v>14</v>
      </c>
      <c r="D10" s="6" t="n">
        <v>28</v>
      </c>
      <c r="E10" s="6" t="n">
        <v>41</v>
      </c>
      <c r="F10" s="6" t="n">
        <v>49</v>
      </c>
      <c r="G10" s="6" t="n">
        <v>52</v>
      </c>
      <c r="H10" s="6" t="n">
        <v>53</v>
      </c>
      <c r="I10" s="6" t="n">
        <v>56</v>
      </c>
    </row>
    <row r="11" customFormat="false" ht="13.8" hidden="false" customHeight="false" outlineLevel="0" collapsed="false">
      <c r="A11" s="6" t="n">
        <v>2</v>
      </c>
      <c r="B11" s="6" t="n">
        <v>3</v>
      </c>
      <c r="C11" s="6" t="n">
        <v>12</v>
      </c>
      <c r="D11" s="6" t="n">
        <v>14</v>
      </c>
      <c r="E11" s="6" t="n">
        <v>23</v>
      </c>
      <c r="F11" s="6" t="n">
        <v>33</v>
      </c>
      <c r="G11" s="6" t="n">
        <v>34</v>
      </c>
      <c r="H11" s="6" t="n">
        <v>53</v>
      </c>
      <c r="I11" s="6" t="n">
        <v>60</v>
      </c>
    </row>
    <row r="12" customFormat="false" ht="13.8" hidden="false" customHeight="false" outlineLevel="0" collapsed="false">
      <c r="A12" s="6" t="n">
        <v>7</v>
      </c>
      <c r="B12" s="6" t="n">
        <v>12</v>
      </c>
      <c r="C12" s="6" t="n">
        <v>16</v>
      </c>
      <c r="D12" s="6" t="n">
        <v>33</v>
      </c>
      <c r="E12" s="6" t="n">
        <v>40</v>
      </c>
      <c r="F12" s="6" t="n">
        <v>43</v>
      </c>
      <c r="G12" s="6" t="n">
        <v>46</v>
      </c>
      <c r="H12" s="6" t="n">
        <v>51</v>
      </c>
      <c r="I12" s="6" t="n">
        <v>55</v>
      </c>
    </row>
    <row r="13" customFormat="false" ht="13.8" hidden="false" customHeight="false" outlineLevel="0" collapsed="false">
      <c r="A13" s="6" t="n">
        <v>5</v>
      </c>
      <c r="B13" s="6" t="n">
        <v>22</v>
      </c>
      <c r="C13" s="6" t="n">
        <v>27</v>
      </c>
      <c r="D13" s="6" t="n">
        <v>41</v>
      </c>
      <c r="E13" s="6" t="n">
        <v>46</v>
      </c>
      <c r="F13" s="6" t="n">
        <v>50</v>
      </c>
      <c r="G13" s="6" t="n">
        <v>56</v>
      </c>
      <c r="H13" s="6" t="n">
        <v>59</v>
      </c>
      <c r="I13" s="6" t="n">
        <v>60</v>
      </c>
    </row>
    <row r="14" customFormat="false" ht="13.8" hidden="false" customHeight="false" outlineLevel="0" collapsed="false">
      <c r="A14" s="6" t="n">
        <v>4</v>
      </c>
      <c r="B14" s="6" t="n">
        <v>5</v>
      </c>
      <c r="C14" s="6" t="n">
        <v>6</v>
      </c>
      <c r="D14" s="6" t="n">
        <v>14</v>
      </c>
      <c r="E14" s="6" t="n">
        <v>38</v>
      </c>
      <c r="F14" s="6" t="n">
        <v>41</v>
      </c>
      <c r="G14" s="6" t="n">
        <v>51</v>
      </c>
      <c r="H14" s="6" t="n">
        <v>55</v>
      </c>
      <c r="I14" s="6" t="n">
        <v>58</v>
      </c>
    </row>
    <row r="15" customFormat="false" ht="13.8" hidden="false" customHeight="false" outlineLevel="0" collapsed="false">
      <c r="A15" s="6" t="n">
        <v>7</v>
      </c>
      <c r="B15" s="6" t="n">
        <v>8</v>
      </c>
      <c r="C15" s="6" t="n">
        <v>10</v>
      </c>
      <c r="D15" s="6" t="n">
        <v>12</v>
      </c>
      <c r="E15" s="6" t="n">
        <v>32</v>
      </c>
      <c r="F15" s="6" t="n">
        <v>46</v>
      </c>
      <c r="G15" s="6" t="n">
        <v>49</v>
      </c>
      <c r="H15" s="6" t="n">
        <v>56</v>
      </c>
      <c r="I15" s="6" t="n">
        <v>57</v>
      </c>
    </row>
    <row r="16" customFormat="false" ht="13.8" hidden="false" customHeight="false" outlineLevel="0" collapsed="false">
      <c r="A16" s="6" t="n">
        <v>4</v>
      </c>
      <c r="B16" s="6" t="n">
        <v>12</v>
      </c>
      <c r="C16" s="6" t="n">
        <v>21</v>
      </c>
      <c r="D16" s="6" t="n">
        <v>27</v>
      </c>
      <c r="E16" s="6" t="n">
        <v>28</v>
      </c>
      <c r="F16" s="6" t="n">
        <v>29</v>
      </c>
      <c r="G16" s="6" t="n">
        <v>40</v>
      </c>
      <c r="H16" s="6" t="n">
        <v>58</v>
      </c>
      <c r="I16" s="6" t="n">
        <v>59</v>
      </c>
    </row>
    <row r="17" customFormat="false" ht="13.8" hidden="false" customHeight="false" outlineLevel="0" collapsed="false">
      <c r="A17" s="6" t="n">
        <v>1</v>
      </c>
      <c r="B17" s="6" t="n">
        <v>26</v>
      </c>
      <c r="C17" s="6" t="n">
        <v>29</v>
      </c>
      <c r="D17" s="6" t="n">
        <v>33</v>
      </c>
      <c r="E17" s="6" t="n">
        <v>46</v>
      </c>
      <c r="F17" s="6" t="n">
        <v>48</v>
      </c>
      <c r="G17" s="6" t="n">
        <v>49</v>
      </c>
      <c r="H17" s="6" t="n">
        <v>57</v>
      </c>
      <c r="I17" s="6" t="n">
        <v>60</v>
      </c>
    </row>
    <row r="18" customFormat="false" ht="13.8" hidden="false" customHeight="false" outlineLevel="0" collapsed="false">
      <c r="A18" s="6" t="n">
        <v>5</v>
      </c>
      <c r="B18" s="6" t="n">
        <v>16</v>
      </c>
      <c r="C18" s="6" t="n">
        <v>21</v>
      </c>
      <c r="D18" s="6" t="n">
        <v>23</v>
      </c>
      <c r="E18" s="6" t="n">
        <v>34</v>
      </c>
      <c r="F18" s="6" t="n">
        <v>38</v>
      </c>
      <c r="G18" s="6" t="n">
        <v>40</v>
      </c>
      <c r="H18" s="6" t="n">
        <v>50</v>
      </c>
      <c r="I18" s="6" t="n">
        <v>57</v>
      </c>
    </row>
    <row r="19" customFormat="false" ht="13.8" hidden="false" customHeight="false" outlineLevel="0" collapsed="false">
      <c r="A19" s="6" t="n">
        <v>19</v>
      </c>
      <c r="B19" s="6" t="n">
        <v>35</v>
      </c>
      <c r="C19" s="6" t="n">
        <v>50</v>
      </c>
      <c r="D19" s="6" t="n">
        <v>53</v>
      </c>
      <c r="E19" s="6" t="n">
        <v>54</v>
      </c>
      <c r="F19" s="6" t="n">
        <v>55</v>
      </c>
      <c r="G19" s="6" t="n">
        <v>56</v>
      </c>
      <c r="H19" s="6" t="n">
        <v>59</v>
      </c>
      <c r="I19" s="6" t="n">
        <v>60</v>
      </c>
    </row>
    <row r="20" customFormat="false" ht="13.8" hidden="false" customHeight="false" outlineLevel="0" collapsed="false">
      <c r="A20" s="6" t="n">
        <v>11</v>
      </c>
      <c r="B20" s="6" t="n">
        <v>13</v>
      </c>
      <c r="C20" s="6" t="n">
        <v>21</v>
      </c>
      <c r="D20" s="6" t="n">
        <v>24</v>
      </c>
      <c r="E20" s="6" t="n">
        <v>26</v>
      </c>
      <c r="F20" s="6" t="n">
        <v>42</v>
      </c>
      <c r="G20" s="6" t="n">
        <v>43</v>
      </c>
      <c r="H20" s="6" t="n">
        <v>46</v>
      </c>
      <c r="I20" s="6" t="n">
        <v>53</v>
      </c>
    </row>
    <row r="21" customFormat="false" ht="13.8" hidden="false" customHeight="false" outlineLevel="0" collapsed="false">
      <c r="A21" s="6" t="n">
        <v>4</v>
      </c>
      <c r="B21" s="6" t="n">
        <v>13</v>
      </c>
      <c r="C21" s="6" t="n">
        <v>21</v>
      </c>
      <c r="D21" s="6" t="n">
        <v>29</v>
      </c>
      <c r="E21" s="6" t="n">
        <v>32</v>
      </c>
      <c r="F21" s="6" t="n">
        <v>34</v>
      </c>
      <c r="G21" s="6" t="n">
        <v>36</v>
      </c>
      <c r="H21" s="6" t="n">
        <v>43</v>
      </c>
      <c r="I21" s="6" t="n">
        <v>46</v>
      </c>
    </row>
    <row r="22" customFormat="false" ht="13.8" hidden="false" customHeight="false" outlineLevel="0" collapsed="false">
      <c r="A22" s="6" t="n">
        <v>10</v>
      </c>
      <c r="B22" s="6" t="n">
        <v>28</v>
      </c>
      <c r="C22" s="6" t="n">
        <v>31</v>
      </c>
      <c r="D22" s="6" t="n">
        <v>34</v>
      </c>
      <c r="E22" s="6" t="n">
        <v>37</v>
      </c>
      <c r="F22" s="6" t="n">
        <v>46</v>
      </c>
      <c r="G22" s="6" t="n">
        <v>53</v>
      </c>
      <c r="H22" s="6" t="n">
        <v>55</v>
      </c>
      <c r="I22" s="6" t="n">
        <v>57</v>
      </c>
    </row>
    <row r="23" customFormat="false" ht="13.8" hidden="false" customHeight="false" outlineLevel="0" collapsed="false">
      <c r="A23" s="6" t="n">
        <v>3</v>
      </c>
      <c r="B23" s="6" t="n">
        <v>4</v>
      </c>
      <c r="C23" s="6" t="n">
        <v>14</v>
      </c>
      <c r="D23" s="6" t="n">
        <v>29</v>
      </c>
      <c r="E23" s="6" t="n">
        <v>30</v>
      </c>
      <c r="F23" s="6" t="n">
        <v>33</v>
      </c>
      <c r="G23" s="6" t="n">
        <v>43</v>
      </c>
      <c r="H23" s="6" t="n">
        <v>54</v>
      </c>
      <c r="I23" s="6" t="n">
        <v>56</v>
      </c>
    </row>
    <row r="24" customFormat="false" ht="13.8" hidden="false" customHeight="false" outlineLevel="0" collapsed="false">
      <c r="A24" s="6" t="n">
        <v>2</v>
      </c>
      <c r="B24" s="6" t="n">
        <v>8</v>
      </c>
      <c r="C24" s="6" t="n">
        <v>16</v>
      </c>
      <c r="D24" s="6" t="n">
        <v>25</v>
      </c>
      <c r="E24" s="6" t="n">
        <v>27</v>
      </c>
      <c r="F24" s="6" t="n">
        <v>39</v>
      </c>
      <c r="G24" s="6" t="n">
        <v>48</v>
      </c>
      <c r="H24" s="6" t="n">
        <v>49</v>
      </c>
      <c r="I24" s="6" t="n">
        <v>56</v>
      </c>
    </row>
    <row r="25" customFormat="false" ht="13.8" hidden="false" customHeight="false" outlineLevel="0" collapsed="false">
      <c r="A25" s="6" t="n">
        <v>1</v>
      </c>
      <c r="B25" s="6" t="n">
        <v>3</v>
      </c>
      <c r="C25" s="6" t="n">
        <v>8</v>
      </c>
      <c r="D25" s="6" t="n">
        <v>13</v>
      </c>
      <c r="E25" s="6" t="n">
        <v>20</v>
      </c>
      <c r="F25" s="6" t="n">
        <v>23</v>
      </c>
      <c r="G25" s="6" t="n">
        <v>24</v>
      </c>
      <c r="H25" s="6" t="n">
        <v>30</v>
      </c>
      <c r="I25" s="6" t="n">
        <v>34</v>
      </c>
    </row>
    <row r="26" customFormat="false" ht="13.8" hidden="false" customHeight="false" outlineLevel="0" collapsed="false">
      <c r="A26" s="6" t="n">
        <v>4</v>
      </c>
      <c r="B26" s="6" t="n">
        <v>5</v>
      </c>
      <c r="C26" s="6" t="n">
        <v>25</v>
      </c>
      <c r="D26" s="6" t="n">
        <v>27</v>
      </c>
      <c r="E26" s="6" t="n">
        <v>38</v>
      </c>
      <c r="F26" s="6" t="n">
        <v>39</v>
      </c>
      <c r="G26" s="6" t="n">
        <v>46</v>
      </c>
      <c r="H26" s="6" t="n">
        <v>49</v>
      </c>
      <c r="I26" s="6" t="n">
        <v>56</v>
      </c>
    </row>
    <row r="27" customFormat="false" ht="13.8" hidden="false" customHeight="false" outlineLevel="0" collapsed="false">
      <c r="A27" s="6" t="n">
        <v>2</v>
      </c>
      <c r="B27" s="6" t="n">
        <v>3</v>
      </c>
      <c r="C27" s="6" t="n">
        <v>5</v>
      </c>
      <c r="D27" s="6" t="n">
        <v>15</v>
      </c>
      <c r="E27" s="6" t="n">
        <v>22</v>
      </c>
      <c r="F27" s="6" t="n">
        <v>23</v>
      </c>
      <c r="G27" s="6" t="n">
        <v>27</v>
      </c>
      <c r="H27" s="6" t="n">
        <v>46</v>
      </c>
      <c r="I27" s="6" t="n">
        <v>50</v>
      </c>
    </row>
    <row r="28" customFormat="false" ht="13.8" hidden="false" customHeight="false" outlineLevel="0" collapsed="false">
      <c r="A28" s="6" t="n">
        <v>2</v>
      </c>
      <c r="B28" s="6" t="n">
        <v>3</v>
      </c>
      <c r="C28" s="6" t="n">
        <v>25</v>
      </c>
      <c r="D28" s="6" t="n">
        <v>26</v>
      </c>
      <c r="E28" s="6" t="n">
        <v>35</v>
      </c>
      <c r="F28" s="6" t="n">
        <v>39</v>
      </c>
      <c r="G28" s="6" t="n">
        <v>50</v>
      </c>
      <c r="H28" s="6" t="n">
        <v>56</v>
      </c>
      <c r="I28" s="6" t="n">
        <v>57</v>
      </c>
    </row>
    <row r="29" customFormat="false" ht="13.8" hidden="false" customHeight="false" outlineLevel="0" collapsed="false">
      <c r="A29" s="6" t="n">
        <v>5</v>
      </c>
      <c r="B29" s="6" t="n">
        <v>20</v>
      </c>
      <c r="C29" s="6" t="n">
        <v>22</v>
      </c>
      <c r="D29" s="6" t="n">
        <v>26</v>
      </c>
      <c r="E29" s="6" t="n">
        <v>31</v>
      </c>
      <c r="F29" s="6" t="n">
        <v>35</v>
      </c>
      <c r="G29" s="6" t="n">
        <v>46</v>
      </c>
      <c r="H29" s="6" t="n">
        <v>54</v>
      </c>
      <c r="I29" s="6" t="n">
        <v>59</v>
      </c>
    </row>
    <row r="30" customFormat="false" ht="13.8" hidden="false" customHeight="false" outlineLevel="0" collapsed="false">
      <c r="A30" s="6" t="n">
        <v>6</v>
      </c>
      <c r="B30" s="6" t="n">
        <v>19</v>
      </c>
      <c r="C30" s="6" t="n">
        <v>22</v>
      </c>
      <c r="D30" s="6" t="n">
        <v>27</v>
      </c>
      <c r="E30" s="6" t="n">
        <v>34</v>
      </c>
      <c r="F30" s="6" t="n">
        <v>39</v>
      </c>
      <c r="G30" s="6" t="n">
        <v>40</v>
      </c>
      <c r="H30" s="6" t="n">
        <v>43</v>
      </c>
      <c r="I30" s="6" t="n">
        <v>46</v>
      </c>
    </row>
    <row r="31" customFormat="false" ht="13.8" hidden="false" customHeight="false" outlineLevel="0" collapsed="false">
      <c r="A31" s="6" t="n">
        <v>13</v>
      </c>
      <c r="B31" s="6" t="n">
        <v>23</v>
      </c>
      <c r="C31" s="6" t="n">
        <v>29</v>
      </c>
      <c r="D31" s="6" t="n">
        <v>30</v>
      </c>
      <c r="E31" s="6" t="n">
        <v>31</v>
      </c>
      <c r="F31" s="6" t="n">
        <v>46</v>
      </c>
      <c r="G31" s="6" t="n">
        <v>51</v>
      </c>
      <c r="H31" s="6" t="n">
        <v>56</v>
      </c>
      <c r="I31" s="6" t="n">
        <v>58</v>
      </c>
    </row>
    <row r="32" customFormat="false" ht="13.8" hidden="false" customHeight="false" outlineLevel="0" collapsed="false">
      <c r="A32" s="6" t="n">
        <v>11</v>
      </c>
      <c r="B32" s="6" t="n">
        <v>16</v>
      </c>
      <c r="C32" s="6" t="n">
        <v>20</v>
      </c>
      <c r="D32" s="6" t="n">
        <v>23</v>
      </c>
      <c r="E32" s="6" t="n">
        <v>35</v>
      </c>
      <c r="F32" s="6" t="n">
        <v>41</v>
      </c>
      <c r="G32" s="6" t="n">
        <v>42</v>
      </c>
      <c r="H32" s="6" t="n">
        <v>46</v>
      </c>
      <c r="I32" s="6" t="n">
        <v>51</v>
      </c>
    </row>
    <row r="33" customFormat="false" ht="13.8" hidden="false" customHeight="false" outlineLevel="0" collapsed="false">
      <c r="A33" s="6" t="n">
        <v>3</v>
      </c>
      <c r="B33" s="6" t="n">
        <v>10</v>
      </c>
      <c r="C33" s="6" t="n">
        <v>13</v>
      </c>
      <c r="D33" s="6" t="n">
        <v>14</v>
      </c>
      <c r="E33" s="6" t="n">
        <v>16</v>
      </c>
      <c r="F33" s="6" t="n">
        <v>29</v>
      </c>
      <c r="G33" s="6" t="n">
        <v>51</v>
      </c>
      <c r="H33" s="6" t="n">
        <v>52</v>
      </c>
      <c r="I33" s="6" t="n">
        <v>57</v>
      </c>
    </row>
    <row r="34" customFormat="false" ht="13.8" hidden="false" customHeight="false" outlineLevel="0" collapsed="false">
      <c r="A34" s="6" t="n">
        <v>1</v>
      </c>
      <c r="B34" s="6" t="n">
        <v>4</v>
      </c>
      <c r="C34" s="6" t="n">
        <v>12</v>
      </c>
      <c r="D34" s="6" t="n">
        <v>14</v>
      </c>
      <c r="E34" s="6" t="n">
        <v>25</v>
      </c>
      <c r="F34" s="6" t="n">
        <v>33</v>
      </c>
      <c r="G34" s="6" t="n">
        <v>36</v>
      </c>
      <c r="H34" s="6" t="n">
        <v>51</v>
      </c>
      <c r="I34" s="6" t="n">
        <v>56</v>
      </c>
    </row>
    <row r="35" customFormat="false" ht="13.8" hidden="false" customHeight="false" outlineLevel="0" collapsed="false">
      <c r="A35" s="6" t="n">
        <v>4</v>
      </c>
      <c r="B35" s="6" t="n">
        <v>5</v>
      </c>
      <c r="C35" s="6" t="n">
        <v>16</v>
      </c>
      <c r="D35" s="6" t="n">
        <v>20</v>
      </c>
      <c r="E35" s="6" t="n">
        <v>34</v>
      </c>
      <c r="F35" s="6" t="n">
        <v>35</v>
      </c>
      <c r="G35" s="6" t="n">
        <v>37</v>
      </c>
      <c r="H35" s="6" t="n">
        <v>45</v>
      </c>
      <c r="I35" s="6" t="n">
        <v>49</v>
      </c>
    </row>
    <row r="36" customFormat="false" ht="13.8" hidden="false" customHeight="false" outlineLevel="0" collapsed="false">
      <c r="A36" s="6" t="n">
        <v>1</v>
      </c>
      <c r="B36" s="6" t="n">
        <v>6</v>
      </c>
      <c r="C36" s="6" t="n">
        <v>16</v>
      </c>
      <c r="D36" s="6" t="n">
        <v>22</v>
      </c>
      <c r="E36" s="6" t="n">
        <v>27</v>
      </c>
      <c r="F36" s="6" t="n">
        <v>28</v>
      </c>
      <c r="G36" s="6" t="n">
        <v>29</v>
      </c>
      <c r="H36" s="6" t="n">
        <v>38</v>
      </c>
      <c r="I36" s="6" t="n">
        <v>39</v>
      </c>
    </row>
    <row r="37" customFormat="false" ht="13.8" hidden="false" customHeight="false" outlineLevel="0" collapsed="false">
      <c r="A37" s="6" t="n">
        <v>6</v>
      </c>
      <c r="B37" s="6" t="n">
        <v>14</v>
      </c>
      <c r="C37" s="6" t="n">
        <v>37</v>
      </c>
      <c r="D37" s="6" t="n">
        <v>41</v>
      </c>
      <c r="E37" s="6" t="n">
        <v>42</v>
      </c>
      <c r="F37" s="6" t="n">
        <v>47</v>
      </c>
      <c r="G37" s="6" t="n">
        <v>50</v>
      </c>
      <c r="H37" s="6" t="n">
        <v>53</v>
      </c>
      <c r="I37" s="6" t="n">
        <v>59</v>
      </c>
    </row>
    <row r="38" customFormat="false" ht="13.8" hidden="false" customHeight="false" outlineLevel="0" collapsed="false">
      <c r="A38" s="6" t="n">
        <v>2</v>
      </c>
      <c r="B38" s="6" t="n">
        <v>19</v>
      </c>
      <c r="C38" s="6" t="n">
        <v>27</v>
      </c>
      <c r="D38" s="6" t="n">
        <v>34</v>
      </c>
      <c r="E38" s="6" t="n">
        <v>46</v>
      </c>
      <c r="F38" s="6" t="n">
        <v>49</v>
      </c>
      <c r="G38" s="6" t="n">
        <v>51</v>
      </c>
      <c r="H38" s="6" t="n">
        <v>53</v>
      </c>
      <c r="I38" s="6" t="n">
        <v>56</v>
      </c>
    </row>
    <row r="39" customFormat="false" ht="13.8" hidden="false" customHeight="false" outlineLevel="0" collapsed="false">
      <c r="A39" s="6" t="n">
        <v>5</v>
      </c>
      <c r="B39" s="6" t="n">
        <v>16</v>
      </c>
      <c r="C39" s="6" t="n">
        <v>17</v>
      </c>
      <c r="D39" s="6" t="n">
        <v>42</v>
      </c>
      <c r="E39" s="6" t="n">
        <v>45</v>
      </c>
      <c r="F39" s="6" t="n">
        <v>50</v>
      </c>
      <c r="G39" s="6" t="n">
        <v>54</v>
      </c>
      <c r="H39" s="6" t="n">
        <v>55</v>
      </c>
      <c r="I39" s="6" t="n">
        <v>57</v>
      </c>
    </row>
    <row r="40" customFormat="false" ht="13.8" hidden="false" customHeight="false" outlineLevel="0" collapsed="false">
      <c r="A40" s="6" t="n">
        <v>7</v>
      </c>
      <c r="B40" s="6" t="n">
        <v>8</v>
      </c>
      <c r="C40" s="6" t="n">
        <v>9</v>
      </c>
      <c r="D40" s="6" t="n">
        <v>14</v>
      </c>
      <c r="E40" s="6" t="n">
        <v>17</v>
      </c>
      <c r="F40" s="6" t="n">
        <v>30</v>
      </c>
      <c r="G40" s="6" t="n">
        <v>32</v>
      </c>
      <c r="H40" s="6" t="n">
        <v>46</v>
      </c>
      <c r="I40" s="6" t="n">
        <v>53</v>
      </c>
    </row>
    <row r="41" customFormat="false" ht="13.8" hidden="false" customHeight="false" outlineLevel="0" collapsed="false">
      <c r="A41" s="6" t="n">
        <v>9</v>
      </c>
      <c r="B41" s="6" t="n">
        <v>12</v>
      </c>
      <c r="C41" s="6" t="n">
        <v>17</v>
      </c>
      <c r="D41" s="6" t="n">
        <v>27</v>
      </c>
      <c r="E41" s="6" t="n">
        <v>32</v>
      </c>
      <c r="F41" s="6" t="n">
        <v>34</v>
      </c>
      <c r="G41" s="6" t="n">
        <v>42</v>
      </c>
      <c r="H41" s="6" t="n">
        <v>46</v>
      </c>
      <c r="I41" s="6" t="n">
        <v>47</v>
      </c>
    </row>
    <row r="42" customFormat="false" ht="13.8" hidden="false" customHeight="false" outlineLevel="0" collapsed="false">
      <c r="A42" s="6" t="n">
        <v>11</v>
      </c>
      <c r="B42" s="6" t="n">
        <v>13</v>
      </c>
      <c r="C42" s="6" t="n">
        <v>16</v>
      </c>
      <c r="D42" s="6" t="n">
        <v>24</v>
      </c>
      <c r="E42" s="6" t="n">
        <v>35</v>
      </c>
      <c r="F42" s="6" t="n">
        <v>39</v>
      </c>
      <c r="G42" s="6" t="n">
        <v>46</v>
      </c>
      <c r="H42" s="6" t="n">
        <v>49</v>
      </c>
      <c r="I42" s="6" t="n">
        <v>56</v>
      </c>
    </row>
    <row r="43" customFormat="false" ht="13.8" hidden="false" customHeight="false" outlineLevel="0" collapsed="false">
      <c r="A43" s="6" t="n">
        <v>3</v>
      </c>
      <c r="B43" s="6" t="n">
        <v>5</v>
      </c>
      <c r="C43" s="6" t="n">
        <v>11</v>
      </c>
      <c r="D43" s="6" t="n">
        <v>136</v>
      </c>
      <c r="E43" s="6" t="n">
        <v>16</v>
      </c>
      <c r="F43" s="6" t="n">
        <v>24</v>
      </c>
      <c r="G43" s="6" t="n">
        <v>35</v>
      </c>
      <c r="H43" s="6" t="n">
        <v>46</v>
      </c>
      <c r="I43" s="6" t="n">
        <v>54</v>
      </c>
    </row>
    <row r="44" customFormat="false" ht="13.8" hidden="false" customHeight="false" outlineLevel="0" collapsed="false">
      <c r="A44" s="6" t="n">
        <v>1</v>
      </c>
      <c r="B44" s="6" t="n">
        <v>5</v>
      </c>
      <c r="C44" s="6" t="n">
        <v>6</v>
      </c>
      <c r="D44" s="6" t="n">
        <v>10</v>
      </c>
      <c r="E44" s="6" t="n">
        <v>14</v>
      </c>
      <c r="F44" s="6" t="n">
        <v>17</v>
      </c>
      <c r="G44" s="6" t="n">
        <v>30</v>
      </c>
      <c r="H44" s="6" t="n">
        <v>31</v>
      </c>
      <c r="I44" s="6" t="n">
        <v>33</v>
      </c>
    </row>
    <row r="45" customFormat="false" ht="13.8" hidden="false" customHeight="false" outlineLevel="0" collapsed="false">
      <c r="A45" s="6" t="n">
        <v>5</v>
      </c>
      <c r="B45" s="6" t="n">
        <v>11</v>
      </c>
      <c r="C45" s="6" t="n">
        <v>13</v>
      </c>
      <c r="D45" s="6" t="n">
        <v>27</v>
      </c>
      <c r="E45" s="6" t="n">
        <v>34</v>
      </c>
      <c r="F45" s="6" t="n">
        <v>38</v>
      </c>
      <c r="G45" s="6" t="n">
        <v>46</v>
      </c>
      <c r="H45" s="6" t="n">
        <v>50</v>
      </c>
      <c r="I45" s="6" t="n">
        <v>53</v>
      </c>
    </row>
    <row r="46" customFormat="false" ht="13.8" hidden="false" customHeight="false" outlineLevel="0" collapsed="false">
      <c r="A46" s="6" t="n">
        <v>2</v>
      </c>
      <c r="B46" s="6" t="n">
        <v>8</v>
      </c>
      <c r="C46" s="6" t="n">
        <v>9</v>
      </c>
      <c r="D46" s="6" t="n">
        <v>25</v>
      </c>
      <c r="E46" s="6" t="n">
        <v>34</v>
      </c>
      <c r="F46" s="6" t="n">
        <v>40</v>
      </c>
      <c r="G46" s="6" t="n">
        <v>41</v>
      </c>
      <c r="H46" s="6" t="n">
        <v>49</v>
      </c>
      <c r="I46" s="6" t="n">
        <v>55</v>
      </c>
    </row>
    <row r="47" customFormat="false" ht="13.8" hidden="false" customHeight="false" outlineLevel="0" collapsed="false">
      <c r="A47" s="6" t="n">
        <v>2</v>
      </c>
      <c r="B47" s="6" t="n">
        <v>14</v>
      </c>
      <c r="C47" s="6" t="n">
        <v>15</v>
      </c>
      <c r="D47" s="6" t="n">
        <v>35</v>
      </c>
      <c r="E47" s="6" t="n">
        <v>50</v>
      </c>
      <c r="F47" s="6" t="n">
        <v>53</v>
      </c>
      <c r="G47" s="6" t="n">
        <v>56</v>
      </c>
      <c r="H47" s="6" t="n">
        <v>57</v>
      </c>
      <c r="I47" s="6" t="n">
        <v>59</v>
      </c>
    </row>
    <row r="48" customFormat="false" ht="13.8" hidden="false" customHeight="false" outlineLevel="0" collapsed="false">
      <c r="A48" s="6" t="n">
        <v>5</v>
      </c>
      <c r="B48" s="6" t="n">
        <v>6</v>
      </c>
      <c r="C48" s="6" t="n">
        <v>11</v>
      </c>
      <c r="D48" s="6" t="n">
        <v>16</v>
      </c>
      <c r="E48" s="6" t="n">
        <v>38</v>
      </c>
      <c r="F48" s="6" t="n">
        <v>46</v>
      </c>
      <c r="G48" s="6" t="n">
        <v>53</v>
      </c>
      <c r="H48" s="6" t="n">
        <v>55</v>
      </c>
      <c r="I48" s="6" t="n">
        <v>60</v>
      </c>
    </row>
    <row r="49" customFormat="false" ht="13.8" hidden="false" customHeight="false" outlineLevel="0" collapsed="false">
      <c r="A49" s="6" t="n">
        <v>6</v>
      </c>
      <c r="B49" s="6" t="n">
        <v>16</v>
      </c>
      <c r="C49" s="6" t="n">
        <v>33</v>
      </c>
      <c r="D49" s="6" t="n">
        <v>34</v>
      </c>
      <c r="E49" s="6" t="n">
        <v>46</v>
      </c>
      <c r="F49" s="6" t="n">
        <v>47</v>
      </c>
      <c r="G49" s="6" t="n">
        <v>53</v>
      </c>
      <c r="H49" s="6" t="n">
        <v>55</v>
      </c>
      <c r="I49" s="6" t="n">
        <v>59</v>
      </c>
    </row>
    <row r="50" customFormat="false" ht="13.8" hidden="false" customHeight="false" outlineLevel="0" collapsed="false">
      <c r="A50" s="6" t="n">
        <v>9</v>
      </c>
      <c r="B50" s="6" t="n">
        <v>13</v>
      </c>
      <c r="C50" s="6" t="n">
        <v>16</v>
      </c>
      <c r="D50" s="6" t="n">
        <v>36</v>
      </c>
      <c r="E50" s="6" t="n">
        <v>40</v>
      </c>
      <c r="F50" s="6" t="n">
        <v>53</v>
      </c>
      <c r="G50" s="6" t="n">
        <v>55</v>
      </c>
      <c r="H50" s="6" t="n">
        <v>57</v>
      </c>
      <c r="I50" s="6" t="n">
        <v>60</v>
      </c>
    </row>
    <row r="51" customFormat="false" ht="13.8" hidden="false" customHeight="false" outlineLevel="0" collapsed="false">
      <c r="A51" s="6" t="n">
        <v>7</v>
      </c>
      <c r="B51" s="6" t="n">
        <v>8</v>
      </c>
      <c r="C51" s="6" t="n">
        <v>9</v>
      </c>
      <c r="D51" s="6" t="n">
        <v>11</v>
      </c>
      <c r="E51" s="6" t="n">
        <v>14</v>
      </c>
      <c r="F51" s="6" t="n">
        <v>30</v>
      </c>
      <c r="G51" s="6" t="n">
        <v>32</v>
      </c>
      <c r="H51" s="6" t="n">
        <v>48</v>
      </c>
      <c r="I51" s="6" t="n">
        <v>53</v>
      </c>
    </row>
    <row r="52" customFormat="false" ht="13.8" hidden="false" customHeight="false" outlineLevel="0" collapsed="false">
      <c r="A52" s="6" t="n">
        <v>2</v>
      </c>
      <c r="B52" s="6" t="n">
        <v>5</v>
      </c>
      <c r="C52" s="6" t="n">
        <v>11</v>
      </c>
      <c r="D52" s="6" t="n">
        <v>27</v>
      </c>
      <c r="E52" s="6" t="n">
        <v>30</v>
      </c>
      <c r="F52" s="6" t="n">
        <v>34</v>
      </c>
      <c r="G52" s="6" t="n">
        <v>41</v>
      </c>
      <c r="H52" s="6" t="n">
        <v>53</v>
      </c>
      <c r="I52" s="6" t="n">
        <v>54</v>
      </c>
    </row>
    <row r="53" customFormat="false" ht="13.8" hidden="false" customHeight="false" outlineLevel="0" collapsed="false">
      <c r="A53" s="6" t="n">
        <v>2</v>
      </c>
      <c r="B53" s="6" t="n">
        <v>5</v>
      </c>
      <c r="C53" s="6" t="n">
        <v>13</v>
      </c>
      <c r="D53" s="6" t="n">
        <v>16</v>
      </c>
      <c r="E53" s="6" t="n">
        <v>17</v>
      </c>
      <c r="F53" s="6" t="n">
        <v>24</v>
      </c>
      <c r="G53" s="6" t="n">
        <v>32</v>
      </c>
      <c r="H53" s="6" t="n">
        <v>46</v>
      </c>
      <c r="I53" s="6" t="n">
        <v>57</v>
      </c>
    </row>
    <row r="54" customFormat="false" ht="13.8" hidden="false" customHeight="false" outlineLevel="0" collapsed="false">
      <c r="A54" s="6" t="n">
        <v>7</v>
      </c>
      <c r="B54" s="6" t="n">
        <v>9</v>
      </c>
      <c r="C54" s="6" t="n">
        <v>14</v>
      </c>
      <c r="D54" s="6" t="n">
        <v>35</v>
      </c>
      <c r="E54" s="6" t="n">
        <v>40</v>
      </c>
      <c r="F54" s="6" t="n">
        <v>41</v>
      </c>
      <c r="G54" s="6" t="n">
        <v>44</v>
      </c>
      <c r="H54" s="6" t="n">
        <v>46</v>
      </c>
      <c r="I54" s="6" t="n">
        <v>55</v>
      </c>
    </row>
    <row r="55" customFormat="false" ht="13.8" hidden="false" customHeight="false" outlineLevel="0" collapsed="false">
      <c r="A55" s="6" t="n">
        <v>9</v>
      </c>
      <c r="B55" s="6" t="n">
        <v>21</v>
      </c>
      <c r="C55" s="6" t="n">
        <v>25</v>
      </c>
      <c r="D55" s="6" t="n">
        <v>32</v>
      </c>
      <c r="E55" s="6" t="n">
        <v>36</v>
      </c>
      <c r="F55" s="6" t="n">
        <v>52</v>
      </c>
      <c r="G55" s="6" t="n">
        <v>53</v>
      </c>
      <c r="H55" s="6" t="n">
        <v>55</v>
      </c>
      <c r="I55" s="6" t="n">
        <v>60</v>
      </c>
    </row>
    <row r="56" customFormat="false" ht="13.8" hidden="false" customHeight="false" outlineLevel="0" collapsed="false">
      <c r="A56" s="6" t="n">
        <v>8</v>
      </c>
      <c r="B56" s="6" t="n">
        <v>23</v>
      </c>
      <c r="C56" s="6" t="n">
        <v>26</v>
      </c>
      <c r="D56" s="6" t="n">
        <v>27</v>
      </c>
      <c r="E56" s="6" t="n">
        <v>37</v>
      </c>
      <c r="F56" s="6" t="n">
        <v>51</v>
      </c>
      <c r="G56" s="6" t="n">
        <v>53</v>
      </c>
      <c r="H56" s="6" t="n">
        <v>56</v>
      </c>
      <c r="I56" s="6" t="n">
        <v>58</v>
      </c>
    </row>
    <row r="57" customFormat="false" ht="13.8" hidden="false" customHeight="false" outlineLevel="0" collapsed="false">
      <c r="A57" s="6" t="n">
        <v>6</v>
      </c>
      <c r="B57" s="6" t="n">
        <v>87</v>
      </c>
      <c r="C57" s="6" t="n">
        <v>23</v>
      </c>
      <c r="D57" s="6" t="n">
        <v>26</v>
      </c>
      <c r="E57" s="6" t="n">
        <v>27</v>
      </c>
      <c r="F57" s="6" t="n">
        <v>51</v>
      </c>
      <c r="G57" s="6" t="n">
        <v>53</v>
      </c>
      <c r="H57" s="6" t="n">
        <v>58</v>
      </c>
      <c r="I57" s="6" t="n">
        <v>59</v>
      </c>
    </row>
    <row r="58" customFormat="false" ht="13.8" hidden="false" customHeight="false" outlineLevel="0" collapsed="false">
      <c r="A58" s="6" t="n">
        <v>2</v>
      </c>
      <c r="B58" s="6" t="n">
        <v>16</v>
      </c>
      <c r="C58" s="6" t="n">
        <v>37</v>
      </c>
      <c r="D58" s="6" t="n">
        <v>38</v>
      </c>
      <c r="E58" s="6" t="n">
        <v>43</v>
      </c>
      <c r="F58" s="6" t="n">
        <v>46</v>
      </c>
      <c r="G58" s="6" t="n">
        <v>53</v>
      </c>
      <c r="H58" s="6" t="n">
        <v>57</v>
      </c>
      <c r="I58" s="6" t="n">
        <v>58</v>
      </c>
    </row>
    <row r="59" customFormat="false" ht="13.8" hidden="false" customHeight="false" outlineLevel="0" collapsed="false">
      <c r="A59" s="6" t="n">
        <v>10</v>
      </c>
      <c r="B59" s="6" t="n">
        <v>23</v>
      </c>
      <c r="C59" s="6" t="n">
        <v>24</v>
      </c>
      <c r="D59" s="6" t="n">
        <v>25</v>
      </c>
      <c r="E59" s="6" t="n">
        <v>29</v>
      </c>
      <c r="F59" s="6" t="n">
        <v>34</v>
      </c>
      <c r="G59" s="6" t="n">
        <v>45</v>
      </c>
      <c r="H59" s="6" t="n">
        <v>53</v>
      </c>
      <c r="I59" s="6" t="n">
        <v>60</v>
      </c>
    </row>
    <row r="60" customFormat="false" ht="13.8" hidden="false" customHeight="false" outlineLevel="0" collapsed="false">
      <c r="A60" s="6" t="n">
        <v>4</v>
      </c>
      <c r="B60" s="6" t="n">
        <v>11</v>
      </c>
      <c r="C60" s="6" t="n">
        <v>26</v>
      </c>
      <c r="D60" s="6" t="n">
        <v>27</v>
      </c>
      <c r="E60" s="6" t="n">
        <v>35</v>
      </c>
      <c r="F60" s="6" t="n">
        <v>43</v>
      </c>
      <c r="G60" s="6" t="n">
        <v>46</v>
      </c>
      <c r="H60" s="6" t="n">
        <v>53</v>
      </c>
      <c r="I60" s="6" t="n">
        <v>54</v>
      </c>
    </row>
    <row r="61" customFormat="false" ht="13.8" hidden="false" customHeight="false" outlineLevel="0" collapsed="false">
      <c r="A61" s="6" t="n">
        <v>7</v>
      </c>
      <c r="B61" s="6" t="n">
        <v>12</v>
      </c>
      <c r="C61" s="6" t="n">
        <v>23</v>
      </c>
      <c r="D61" s="6" t="n">
        <v>41</v>
      </c>
      <c r="E61" s="6" t="n">
        <v>46</v>
      </c>
      <c r="F61" s="6" t="n">
        <v>50</v>
      </c>
      <c r="G61" s="6" t="n">
        <v>53</v>
      </c>
      <c r="H61" s="6" t="n">
        <v>54</v>
      </c>
      <c r="I61" s="6" t="n">
        <v>60</v>
      </c>
    </row>
    <row r="62" customFormat="false" ht="13.8" hidden="false" customHeight="false" outlineLevel="0" collapsed="false">
      <c r="A62" s="6" t="n">
        <v>3</v>
      </c>
      <c r="B62" s="6" t="n">
        <v>5</v>
      </c>
      <c r="C62" s="6" t="n">
        <v>10</v>
      </c>
      <c r="D62" s="6" t="n">
        <v>14</v>
      </c>
      <c r="E62" s="6" t="n">
        <v>20</v>
      </c>
      <c r="F62" s="6" t="n">
        <v>27</v>
      </c>
      <c r="G62" s="6" t="n">
        <v>28</v>
      </c>
      <c r="H62" s="6" t="n">
        <v>38</v>
      </c>
      <c r="I62" s="6" t="n">
        <v>57</v>
      </c>
    </row>
    <row r="63" customFormat="false" ht="13.8" hidden="false" customHeight="false" outlineLevel="0" collapsed="false">
      <c r="A63" s="6" t="n">
        <v>4</v>
      </c>
      <c r="B63" s="6" t="n">
        <v>5</v>
      </c>
      <c r="C63" s="6" t="n">
        <v>20</v>
      </c>
      <c r="D63" s="6" t="n">
        <v>31</v>
      </c>
      <c r="E63" s="6" t="n">
        <v>34</v>
      </c>
      <c r="F63" s="6" t="n">
        <v>37</v>
      </c>
      <c r="G63" s="6" t="n">
        <v>38</v>
      </c>
      <c r="H63" s="6" t="n">
        <v>45</v>
      </c>
      <c r="I63" s="6" t="n">
        <v>51</v>
      </c>
    </row>
    <row r="64" customFormat="false" ht="13.8" hidden="false" customHeight="false" outlineLevel="0" collapsed="false">
      <c r="A64" s="6" t="n">
        <v>11</v>
      </c>
      <c r="B64" s="6" t="n">
        <v>12</v>
      </c>
      <c r="C64" s="6" t="n">
        <v>13</v>
      </c>
      <c r="D64" s="6" t="n">
        <v>16</v>
      </c>
      <c r="E64" s="6" t="n">
        <v>35</v>
      </c>
      <c r="F64" s="6" t="n">
        <v>39</v>
      </c>
      <c r="G64" s="6" t="n">
        <v>46</v>
      </c>
      <c r="H64" s="6" t="n">
        <v>50</v>
      </c>
      <c r="I64" s="6" t="n">
        <v>55</v>
      </c>
    </row>
    <row r="65" customFormat="false" ht="13.8" hidden="false" customHeight="false" outlineLevel="0" collapsed="false">
      <c r="A65" s="6" t="n">
        <v>2</v>
      </c>
      <c r="B65" s="6" t="n">
        <v>5</v>
      </c>
      <c r="C65" s="6" t="n">
        <v>11</v>
      </c>
      <c r="D65" s="6" t="n">
        <v>16</v>
      </c>
      <c r="E65" s="6" t="n">
        <v>20</v>
      </c>
      <c r="F65" s="6" t="n">
        <v>30</v>
      </c>
      <c r="G65" s="6" t="n">
        <v>37</v>
      </c>
      <c r="H65" s="6" t="n">
        <v>43</v>
      </c>
      <c r="I65" s="6" t="n">
        <v>56</v>
      </c>
    </row>
    <row r="66" customFormat="false" ht="13.8" hidden="false" customHeight="false" outlineLevel="0" collapsed="false">
      <c r="A66" s="6" t="n">
        <v>10</v>
      </c>
      <c r="B66" s="6" t="n">
        <v>12</v>
      </c>
      <c r="C66" s="6" t="n">
        <v>13</v>
      </c>
      <c r="D66" s="6" t="n">
        <v>20</v>
      </c>
      <c r="E66" s="6" t="n">
        <v>40</v>
      </c>
      <c r="F66" s="6" t="n">
        <v>41</v>
      </c>
      <c r="G66" s="6" t="n">
        <v>46</v>
      </c>
      <c r="H66" s="6" t="n">
        <v>49</v>
      </c>
      <c r="I66" s="6" t="n">
        <v>53</v>
      </c>
    </row>
    <row r="67" customFormat="false" ht="13.8" hidden="false" customHeight="false" outlineLevel="0" collapsed="false">
      <c r="A67" s="6" t="n">
        <v>4</v>
      </c>
      <c r="B67" s="6" t="n">
        <v>5</v>
      </c>
      <c r="C67" s="6" t="n">
        <v>17</v>
      </c>
      <c r="D67" s="6" t="n">
        <v>27</v>
      </c>
      <c r="E67" s="6" t="n">
        <v>32</v>
      </c>
      <c r="F67" s="6" t="n">
        <v>46</v>
      </c>
      <c r="G67" s="6" t="n">
        <v>54</v>
      </c>
      <c r="H67" s="6" t="n">
        <v>56</v>
      </c>
      <c r="I67" s="6" t="n">
        <v>59</v>
      </c>
    </row>
    <row r="68" customFormat="false" ht="13.8" hidden="false" customHeight="false" outlineLevel="0" collapsed="false">
      <c r="A68" s="6" t="n">
        <v>4</v>
      </c>
      <c r="B68" s="6" t="n">
        <v>5</v>
      </c>
      <c r="C68" s="6" t="n">
        <v>17</v>
      </c>
      <c r="D68" s="6" t="n">
        <v>34</v>
      </c>
      <c r="E68" s="6" t="n">
        <v>43</v>
      </c>
      <c r="F68" s="6" t="n">
        <v>46</v>
      </c>
      <c r="G68" s="6" t="n">
        <v>53</v>
      </c>
      <c r="H68" s="6" t="n">
        <v>54</v>
      </c>
      <c r="I68" s="6" t="n">
        <v>59</v>
      </c>
    </row>
    <row r="69" customFormat="false" ht="13.8" hidden="false" customHeight="false" outlineLevel="0" collapsed="false">
      <c r="A69" s="6" t="n">
        <v>6</v>
      </c>
      <c r="B69" s="6" t="n">
        <v>7</v>
      </c>
      <c r="C69" s="6" t="n">
        <v>11</v>
      </c>
      <c r="D69" s="6" t="n">
        <v>20</v>
      </c>
      <c r="E69" s="6" t="n">
        <v>27</v>
      </c>
      <c r="F69" s="6" t="n">
        <v>34</v>
      </c>
      <c r="G69" s="6" t="n">
        <v>40</v>
      </c>
      <c r="H69" s="6" t="n">
        <v>41</v>
      </c>
      <c r="I69" s="6" t="n">
        <v>46</v>
      </c>
    </row>
    <row r="70" customFormat="false" ht="13.8" hidden="false" customHeight="false" outlineLevel="0" collapsed="false">
      <c r="A70" s="6" t="n">
        <v>6</v>
      </c>
      <c r="B70" s="6" t="n">
        <v>10</v>
      </c>
      <c r="C70" s="6" t="n">
        <v>16</v>
      </c>
      <c r="D70" s="6" t="n">
        <v>33</v>
      </c>
      <c r="E70" s="6" t="n">
        <v>35</v>
      </c>
      <c r="F70" s="6" t="n">
        <v>43</v>
      </c>
      <c r="G70" s="6" t="n">
        <v>46</v>
      </c>
      <c r="H70" s="6" t="n">
        <v>49</v>
      </c>
      <c r="I70" s="6" t="n">
        <v>53</v>
      </c>
    </row>
    <row r="71" customFormat="false" ht="13.8" hidden="false" customHeight="false" outlineLevel="0" collapsed="false">
      <c r="A71" s="6" t="n">
        <v>7</v>
      </c>
      <c r="B71" s="6" t="n">
        <v>12</v>
      </c>
      <c r="C71" s="6" t="n">
        <v>24</v>
      </c>
      <c r="D71" s="6" t="n">
        <v>27</v>
      </c>
      <c r="E71" s="6" t="n">
        <v>39</v>
      </c>
      <c r="F71" s="6" t="n">
        <v>41</v>
      </c>
      <c r="G71" s="6" t="n">
        <v>45</v>
      </c>
      <c r="H71" s="6" t="n">
        <v>52</v>
      </c>
      <c r="I71" s="6" t="n">
        <v>56</v>
      </c>
    </row>
    <row r="72" customFormat="false" ht="13.8" hidden="false" customHeight="false" outlineLevel="0" collapsed="false">
      <c r="A72" s="6" t="n">
        <v>6</v>
      </c>
      <c r="B72" s="6" t="n">
        <v>19</v>
      </c>
      <c r="C72" s="6" t="n">
        <v>33</v>
      </c>
      <c r="D72" s="6" t="n">
        <v>38</v>
      </c>
      <c r="E72" s="6" t="n">
        <v>46</v>
      </c>
      <c r="F72" s="6" t="n">
        <v>47</v>
      </c>
      <c r="G72" s="6" t="n">
        <v>50</v>
      </c>
      <c r="H72" s="6" t="n">
        <v>53</v>
      </c>
      <c r="I72" s="6" t="n">
        <v>55</v>
      </c>
    </row>
    <row r="73" customFormat="false" ht="13.8" hidden="false" customHeight="false" outlineLevel="0" collapsed="false">
      <c r="A73" s="6" t="n">
        <v>2</v>
      </c>
      <c r="B73" s="6" t="n">
        <v>13</v>
      </c>
      <c r="C73" s="6" t="n">
        <v>16</v>
      </c>
      <c r="D73" s="6" t="n">
        <v>34</v>
      </c>
      <c r="E73" s="6" t="n">
        <v>37</v>
      </c>
      <c r="F73" s="6" t="n">
        <v>43</v>
      </c>
      <c r="G73" s="6" t="n">
        <v>53</v>
      </c>
      <c r="H73" s="6" t="n">
        <v>54</v>
      </c>
      <c r="I73" s="6" t="n">
        <v>57</v>
      </c>
    </row>
    <row r="74" customFormat="false" ht="13.8" hidden="false" customHeight="false" outlineLevel="0" collapsed="false">
      <c r="A74" s="6" t="n">
        <v>1</v>
      </c>
      <c r="B74" s="6" t="n">
        <v>2</v>
      </c>
      <c r="C74" s="6" t="n">
        <v>14</v>
      </c>
      <c r="D74" s="6" t="n">
        <v>22</v>
      </c>
      <c r="E74" s="6" t="n">
        <v>23</v>
      </c>
      <c r="F74" s="6" t="n">
        <v>24</v>
      </c>
      <c r="G74" s="6" t="n">
        <v>37</v>
      </c>
      <c r="H74" s="6" t="n">
        <v>40</v>
      </c>
      <c r="I74" s="6" t="n">
        <v>51</v>
      </c>
    </row>
    <row r="75" customFormat="false" ht="13.8" hidden="false" customHeight="false" outlineLevel="0" collapsed="false">
      <c r="A75" s="6" t="n">
        <v>6</v>
      </c>
      <c r="B75" s="6" t="n">
        <v>10</v>
      </c>
      <c r="C75" s="6" t="n">
        <v>16</v>
      </c>
      <c r="D75" s="6" t="n">
        <v>21</v>
      </c>
      <c r="E75" s="6" t="n">
        <v>33</v>
      </c>
      <c r="F75" s="6" t="n">
        <v>34</v>
      </c>
      <c r="G75" s="6" t="n">
        <v>47</v>
      </c>
      <c r="H75" s="6" t="n">
        <v>53</v>
      </c>
      <c r="I75" s="6" t="n">
        <v>55</v>
      </c>
    </row>
    <row r="76" customFormat="false" ht="13.8" hidden="false" customHeight="false" outlineLevel="0" collapsed="false">
      <c r="A76" s="6" t="n">
        <v>5</v>
      </c>
      <c r="B76" s="6" t="n">
        <v>23</v>
      </c>
      <c r="C76" s="6" t="n">
        <v>29</v>
      </c>
      <c r="D76" s="6" t="n">
        <v>34</v>
      </c>
      <c r="E76" s="6" t="n">
        <v>43</v>
      </c>
      <c r="F76" s="6" t="n">
        <v>54</v>
      </c>
      <c r="G76" s="6" t="n">
        <v>56</v>
      </c>
      <c r="H76" s="6" t="n">
        <v>57</v>
      </c>
      <c r="I76" s="6" t="n">
        <v>60</v>
      </c>
    </row>
    <row r="77" customFormat="false" ht="13.8" hidden="false" customHeight="false" outlineLevel="0" collapsed="false">
      <c r="A77" s="6" t="n">
        <v>2</v>
      </c>
      <c r="B77" s="6" t="n">
        <v>3</v>
      </c>
      <c r="C77" s="6" t="n">
        <v>10</v>
      </c>
      <c r="D77" s="6" t="n">
        <v>13</v>
      </c>
      <c r="E77" s="6" t="n">
        <v>29</v>
      </c>
      <c r="F77" s="6" t="n">
        <v>30</v>
      </c>
      <c r="G77" s="6" t="n">
        <v>41</v>
      </c>
      <c r="H77" s="6" t="n">
        <v>53</v>
      </c>
      <c r="I77" s="6" t="n">
        <v>56</v>
      </c>
    </row>
    <row r="78" customFormat="false" ht="13.8" hidden="false" customHeight="false" outlineLevel="0" collapsed="false">
      <c r="A78" s="6" t="n">
        <v>2</v>
      </c>
      <c r="B78" s="6" t="n">
        <v>4</v>
      </c>
      <c r="C78" s="6" t="n">
        <v>8</v>
      </c>
      <c r="D78" s="6" t="n">
        <v>17</v>
      </c>
      <c r="E78" s="6" t="n">
        <v>34</v>
      </c>
      <c r="F78" s="6" t="n">
        <v>38</v>
      </c>
      <c r="G78" s="6" t="n">
        <v>49</v>
      </c>
      <c r="H78" s="6" t="n">
        <v>51</v>
      </c>
      <c r="I78" s="6" t="n">
        <v>55</v>
      </c>
    </row>
    <row r="79" customFormat="false" ht="13.8" hidden="false" customHeight="false" outlineLevel="0" collapsed="false">
      <c r="A79" s="6" t="n">
        <v>2</v>
      </c>
      <c r="B79" s="6" t="n">
        <v>9</v>
      </c>
      <c r="C79" s="6" t="n">
        <v>14</v>
      </c>
      <c r="D79" s="6" t="n">
        <v>33</v>
      </c>
      <c r="E79" s="6" t="n">
        <v>36</v>
      </c>
      <c r="F79" s="6" t="n">
        <v>46</v>
      </c>
      <c r="G79" s="6" t="n">
        <v>53</v>
      </c>
      <c r="H79" s="6" t="n">
        <v>55</v>
      </c>
      <c r="I79" s="6" t="n">
        <v>60</v>
      </c>
    </row>
    <row r="80" customFormat="false" ht="13.8" hidden="false" customHeight="false" outlineLevel="0" collapsed="false">
      <c r="A80" s="6" t="n">
        <v>1</v>
      </c>
      <c r="B80" s="6" t="n">
        <v>2</v>
      </c>
      <c r="C80" s="6" t="n">
        <v>13</v>
      </c>
      <c r="D80" s="6" t="n">
        <v>24</v>
      </c>
      <c r="E80" s="6" t="n">
        <v>40</v>
      </c>
      <c r="F80" s="6" t="n">
        <v>41</v>
      </c>
      <c r="G80" s="6" t="n">
        <v>50</v>
      </c>
      <c r="H80" s="6" t="n">
        <v>51</v>
      </c>
      <c r="I80" s="6" t="n">
        <v>53</v>
      </c>
    </row>
    <row r="81" customFormat="false" ht="13.8" hidden="false" customHeight="false" outlineLevel="0" collapsed="false">
      <c r="A81" s="6" t="n">
        <v>13</v>
      </c>
      <c r="B81" s="6" t="n">
        <v>16</v>
      </c>
      <c r="C81" s="6" t="n">
        <v>30</v>
      </c>
      <c r="D81" s="6" t="n">
        <v>33</v>
      </c>
      <c r="E81" s="6" t="n">
        <v>46</v>
      </c>
      <c r="F81" s="6" t="n">
        <v>53</v>
      </c>
      <c r="G81" s="6" t="n">
        <v>54</v>
      </c>
      <c r="H81" s="6" t="n">
        <v>55</v>
      </c>
      <c r="I81" s="6" t="n">
        <v>58</v>
      </c>
    </row>
    <row r="82" customFormat="false" ht="13.8" hidden="false" customHeight="false" outlineLevel="0" collapsed="false">
      <c r="A82" s="6" t="n">
        <v>3</v>
      </c>
      <c r="B82" s="6" t="n">
        <v>16</v>
      </c>
      <c r="C82" s="6" t="n">
        <v>20</v>
      </c>
      <c r="D82" s="6" t="n">
        <v>27</v>
      </c>
      <c r="E82" s="6" t="n">
        <v>30</v>
      </c>
      <c r="F82" s="6" t="n">
        <v>35</v>
      </c>
      <c r="G82" s="6" t="n">
        <v>50</v>
      </c>
      <c r="H82" s="6" t="n">
        <v>57</v>
      </c>
      <c r="I82" s="6" t="n">
        <v>59</v>
      </c>
    </row>
    <row r="83" customFormat="false" ht="13.8" hidden="false" customHeight="false" outlineLevel="0" collapsed="false">
      <c r="A83" s="6" t="n">
        <v>2</v>
      </c>
      <c r="B83" s="6" t="n">
        <v>11</v>
      </c>
      <c r="C83" s="6" t="n">
        <v>19</v>
      </c>
      <c r="D83" s="6" t="n">
        <v>33</v>
      </c>
      <c r="E83" s="6" t="n">
        <v>34</v>
      </c>
      <c r="F83" s="6" t="n">
        <v>50</v>
      </c>
      <c r="G83" s="6" t="n">
        <v>57</v>
      </c>
      <c r="H83" s="6" t="n">
        <v>58</v>
      </c>
      <c r="I83" s="6" t="n">
        <v>60</v>
      </c>
    </row>
    <row r="84" customFormat="false" ht="13.8" hidden="false" customHeight="false" outlineLevel="0" collapsed="false">
      <c r="A84" s="6" t="n">
        <v>3</v>
      </c>
      <c r="B84" s="6" t="n">
        <v>7</v>
      </c>
      <c r="C84" s="6" t="n">
        <v>14</v>
      </c>
      <c r="D84" s="6" t="n">
        <v>15</v>
      </c>
      <c r="E84" s="6" t="n">
        <v>20</v>
      </c>
      <c r="F84" s="6" t="n">
        <v>23</v>
      </c>
      <c r="G84" s="6" t="n">
        <v>29</v>
      </c>
      <c r="H84" s="6" t="n">
        <v>38</v>
      </c>
      <c r="I84" s="6" t="n">
        <v>42</v>
      </c>
    </row>
    <row r="85" customFormat="false" ht="13.8" hidden="false" customHeight="false" outlineLevel="0" collapsed="false">
      <c r="A85" s="6" t="n">
        <v>3</v>
      </c>
      <c r="B85" s="6" t="n">
        <v>4</v>
      </c>
      <c r="C85" s="6" t="n">
        <v>5</v>
      </c>
      <c r="D85" s="6" t="n">
        <v>8</v>
      </c>
      <c r="E85" s="6" t="n">
        <v>17</v>
      </c>
      <c r="F85" s="6" t="n">
        <v>30</v>
      </c>
      <c r="G85" s="6" t="n">
        <v>46</v>
      </c>
      <c r="H85" s="6" t="n">
        <v>47</v>
      </c>
      <c r="I85" s="6" t="n">
        <v>54</v>
      </c>
    </row>
    <row r="86" customFormat="false" ht="13.8" hidden="false" customHeight="false" outlineLevel="0" collapsed="false">
      <c r="A86" s="6" t="n">
        <v>3</v>
      </c>
      <c r="B86" s="6" t="n">
        <v>5</v>
      </c>
      <c r="C86" s="6" t="n">
        <v>11</v>
      </c>
      <c r="D86" s="6" t="n">
        <v>12</v>
      </c>
      <c r="E86" s="6" t="n">
        <v>14</v>
      </c>
      <c r="F86" s="6" t="n">
        <v>29</v>
      </c>
      <c r="G86" s="6" t="n">
        <v>38</v>
      </c>
      <c r="H86" s="6" t="n">
        <v>51</v>
      </c>
      <c r="I86" s="6" t="n">
        <v>58</v>
      </c>
    </row>
    <row r="87" customFormat="false" ht="13.8" hidden="false" customHeight="false" outlineLevel="0" collapsed="false">
      <c r="A87" s="6" t="n">
        <v>4</v>
      </c>
      <c r="B87" s="6" t="n">
        <v>12</v>
      </c>
      <c r="C87" s="6" t="n">
        <v>25</v>
      </c>
      <c r="D87" s="6" t="n">
        <v>34</v>
      </c>
      <c r="E87" s="6" t="n">
        <v>35</v>
      </c>
      <c r="F87" s="6" t="n">
        <v>41</v>
      </c>
      <c r="G87" s="6" t="n">
        <v>43</v>
      </c>
      <c r="H87" s="6" t="n">
        <v>46</v>
      </c>
      <c r="I87" s="6" t="n">
        <v>53</v>
      </c>
    </row>
    <row r="88" customFormat="false" ht="13.8" hidden="false" customHeight="false" outlineLevel="0" collapsed="false">
      <c r="A88" s="6" t="n">
        <v>4</v>
      </c>
      <c r="B88" s="6" t="n">
        <v>11</v>
      </c>
      <c r="C88" s="6" t="n">
        <v>27</v>
      </c>
      <c r="D88" s="6" t="n">
        <v>35</v>
      </c>
      <c r="E88" s="6" t="n">
        <v>43</v>
      </c>
      <c r="F88" s="6" t="n">
        <v>46</v>
      </c>
      <c r="G88" s="6" t="n">
        <v>53</v>
      </c>
      <c r="H88" s="6" t="n">
        <v>54</v>
      </c>
      <c r="I88" s="6" t="n">
        <v>56</v>
      </c>
    </row>
    <row r="89" customFormat="false" ht="13.8" hidden="false" customHeight="false" outlineLevel="0" collapsed="false">
      <c r="A89" s="6" t="n">
        <v>6</v>
      </c>
      <c r="B89" s="6" t="n">
        <v>11</v>
      </c>
      <c r="C89" s="6" t="n">
        <v>20</v>
      </c>
      <c r="D89" s="6" t="n">
        <v>34</v>
      </c>
      <c r="E89" s="6" t="n">
        <v>41</v>
      </c>
      <c r="F89" s="6" t="n">
        <v>43</v>
      </c>
      <c r="G89" s="6" t="n">
        <v>46</v>
      </c>
      <c r="H89" s="6" t="n">
        <v>53</v>
      </c>
      <c r="I89" s="6" t="n">
        <v>55</v>
      </c>
    </row>
    <row r="90" customFormat="false" ht="13.8" hidden="false" customHeight="false" outlineLevel="0" collapsed="false">
      <c r="A90" s="6" t="n">
        <v>2</v>
      </c>
      <c r="B90" s="6" t="n">
        <v>5</v>
      </c>
      <c r="C90" s="6" t="n">
        <v>10</v>
      </c>
      <c r="D90" s="6" t="n">
        <v>15</v>
      </c>
      <c r="E90" s="6" t="n">
        <v>32</v>
      </c>
      <c r="F90" s="6" t="n">
        <v>34</v>
      </c>
      <c r="G90" s="6" t="n">
        <v>41</v>
      </c>
      <c r="H90" s="6" t="n">
        <v>56</v>
      </c>
      <c r="I90" s="6" t="n">
        <v>57</v>
      </c>
    </row>
    <row r="91" customFormat="false" ht="13.8" hidden="false" customHeight="false" outlineLevel="0" collapsed="false">
      <c r="A91" s="6" t="n">
        <v>8</v>
      </c>
      <c r="B91" s="6" t="n">
        <v>10</v>
      </c>
      <c r="C91" s="6" t="n">
        <v>13</v>
      </c>
      <c r="D91" s="6" t="n">
        <v>27</v>
      </c>
      <c r="E91" s="6" t="n">
        <v>37</v>
      </c>
      <c r="F91" s="6" t="n">
        <v>40</v>
      </c>
      <c r="G91" s="6" t="n">
        <v>41</v>
      </c>
      <c r="H91" s="6" t="n">
        <v>53</v>
      </c>
      <c r="I91" s="6" t="n">
        <v>56</v>
      </c>
    </row>
    <row r="92" customFormat="false" ht="13.8" hidden="false" customHeight="false" outlineLevel="0" collapsed="false">
      <c r="A92" s="6" t="n">
        <v>9</v>
      </c>
      <c r="B92" s="6" t="n">
        <v>10</v>
      </c>
      <c r="C92" s="6" t="n">
        <v>14</v>
      </c>
      <c r="D92" s="6" t="n">
        <v>34</v>
      </c>
      <c r="E92" s="6" t="n">
        <v>37</v>
      </c>
      <c r="F92" s="6" t="n">
        <v>46</v>
      </c>
      <c r="G92" s="6" t="n">
        <v>53</v>
      </c>
      <c r="H92" s="6" t="n">
        <v>55</v>
      </c>
      <c r="I92" s="6" t="n">
        <v>60</v>
      </c>
    </row>
    <row r="93" customFormat="false" ht="13.8" hidden="false" customHeight="false" outlineLevel="0" collapsed="false">
      <c r="A93" s="6" t="n">
        <v>5</v>
      </c>
      <c r="B93" s="6" t="n">
        <v>11</v>
      </c>
      <c r="C93" s="6" t="n">
        <v>22</v>
      </c>
      <c r="D93" s="6" t="n">
        <v>27</v>
      </c>
      <c r="E93" s="6" t="n">
        <v>34</v>
      </c>
      <c r="F93" s="6" t="n">
        <v>46</v>
      </c>
      <c r="G93" s="6" t="n">
        <v>51</v>
      </c>
      <c r="H93" s="6" t="n">
        <v>53</v>
      </c>
      <c r="I93" s="6" t="n">
        <v>56</v>
      </c>
    </row>
    <row r="94" customFormat="false" ht="13.8" hidden="false" customHeight="false" outlineLevel="0" collapsed="false">
      <c r="A94" s="6" t="n">
        <v>2</v>
      </c>
      <c r="B94" s="6" t="n">
        <v>5</v>
      </c>
      <c r="C94" s="6" t="n">
        <v>11</v>
      </c>
      <c r="D94" s="6" t="n">
        <v>16</v>
      </c>
      <c r="E94" s="6" t="n">
        <v>20</v>
      </c>
      <c r="F94" s="6" t="n">
        <v>41</v>
      </c>
      <c r="G94" s="6" t="n">
        <v>43</v>
      </c>
      <c r="H94" s="6" t="n">
        <v>56</v>
      </c>
      <c r="I94" s="6" t="n">
        <v>57</v>
      </c>
    </row>
    <row r="95" customFormat="false" ht="13.8" hidden="false" customHeight="false" outlineLevel="0" collapsed="false">
      <c r="A95" s="6" t="n">
        <v>5</v>
      </c>
      <c r="B95" s="6" t="n">
        <v>10</v>
      </c>
      <c r="C95" s="6" t="n">
        <v>14</v>
      </c>
      <c r="D95" s="6" t="n">
        <v>15</v>
      </c>
      <c r="E95" s="6" t="n">
        <v>23</v>
      </c>
      <c r="F95" s="6" t="n">
        <v>25</v>
      </c>
      <c r="G95" s="6" t="n">
        <v>30</v>
      </c>
      <c r="H95" s="6" t="n">
        <v>34</v>
      </c>
      <c r="I95" s="6" t="n">
        <v>57</v>
      </c>
    </row>
    <row r="96" customFormat="false" ht="13.8" hidden="false" customHeight="false" outlineLevel="0" collapsed="false">
      <c r="A96" s="6" t="n">
        <v>5</v>
      </c>
      <c r="B96" s="6" t="n">
        <v>7</v>
      </c>
      <c r="C96" s="6" t="n">
        <v>14</v>
      </c>
      <c r="D96" s="6" t="n">
        <v>38</v>
      </c>
      <c r="E96" s="6" t="n">
        <v>43</v>
      </c>
      <c r="F96" s="6" t="n">
        <v>46</v>
      </c>
      <c r="G96" s="6" t="n">
        <v>53</v>
      </c>
      <c r="H96" s="6" t="n">
        <v>54</v>
      </c>
      <c r="I96" s="6" t="n">
        <v>59</v>
      </c>
    </row>
    <row r="97" customFormat="false" ht="13.8" hidden="false" customHeight="false" outlineLevel="0" collapsed="false">
      <c r="A97" s="6" t="n">
        <v>1</v>
      </c>
      <c r="B97" s="6" t="n">
        <v>6</v>
      </c>
      <c r="C97" s="6" t="n">
        <v>19</v>
      </c>
      <c r="D97" s="6" t="n">
        <v>40</v>
      </c>
      <c r="E97" s="6" t="n">
        <v>46</v>
      </c>
      <c r="F97" s="6" t="n">
        <v>47</v>
      </c>
      <c r="G97" s="6" t="n">
        <v>49</v>
      </c>
      <c r="H97" s="6" t="n">
        <v>50</v>
      </c>
      <c r="I97" s="6" t="n">
        <v>57</v>
      </c>
    </row>
    <row r="98" customFormat="false" ht="13.8" hidden="false" customHeight="false" outlineLevel="0" collapsed="false">
      <c r="A98" s="6" t="n">
        <v>3</v>
      </c>
      <c r="B98" s="6" t="n">
        <v>5</v>
      </c>
      <c r="C98" s="6" t="n">
        <v>7</v>
      </c>
      <c r="D98" s="6" t="n">
        <v>10</v>
      </c>
      <c r="E98" s="6" t="n">
        <v>14</v>
      </c>
      <c r="F98" s="6" t="n">
        <v>37</v>
      </c>
      <c r="G98" s="6" t="n">
        <v>46</v>
      </c>
      <c r="H98" s="6" t="n">
        <v>58</v>
      </c>
      <c r="I98" s="6" t="n">
        <v>60</v>
      </c>
    </row>
    <row r="99" customFormat="false" ht="13.8" hidden="false" customHeight="false" outlineLevel="0" collapsed="false">
      <c r="A99" s="6" t="n">
        <v>10</v>
      </c>
      <c r="B99" s="6" t="n">
        <v>12</v>
      </c>
      <c r="C99" s="6" t="n">
        <v>14</v>
      </c>
      <c r="D99" s="6" t="n">
        <v>24</v>
      </c>
      <c r="E99" s="6" t="n">
        <v>25</v>
      </c>
      <c r="F99" s="6" t="n">
        <v>33</v>
      </c>
      <c r="G99" s="6" t="n">
        <v>35</v>
      </c>
      <c r="H99" s="6" t="n">
        <v>37</v>
      </c>
    </row>
    <row r="100" customFormat="false" ht="13.8" hidden="false" customHeight="false" outlineLevel="0" collapsed="false">
      <c r="A100" s="6" t="n">
        <v>5</v>
      </c>
      <c r="B100" s="6" t="n">
        <v>12</v>
      </c>
      <c r="C100" s="6" t="n">
        <v>34</v>
      </c>
      <c r="D100" s="6" t="n">
        <v>35</v>
      </c>
      <c r="E100" s="6" t="n">
        <v>42</v>
      </c>
      <c r="F100" s="6" t="n">
        <v>45</v>
      </c>
      <c r="G100" s="6" t="n">
        <v>56</v>
      </c>
      <c r="H100" s="6" t="n">
        <v>59</v>
      </c>
    </row>
    <row r="101" customFormat="false" ht="13.8" hidden="false" customHeight="false" outlineLevel="0" collapsed="false">
      <c r="A101" s="6" t="n">
        <v>3</v>
      </c>
      <c r="B101" s="6" t="n">
        <v>7</v>
      </c>
      <c r="C101" s="6" t="n">
        <v>11</v>
      </c>
      <c r="D101" s="6" t="n">
        <v>32</v>
      </c>
      <c r="E101" s="6" t="n">
        <v>38</v>
      </c>
      <c r="F101" s="6" t="n">
        <v>56</v>
      </c>
    </row>
    <row r="102" customFormat="false" ht="13.8" hidden="false" customHeight="false" outlineLevel="0" collapsed="false">
      <c r="A102" s="6" t="n">
        <v>3</v>
      </c>
      <c r="B102" s="6" t="n">
        <v>12</v>
      </c>
      <c r="C102" s="6" t="n">
        <v>25</v>
      </c>
      <c r="D102" s="6" t="n">
        <v>27</v>
      </c>
      <c r="E102" s="6" t="n">
        <v>30</v>
      </c>
      <c r="F102" s="6" t="n">
        <v>40</v>
      </c>
      <c r="G102" s="6" t="n">
        <v>46</v>
      </c>
      <c r="H102" s="6" t="n">
        <v>47</v>
      </c>
      <c r="I102" s="6" t="n">
        <v>60</v>
      </c>
    </row>
    <row r="103" customFormat="false" ht="13.8" hidden="false" customHeight="false" outlineLevel="0" collapsed="false">
      <c r="A103" s="6" t="n">
        <v>5</v>
      </c>
      <c r="B103" s="6" t="n">
        <v>16</v>
      </c>
      <c r="C103" s="6" t="n">
        <v>27</v>
      </c>
      <c r="D103" s="6" t="n">
        <v>34</v>
      </c>
      <c r="E103" s="6" t="n">
        <v>45</v>
      </c>
      <c r="F103" s="6" t="n">
        <v>53</v>
      </c>
      <c r="G103" s="6" t="n">
        <v>55</v>
      </c>
      <c r="H103" s="6" t="n">
        <v>56</v>
      </c>
      <c r="I103" s="6" t="n">
        <v>58</v>
      </c>
    </row>
    <row r="104" customFormat="false" ht="13.8" hidden="false" customHeight="false" outlineLevel="0" collapsed="false">
      <c r="A104" s="6" t="n">
        <v>4</v>
      </c>
      <c r="B104" s="6" t="n">
        <v>5</v>
      </c>
      <c r="C104" s="6" t="n">
        <v>10</v>
      </c>
      <c r="D104" s="6" t="n">
        <v>13</v>
      </c>
      <c r="E104" s="6" t="n">
        <v>25</v>
      </c>
      <c r="F104" s="6" t="n">
        <v>32</v>
      </c>
      <c r="G104" s="6" t="n">
        <v>46</v>
      </c>
      <c r="H104" s="6" t="n">
        <v>49</v>
      </c>
      <c r="I104" s="6" t="n">
        <v>60</v>
      </c>
    </row>
    <row r="105" customFormat="false" ht="13.8" hidden="false" customHeight="false" outlineLevel="0" collapsed="false">
      <c r="A105" s="6" t="n">
        <v>2</v>
      </c>
      <c r="B105" s="6" t="n">
        <v>4</v>
      </c>
      <c r="C105" s="6" t="n">
        <v>8</v>
      </c>
      <c r="D105" s="6" t="n">
        <v>11</v>
      </c>
      <c r="E105" s="6" t="n">
        <v>12</v>
      </c>
      <c r="F105" s="6" t="n">
        <v>28</v>
      </c>
      <c r="G105" s="6" t="n">
        <v>35</v>
      </c>
      <c r="H105" s="6" t="n">
        <v>43</v>
      </c>
      <c r="I105" s="6" t="n">
        <v>49</v>
      </c>
    </row>
    <row r="106" customFormat="false" ht="13.8" hidden="false" customHeight="false" outlineLevel="0" collapsed="false">
      <c r="A106" s="6" t="n">
        <v>7</v>
      </c>
      <c r="B106" s="6" t="n">
        <v>8</v>
      </c>
      <c r="C106" s="6" t="n">
        <v>14</v>
      </c>
      <c r="D106" s="6" t="n">
        <v>23</v>
      </c>
      <c r="E106" s="6" t="n">
        <v>34</v>
      </c>
      <c r="F106" s="6" t="n">
        <v>38</v>
      </c>
      <c r="G106" s="6" t="n">
        <v>46</v>
      </c>
      <c r="H106" s="6" t="n">
        <v>47</v>
      </c>
      <c r="I106" s="6" t="n">
        <v>51</v>
      </c>
    </row>
    <row r="107" customFormat="false" ht="13.8" hidden="false" customHeight="false" outlineLevel="0" collapsed="false">
      <c r="A107" s="6" t="n">
        <v>5</v>
      </c>
      <c r="B107" s="6" t="n">
        <v>15</v>
      </c>
      <c r="C107" s="6" t="n">
        <v>26</v>
      </c>
      <c r="D107" s="6" t="n">
        <v>27</v>
      </c>
      <c r="E107" s="6" t="n">
        <v>30</v>
      </c>
      <c r="F107" s="6" t="n">
        <v>33</v>
      </c>
      <c r="G107" s="6" t="n">
        <v>41</v>
      </c>
      <c r="H107" s="6" t="n">
        <v>42</v>
      </c>
      <c r="I107" s="6" t="n">
        <v>54</v>
      </c>
    </row>
    <row r="108" customFormat="false" ht="13.8" hidden="false" customHeight="false" outlineLevel="0" collapsed="false">
      <c r="A108" s="6" t="n">
        <v>10</v>
      </c>
      <c r="B108" s="6" t="n">
        <v>12</v>
      </c>
      <c r="C108" s="6" t="n">
        <v>23</v>
      </c>
      <c r="D108" s="6" t="n">
        <v>27</v>
      </c>
      <c r="E108" s="6" t="n">
        <v>33</v>
      </c>
      <c r="F108" s="6" t="n">
        <v>38</v>
      </c>
      <c r="G108" s="6" t="n">
        <v>47</v>
      </c>
      <c r="H108" s="6" t="n">
        <v>51</v>
      </c>
      <c r="I108" s="6" t="n">
        <v>52</v>
      </c>
    </row>
    <row r="109" customFormat="false" ht="13.8" hidden="false" customHeight="false" outlineLevel="0" collapsed="false">
      <c r="A109" s="6" t="n">
        <v>2</v>
      </c>
      <c r="B109" s="6" t="n">
        <v>5</v>
      </c>
      <c r="C109" s="6" t="n">
        <v>10</v>
      </c>
      <c r="D109" s="6" t="n">
        <v>15</v>
      </c>
      <c r="E109" s="6" t="n">
        <v>24</v>
      </c>
      <c r="F109" s="6" t="n">
        <v>38</v>
      </c>
      <c r="G109" s="6" t="n">
        <v>49</v>
      </c>
      <c r="H109" s="6" t="n">
        <v>56</v>
      </c>
      <c r="I109" s="6" t="n">
        <v>57</v>
      </c>
    </row>
    <row r="110" customFormat="false" ht="13.8" hidden="false" customHeight="false" outlineLevel="0" collapsed="false">
      <c r="A110" s="6" t="n">
        <v>2</v>
      </c>
      <c r="B110" s="6" t="n">
        <v>3</v>
      </c>
      <c r="C110" s="6" t="n">
        <v>14</v>
      </c>
      <c r="D110" s="6" t="n">
        <v>27</v>
      </c>
      <c r="E110" s="6" t="n">
        <v>28</v>
      </c>
      <c r="F110" s="6" t="n">
        <v>35</v>
      </c>
      <c r="G110" s="6" t="n">
        <v>50</v>
      </c>
      <c r="H110" s="6" t="n">
        <v>54</v>
      </c>
      <c r="I110" s="6" t="n">
        <v>57</v>
      </c>
    </row>
    <row r="111" customFormat="false" ht="13.8" hidden="false" customHeight="false" outlineLevel="0" collapsed="false">
      <c r="A111" s="6" t="n">
        <v>5</v>
      </c>
      <c r="B111" s="6" t="n">
        <v>22</v>
      </c>
      <c r="C111" s="6" t="n">
        <v>23</v>
      </c>
      <c r="D111" s="6" t="n">
        <v>34</v>
      </c>
      <c r="E111" s="6" t="n">
        <v>45</v>
      </c>
      <c r="F111" s="6" t="n">
        <v>53</v>
      </c>
      <c r="G111" s="6" t="n">
        <v>56</v>
      </c>
      <c r="H111" s="6" t="n">
        <v>58</v>
      </c>
      <c r="I111" s="6" t="n">
        <v>60</v>
      </c>
    </row>
    <row r="112" customFormat="false" ht="13.8" hidden="false" customHeight="false" outlineLevel="0" collapsed="false">
      <c r="A112" s="6" t="n">
        <v>1</v>
      </c>
      <c r="B112" s="6" t="n">
        <v>14</v>
      </c>
      <c r="C112" s="6" t="n">
        <v>33</v>
      </c>
      <c r="D112" s="6" t="n">
        <v>38</v>
      </c>
      <c r="E112" s="6" t="n">
        <v>49</v>
      </c>
      <c r="F112" s="6" t="n">
        <v>50</v>
      </c>
      <c r="G112" s="6" t="n">
        <v>53</v>
      </c>
      <c r="H112" s="6" t="n">
        <v>56</v>
      </c>
      <c r="I112" s="6" t="n">
        <v>59</v>
      </c>
    </row>
    <row r="113" customFormat="false" ht="13.8" hidden="false" customHeight="false" outlineLevel="0" collapsed="false">
      <c r="A113" s="6" t="n">
        <v>8</v>
      </c>
      <c r="B113" s="6" t="n">
        <v>9</v>
      </c>
      <c r="C113" s="6" t="n">
        <v>12</v>
      </c>
      <c r="D113" s="6" t="n">
        <v>25</v>
      </c>
      <c r="E113" s="6" t="n">
        <v>38</v>
      </c>
      <c r="F113" s="6" t="n">
        <v>39</v>
      </c>
      <c r="G113" s="6" t="n">
        <v>41</v>
      </c>
      <c r="H113" s="6" t="n">
        <v>50</v>
      </c>
      <c r="I113" s="6" t="n">
        <v>60</v>
      </c>
    </row>
    <row r="114" customFormat="false" ht="13.8" hidden="false" customHeight="false" outlineLevel="0" collapsed="false">
      <c r="A114" s="6" t="n">
        <v>3</v>
      </c>
      <c r="B114" s="6" t="n">
        <v>9</v>
      </c>
      <c r="C114" s="6" t="n">
        <v>20</v>
      </c>
      <c r="D114" s="6" t="n">
        <v>27</v>
      </c>
      <c r="E114" s="6" t="n">
        <v>41</v>
      </c>
      <c r="F114" s="6" t="n">
        <v>46</v>
      </c>
      <c r="G114" s="6" t="n">
        <v>53</v>
      </c>
      <c r="H114" s="6" t="n">
        <v>54</v>
      </c>
      <c r="I114" s="6" t="n">
        <v>58</v>
      </c>
    </row>
    <row r="115" customFormat="false" ht="13.8" hidden="false" customHeight="false" outlineLevel="0" collapsed="false">
      <c r="A115" s="6" t="n">
        <v>3</v>
      </c>
      <c r="B115" s="6" t="n">
        <v>9</v>
      </c>
      <c r="C115" s="6" t="n">
        <v>23</v>
      </c>
      <c r="D115" s="6" t="n">
        <v>28</v>
      </c>
      <c r="E115" s="6" t="n">
        <v>32</v>
      </c>
      <c r="F115" s="6" t="n">
        <v>34</v>
      </c>
      <c r="G115" s="6" t="n">
        <v>38</v>
      </c>
      <c r="H115" s="6" t="n">
        <v>46</v>
      </c>
      <c r="I115" s="6" t="n">
        <v>57</v>
      </c>
    </row>
    <row r="116" customFormat="false" ht="13.8" hidden="false" customHeight="false" outlineLevel="0" collapsed="false">
      <c r="A116" s="6" t="n">
        <v>2</v>
      </c>
      <c r="B116" s="6" t="n">
        <v>4</v>
      </c>
      <c r="C116" s="6" t="n">
        <v>6</v>
      </c>
      <c r="D116" s="6" t="n">
        <v>10</v>
      </c>
      <c r="E116" s="6" t="n">
        <v>17</v>
      </c>
      <c r="F116" s="6" t="n">
        <v>27</v>
      </c>
      <c r="G116" s="6" t="n">
        <v>34</v>
      </c>
      <c r="H116" s="6" t="n">
        <v>41</v>
      </c>
      <c r="I116" s="6" t="n">
        <v>50</v>
      </c>
    </row>
    <row r="117" customFormat="false" ht="13.8" hidden="false" customHeight="false" outlineLevel="0" collapsed="false">
      <c r="A117" s="6" t="n">
        <v>4</v>
      </c>
      <c r="B117" s="6" t="n">
        <v>6</v>
      </c>
      <c r="C117" s="6" t="n">
        <v>13</v>
      </c>
      <c r="D117" s="6" t="n">
        <v>35</v>
      </c>
      <c r="E117" s="6" t="n">
        <v>43</v>
      </c>
      <c r="F117" s="6" t="n">
        <v>46</v>
      </c>
      <c r="G117" s="6" t="n">
        <v>53</v>
      </c>
      <c r="H117" s="6" t="n">
        <v>54</v>
      </c>
      <c r="I117" s="6" t="n">
        <v>59</v>
      </c>
    </row>
    <row r="118" customFormat="false" ht="13.8" hidden="false" customHeight="false" outlineLevel="0" collapsed="false">
      <c r="A118" s="6" t="n">
        <v>3</v>
      </c>
      <c r="B118" s="6" t="n">
        <v>13</v>
      </c>
      <c r="C118" s="6" t="n">
        <v>16</v>
      </c>
      <c r="D118" s="6" t="n">
        <v>17</v>
      </c>
      <c r="E118" s="6" t="n">
        <v>27</v>
      </c>
      <c r="F118" s="6" t="n">
        <v>32</v>
      </c>
      <c r="G118" s="6" t="n">
        <v>40</v>
      </c>
      <c r="H118" s="6" t="n">
        <v>47</v>
      </c>
      <c r="I118" s="6" t="n">
        <v>53</v>
      </c>
    </row>
    <row r="119" customFormat="false" ht="13.8" hidden="false" customHeight="false" outlineLevel="0" collapsed="false">
      <c r="A119" s="6" t="n">
        <v>4</v>
      </c>
      <c r="B119" s="6" t="n">
        <v>5</v>
      </c>
      <c r="C119" s="6" t="n">
        <v>8</v>
      </c>
      <c r="D119" s="6" t="n">
        <v>12</v>
      </c>
      <c r="E119" s="6" t="n">
        <v>26</v>
      </c>
      <c r="F119" s="6" t="n">
        <v>39</v>
      </c>
      <c r="G119" s="6" t="n">
        <v>43</v>
      </c>
      <c r="H119" s="6" t="n">
        <v>46</v>
      </c>
      <c r="I119" s="6" t="n">
        <v>47</v>
      </c>
    </row>
    <row r="120" customFormat="false" ht="13.8" hidden="false" customHeight="false" outlineLevel="0" collapsed="false">
      <c r="A120" s="6" t="n">
        <v>10</v>
      </c>
      <c r="B120" s="6" t="n">
        <v>11</v>
      </c>
      <c r="C120" s="6" t="n">
        <v>12</v>
      </c>
      <c r="D120" s="6" t="n">
        <v>27</v>
      </c>
      <c r="E120" s="6" t="n">
        <v>35</v>
      </c>
      <c r="F120" s="6" t="n">
        <v>40</v>
      </c>
      <c r="G120" s="6" t="n">
        <v>41</v>
      </c>
      <c r="H120" s="6" t="n">
        <v>46</v>
      </c>
      <c r="I120" s="6" t="n">
        <v>49</v>
      </c>
    </row>
    <row r="121" customFormat="false" ht="13.8" hidden="false" customHeight="false" outlineLevel="0" collapsed="false">
      <c r="A121" s="6" t="n">
        <v>4</v>
      </c>
      <c r="B121" s="6" t="n">
        <v>19</v>
      </c>
      <c r="C121" s="6" t="n">
        <v>23</v>
      </c>
      <c r="D121" s="6" t="n">
        <v>29</v>
      </c>
      <c r="E121" s="6" t="n">
        <v>39</v>
      </c>
      <c r="F121" s="6" t="n">
        <v>47</v>
      </c>
      <c r="G121" s="6" t="n">
        <v>52</v>
      </c>
      <c r="H121" s="6" t="n">
        <v>56</v>
      </c>
      <c r="I121" s="6" t="n">
        <v>58</v>
      </c>
    </row>
    <row r="122" customFormat="false" ht="13.8" hidden="false" customHeight="false" outlineLevel="0" collapsed="false">
      <c r="A122" s="6" t="n">
        <v>10</v>
      </c>
      <c r="B122" s="6" t="n">
        <v>11</v>
      </c>
      <c r="C122" s="6" t="n">
        <v>16</v>
      </c>
      <c r="D122" s="6" t="n">
        <v>33</v>
      </c>
      <c r="E122" s="6" t="n">
        <v>36</v>
      </c>
      <c r="F122" s="6" t="n">
        <v>46</v>
      </c>
      <c r="G122" s="6" t="n">
        <v>50</v>
      </c>
      <c r="H122" s="6" t="n">
        <v>53</v>
      </c>
      <c r="I122" s="6" t="n">
        <v>55</v>
      </c>
    </row>
    <row r="123" customFormat="false" ht="13.8" hidden="false" customHeight="false" outlineLevel="0" collapsed="false">
      <c r="A123" s="6" t="n">
        <v>3</v>
      </c>
      <c r="B123" s="6" t="n">
        <v>5</v>
      </c>
      <c r="C123" s="6" t="n">
        <v>14</v>
      </c>
      <c r="D123" s="6" t="n">
        <v>21</v>
      </c>
      <c r="E123" s="6" t="n">
        <v>23</v>
      </c>
      <c r="F123" s="6" t="n">
        <v>30</v>
      </c>
      <c r="G123" s="6" t="n">
        <v>34</v>
      </c>
      <c r="H123" s="6" t="n">
        <v>46</v>
      </c>
      <c r="I123" s="6" t="n">
        <v>51</v>
      </c>
    </row>
    <row r="124" customFormat="false" ht="13.8" hidden="false" customHeight="false" outlineLevel="0" collapsed="false">
      <c r="A124" s="6" t="n">
        <v>2</v>
      </c>
      <c r="B124" s="6" t="n">
        <v>3</v>
      </c>
      <c r="C124" s="6" t="n">
        <v>7</v>
      </c>
      <c r="D124" s="6" t="n">
        <v>10</v>
      </c>
      <c r="E124" s="6" t="n">
        <v>27</v>
      </c>
      <c r="F124" s="6" t="n">
        <v>30</v>
      </c>
      <c r="G124" s="6" t="n">
        <v>46</v>
      </c>
      <c r="H124" s="6" t="n">
        <v>53</v>
      </c>
      <c r="I124" s="6" t="n">
        <v>56</v>
      </c>
    </row>
    <row r="125" customFormat="false" ht="13.8" hidden="false" customHeight="false" outlineLevel="0" collapsed="false">
      <c r="A125" s="6" t="n">
        <v>1</v>
      </c>
      <c r="B125" s="6" t="n">
        <v>4</v>
      </c>
      <c r="C125" s="6" t="n">
        <v>6</v>
      </c>
      <c r="D125" s="6" t="n">
        <v>12</v>
      </c>
      <c r="E125" s="6" t="n">
        <v>19</v>
      </c>
      <c r="F125" s="6" t="n">
        <v>25</v>
      </c>
      <c r="G125" s="6" t="n">
        <v>28</v>
      </c>
      <c r="H125" s="6" t="n">
        <v>29</v>
      </c>
      <c r="I125" s="6" t="n">
        <v>49</v>
      </c>
    </row>
    <row r="126" customFormat="false" ht="13.8" hidden="false" customHeight="false" outlineLevel="0" collapsed="false">
      <c r="A126" s="6" t="n">
        <v>2</v>
      </c>
      <c r="B126" s="6" t="n">
        <v>5</v>
      </c>
      <c r="C126" s="6" t="n">
        <v>10</v>
      </c>
      <c r="D126" s="6" t="n">
        <v>14</v>
      </c>
      <c r="E126" s="6" t="n">
        <v>15</v>
      </c>
      <c r="F126" s="6" t="n">
        <v>23</v>
      </c>
      <c r="G126" s="6" t="n">
        <v>25</v>
      </c>
      <c r="H126" s="6" t="n">
        <v>30</v>
      </c>
      <c r="I126" s="6" t="n">
        <v>34</v>
      </c>
    </row>
    <row r="127" customFormat="false" ht="13.8" hidden="false" customHeight="false" outlineLevel="0" collapsed="false">
      <c r="A127" s="6" t="n">
        <v>10</v>
      </c>
      <c r="B127" s="6" t="n">
        <v>13</v>
      </c>
      <c r="C127" s="6" t="n">
        <v>16</v>
      </c>
      <c r="D127" s="6" t="n">
        <v>22</v>
      </c>
      <c r="E127" s="6" t="n">
        <v>40</v>
      </c>
      <c r="F127" s="6" t="n">
        <v>41</v>
      </c>
      <c r="G127" s="6" t="n">
        <v>53</v>
      </c>
      <c r="H127" s="6" t="n">
        <v>57</v>
      </c>
      <c r="I127" s="6" t="n">
        <v>58</v>
      </c>
    </row>
    <row r="128" customFormat="false" ht="13.8" hidden="false" customHeight="false" outlineLevel="0" collapsed="false">
      <c r="A128" s="6" t="n">
        <v>2</v>
      </c>
      <c r="B128" s="6" t="n">
        <v>3</v>
      </c>
      <c r="C128" s="6" t="n">
        <v>16</v>
      </c>
      <c r="D128" s="6" t="n">
        <v>19</v>
      </c>
      <c r="E128" s="6" t="n">
        <v>33</v>
      </c>
      <c r="F128" s="6" t="n">
        <v>53</v>
      </c>
      <c r="G128" s="6" t="n">
        <v>57</v>
      </c>
      <c r="H128" s="6" t="n">
        <v>58</v>
      </c>
      <c r="I128" s="6" t="n">
        <v>60</v>
      </c>
    </row>
    <row r="129" customFormat="false" ht="13.8" hidden="false" customHeight="false" outlineLevel="0" collapsed="false">
      <c r="A129" s="6" t="n">
        <v>4</v>
      </c>
      <c r="B129" s="6" t="n">
        <v>6</v>
      </c>
      <c r="C129" s="6" t="n">
        <v>7</v>
      </c>
      <c r="D129" s="6" t="n">
        <v>10</v>
      </c>
      <c r="E129" s="6" t="n">
        <v>11</v>
      </c>
      <c r="F129" s="6" t="n">
        <v>12</v>
      </c>
      <c r="G129" s="6" t="n">
        <v>27</v>
      </c>
      <c r="H129" s="6" t="n">
        <v>41</v>
      </c>
      <c r="I129" s="6" t="n">
        <v>56</v>
      </c>
    </row>
    <row r="130" customFormat="false" ht="13.8" hidden="false" customHeight="false" outlineLevel="0" collapsed="false">
      <c r="A130" s="6" t="n">
        <v>2</v>
      </c>
      <c r="B130" s="6" t="n">
        <v>3</v>
      </c>
      <c r="C130" s="6" t="n">
        <v>8</v>
      </c>
      <c r="D130" s="6" t="n">
        <v>13</v>
      </c>
      <c r="E130" s="6" t="n">
        <v>16</v>
      </c>
      <c r="F130" s="6" t="n">
        <v>34</v>
      </c>
      <c r="G130" s="6" t="n">
        <v>41</v>
      </c>
      <c r="H130" s="6" t="n">
        <v>49</v>
      </c>
      <c r="I130" s="6" t="n">
        <v>50</v>
      </c>
    </row>
    <row r="131" customFormat="false" ht="13.8" hidden="false" customHeight="false" outlineLevel="0" collapsed="false">
      <c r="A131" s="6" t="n">
        <v>8</v>
      </c>
      <c r="B131" s="6" t="n">
        <v>15</v>
      </c>
      <c r="C131" s="6" t="n">
        <v>23</v>
      </c>
      <c r="D131" s="6" t="n">
        <v>34</v>
      </c>
      <c r="E131" s="6" t="n">
        <v>39</v>
      </c>
      <c r="F131" s="6" t="n">
        <v>47</v>
      </c>
      <c r="G131" s="6" t="n">
        <v>52</v>
      </c>
      <c r="H131" s="6" t="n">
        <v>56</v>
      </c>
      <c r="I131" s="6" t="n">
        <v>59</v>
      </c>
    </row>
    <row r="132" customFormat="false" ht="13.8" hidden="false" customHeight="false" outlineLevel="0" collapsed="false">
      <c r="A132" s="6" t="n">
        <v>4</v>
      </c>
      <c r="B132" s="6" t="n">
        <v>6</v>
      </c>
      <c r="C132" s="6" t="n">
        <v>19</v>
      </c>
      <c r="D132" s="6" t="n">
        <v>27</v>
      </c>
      <c r="E132" s="6" t="n">
        <v>28</v>
      </c>
      <c r="F132" s="6" t="n">
        <v>38</v>
      </c>
      <c r="G132" s="6" t="n">
        <v>41</v>
      </c>
      <c r="H132" s="6" t="n">
        <v>53</v>
      </c>
      <c r="I132" s="6" t="n">
        <v>57</v>
      </c>
    </row>
    <row r="133" customFormat="false" ht="13.8" hidden="false" customHeight="false" outlineLevel="0" collapsed="false">
      <c r="A133" s="6" t="n">
        <v>1</v>
      </c>
      <c r="B133" s="6" t="n">
        <v>5</v>
      </c>
      <c r="C133" s="6" t="n">
        <v>10</v>
      </c>
      <c r="D133" s="6" t="n">
        <v>23</v>
      </c>
      <c r="E133" s="6" t="n">
        <v>24</v>
      </c>
      <c r="F133" s="6" t="n">
        <v>30</v>
      </c>
      <c r="G133" s="6" t="n">
        <v>33</v>
      </c>
      <c r="H133" s="6" t="n">
        <v>35</v>
      </c>
      <c r="I133" s="6" t="n">
        <v>38</v>
      </c>
    </row>
    <row r="134" customFormat="false" ht="13.8" hidden="false" customHeight="false" outlineLevel="0" collapsed="false">
      <c r="A134" s="6" t="n">
        <v>5</v>
      </c>
      <c r="B134" s="6" t="n">
        <v>6</v>
      </c>
      <c r="C134" s="6" t="n">
        <v>11</v>
      </c>
      <c r="D134" s="6" t="n">
        <v>26</v>
      </c>
      <c r="E134" s="6" t="n">
        <v>34</v>
      </c>
      <c r="F134" s="6" t="n">
        <v>46</v>
      </c>
      <c r="G134" s="6" t="n">
        <v>53</v>
      </c>
      <c r="H134" s="6" t="n">
        <v>54</v>
      </c>
      <c r="I134" s="6" t="n">
        <v>59</v>
      </c>
    </row>
    <row r="135" customFormat="false" ht="13.8" hidden="false" customHeight="false" outlineLevel="0" collapsed="false">
      <c r="A135" s="6" t="n">
        <v>2</v>
      </c>
      <c r="B135" s="6" t="n">
        <v>6</v>
      </c>
      <c r="C135" s="6" t="n">
        <v>10</v>
      </c>
      <c r="D135" s="6" t="n">
        <v>15</v>
      </c>
      <c r="E135" s="6" t="n">
        <v>29</v>
      </c>
      <c r="F135" s="6" t="n">
        <v>34</v>
      </c>
      <c r="G135" s="6" t="n">
        <v>35</v>
      </c>
      <c r="H135" s="6" t="n">
        <v>41</v>
      </c>
      <c r="I135" s="6" t="n">
        <v>56</v>
      </c>
    </row>
    <row r="136" customFormat="false" ht="13.8" hidden="false" customHeight="false" outlineLevel="0" collapsed="false">
      <c r="A136" s="6" t="n">
        <v>5</v>
      </c>
      <c r="B136" s="6" t="n">
        <v>11</v>
      </c>
      <c r="C136" s="6" t="n">
        <v>13</v>
      </c>
      <c r="D136" s="6" t="n">
        <v>24</v>
      </c>
      <c r="E136" s="6" t="n">
        <v>33</v>
      </c>
      <c r="F136" s="6" t="n">
        <v>34</v>
      </c>
      <c r="G136" s="6" t="n">
        <v>42</v>
      </c>
      <c r="H136" s="6" t="n">
        <v>46</v>
      </c>
      <c r="I136" s="6" t="n">
        <v>60</v>
      </c>
    </row>
    <row r="137" customFormat="false" ht="13.8" hidden="false" customHeight="false" outlineLevel="0" collapsed="false">
      <c r="A137" s="6" t="n">
        <v>1</v>
      </c>
      <c r="B137" s="6" t="n">
        <v>6</v>
      </c>
      <c r="C137" s="6" t="n">
        <v>10</v>
      </c>
      <c r="D137" s="6" t="n">
        <v>13</v>
      </c>
      <c r="E137" s="6" t="n">
        <v>17</v>
      </c>
      <c r="F137" s="6" t="n">
        <v>34</v>
      </c>
      <c r="G137" s="6" t="n">
        <v>37</v>
      </c>
      <c r="H137" s="6" t="n">
        <v>42</v>
      </c>
      <c r="I137" s="6" t="n">
        <v>51</v>
      </c>
    </row>
    <row r="138" customFormat="false" ht="13.8" hidden="false" customHeight="false" outlineLevel="0" collapsed="false">
      <c r="A138" s="6" t="n">
        <v>5</v>
      </c>
      <c r="B138" s="6" t="n">
        <v>7</v>
      </c>
      <c r="C138" s="6" t="n">
        <v>8</v>
      </c>
      <c r="D138" s="6" t="n">
        <v>13</v>
      </c>
      <c r="E138" s="6" t="n">
        <v>22</v>
      </c>
      <c r="F138" s="6" t="n">
        <v>34</v>
      </c>
      <c r="G138" s="6" t="n">
        <v>42</v>
      </c>
      <c r="H138" s="6" t="n">
        <v>48</v>
      </c>
      <c r="I138" s="6" t="n">
        <v>51</v>
      </c>
    </row>
    <row r="139" customFormat="false" ht="13.8" hidden="false" customHeight="false" outlineLevel="0" collapsed="false">
      <c r="A139" s="6" t="n">
        <v>1</v>
      </c>
      <c r="B139" s="6" t="n">
        <v>13</v>
      </c>
      <c r="C139" s="6" t="n">
        <v>22</v>
      </c>
      <c r="D139" s="6" t="n">
        <v>31</v>
      </c>
      <c r="E139" s="6" t="n">
        <v>33</v>
      </c>
      <c r="F139" s="6" t="n">
        <v>46</v>
      </c>
      <c r="G139" s="6" t="n">
        <v>51</v>
      </c>
      <c r="H139" s="6" t="n">
        <v>56</v>
      </c>
      <c r="I139" s="6" t="n">
        <v>58</v>
      </c>
    </row>
    <row r="140" customFormat="false" ht="13.8" hidden="false" customHeight="false" outlineLevel="0" collapsed="false">
      <c r="A140" s="6" t="n">
        <v>2</v>
      </c>
      <c r="B140" s="6" t="n">
        <v>4</v>
      </c>
      <c r="C140" s="6" t="n">
        <v>16</v>
      </c>
      <c r="D140" s="6" t="n">
        <v>20</v>
      </c>
      <c r="E140" s="6" t="n">
        <v>27</v>
      </c>
      <c r="F140" s="6" t="n">
        <v>34</v>
      </c>
      <c r="G140" s="6" t="n">
        <v>37</v>
      </c>
      <c r="H140" s="6" t="n">
        <v>43</v>
      </c>
      <c r="I140" s="6" t="n">
        <v>57</v>
      </c>
    </row>
    <row r="141" customFormat="false" ht="13.8" hidden="false" customHeight="false" outlineLevel="0" collapsed="false"/>
    <row r="142" customFormat="false" ht="13.8" hidden="false" customHeight="false" outlineLevel="0" collapsed="false">
      <c r="A142" s="6" t="n">
        <v>9</v>
      </c>
      <c r="B142" s="6" t="n">
        <v>11</v>
      </c>
      <c r="C142" s="6" t="n">
        <v>23</v>
      </c>
      <c r="D142" s="6" t="n">
        <v>32</v>
      </c>
      <c r="E142" s="6" t="n">
        <v>34</v>
      </c>
      <c r="F142" s="6" t="n">
        <v>35</v>
      </c>
      <c r="G142" s="6" t="n">
        <v>45</v>
      </c>
      <c r="H142" s="6" t="n">
        <v>46</v>
      </c>
      <c r="I142" s="6" t="n">
        <v>57</v>
      </c>
    </row>
    <row r="143" customFormat="false" ht="13.8" hidden="false" customHeight="false" outlineLevel="0" collapsed="false">
      <c r="A143" s="6" t="n">
        <v>11</v>
      </c>
      <c r="B143" s="6" t="n">
        <v>27</v>
      </c>
      <c r="C143" s="6" t="n">
        <v>32</v>
      </c>
      <c r="D143" s="6" t="n">
        <v>34</v>
      </c>
      <c r="E143" s="6" t="n">
        <v>41</v>
      </c>
      <c r="F143" s="6" t="n">
        <v>47</v>
      </c>
      <c r="G143" s="6" t="n">
        <v>55</v>
      </c>
      <c r="H143" s="6" t="n">
        <v>56</v>
      </c>
      <c r="I143" s="6" t="n">
        <v>58</v>
      </c>
    </row>
    <row r="144" customFormat="false" ht="13.8" hidden="false" customHeight="false" outlineLevel="0" collapsed="false">
      <c r="A144" s="6" t="n">
        <v>10</v>
      </c>
      <c r="B144" s="6" t="n">
        <v>13</v>
      </c>
      <c r="C144" s="6" t="n">
        <v>16</v>
      </c>
      <c r="D144" s="6" t="n">
        <v>17</v>
      </c>
      <c r="E144" s="6" t="n">
        <v>22</v>
      </c>
      <c r="F144" s="6" t="n">
        <v>34</v>
      </c>
      <c r="G144" s="6" t="n">
        <v>41</v>
      </c>
      <c r="H144" s="6" t="n">
        <v>42</v>
      </c>
      <c r="I144" s="6" t="n">
        <v>60</v>
      </c>
    </row>
    <row r="145" customFormat="false" ht="13.8" hidden="false" customHeight="false" outlineLevel="0" collapsed="false">
      <c r="A145" s="6" t="n">
        <v>13</v>
      </c>
      <c r="B145" s="6" t="n">
        <v>14</v>
      </c>
      <c r="C145" s="6" t="n">
        <v>20</v>
      </c>
      <c r="D145" s="6" t="n">
        <v>36</v>
      </c>
      <c r="E145" s="6" t="n">
        <v>40</v>
      </c>
      <c r="F145" s="6" t="n">
        <v>44</v>
      </c>
      <c r="G145" s="6" t="n">
        <v>53</v>
      </c>
      <c r="H145" s="6" t="n">
        <v>55</v>
      </c>
      <c r="I145" s="6" t="n">
        <v>60</v>
      </c>
    </row>
    <row r="146" customFormat="false" ht="13.8" hidden="false" customHeight="false" outlineLevel="0" collapsed="false">
      <c r="A146" s="6" t="n">
        <v>4</v>
      </c>
      <c r="B146" s="6" t="n">
        <v>8</v>
      </c>
      <c r="C146" s="6" t="n">
        <v>17</v>
      </c>
      <c r="D146" s="6" t="n">
        <v>40</v>
      </c>
      <c r="E146" s="6" t="n">
        <v>41</v>
      </c>
      <c r="F146" s="6" t="n">
        <v>44</v>
      </c>
      <c r="G146" s="6" t="n">
        <v>46</v>
      </c>
      <c r="H146" s="6" t="n">
        <v>53</v>
      </c>
      <c r="I146" s="6" t="n">
        <v>56</v>
      </c>
    </row>
    <row r="147" customFormat="false" ht="13.8" hidden="false" customHeight="false" outlineLevel="0" collapsed="false">
      <c r="A147" s="6" t="n">
        <v>2</v>
      </c>
      <c r="B147" s="6" t="n">
        <v>24</v>
      </c>
      <c r="C147" s="6" t="n">
        <v>34</v>
      </c>
      <c r="D147" s="6" t="n">
        <v>35</v>
      </c>
      <c r="E147" s="6" t="n">
        <v>43</v>
      </c>
      <c r="F147" s="6" t="n">
        <v>50</v>
      </c>
      <c r="G147" s="6" t="n">
        <v>54</v>
      </c>
      <c r="H147" s="6" t="n">
        <v>55</v>
      </c>
      <c r="I147" s="6" t="n">
        <v>56</v>
      </c>
    </row>
    <row r="148" customFormat="false" ht="13.8" hidden="false" customHeight="false" outlineLevel="0" collapsed="false">
      <c r="A148" s="6" t="n">
        <v>1</v>
      </c>
      <c r="B148" s="6" t="n">
        <v>4</v>
      </c>
      <c r="C148" s="6" t="n">
        <v>5</v>
      </c>
      <c r="D148" s="6" t="n">
        <v>12</v>
      </c>
      <c r="E148" s="6" t="n">
        <v>34</v>
      </c>
      <c r="F148" s="6" t="n">
        <v>36</v>
      </c>
      <c r="G148" s="6" t="n">
        <v>46</v>
      </c>
      <c r="H148" s="6" t="n">
        <v>53</v>
      </c>
      <c r="I148" s="6" t="n">
        <v>55</v>
      </c>
    </row>
    <row r="149" customFormat="false" ht="13.8" hidden="false" customHeight="false" outlineLevel="0" collapsed="false">
      <c r="A149" s="6" t="n">
        <v>11</v>
      </c>
      <c r="B149" s="6" t="n">
        <v>18</v>
      </c>
      <c r="C149" s="6" t="n">
        <v>41</v>
      </c>
      <c r="D149" s="6" t="n">
        <v>43</v>
      </c>
      <c r="E149" s="6" t="n">
        <v>45</v>
      </c>
      <c r="F149" s="6" t="n">
        <v>48</v>
      </c>
      <c r="G149" s="6" t="n">
        <v>52</v>
      </c>
      <c r="H149" s="6" t="n">
        <v>56</v>
      </c>
      <c r="I149" s="6" t="n">
        <v>58</v>
      </c>
    </row>
    <row r="150" customFormat="false" ht="13.8" hidden="false" customHeight="false" outlineLevel="0" collapsed="false">
      <c r="A150" s="6" t="n">
        <v>16</v>
      </c>
      <c r="B150" s="6" t="n">
        <v>21</v>
      </c>
      <c r="C150" s="6" t="n">
        <v>26</v>
      </c>
      <c r="D150" s="6" t="n">
        <v>27</v>
      </c>
      <c r="E150" s="6" t="n">
        <v>28</v>
      </c>
      <c r="F150" s="6" t="n">
        <v>31</v>
      </c>
      <c r="G150" s="6" t="n">
        <v>38</v>
      </c>
      <c r="H150" s="6" t="n">
        <v>44</v>
      </c>
      <c r="I150" s="6" t="n">
        <v>45</v>
      </c>
    </row>
    <row r="151" customFormat="false" ht="13.8" hidden="false" customHeight="false" outlineLevel="0" collapsed="false">
      <c r="A151" s="6" t="n">
        <v>11</v>
      </c>
      <c r="B151" s="6" t="n">
        <v>12</v>
      </c>
      <c r="C151" s="6" t="n">
        <v>14</v>
      </c>
      <c r="D151" s="6" t="n">
        <v>21</v>
      </c>
      <c r="E151" s="6" t="n">
        <v>22</v>
      </c>
      <c r="F151" s="6" t="n">
        <v>29</v>
      </c>
      <c r="G151" s="6" t="n">
        <v>35</v>
      </c>
      <c r="H151" s="6" t="n">
        <v>46</v>
      </c>
      <c r="I151" s="6" t="n">
        <v>52</v>
      </c>
    </row>
    <row r="152" customFormat="false" ht="13.8" hidden="false" customHeight="false" outlineLevel="0" collapsed="false">
      <c r="A152" s="6" t="n">
        <v>16</v>
      </c>
      <c r="B152" s="6" t="n">
        <v>22</v>
      </c>
      <c r="C152" s="6" t="n">
        <v>23</v>
      </c>
      <c r="D152" s="6" t="n">
        <v>33</v>
      </c>
      <c r="E152" s="6" t="n">
        <v>38</v>
      </c>
      <c r="F152" s="6" t="n">
        <v>46</v>
      </c>
      <c r="G152" s="6" t="n">
        <v>53</v>
      </c>
      <c r="H152" s="6" t="n">
        <v>55</v>
      </c>
      <c r="I152" s="6" t="n">
        <v>58</v>
      </c>
    </row>
    <row r="153" customFormat="false" ht="13.8" hidden="false" customHeight="false" outlineLevel="0" collapsed="false">
      <c r="A153" s="6" t="n">
        <v>6</v>
      </c>
      <c r="B153" s="6" t="n">
        <v>25</v>
      </c>
      <c r="C153" s="6" t="n">
        <v>30</v>
      </c>
      <c r="D153" s="6" t="n">
        <v>35</v>
      </c>
      <c r="E153" s="6" t="n">
        <v>38</v>
      </c>
      <c r="F153" s="6" t="n">
        <v>41</v>
      </c>
      <c r="G153" s="6" t="n">
        <v>47</v>
      </c>
      <c r="H153" s="6" t="n">
        <v>56</v>
      </c>
      <c r="I153" s="6" t="n">
        <v>58</v>
      </c>
    </row>
    <row r="154" customFormat="false" ht="13.8" hidden="false" customHeight="false" outlineLevel="0" collapsed="false">
      <c r="A154" s="6" t="n">
        <v>1</v>
      </c>
      <c r="B154" s="6" t="n">
        <v>7</v>
      </c>
      <c r="C154" s="6" t="n">
        <v>22</v>
      </c>
      <c r="D154" s="6" t="n">
        <v>23</v>
      </c>
      <c r="E154" s="6" t="n">
        <v>34</v>
      </c>
      <c r="F154" s="6" t="n">
        <v>48</v>
      </c>
      <c r="G154" s="6" t="n">
        <v>53</v>
      </c>
      <c r="H154" s="6" t="n">
        <v>54</v>
      </c>
      <c r="I154" s="6" t="n">
        <v>58</v>
      </c>
    </row>
    <row r="155" customFormat="false" ht="13.8" hidden="false" customHeight="false" outlineLevel="0" collapsed="false">
      <c r="A155" s="6" t="n">
        <v>10</v>
      </c>
      <c r="B155" s="6" t="n">
        <v>32</v>
      </c>
      <c r="C155" s="6" t="n">
        <v>35</v>
      </c>
      <c r="D155" s="6" t="n">
        <v>38</v>
      </c>
      <c r="E155" s="6" t="n">
        <v>41</v>
      </c>
      <c r="F155" s="6" t="n">
        <v>47</v>
      </c>
      <c r="G155" s="6" t="n">
        <v>55</v>
      </c>
      <c r="H155" s="6" t="n">
        <v>58</v>
      </c>
      <c r="I155" s="6" t="n">
        <v>59</v>
      </c>
    </row>
    <row r="156" customFormat="false" ht="13.8" hidden="false" customHeight="false" outlineLevel="0" collapsed="false">
      <c r="A156" s="6" t="n">
        <v>1</v>
      </c>
      <c r="B156" s="6" t="n">
        <v>19</v>
      </c>
      <c r="C156" s="6" t="n">
        <v>21</v>
      </c>
      <c r="D156" s="6" t="n">
        <v>24</v>
      </c>
      <c r="E156" s="6" t="n">
        <v>35</v>
      </c>
      <c r="F156" s="6" t="n">
        <v>40</v>
      </c>
      <c r="G156" s="6" t="n">
        <v>47</v>
      </c>
      <c r="H156" s="6" t="n">
        <v>54</v>
      </c>
      <c r="I156" s="6" t="n">
        <v>56</v>
      </c>
    </row>
    <row r="157" customFormat="false" ht="13.8" hidden="false" customHeight="false" outlineLevel="0" collapsed="false">
      <c r="A157" s="6" t="n">
        <v>5</v>
      </c>
      <c r="B157" s="6" t="n">
        <v>6</v>
      </c>
      <c r="C157" s="6" t="n">
        <v>25</v>
      </c>
      <c r="D157" s="6" t="n">
        <v>26</v>
      </c>
      <c r="E157" s="6" t="n">
        <v>27</v>
      </c>
      <c r="F157" s="6" t="n">
        <v>45</v>
      </c>
      <c r="G157" s="6" t="n">
        <v>50</v>
      </c>
      <c r="H157" s="6" t="n">
        <v>56</v>
      </c>
      <c r="I157" s="6" t="n">
        <v>60</v>
      </c>
    </row>
    <row r="158" customFormat="false" ht="13.8" hidden="false" customHeight="false" outlineLevel="0" collapsed="false">
      <c r="A158" s="6" t="n">
        <v>12</v>
      </c>
      <c r="B158" s="6" t="n">
        <v>13</v>
      </c>
      <c r="C158" s="6" t="n">
        <v>16</v>
      </c>
      <c r="D158" s="6" t="n">
        <v>42</v>
      </c>
      <c r="E158" s="6" t="n">
        <v>44</v>
      </c>
      <c r="F158" s="6" t="n">
        <v>46</v>
      </c>
      <c r="G158" s="6" t="n">
        <v>53</v>
      </c>
      <c r="H158" s="6" t="n">
        <v>57</v>
      </c>
      <c r="I158" s="6" t="n">
        <v>58</v>
      </c>
    </row>
    <row r="159" customFormat="false" ht="13.8" hidden="false" customHeight="false" outlineLevel="0" collapsed="false">
      <c r="A159" s="6" t="n">
        <v>2</v>
      </c>
      <c r="B159" s="6" t="n">
        <v>5</v>
      </c>
      <c r="C159" s="6" t="n">
        <v>12</v>
      </c>
      <c r="D159" s="6" t="n">
        <v>13</v>
      </c>
      <c r="E159" s="6" t="n">
        <v>25</v>
      </c>
      <c r="F159" s="6" t="n">
        <v>35</v>
      </c>
      <c r="G159" s="6" t="n">
        <v>42</v>
      </c>
      <c r="H159" s="6" t="n">
        <v>50</v>
      </c>
      <c r="I159" s="6" t="n">
        <v>57</v>
      </c>
    </row>
    <row r="160" customFormat="false" ht="13.8" hidden="false" customHeight="false" outlineLevel="0" collapsed="false">
      <c r="A160" s="6" t="n">
        <v>3</v>
      </c>
      <c r="B160" s="6" t="n">
        <v>19</v>
      </c>
      <c r="C160" s="6" t="n">
        <v>23</v>
      </c>
      <c r="D160" s="6" t="n">
        <v>34</v>
      </c>
      <c r="E160" s="6" t="n">
        <v>38</v>
      </c>
      <c r="F160" s="6" t="n">
        <v>41</v>
      </c>
      <c r="G160" s="6" t="n">
        <v>48</v>
      </c>
      <c r="H160" s="6" t="n">
        <v>56</v>
      </c>
      <c r="I160" s="6" t="n">
        <v>58</v>
      </c>
    </row>
    <row r="161" customFormat="false" ht="13.8" hidden="false" customHeight="false" outlineLevel="0" collapsed="false">
      <c r="A161" s="6" t="n">
        <v>14</v>
      </c>
      <c r="B161" s="6" t="n">
        <v>26</v>
      </c>
      <c r="C161" s="6" t="n">
        <v>33</v>
      </c>
      <c r="D161" s="6" t="n">
        <v>36</v>
      </c>
      <c r="E161" s="6" t="n">
        <v>38</v>
      </c>
      <c r="F161" s="6" t="n">
        <v>44</v>
      </c>
      <c r="G161" s="6" t="n">
        <v>53</v>
      </c>
      <c r="H161" s="6" t="n">
        <v>55</v>
      </c>
      <c r="I161" s="6" t="n">
        <v>60</v>
      </c>
    </row>
    <row r="162" customFormat="false" ht="13.8" hidden="false" customHeight="false" outlineLevel="0" collapsed="false">
      <c r="A162" s="6" t="n">
        <v>13</v>
      </c>
      <c r="B162" s="6" t="n">
        <v>16</v>
      </c>
      <c r="C162" s="6" t="n">
        <v>17</v>
      </c>
      <c r="D162" s="6" t="n">
        <v>27</v>
      </c>
      <c r="E162" s="6" t="n">
        <v>36</v>
      </c>
      <c r="F162" s="6" t="n">
        <v>40</v>
      </c>
      <c r="G162" s="6" t="n">
        <v>47</v>
      </c>
      <c r="H162" s="6" t="n">
        <v>53</v>
      </c>
      <c r="I162" s="6" t="n">
        <v>55</v>
      </c>
    </row>
    <row r="163" customFormat="false" ht="13.8" hidden="false" customHeight="false" outlineLevel="0" collapsed="false">
      <c r="A163" s="6" t="n">
        <v>5</v>
      </c>
      <c r="B163" s="6" t="n">
        <v>14</v>
      </c>
      <c r="C163" s="6" t="n">
        <v>29</v>
      </c>
      <c r="D163" s="6" t="n">
        <v>33</v>
      </c>
      <c r="E163" s="6" t="n">
        <v>36</v>
      </c>
      <c r="F163" s="6" t="n">
        <v>39</v>
      </c>
      <c r="G163" s="6" t="n">
        <v>44</v>
      </c>
      <c r="H163" s="6" t="n">
        <v>57</v>
      </c>
      <c r="I163" s="6" t="n">
        <v>60</v>
      </c>
    </row>
    <row r="164" customFormat="false" ht="13.8" hidden="false" customHeight="false" outlineLevel="0" collapsed="false">
      <c r="A164" s="6" t="n">
        <v>10</v>
      </c>
      <c r="B164" s="6" t="n">
        <v>15</v>
      </c>
      <c r="C164" s="6" t="n">
        <v>17</v>
      </c>
      <c r="D164" s="6" t="n">
        <v>18</v>
      </c>
      <c r="E164" s="6" t="n">
        <v>23</v>
      </c>
      <c r="F164" s="6" t="n">
        <v>24</v>
      </c>
      <c r="G164" s="6" t="n">
        <v>30</v>
      </c>
      <c r="H164" s="6" t="n">
        <v>42</v>
      </c>
      <c r="I164" s="6" t="n">
        <v>56</v>
      </c>
    </row>
    <row r="165" customFormat="false" ht="13.8" hidden="false" customHeight="false" outlineLevel="0" collapsed="false">
      <c r="A165" s="6" t="n">
        <v>1</v>
      </c>
      <c r="B165" s="6" t="n">
        <v>15</v>
      </c>
      <c r="C165" s="6" t="n">
        <v>16</v>
      </c>
      <c r="D165" s="6" t="n">
        <v>17</v>
      </c>
      <c r="E165" s="6" t="n">
        <v>28</v>
      </c>
      <c r="F165" s="6" t="n">
        <v>32</v>
      </c>
      <c r="G165" s="6" t="n">
        <v>43</v>
      </c>
      <c r="H165" s="6" t="n">
        <v>51</v>
      </c>
      <c r="I165" s="6" t="n">
        <v>58</v>
      </c>
    </row>
    <row r="166" customFormat="false" ht="13.8" hidden="false" customHeight="false" outlineLevel="0" collapsed="false">
      <c r="A166" s="6" t="n">
        <v>2</v>
      </c>
      <c r="B166" s="6" t="n">
        <v>3</v>
      </c>
      <c r="C166" s="6" t="n">
        <v>22</v>
      </c>
      <c r="D166" s="6" t="n">
        <v>26</v>
      </c>
      <c r="E166" s="6" t="n">
        <v>30</v>
      </c>
      <c r="F166" s="6" t="n">
        <v>31</v>
      </c>
      <c r="G166" s="6" t="n">
        <v>38</v>
      </c>
      <c r="H166" s="6" t="n">
        <v>50</v>
      </c>
      <c r="I166" s="6" t="n">
        <v>56</v>
      </c>
    </row>
    <row r="167" customFormat="false" ht="13.8" hidden="false" customHeight="false" outlineLevel="0" collapsed="false">
      <c r="A167" s="6" t="n">
        <v>9</v>
      </c>
      <c r="B167" s="6" t="n">
        <v>13</v>
      </c>
      <c r="C167" s="6" t="n">
        <v>14</v>
      </c>
      <c r="D167" s="6" t="n">
        <v>16</v>
      </c>
      <c r="E167" s="6" t="n">
        <v>24</v>
      </c>
      <c r="F167" s="6" t="n">
        <v>27</v>
      </c>
      <c r="G167" s="6" t="n">
        <v>33</v>
      </c>
      <c r="H167" s="6" t="n">
        <v>34</v>
      </c>
      <c r="I167" s="6" t="n">
        <v>55</v>
      </c>
    </row>
    <row r="168" customFormat="false" ht="13.8" hidden="false" customHeight="false" outlineLevel="0" collapsed="false">
      <c r="A168" s="6" t="n">
        <v>9</v>
      </c>
      <c r="B168" s="6" t="n">
        <v>11</v>
      </c>
      <c r="C168" s="6" t="n">
        <v>34</v>
      </c>
      <c r="D168" s="6" t="n">
        <v>35</v>
      </c>
      <c r="E168" s="6" t="n">
        <v>46</v>
      </c>
      <c r="F168" s="6" t="n">
        <v>57</v>
      </c>
    </row>
    <row r="169" customFormat="false" ht="13.8" hidden="false" customHeight="false" outlineLevel="0" collapsed="false">
      <c r="A169" s="6" t="n">
        <v>11</v>
      </c>
      <c r="B169" s="6" t="n">
        <v>27</v>
      </c>
      <c r="C169" s="6" t="n">
        <v>41</v>
      </c>
      <c r="D169" s="6" t="n">
        <v>47</v>
      </c>
      <c r="E169" s="6" t="n">
        <v>56</v>
      </c>
      <c r="F169" s="6" t="n">
        <v>58</v>
      </c>
    </row>
    <row r="170" customFormat="false" ht="13.8" hidden="false" customHeight="false" outlineLevel="0" collapsed="false">
      <c r="A170" s="6" t="n">
        <v>10</v>
      </c>
      <c r="B170" s="6" t="n">
        <v>13</v>
      </c>
      <c r="C170" s="6" t="n">
        <v>22</v>
      </c>
      <c r="D170" s="6" t="n">
        <v>34</v>
      </c>
      <c r="E170" s="6" t="n">
        <v>42</v>
      </c>
      <c r="F170" s="6" t="n">
        <v>60</v>
      </c>
    </row>
    <row r="171" customFormat="false" ht="13.8" hidden="false" customHeight="false" outlineLevel="0" collapsed="false">
      <c r="A171" s="6" t="n">
        <v>4</v>
      </c>
      <c r="B171" s="6" t="n">
        <v>13</v>
      </c>
      <c r="C171" s="6" t="n">
        <v>14</v>
      </c>
      <c r="D171" s="6" t="n">
        <v>44</v>
      </c>
      <c r="E171" s="6" t="n">
        <v>49</v>
      </c>
      <c r="F171" s="6" t="n">
        <v>50</v>
      </c>
      <c r="G171" s="6" t="n">
        <v>54</v>
      </c>
      <c r="H171" s="6" t="n">
        <v>57</v>
      </c>
      <c r="I171" s="6" t="n">
        <v>60</v>
      </c>
    </row>
    <row r="172" customFormat="false" ht="13.8" hidden="false" customHeight="false" outlineLevel="0" collapsed="false">
      <c r="A172" s="6" t="n">
        <v>6</v>
      </c>
      <c r="B172" s="6" t="n">
        <v>9</v>
      </c>
      <c r="C172" s="6" t="n">
        <v>11</v>
      </c>
      <c r="D172" s="6" t="n">
        <v>25</v>
      </c>
      <c r="E172" s="6" t="n">
        <v>34</v>
      </c>
      <c r="F172" s="6" t="n">
        <v>41</v>
      </c>
      <c r="G172" s="6" t="n">
        <v>44</v>
      </c>
      <c r="H172" s="6" t="n">
        <v>53</v>
      </c>
      <c r="I172" s="6" t="n">
        <v>57</v>
      </c>
    </row>
    <row r="173" customFormat="false" ht="13.8" hidden="false" customHeight="false" outlineLevel="0" collapsed="false">
      <c r="A173" s="6" t="n">
        <v>16</v>
      </c>
      <c r="B173" s="6" t="n">
        <v>19</v>
      </c>
      <c r="C173" s="6" t="n">
        <v>20</v>
      </c>
      <c r="D173" s="6" t="n">
        <v>29</v>
      </c>
      <c r="E173" s="6" t="n">
        <v>35</v>
      </c>
      <c r="F173" s="6" t="n">
        <v>40</v>
      </c>
      <c r="G173" s="6" t="n">
        <v>53</v>
      </c>
      <c r="H173" s="6" t="n">
        <v>55</v>
      </c>
      <c r="I173" s="6" t="n">
        <v>60</v>
      </c>
    </row>
    <row r="174" customFormat="false" ht="13.8" hidden="false" customHeight="false" outlineLevel="0" collapsed="false">
      <c r="A174" s="6" t="n">
        <v>11</v>
      </c>
      <c r="B174" s="6" t="n">
        <v>32</v>
      </c>
      <c r="C174" s="6" t="n">
        <v>41</v>
      </c>
      <c r="D174" s="6" t="n">
        <v>44</v>
      </c>
      <c r="E174" s="6" t="n">
        <v>48</v>
      </c>
      <c r="F174" s="6" t="n">
        <v>50</v>
      </c>
      <c r="G174" s="6" t="n">
        <v>54</v>
      </c>
      <c r="H174" s="6" t="n">
        <v>56</v>
      </c>
      <c r="I174" s="6" t="n">
        <v>57</v>
      </c>
    </row>
    <row r="175" customFormat="false" ht="13.8" hidden="false" customHeight="false" outlineLevel="0" collapsed="false">
      <c r="A175" s="6" t="n">
        <v>10</v>
      </c>
      <c r="B175" s="6" t="n">
        <v>20</v>
      </c>
      <c r="C175" s="6" t="n">
        <v>22</v>
      </c>
      <c r="D175" s="6" t="n">
        <v>35</v>
      </c>
      <c r="E175" s="6" t="n">
        <v>40</v>
      </c>
      <c r="F175" s="6" t="n">
        <v>41</v>
      </c>
      <c r="G175" s="6" t="n">
        <v>42</v>
      </c>
      <c r="H175" s="6" t="n">
        <v>47</v>
      </c>
      <c r="I175" s="6" t="n">
        <v>53</v>
      </c>
    </row>
    <row r="176" customFormat="false" ht="13.8" hidden="false" customHeight="false" outlineLevel="0" collapsed="false">
      <c r="A176" s="6" t="n">
        <v>9</v>
      </c>
      <c r="B176" s="6" t="n">
        <v>11</v>
      </c>
      <c r="C176" s="6" t="n">
        <v>12</v>
      </c>
      <c r="D176" s="6" t="n">
        <v>24</v>
      </c>
      <c r="E176" s="6" t="n">
        <v>31</v>
      </c>
      <c r="F176" s="6" t="n">
        <v>33</v>
      </c>
      <c r="G176" s="6" t="n">
        <v>42</v>
      </c>
      <c r="H176" s="6" t="n">
        <v>46</v>
      </c>
      <c r="I176" s="6" t="n">
        <v>60</v>
      </c>
    </row>
    <row r="177" customFormat="false" ht="13.8" hidden="false" customHeight="false" outlineLevel="0" collapsed="false">
      <c r="A177" s="6" t="n">
        <v>9</v>
      </c>
      <c r="B177" s="6" t="n">
        <v>29</v>
      </c>
      <c r="C177" s="6" t="n">
        <v>31</v>
      </c>
      <c r="D177" s="6" t="n">
        <v>35</v>
      </c>
      <c r="E177" s="6" t="n">
        <v>40</v>
      </c>
      <c r="F177" s="6" t="n">
        <v>45</v>
      </c>
      <c r="G177" s="6" t="n">
        <v>50</v>
      </c>
      <c r="H177" s="6" t="n">
        <v>55</v>
      </c>
      <c r="I177" s="6" t="n">
        <v>56</v>
      </c>
    </row>
    <row r="178" customFormat="false" ht="13.8" hidden="false" customHeight="false" outlineLevel="0" collapsed="false">
      <c r="A178" s="6" t="n">
        <v>5</v>
      </c>
      <c r="B178" s="6" t="n">
        <v>8</v>
      </c>
      <c r="C178" s="6" t="n">
        <v>24</v>
      </c>
      <c r="D178" s="6" t="n">
        <v>30</v>
      </c>
      <c r="E178" s="6" t="n">
        <v>33</v>
      </c>
      <c r="F178" s="6" t="n">
        <v>43</v>
      </c>
      <c r="G178" s="6" t="n">
        <v>46</v>
      </c>
      <c r="H178" s="6" t="n">
        <v>57</v>
      </c>
      <c r="I178" s="6" t="n">
        <v>60</v>
      </c>
    </row>
    <row r="179" customFormat="false" ht="13.8" hidden="false" customHeight="false" outlineLevel="0" collapsed="false">
      <c r="A179" s="6" t="n">
        <v>2</v>
      </c>
      <c r="B179" s="6" t="n">
        <v>5</v>
      </c>
      <c r="C179" s="6" t="n">
        <v>24</v>
      </c>
      <c r="D179" s="6" t="n">
        <v>32</v>
      </c>
      <c r="E179" s="6" t="n">
        <v>41</v>
      </c>
      <c r="F179" s="6" t="n">
        <v>46</v>
      </c>
      <c r="G179" s="6" t="n">
        <v>49</v>
      </c>
      <c r="H179" s="6" t="n">
        <v>55</v>
      </c>
      <c r="I179" s="6" t="n">
        <v>58</v>
      </c>
    </row>
    <row r="180" customFormat="false" ht="13.8" hidden="false" customHeight="false" outlineLevel="0" collapsed="false">
      <c r="A180" s="6" t="n">
        <v>9</v>
      </c>
      <c r="B180" s="6" t="n">
        <v>11</v>
      </c>
      <c r="C180" s="6" t="n">
        <v>26</v>
      </c>
      <c r="D180" s="6" t="n">
        <v>27</v>
      </c>
      <c r="E180" s="6" t="n">
        <v>29</v>
      </c>
      <c r="F180" s="6" t="n">
        <v>30</v>
      </c>
      <c r="G180" s="6" t="n">
        <v>31</v>
      </c>
      <c r="H180" s="6" t="n">
        <v>34</v>
      </c>
      <c r="I180" s="6" t="n">
        <v>41</v>
      </c>
    </row>
    <row r="181" customFormat="false" ht="13.8" hidden="false" customHeight="false" outlineLevel="0" collapsed="false">
      <c r="A181" s="6" t="n">
        <v>2</v>
      </c>
      <c r="B181" s="6" t="n">
        <v>8</v>
      </c>
      <c r="C181" s="6" t="n">
        <v>20</v>
      </c>
      <c r="D181" s="6" t="n">
        <v>27</v>
      </c>
      <c r="E181" s="6" t="n">
        <v>32</v>
      </c>
      <c r="F181" s="6" t="n">
        <v>46</v>
      </c>
      <c r="G181" s="6" t="n">
        <v>49</v>
      </c>
      <c r="H181" s="6" t="n">
        <v>56</v>
      </c>
      <c r="I181" s="6" t="n">
        <v>57</v>
      </c>
    </row>
    <row r="182" customFormat="false" ht="13.8" hidden="false" customHeight="false" outlineLevel="0" collapsed="false">
      <c r="A182" s="6" t="n">
        <v>3</v>
      </c>
      <c r="B182" s="6" t="n">
        <v>4</v>
      </c>
      <c r="C182" s="6" t="n">
        <v>26</v>
      </c>
      <c r="D182" s="6" t="n">
        <v>27</v>
      </c>
      <c r="E182" s="6" t="n">
        <v>40</v>
      </c>
      <c r="F182" s="6" t="n">
        <v>43</v>
      </c>
      <c r="G182" s="6" t="n">
        <v>46</v>
      </c>
      <c r="H182" s="6" t="n">
        <v>54</v>
      </c>
      <c r="I182" s="6" t="n">
        <v>57</v>
      </c>
    </row>
    <row r="183" customFormat="false" ht="13.8" hidden="false" customHeight="false" outlineLevel="0" collapsed="false">
      <c r="A183" s="6" t="n">
        <v>9</v>
      </c>
      <c r="B183" s="6" t="n">
        <v>14</v>
      </c>
      <c r="C183" s="6" t="n">
        <v>15</v>
      </c>
      <c r="D183" s="6" t="n">
        <v>18</v>
      </c>
      <c r="E183" s="6" t="n">
        <v>23</v>
      </c>
      <c r="F183" s="6" t="n">
        <v>30</v>
      </c>
      <c r="G183" s="6" t="n">
        <v>32</v>
      </c>
      <c r="H183" s="6" t="n">
        <v>42</v>
      </c>
      <c r="I183" s="6" t="n">
        <v>56</v>
      </c>
    </row>
    <row r="184" customFormat="false" ht="13.8" hidden="false" customHeight="false" outlineLevel="0" collapsed="false">
      <c r="A184" s="6" t="n">
        <v>12</v>
      </c>
      <c r="B184" s="6" t="n">
        <v>16</v>
      </c>
      <c r="C184" s="6" t="n">
        <v>21</v>
      </c>
      <c r="D184" s="6" t="n">
        <v>24</v>
      </c>
      <c r="E184" s="6" t="n">
        <v>34</v>
      </c>
      <c r="F184" s="6" t="n">
        <v>44</v>
      </c>
      <c r="G184" s="6" t="n">
        <v>51</v>
      </c>
      <c r="H184" s="6" t="n">
        <v>54</v>
      </c>
      <c r="I184" s="6" t="n">
        <v>57</v>
      </c>
    </row>
    <row r="185" customFormat="false" ht="13.8" hidden="false" customHeight="false" outlineLevel="0" collapsed="false">
      <c r="A185" s="6" t="n">
        <v>9</v>
      </c>
      <c r="B185" s="6" t="n">
        <v>24</v>
      </c>
      <c r="C185" s="6" t="n">
        <v>33</v>
      </c>
      <c r="D185" s="6" t="n">
        <v>41</v>
      </c>
      <c r="E185" s="6" t="n">
        <v>48</v>
      </c>
      <c r="F185" s="6" t="n">
        <v>49</v>
      </c>
      <c r="G185" s="6" t="n">
        <v>53</v>
      </c>
      <c r="H185" s="6" t="n">
        <v>54</v>
      </c>
      <c r="I185" s="6" t="n">
        <v>55</v>
      </c>
    </row>
    <row r="186" customFormat="false" ht="13.8" hidden="false" customHeight="false" outlineLevel="0" collapsed="false">
      <c r="A186" s="6" t="n">
        <v>2</v>
      </c>
      <c r="B186" s="6" t="n">
        <v>9</v>
      </c>
      <c r="C186" s="6" t="n">
        <v>12</v>
      </c>
      <c r="D186" s="6" t="n">
        <v>26</v>
      </c>
      <c r="E186" s="6" t="n">
        <v>31</v>
      </c>
      <c r="F186" s="6" t="n">
        <v>43</v>
      </c>
      <c r="G186" s="6" t="n">
        <v>46</v>
      </c>
      <c r="H186" s="6" t="n">
        <v>54</v>
      </c>
      <c r="I186" s="6" t="n">
        <v>58</v>
      </c>
    </row>
    <row r="187" customFormat="false" ht="13.8" hidden="false" customHeight="false" outlineLevel="0" collapsed="false">
      <c r="A187" s="6" t="n">
        <v>6</v>
      </c>
      <c r="B187" s="6" t="n">
        <v>14</v>
      </c>
      <c r="C187" s="6" t="n">
        <v>17</v>
      </c>
      <c r="D187" s="6" t="n">
        <v>29</v>
      </c>
      <c r="E187" s="6" t="n">
        <v>33</v>
      </c>
      <c r="F187" s="6" t="n">
        <v>35</v>
      </c>
      <c r="G187" s="6" t="n">
        <v>40</v>
      </c>
      <c r="H187" s="6" t="n">
        <v>45</v>
      </c>
      <c r="I187" s="6" t="n">
        <v>48</v>
      </c>
    </row>
    <row r="188" customFormat="false" ht="13.8" hidden="false" customHeight="false" outlineLevel="0" collapsed="false">
      <c r="A188" s="6" t="n">
        <v>6</v>
      </c>
      <c r="B188" s="6" t="n">
        <v>19</v>
      </c>
      <c r="C188" s="6" t="n">
        <v>26</v>
      </c>
      <c r="D188" s="6" t="n">
        <v>38</v>
      </c>
      <c r="E188" s="6" t="n">
        <v>45</v>
      </c>
      <c r="F188" s="6" t="n">
        <v>50</v>
      </c>
      <c r="G188" s="6" t="n">
        <v>55</v>
      </c>
      <c r="H188" s="6" t="n">
        <v>56</v>
      </c>
      <c r="I188" s="6" t="n">
        <v>60</v>
      </c>
    </row>
    <row r="189" customFormat="false" ht="13.8" hidden="false" customHeight="false" outlineLevel="0" collapsed="false">
      <c r="A189" s="6" t="n">
        <v>10</v>
      </c>
      <c r="B189" s="6" t="n">
        <v>12</v>
      </c>
      <c r="C189" s="6" t="n">
        <v>21</v>
      </c>
      <c r="D189" s="6" t="n">
        <v>23</v>
      </c>
      <c r="E189" s="6" t="n">
        <v>28</v>
      </c>
      <c r="F189" s="6" t="n">
        <v>34</v>
      </c>
      <c r="G189" s="6" t="n">
        <v>53</v>
      </c>
      <c r="H189" s="6" t="n">
        <v>55</v>
      </c>
      <c r="I189" s="6" t="n">
        <v>57</v>
      </c>
    </row>
    <row r="190" customFormat="false" ht="13.8" hidden="false" customHeight="false" outlineLevel="0" collapsed="false">
      <c r="A190" s="6" t="n">
        <v>14</v>
      </c>
      <c r="B190" s="6" t="n">
        <v>23</v>
      </c>
      <c r="C190" s="6" t="n">
        <v>29</v>
      </c>
      <c r="D190" s="6" t="n">
        <v>34</v>
      </c>
      <c r="E190" s="6" t="n">
        <v>40</v>
      </c>
      <c r="F190" s="6" t="n">
        <v>47</v>
      </c>
      <c r="G190" s="6" t="n">
        <v>51</v>
      </c>
      <c r="H190" s="6" t="n">
        <v>52</v>
      </c>
      <c r="I190" s="6" t="n">
        <v>57</v>
      </c>
    </row>
    <row r="191" customFormat="false" ht="13.8" hidden="false" customHeight="false" outlineLevel="0" collapsed="false">
      <c r="A191" s="6" t="n">
        <v>4</v>
      </c>
      <c r="B191" s="6" t="n">
        <v>16</v>
      </c>
      <c r="C191" s="6" t="n">
        <v>22</v>
      </c>
      <c r="D191" s="6" t="n">
        <v>25</v>
      </c>
      <c r="E191" s="6" t="n">
        <v>29</v>
      </c>
      <c r="F191" s="6" t="n">
        <v>35</v>
      </c>
      <c r="G191" s="6" t="n">
        <v>38</v>
      </c>
      <c r="H191" s="6" t="n">
        <v>49</v>
      </c>
      <c r="I191" s="6" t="n">
        <v>59</v>
      </c>
    </row>
    <row r="192" customFormat="false" ht="13.8" hidden="false" customHeight="false" outlineLevel="0" collapsed="false">
      <c r="A192" s="6" t="n">
        <v>4</v>
      </c>
      <c r="B192" s="6" t="n">
        <v>12</v>
      </c>
      <c r="C192" s="6" t="n">
        <v>16</v>
      </c>
      <c r="D192" s="6" t="n">
        <v>25</v>
      </c>
      <c r="E192" s="6" t="n">
        <v>34</v>
      </c>
      <c r="F192" s="6" t="n">
        <v>35</v>
      </c>
      <c r="G192" s="6" t="n">
        <v>48</v>
      </c>
      <c r="H192" s="6" t="n">
        <v>51</v>
      </c>
      <c r="I192" s="6" t="n">
        <v>54</v>
      </c>
    </row>
    <row r="193" customFormat="false" ht="13.8" hidden="false" customHeight="false" outlineLevel="0" collapsed="false">
      <c r="A193" s="6" t="n">
        <v>20</v>
      </c>
      <c r="B193" s="6" t="n">
        <v>23</v>
      </c>
      <c r="C193" s="6" t="n">
        <v>27</v>
      </c>
      <c r="D193" s="6" t="n">
        <v>33</v>
      </c>
      <c r="E193" s="6" t="n">
        <v>41</v>
      </c>
      <c r="F193" s="6" t="n">
        <v>54</v>
      </c>
      <c r="G193" s="6" t="n">
        <v>56</v>
      </c>
      <c r="H193" s="6" t="n">
        <v>58</v>
      </c>
      <c r="I193" s="6" t="n">
        <v>60</v>
      </c>
    </row>
    <row r="194" customFormat="false" ht="13.8" hidden="false" customHeight="false" outlineLevel="0" collapsed="false">
      <c r="A194" s="6" t="n">
        <v>10</v>
      </c>
      <c r="B194" s="6" t="n">
        <v>11</v>
      </c>
      <c r="C194" s="6" t="n">
        <v>14</v>
      </c>
      <c r="D194" s="6" t="n">
        <v>18</v>
      </c>
      <c r="E194" s="6" t="n">
        <v>29</v>
      </c>
      <c r="F194" s="6" t="n">
        <v>37</v>
      </c>
      <c r="G194" s="6" t="n">
        <v>38</v>
      </c>
      <c r="H194" s="6" t="n">
        <v>43</v>
      </c>
      <c r="I194" s="6" t="n">
        <v>60</v>
      </c>
    </row>
    <row r="195" customFormat="false" ht="13.8" hidden="false" customHeight="false" outlineLevel="0" collapsed="false">
      <c r="A195" s="6" t="n">
        <v>3</v>
      </c>
      <c r="B195" s="6" t="n">
        <v>23</v>
      </c>
      <c r="C195" s="6" t="n">
        <v>26</v>
      </c>
      <c r="D195" s="6" t="n">
        <v>28</v>
      </c>
      <c r="E195" s="6" t="n">
        <v>36</v>
      </c>
      <c r="F195" s="6" t="n">
        <v>42</v>
      </c>
      <c r="G195" s="6" t="n">
        <v>49</v>
      </c>
      <c r="H195" s="6" t="n">
        <v>50</v>
      </c>
      <c r="I195" s="6" t="n">
        <v>51</v>
      </c>
    </row>
    <row r="196" customFormat="false" ht="13.8" hidden="false" customHeight="false" outlineLevel="0" collapsed="false">
      <c r="A196" s="6" t="n">
        <v>8</v>
      </c>
      <c r="B196" s="6" t="n">
        <v>10</v>
      </c>
      <c r="C196" s="6" t="n">
        <v>12</v>
      </c>
      <c r="D196" s="6" t="n">
        <v>13</v>
      </c>
      <c r="E196" s="6" t="n">
        <v>32</v>
      </c>
      <c r="F196" s="6" t="n">
        <v>44</v>
      </c>
      <c r="G196" s="6" t="n">
        <v>47</v>
      </c>
      <c r="H196" s="6" t="n">
        <v>49</v>
      </c>
      <c r="I196" s="6" t="n">
        <v>60</v>
      </c>
    </row>
    <row r="197" customFormat="false" ht="13.8" hidden="false" customHeight="false" outlineLevel="0" collapsed="false">
      <c r="A197" s="6" t="n">
        <v>16</v>
      </c>
      <c r="B197" s="6" t="n">
        <v>18</v>
      </c>
      <c r="C197" s="6" t="n">
        <v>21</v>
      </c>
      <c r="D197" s="6" t="n">
        <v>28</v>
      </c>
      <c r="E197" s="6" t="n">
        <v>34</v>
      </c>
      <c r="F197" s="6" t="n">
        <v>39</v>
      </c>
      <c r="G197" s="6" t="n">
        <v>41</v>
      </c>
      <c r="H197" s="6" t="n">
        <v>49</v>
      </c>
      <c r="I197" s="6" t="n">
        <v>51</v>
      </c>
    </row>
    <row r="198" customFormat="false" ht="13.8" hidden="false" customHeight="false" outlineLevel="0" collapsed="false">
      <c r="A198" s="6" t="n">
        <v>6</v>
      </c>
      <c r="B198" s="6" t="n">
        <v>8</v>
      </c>
      <c r="C198" s="6" t="n">
        <v>13</v>
      </c>
      <c r="D198" s="6" t="n">
        <v>38</v>
      </c>
      <c r="E198" s="6" t="n">
        <v>45</v>
      </c>
      <c r="F198" s="6" t="n">
        <v>50</v>
      </c>
      <c r="G198" s="6" t="n">
        <v>53</v>
      </c>
      <c r="H198" s="6" t="n">
        <v>55</v>
      </c>
      <c r="I198" s="6" t="n">
        <v>59</v>
      </c>
    </row>
    <row r="199" customFormat="false" ht="13.8" hidden="false" customHeight="false" outlineLevel="0" collapsed="false"/>
    <row r="200" customFormat="false" ht="13.8" hidden="false" customHeight="false" outlineLevel="0" collapsed="false">
      <c r="A200" s="6" t="n">
        <v>7</v>
      </c>
      <c r="B200" s="6" t="n">
        <v>17</v>
      </c>
      <c r="C200" s="6" t="n">
        <v>25</v>
      </c>
      <c r="D200" s="6" t="n">
        <v>26</v>
      </c>
      <c r="E200" s="6" t="n">
        <v>30</v>
      </c>
      <c r="F200" s="6" t="n">
        <v>32</v>
      </c>
      <c r="G200" s="6" t="n">
        <v>47</v>
      </c>
      <c r="H200" s="6" t="n">
        <v>50</v>
      </c>
      <c r="I200" s="6" t="n">
        <v>60</v>
      </c>
    </row>
    <row r="201" customFormat="false" ht="13.8" hidden="false" customHeight="false" outlineLevel="0" collapsed="false">
      <c r="A201" s="6" t="n">
        <v>1</v>
      </c>
      <c r="B201" s="6" t="n">
        <v>13</v>
      </c>
      <c r="C201" s="6" t="n">
        <v>16</v>
      </c>
      <c r="D201" s="6" t="n">
        <v>23</v>
      </c>
      <c r="E201" s="6" t="n">
        <v>27</v>
      </c>
      <c r="F201" s="6" t="n">
        <v>31</v>
      </c>
      <c r="G201" s="6" t="n">
        <v>46</v>
      </c>
      <c r="H201" s="6" t="n">
        <v>52</v>
      </c>
      <c r="I201" s="6" t="n">
        <v>59</v>
      </c>
    </row>
    <row r="202" customFormat="false" ht="13.8" hidden="false" customHeight="false" outlineLevel="0" collapsed="false">
      <c r="A202" s="6" t="n">
        <v>2</v>
      </c>
      <c r="B202" s="6" t="n">
        <v>11</v>
      </c>
      <c r="C202" s="6" t="n">
        <v>14</v>
      </c>
      <c r="D202" s="6" t="n">
        <v>25</v>
      </c>
      <c r="E202" s="6" t="n">
        <v>33</v>
      </c>
      <c r="F202" s="6" t="n">
        <v>41</v>
      </c>
      <c r="G202" s="6" t="n">
        <v>42</v>
      </c>
      <c r="H202" s="6" t="n">
        <v>50</v>
      </c>
      <c r="I202" s="6" t="n">
        <v>58</v>
      </c>
    </row>
    <row r="203" customFormat="false" ht="13.8" hidden="false" customHeight="false" outlineLevel="0" collapsed="false">
      <c r="A203" s="6" t="n">
        <v>8</v>
      </c>
      <c r="B203" s="6" t="n">
        <v>11</v>
      </c>
      <c r="C203" s="6" t="n">
        <v>13</v>
      </c>
      <c r="D203" s="6" t="n">
        <v>14</v>
      </c>
      <c r="E203" s="6" t="n">
        <v>269</v>
      </c>
      <c r="F203" s="6" t="n">
        <v>41</v>
      </c>
      <c r="G203" s="6" t="n">
        <v>44</v>
      </c>
      <c r="H203" s="6" t="n">
        <v>53</v>
      </c>
      <c r="I203" s="6" t="n">
        <v>56</v>
      </c>
    </row>
    <row r="204" customFormat="false" ht="13.8" hidden="false" customHeight="false" outlineLevel="0" collapsed="false">
      <c r="A204" s="6" t="n">
        <v>3</v>
      </c>
      <c r="B204" s="6" t="n">
        <v>8</v>
      </c>
      <c r="C204" s="6" t="n">
        <v>14</v>
      </c>
      <c r="D204" s="6" t="n">
        <v>17</v>
      </c>
      <c r="E204" s="6" t="n">
        <v>26</v>
      </c>
      <c r="F204" s="6" t="n">
        <v>29</v>
      </c>
      <c r="G204" s="6" t="n">
        <v>31</v>
      </c>
      <c r="H204" s="6" t="n">
        <v>54</v>
      </c>
      <c r="I204" s="6" t="n">
        <v>57</v>
      </c>
    </row>
    <row r="205" customFormat="false" ht="13.8" hidden="false" customHeight="false" outlineLevel="0" collapsed="false">
      <c r="A205" s="6" t="n">
        <v>9</v>
      </c>
      <c r="B205" s="6" t="n">
        <v>11</v>
      </c>
      <c r="C205" s="6" t="n">
        <v>13</v>
      </c>
      <c r="D205" s="6" t="n">
        <v>22</v>
      </c>
      <c r="E205" s="6" t="n">
        <v>23</v>
      </c>
      <c r="F205" s="6" t="n">
        <v>30</v>
      </c>
      <c r="G205" s="6" t="n">
        <v>46</v>
      </c>
      <c r="H205" s="6" t="n">
        <v>54</v>
      </c>
      <c r="I205" s="6" t="n">
        <v>55</v>
      </c>
    </row>
    <row r="206" customFormat="false" ht="13.8" hidden="false" customHeight="false" outlineLevel="0" collapsed="false">
      <c r="A206" s="6" t="n">
        <v>2</v>
      </c>
      <c r="B206" s="6" t="n">
        <v>10</v>
      </c>
      <c r="C206" s="6" t="n">
        <v>14</v>
      </c>
      <c r="D206" s="6" t="n">
        <v>253</v>
      </c>
      <c r="E206" s="6" t="n">
        <v>27</v>
      </c>
      <c r="F206" s="6" t="n">
        <v>41</v>
      </c>
      <c r="G206" s="6" t="n">
        <v>46</v>
      </c>
      <c r="H206" s="6" t="n">
        <v>53</v>
      </c>
      <c r="I206" s="6" t="n">
        <v>56</v>
      </c>
    </row>
    <row r="207" customFormat="false" ht="13.8" hidden="false" customHeight="false" outlineLevel="0" collapsed="false">
      <c r="A207" s="6" t="n">
        <v>8</v>
      </c>
      <c r="B207" s="6" t="n">
        <v>14</v>
      </c>
      <c r="C207" s="6" t="n">
        <v>17</v>
      </c>
      <c r="D207" s="6" t="n">
        <v>34</v>
      </c>
      <c r="E207" s="6" t="n">
        <v>37</v>
      </c>
      <c r="F207" s="6" t="n">
        <v>43</v>
      </c>
      <c r="G207" s="6" t="n">
        <v>45</v>
      </c>
      <c r="H207" s="6" t="n">
        <v>46</v>
      </c>
      <c r="I207" s="6" t="n">
        <v>50</v>
      </c>
    </row>
    <row r="208" customFormat="false" ht="13.8" hidden="false" customHeight="false" outlineLevel="0" collapsed="false">
      <c r="A208" s="6" t="n">
        <v>3</v>
      </c>
      <c r="B208" s="6" t="n">
        <v>11</v>
      </c>
      <c r="C208" s="6" t="n">
        <v>18</v>
      </c>
      <c r="D208" s="6" t="n">
        <v>22</v>
      </c>
      <c r="E208" s="6" t="n">
        <v>26</v>
      </c>
      <c r="F208" s="6" t="n">
        <v>31</v>
      </c>
    </row>
    <row r="209" customFormat="false" ht="13.8" hidden="false" customHeight="false" outlineLevel="0" collapsed="false">
      <c r="A209" s="6" t="n">
        <v>1</v>
      </c>
      <c r="B209" s="6" t="n">
        <v>8</v>
      </c>
      <c r="C209" s="6" t="n">
        <v>21</v>
      </c>
      <c r="D209" s="6" t="n">
        <v>26</v>
      </c>
      <c r="E209" s="6" t="n">
        <v>27</v>
      </c>
      <c r="F209" s="6" t="n">
        <v>35</v>
      </c>
    </row>
    <row r="210" customFormat="false" ht="13.8" hidden="false" customHeight="false" outlineLevel="0" collapsed="false">
      <c r="A210" s="6" t="n">
        <v>1</v>
      </c>
      <c r="B210" s="6" t="n">
        <v>10</v>
      </c>
      <c r="C210" s="6" t="n">
        <v>14</v>
      </c>
      <c r="D210" s="6" t="n">
        <v>20</v>
      </c>
      <c r="E210" s="6" t="n">
        <v>22</v>
      </c>
      <c r="F210" s="6" t="n">
        <v>43</v>
      </c>
    </row>
    <row r="211" customFormat="false" ht="13.8" hidden="false" customHeight="false" outlineLevel="0" collapsed="false">
      <c r="A211" s="6" t="n">
        <v>12</v>
      </c>
      <c r="B211" s="6" t="n">
        <v>13</v>
      </c>
      <c r="C211" s="6" t="n">
        <v>20</v>
      </c>
      <c r="D211" s="6" t="n">
        <v>30</v>
      </c>
      <c r="E211" s="6" t="n">
        <v>34</v>
      </c>
      <c r="F211" s="6" t="n">
        <v>41</v>
      </c>
    </row>
    <row r="212" customFormat="false" ht="13.8" hidden="false" customHeight="false" outlineLevel="0" collapsed="false">
      <c r="A212" s="6" t="n">
        <v>14</v>
      </c>
      <c r="B212" s="6" t="n">
        <v>23</v>
      </c>
      <c r="C212" s="6" t="n">
        <v>26</v>
      </c>
      <c r="D212" s="6" t="n">
        <v>29</v>
      </c>
      <c r="E212" s="6" t="n">
        <v>35</v>
      </c>
      <c r="F212" s="6" t="n">
        <v>37</v>
      </c>
    </row>
    <row r="213" customFormat="false" ht="13.8" hidden="false" customHeight="false" outlineLevel="0" collapsed="false">
      <c r="A213" s="6" t="n">
        <v>7</v>
      </c>
      <c r="B213" s="6" t="n">
        <v>10</v>
      </c>
      <c r="C213" s="6" t="n">
        <v>13</v>
      </c>
      <c r="D213" s="6" t="n">
        <v>18</v>
      </c>
      <c r="E213" s="6" t="n">
        <v>26</v>
      </c>
      <c r="F213" s="6" t="n">
        <v>29</v>
      </c>
    </row>
    <row r="214" customFormat="false" ht="13.8" hidden="false" customHeight="false" outlineLevel="0" collapsed="false">
      <c r="A214" s="6" t="n">
        <v>17</v>
      </c>
      <c r="B214" s="6" t="n">
        <v>22</v>
      </c>
      <c r="C214" s="6" t="n">
        <v>27</v>
      </c>
      <c r="D214" s="6" t="n">
        <v>31</v>
      </c>
      <c r="E214" s="6" t="n">
        <v>46</v>
      </c>
      <c r="F214" s="6" t="n">
        <v>47</v>
      </c>
      <c r="G214" s="6" t="n">
        <v>49</v>
      </c>
      <c r="H214" s="6" t="n">
        <v>56</v>
      </c>
    </row>
    <row r="215" customFormat="false" ht="13.8" hidden="false" customHeight="false" outlineLevel="0" collapsed="false">
      <c r="A215" s="6" t="n">
        <v>2</v>
      </c>
      <c r="B215" s="6" t="n">
        <v>6</v>
      </c>
      <c r="C215" s="6" t="n">
        <v>12</v>
      </c>
      <c r="D215" s="6" t="n">
        <v>20</v>
      </c>
      <c r="E215" s="6" t="n">
        <v>25</v>
      </c>
      <c r="F215" s="6" t="n">
        <v>33</v>
      </c>
      <c r="G215" s="6" t="n">
        <v>57</v>
      </c>
      <c r="H215" s="6" t="n">
        <v>58</v>
      </c>
      <c r="I215" s="6" t="n">
        <v>60</v>
      </c>
    </row>
    <row r="216" customFormat="false" ht="13.8" hidden="false" customHeight="false" outlineLevel="0" collapsed="false">
      <c r="A216" s="6" t="n">
        <v>2</v>
      </c>
      <c r="B216" s="6" t="n">
        <v>17</v>
      </c>
      <c r="C216" s="6" t="n">
        <v>21</v>
      </c>
      <c r="D216" s="6" t="n">
        <v>22</v>
      </c>
      <c r="E216" s="6" t="n">
        <v>269</v>
      </c>
      <c r="F216" s="6" t="n">
        <v>30</v>
      </c>
      <c r="G216" s="6" t="n">
        <v>35</v>
      </c>
      <c r="H216" s="6" t="n">
        <v>46</v>
      </c>
      <c r="I216" s="6" t="n">
        <v>54</v>
      </c>
    </row>
    <row r="217" customFormat="false" ht="13.8" hidden="false" customHeight="false" outlineLevel="0" collapsed="false">
      <c r="A217" s="6" t="n">
        <v>6</v>
      </c>
      <c r="B217" s="6" t="n">
        <v>15</v>
      </c>
      <c r="C217" s="6" t="n">
        <v>18</v>
      </c>
      <c r="D217" s="6" t="n">
        <v>29</v>
      </c>
      <c r="E217" s="6" t="n">
        <v>45</v>
      </c>
      <c r="F217" s="6" t="n">
        <v>46</v>
      </c>
      <c r="G217" s="6" t="n">
        <v>56</v>
      </c>
      <c r="H217" s="6" t="n">
        <v>57</v>
      </c>
      <c r="I217" s="6" t="n">
        <v>59</v>
      </c>
    </row>
    <row r="218" customFormat="false" ht="13.8" hidden="false" customHeight="false" outlineLevel="0" collapsed="false">
      <c r="A218" s="6" t="n">
        <v>4</v>
      </c>
      <c r="B218" s="6" t="n">
        <v>14</v>
      </c>
      <c r="C218" s="6" t="n">
        <v>15</v>
      </c>
      <c r="D218" s="6" t="n">
        <v>16</v>
      </c>
      <c r="E218" s="6" t="n">
        <v>23</v>
      </c>
      <c r="F218" s="6" t="n">
        <v>26</v>
      </c>
      <c r="G218" s="6" t="n">
        <v>30</v>
      </c>
      <c r="H218" s="6" t="n">
        <v>54</v>
      </c>
      <c r="I218" s="6" t="n">
        <v>55</v>
      </c>
    </row>
    <row r="219" customFormat="false" ht="13.8" hidden="false" customHeight="false" outlineLevel="0" collapsed="false">
      <c r="A219" s="6" t="n">
        <v>6</v>
      </c>
      <c r="B219" s="6" t="n">
        <v>7</v>
      </c>
      <c r="C219" s="6" t="n">
        <v>11</v>
      </c>
      <c r="D219" s="6" t="n">
        <v>20</v>
      </c>
      <c r="E219" s="6" t="n">
        <v>29</v>
      </c>
      <c r="F219" s="6" t="n">
        <v>39</v>
      </c>
      <c r="G219" s="6" t="n">
        <v>41</v>
      </c>
      <c r="H219" s="6" t="n">
        <v>52</v>
      </c>
      <c r="I219" s="6" t="n">
        <v>55</v>
      </c>
    </row>
    <row r="220" customFormat="false" ht="13.8" hidden="false" customHeight="false" outlineLevel="0" collapsed="false">
      <c r="A220" s="6" t="n">
        <v>14</v>
      </c>
      <c r="B220" s="6" t="n">
        <v>18</v>
      </c>
      <c r="C220" s="6" t="n">
        <v>24</v>
      </c>
      <c r="D220" s="6" t="n">
        <v>29</v>
      </c>
      <c r="E220" s="6" t="n">
        <v>31</v>
      </c>
      <c r="F220" s="6" t="n">
        <v>35</v>
      </c>
      <c r="G220" s="6" t="n">
        <v>42</v>
      </c>
      <c r="H220" s="6" t="n">
        <v>43</v>
      </c>
      <c r="I220" s="6" t="n">
        <v>53</v>
      </c>
    </row>
    <row r="221" customFormat="false" ht="13.8" hidden="false" customHeight="false" outlineLevel="0" collapsed="false">
      <c r="A221" s="6" t="n">
        <v>4</v>
      </c>
      <c r="B221" s="6" t="n">
        <v>17</v>
      </c>
      <c r="C221" s="6" t="n">
        <v>22</v>
      </c>
      <c r="D221" s="6" t="n">
        <v>27</v>
      </c>
      <c r="E221" s="6" t="n">
        <v>28</v>
      </c>
      <c r="F221" s="6" t="n">
        <v>30</v>
      </c>
      <c r="G221" s="6" t="n">
        <v>40</v>
      </c>
      <c r="H221" s="6" t="n">
        <v>41</v>
      </c>
      <c r="I221" s="6" t="n">
        <v>49</v>
      </c>
    </row>
    <row r="222" customFormat="false" ht="13.8" hidden="false" customHeight="false" outlineLevel="0" collapsed="false">
      <c r="A222" s="6" t="n">
        <v>7</v>
      </c>
      <c r="B222" s="6" t="n">
        <v>10</v>
      </c>
      <c r="C222" s="6" t="n">
        <v>16</v>
      </c>
      <c r="D222" s="6" t="n">
        <v>19</v>
      </c>
      <c r="E222" s="6" t="n">
        <v>22</v>
      </c>
      <c r="F222" s="6" t="n">
        <v>28</v>
      </c>
      <c r="G222" s="6" t="n">
        <v>41</v>
      </c>
      <c r="H222" s="6" t="n">
        <v>42</v>
      </c>
      <c r="I222" s="6" t="n">
        <v>55</v>
      </c>
    </row>
    <row r="223" customFormat="false" ht="13.8" hidden="false" customHeight="false" outlineLevel="0" collapsed="false">
      <c r="A223" s="6" t="n">
        <v>8</v>
      </c>
      <c r="B223" s="6" t="n">
        <v>16</v>
      </c>
      <c r="C223" s="6" t="n">
        <v>29</v>
      </c>
      <c r="D223" s="6" t="n">
        <v>39</v>
      </c>
      <c r="E223" s="6" t="n">
        <v>40</v>
      </c>
      <c r="F223" s="6" t="n">
        <v>41</v>
      </c>
      <c r="G223" s="6" t="n">
        <v>44</v>
      </c>
      <c r="H223" s="6" t="n">
        <v>53</v>
      </c>
      <c r="I223" s="6" t="n">
        <v>56</v>
      </c>
    </row>
    <row r="224" customFormat="false" ht="13.8" hidden="false" customHeight="false" outlineLevel="0" collapsed="false">
      <c r="A224" s="6" t="n">
        <v>1</v>
      </c>
      <c r="B224" s="6" t="n">
        <v>12</v>
      </c>
      <c r="C224" s="6" t="n">
        <v>14</v>
      </c>
      <c r="D224" s="6" t="n">
        <v>16</v>
      </c>
      <c r="E224" s="6" t="n">
        <v>37</v>
      </c>
      <c r="F224" s="6" t="n">
        <v>42</v>
      </c>
      <c r="G224" s="6" t="n">
        <v>45</v>
      </c>
      <c r="H224" s="6" t="n">
        <v>50</v>
      </c>
      <c r="I224" s="6" t="n">
        <v>55</v>
      </c>
    </row>
    <row r="225" customFormat="false" ht="13.8" hidden="false" customHeight="false" outlineLevel="0" collapsed="false">
      <c r="A225" s="6" t="n">
        <v>7</v>
      </c>
      <c r="B225" s="6" t="n">
        <v>8</v>
      </c>
      <c r="C225" s="6" t="n">
        <v>22</v>
      </c>
      <c r="D225" s="6" t="n">
        <v>27</v>
      </c>
      <c r="E225" s="6" t="n">
        <v>32</v>
      </c>
      <c r="F225" s="6" t="n">
        <v>33</v>
      </c>
      <c r="G225" s="6" t="n">
        <v>40</v>
      </c>
      <c r="H225" s="6" t="n">
        <v>53</v>
      </c>
      <c r="I225" s="6" t="n">
        <v>56</v>
      </c>
    </row>
    <row r="226" customFormat="false" ht="13.8" hidden="false" customHeight="false" outlineLevel="0" collapsed="false">
      <c r="A226" s="6" t="n">
        <v>2</v>
      </c>
      <c r="B226" s="6" t="n">
        <v>14</v>
      </c>
      <c r="C226" s="6" t="n">
        <v>22</v>
      </c>
      <c r="D226" s="6" t="n">
        <v>23</v>
      </c>
      <c r="E226" s="6" t="n">
        <v>29</v>
      </c>
      <c r="F226" s="6" t="n">
        <v>37</v>
      </c>
      <c r="G226" s="6" t="n">
        <v>47</v>
      </c>
      <c r="H226" s="6" t="n">
        <v>50</v>
      </c>
      <c r="I226" s="6" t="n">
        <v>51</v>
      </c>
    </row>
    <row r="227" customFormat="false" ht="13.8" hidden="false" customHeight="false" outlineLevel="0" collapsed="false">
      <c r="A227" s="6" t="n">
        <v>14</v>
      </c>
      <c r="B227" s="6" t="n">
        <v>16</v>
      </c>
      <c r="C227" s="6" t="n">
        <v>29</v>
      </c>
      <c r="D227" s="6" t="n">
        <v>32</v>
      </c>
      <c r="E227" s="6" t="n">
        <v>34</v>
      </c>
      <c r="F227" s="6" t="n">
        <v>35</v>
      </c>
      <c r="G227" s="6" t="n">
        <v>43</v>
      </c>
      <c r="H227" s="6" t="n">
        <v>49</v>
      </c>
      <c r="I227" s="6" t="n">
        <v>56</v>
      </c>
    </row>
    <row r="228" customFormat="false" ht="13.8" hidden="false" customHeight="false" outlineLevel="0" collapsed="false">
      <c r="A228" s="6" t="n">
        <v>8</v>
      </c>
      <c r="B228" s="6" t="n">
        <v>14</v>
      </c>
      <c r="C228" s="6" t="n">
        <v>31</v>
      </c>
      <c r="D228" s="6" t="n">
        <v>32</v>
      </c>
      <c r="E228" s="6" t="n">
        <v>33</v>
      </c>
      <c r="F228" s="6" t="n">
        <v>38</v>
      </c>
      <c r="G228" s="6" t="n">
        <v>41</v>
      </c>
      <c r="H228" s="6" t="n">
        <v>49</v>
      </c>
      <c r="I228" s="6" t="n">
        <v>60</v>
      </c>
    </row>
    <row r="229" customFormat="false" ht="13.8" hidden="false" customHeight="false" outlineLevel="0" collapsed="false">
      <c r="A229" s="6" t="n">
        <v>4</v>
      </c>
      <c r="B229" s="6" t="n">
        <v>17</v>
      </c>
      <c r="C229" s="6" t="n">
        <v>19</v>
      </c>
      <c r="D229" s="6" t="n">
        <v>28</v>
      </c>
      <c r="E229" s="6" t="n">
        <v>29</v>
      </c>
      <c r="F229" s="6" t="n">
        <v>31</v>
      </c>
      <c r="G229" s="6" t="n">
        <v>44</v>
      </c>
      <c r="H229" s="6" t="n">
        <v>51</v>
      </c>
      <c r="I229" s="6" t="n">
        <v>57</v>
      </c>
    </row>
    <row r="230" customFormat="false" ht="13.8" hidden="false" customHeight="false" outlineLevel="0" collapsed="false">
      <c r="A230" s="6" t="n">
        <v>2</v>
      </c>
      <c r="B230" s="6" t="n">
        <v>9</v>
      </c>
      <c r="C230" s="6" t="n">
        <v>12</v>
      </c>
      <c r="D230" s="6" t="n">
        <v>16</v>
      </c>
      <c r="E230" s="6" t="n">
        <v>35</v>
      </c>
      <c r="F230" s="6" t="n">
        <v>37</v>
      </c>
      <c r="G230" s="6" t="n">
        <v>44</v>
      </c>
      <c r="H230" s="6" t="n">
        <v>57</v>
      </c>
      <c r="I230" s="6" t="n">
        <v>58</v>
      </c>
    </row>
    <row r="231" customFormat="false" ht="13.8" hidden="false" customHeight="false" outlineLevel="0" collapsed="false">
      <c r="A231" s="6" t="n">
        <v>8</v>
      </c>
      <c r="B231" s="6" t="n">
        <v>27</v>
      </c>
      <c r="C231" s="6" t="n">
        <v>35</v>
      </c>
      <c r="D231" s="6" t="n">
        <v>38</v>
      </c>
      <c r="E231" s="6" t="n">
        <v>40</v>
      </c>
      <c r="F231" s="6" t="n">
        <v>41</v>
      </c>
      <c r="G231" s="6" t="n">
        <v>44</v>
      </c>
      <c r="H231" s="6" t="n">
        <v>54</v>
      </c>
      <c r="I231" s="6" t="n">
        <v>57</v>
      </c>
    </row>
    <row r="232" customFormat="false" ht="13.8" hidden="false" customHeight="false" outlineLevel="0" collapsed="false">
      <c r="A232" s="6" t="n">
        <v>12</v>
      </c>
      <c r="B232" s="6" t="n">
        <v>15</v>
      </c>
      <c r="C232" s="6" t="n">
        <v>19</v>
      </c>
      <c r="D232" s="6" t="n">
        <v>28</v>
      </c>
      <c r="E232" s="6" t="n">
        <v>31</v>
      </c>
      <c r="F232" s="6" t="n">
        <v>34</v>
      </c>
      <c r="G232" s="6" t="n">
        <v>37</v>
      </c>
      <c r="H232" s="6" t="n">
        <v>44</v>
      </c>
      <c r="I232" s="6" t="n">
        <v>51</v>
      </c>
    </row>
    <row r="233" customFormat="false" ht="13.8" hidden="false" customHeight="false" outlineLevel="0" collapsed="false">
      <c r="A233" s="6" t="n">
        <v>7</v>
      </c>
      <c r="B233" s="6" t="n">
        <v>15</v>
      </c>
      <c r="C233" s="6" t="n">
        <v>16</v>
      </c>
      <c r="D233" s="6" t="n">
        <v>22</v>
      </c>
      <c r="E233" s="6" t="n">
        <v>24</v>
      </c>
      <c r="F233" s="6" t="n">
        <v>34</v>
      </c>
      <c r="G233" s="6" t="n">
        <v>41</v>
      </c>
      <c r="H233" s="6" t="n">
        <v>50</v>
      </c>
      <c r="I233" s="6" t="n">
        <v>53</v>
      </c>
    </row>
    <row r="234" customFormat="false" ht="13.8" hidden="false" customHeight="false" outlineLevel="0" collapsed="false">
      <c r="A234" s="6" t="n">
        <v>6</v>
      </c>
      <c r="B234" s="6" t="n">
        <v>13</v>
      </c>
      <c r="C234" s="6" t="n">
        <v>24</v>
      </c>
      <c r="D234" s="6" t="n">
        <v>34</v>
      </c>
      <c r="E234" s="6" t="n">
        <v>36</v>
      </c>
      <c r="F234" s="6" t="n">
        <v>41</v>
      </c>
      <c r="G234" s="6" t="n">
        <v>50</v>
      </c>
      <c r="H234" s="6" t="n">
        <v>53</v>
      </c>
      <c r="I234" s="6" t="n">
        <v>56</v>
      </c>
    </row>
    <row r="235" customFormat="false" ht="13.8" hidden="false" customHeight="false" outlineLevel="0" collapsed="false">
      <c r="A235" s="6" t="n">
        <v>2</v>
      </c>
      <c r="B235" s="6" t="n">
        <v>12</v>
      </c>
      <c r="C235" s="6" t="n">
        <v>15</v>
      </c>
      <c r="D235" s="6" t="n">
        <v>18</v>
      </c>
      <c r="E235" s="6" t="n">
        <v>28</v>
      </c>
      <c r="F235" s="6" t="n">
        <v>39</v>
      </c>
      <c r="G235" s="6" t="n">
        <v>50</v>
      </c>
      <c r="H235" s="6" t="n">
        <v>53</v>
      </c>
      <c r="I235" s="6" t="n">
        <v>57</v>
      </c>
    </row>
    <row r="236" customFormat="false" ht="13.8" hidden="false" customHeight="false" outlineLevel="0" collapsed="false">
      <c r="A236" s="6" t="n">
        <v>5</v>
      </c>
      <c r="B236" s="6" t="n">
        <v>7</v>
      </c>
      <c r="C236" s="6" t="n">
        <v>12</v>
      </c>
      <c r="D236" s="6" t="n">
        <v>24</v>
      </c>
      <c r="E236" s="6" t="n">
        <v>28</v>
      </c>
      <c r="F236" s="6" t="n">
        <v>45</v>
      </c>
      <c r="G236" s="6" t="n">
        <v>46</v>
      </c>
      <c r="H236" s="6" t="n">
        <v>53</v>
      </c>
      <c r="I236" s="6" t="n">
        <v>56</v>
      </c>
    </row>
    <row r="237" customFormat="false" ht="13.8" hidden="false" customHeight="false" outlineLevel="0" collapsed="false">
      <c r="A237" s="6" t="n">
        <v>3</v>
      </c>
      <c r="B237" s="6" t="n">
        <v>12</v>
      </c>
      <c r="C237" s="6" t="n">
        <v>15</v>
      </c>
      <c r="D237" s="6" t="n">
        <v>23</v>
      </c>
      <c r="E237" s="6" t="n">
        <v>27</v>
      </c>
      <c r="F237" s="6" t="n">
        <v>41</v>
      </c>
      <c r="G237" s="6" t="n">
        <v>46</v>
      </c>
      <c r="H237" s="6" t="n">
        <v>47</v>
      </c>
      <c r="I237" s="6" t="n">
        <v>58</v>
      </c>
    </row>
    <row r="238" customFormat="false" ht="13.8" hidden="false" customHeight="false" outlineLevel="0" collapsed="false">
      <c r="A238" s="6" t="n">
        <v>8</v>
      </c>
      <c r="B238" s="6" t="n">
        <v>23</v>
      </c>
      <c r="C238" s="6" t="n">
        <v>26</v>
      </c>
      <c r="D238" s="6" t="n">
        <v>27</v>
      </c>
      <c r="E238" s="6" t="n">
        <v>29</v>
      </c>
      <c r="F238" s="6" t="n">
        <v>35</v>
      </c>
      <c r="G238" s="6" t="n">
        <v>39</v>
      </c>
      <c r="H238" s="6" t="n">
        <v>56</v>
      </c>
      <c r="I238" s="6" t="n">
        <v>59</v>
      </c>
    </row>
    <row r="239" customFormat="false" ht="13.8" hidden="false" customHeight="false" outlineLevel="0" collapsed="false">
      <c r="A239" s="6" t="n">
        <v>6</v>
      </c>
      <c r="B239" s="6" t="n">
        <v>7</v>
      </c>
      <c r="C239" s="6" t="n">
        <v>13</v>
      </c>
      <c r="D239" s="6" t="n">
        <v>14</v>
      </c>
      <c r="E239" s="6" t="n">
        <v>33</v>
      </c>
      <c r="F239" s="6" t="n">
        <v>38</v>
      </c>
      <c r="G239" s="6" t="n">
        <v>43</v>
      </c>
      <c r="H239" s="6" t="n">
        <v>48</v>
      </c>
      <c r="I239" s="6" t="n">
        <v>50</v>
      </c>
    </row>
    <row r="240" customFormat="false" ht="13.8" hidden="false" customHeight="false" outlineLevel="0" collapsed="false">
      <c r="A240" s="6" t="n">
        <v>7</v>
      </c>
      <c r="B240" s="6" t="n">
        <v>27</v>
      </c>
      <c r="C240" s="6" t="n">
        <v>30</v>
      </c>
      <c r="D240" s="6" t="n">
        <v>33</v>
      </c>
      <c r="E240" s="6" t="n">
        <v>40</v>
      </c>
      <c r="F240" s="6" t="n">
        <v>43</v>
      </c>
      <c r="G240" s="6" t="n">
        <v>46</v>
      </c>
      <c r="H240" s="6" t="n">
        <v>49</v>
      </c>
      <c r="I240" s="6" t="n">
        <v>59</v>
      </c>
    </row>
    <row r="241" customFormat="false" ht="13.8" hidden="false" customHeight="false" outlineLevel="0" collapsed="false">
      <c r="A241" s="6" t="n">
        <v>10</v>
      </c>
      <c r="B241" s="6" t="n">
        <v>12</v>
      </c>
      <c r="C241" s="6" t="n">
        <v>26</v>
      </c>
      <c r="D241" s="6" t="n">
        <v>31</v>
      </c>
      <c r="E241" s="6" t="n">
        <v>35</v>
      </c>
      <c r="F241" s="6" t="n">
        <v>39</v>
      </c>
      <c r="G241" s="6" t="n">
        <v>45</v>
      </c>
      <c r="H241" s="6" t="n">
        <v>50</v>
      </c>
      <c r="I241" s="6" t="n">
        <v>55</v>
      </c>
    </row>
    <row r="242" customFormat="false" ht="13.8" hidden="false" customHeight="false" outlineLevel="0" collapsed="false">
      <c r="A242" s="6" t="n">
        <v>5</v>
      </c>
      <c r="B242" s="6" t="n">
        <v>8</v>
      </c>
      <c r="C242" s="6" t="n">
        <v>12</v>
      </c>
      <c r="D242" s="6" t="n">
        <v>16</v>
      </c>
      <c r="E242" s="6" t="n">
        <v>34</v>
      </c>
      <c r="F242" s="6" t="n">
        <v>38</v>
      </c>
      <c r="G242" s="6" t="n">
        <v>50</v>
      </c>
      <c r="H242" s="6" t="n">
        <v>51</v>
      </c>
      <c r="I242" s="6" t="n">
        <v>53</v>
      </c>
    </row>
    <row r="243" customFormat="false" ht="13.8" hidden="false" customHeight="false" outlineLevel="0" collapsed="false">
      <c r="A243" s="6" t="n">
        <v>9</v>
      </c>
      <c r="B243" s="6" t="n">
        <v>12</v>
      </c>
      <c r="C243" s="6" t="n">
        <v>16</v>
      </c>
      <c r="D243" s="6" t="n">
        <v>17</v>
      </c>
      <c r="E243" s="6" t="n">
        <v>18</v>
      </c>
      <c r="F243" s="6" t="n">
        <v>34</v>
      </c>
      <c r="G243" s="6" t="n">
        <v>37</v>
      </c>
      <c r="H243" s="6" t="n">
        <v>41</v>
      </c>
      <c r="I243" s="6" t="n">
        <v>51</v>
      </c>
    </row>
    <row r="244" customFormat="false" ht="13.8" hidden="false" customHeight="false" outlineLevel="0" collapsed="false">
      <c r="A244" s="6" t="n">
        <v>2</v>
      </c>
      <c r="B244" s="6" t="n">
        <v>10</v>
      </c>
      <c r="C244" s="6" t="n">
        <v>15</v>
      </c>
      <c r="D244" s="6" t="n">
        <v>41</v>
      </c>
      <c r="E244" s="6" t="n">
        <v>44</v>
      </c>
      <c r="F244" s="6" t="n">
        <v>46</v>
      </c>
      <c r="G244" s="6" t="n">
        <v>49</v>
      </c>
      <c r="H244" s="6" t="n">
        <v>56</v>
      </c>
      <c r="I244" s="6" t="n">
        <v>57</v>
      </c>
    </row>
    <row r="245" customFormat="false" ht="13.8" hidden="false" customHeight="false" outlineLevel="0" collapsed="false">
      <c r="A245" s="6" t="n">
        <v>10</v>
      </c>
      <c r="B245" s="6" t="n">
        <v>14</v>
      </c>
      <c r="C245" s="6" t="n">
        <v>23</v>
      </c>
      <c r="D245" s="6" t="n">
        <v>29</v>
      </c>
      <c r="E245" s="6" t="n">
        <v>30</v>
      </c>
      <c r="F245" s="6" t="n">
        <v>46</v>
      </c>
      <c r="G245" s="6" t="n">
        <v>50</v>
      </c>
      <c r="H245" s="6" t="n">
        <v>53</v>
      </c>
      <c r="I245" s="6" t="n">
        <v>57</v>
      </c>
    </row>
    <row r="246" customFormat="false" ht="13.8" hidden="false" customHeight="false" outlineLevel="0" collapsed="false">
      <c r="A246" s="6" t="n">
        <v>2</v>
      </c>
      <c r="B246" s="6" t="n">
        <v>11</v>
      </c>
      <c r="C246" s="6" t="n">
        <v>12</v>
      </c>
      <c r="D246" s="6" t="n">
        <v>16</v>
      </c>
      <c r="E246" s="6" t="n">
        <v>24</v>
      </c>
      <c r="F246" s="6" t="n">
        <v>37</v>
      </c>
      <c r="G246" s="6" t="n">
        <v>44</v>
      </c>
      <c r="H246" s="6" t="n">
        <v>53</v>
      </c>
      <c r="I246" s="6" t="n">
        <v>56</v>
      </c>
    </row>
    <row r="247" customFormat="false" ht="13.8" hidden="false" customHeight="false" outlineLevel="0" collapsed="false">
      <c r="A247" s="6" t="n">
        <v>10</v>
      </c>
      <c r="B247" s="6" t="n">
        <v>15</v>
      </c>
      <c r="C247" s="6" t="n">
        <v>33</v>
      </c>
      <c r="D247" s="6" t="n">
        <v>37</v>
      </c>
      <c r="E247" s="6" t="n">
        <v>40</v>
      </c>
      <c r="F247" s="6" t="n">
        <v>43</v>
      </c>
      <c r="G247" s="6" t="n">
        <v>56</v>
      </c>
      <c r="H247" s="6" t="n">
        <v>57</v>
      </c>
      <c r="I247" s="6" t="n">
        <v>59</v>
      </c>
    </row>
    <row r="248" customFormat="false" ht="13.8" hidden="false" customHeight="false" outlineLevel="0" collapsed="false">
      <c r="A248" s="6" t="n">
        <v>6</v>
      </c>
      <c r="B248" s="6" t="n">
        <v>7</v>
      </c>
      <c r="C248" s="6" t="n">
        <v>14</v>
      </c>
      <c r="D248" s="6" t="n">
        <v>23</v>
      </c>
      <c r="E248" s="6" t="n">
        <v>31</v>
      </c>
      <c r="F248" s="6" t="n">
        <v>56</v>
      </c>
      <c r="G248" s="6" t="n">
        <v>57</v>
      </c>
      <c r="H248" s="6" t="n">
        <v>58</v>
      </c>
      <c r="I248" s="6" t="n">
        <v>59</v>
      </c>
    </row>
    <row r="249" customFormat="false" ht="13.8" hidden="false" customHeight="false" outlineLevel="0" collapsed="false">
      <c r="A249" s="6" t="n">
        <v>2</v>
      </c>
      <c r="B249" s="6" t="n">
        <v>5</v>
      </c>
      <c r="C249" s="6" t="n">
        <v>18</v>
      </c>
      <c r="D249" s="6" t="n">
        <v>23</v>
      </c>
      <c r="E249" s="6" t="n">
        <v>32</v>
      </c>
      <c r="F249" s="6" t="n">
        <v>35</v>
      </c>
      <c r="G249" s="6" t="n">
        <v>49</v>
      </c>
      <c r="H249" s="6" t="n">
        <v>54</v>
      </c>
      <c r="I249" s="6" t="n">
        <v>56</v>
      </c>
    </row>
    <row r="250" customFormat="false" ht="13.8" hidden="false" customHeight="false" outlineLevel="0" collapsed="false">
      <c r="A250" s="6" t="n">
        <v>5</v>
      </c>
      <c r="B250" s="6" t="n">
        <v>7</v>
      </c>
      <c r="C250" s="6" t="n">
        <v>11</v>
      </c>
      <c r="D250" s="6" t="n">
        <v>16</v>
      </c>
      <c r="E250" s="6" t="n">
        <v>24</v>
      </c>
      <c r="F250" s="6" t="n">
        <v>46</v>
      </c>
      <c r="G250" s="6" t="n">
        <v>54</v>
      </c>
      <c r="H250" s="6" t="n">
        <v>55</v>
      </c>
      <c r="I250" s="6" t="n">
        <v>57</v>
      </c>
    </row>
    <row r="251" customFormat="false" ht="13.8" hidden="false" customHeight="false" outlineLevel="0" collapsed="false">
      <c r="A251" s="6" t="n">
        <v>6</v>
      </c>
      <c r="B251" s="6" t="n">
        <v>8</v>
      </c>
      <c r="C251" s="6" t="n">
        <v>9</v>
      </c>
      <c r="D251" s="6" t="n">
        <v>22</v>
      </c>
      <c r="E251" s="6" t="n">
        <v>25</v>
      </c>
      <c r="F251" s="6" t="n">
        <v>35</v>
      </c>
      <c r="G251" s="6" t="n">
        <v>41</v>
      </c>
      <c r="H251" s="6" t="n">
        <v>44</v>
      </c>
      <c r="I251" s="6" t="n">
        <v>59</v>
      </c>
    </row>
    <row r="252" customFormat="false" ht="13.8" hidden="false" customHeight="false" outlineLevel="0" collapsed="false">
      <c r="A252" s="6" t="n">
        <v>5</v>
      </c>
      <c r="B252" s="6" t="n">
        <v>12</v>
      </c>
      <c r="C252" s="6" t="n">
        <v>15</v>
      </c>
      <c r="D252" s="6" t="n">
        <v>17</v>
      </c>
      <c r="E252" s="6" t="n">
        <v>30</v>
      </c>
      <c r="F252" s="6" t="n">
        <v>354</v>
      </c>
      <c r="G252" s="6" t="n">
        <v>40</v>
      </c>
      <c r="H252" s="6" t="n">
        <v>42</v>
      </c>
      <c r="I252" s="6" t="n">
        <v>52</v>
      </c>
    </row>
    <row r="253" customFormat="false" ht="13.8" hidden="false" customHeight="false" outlineLevel="0" collapsed="false">
      <c r="A253" s="6" t="n">
        <v>12</v>
      </c>
      <c r="B253" s="6" t="n">
        <v>17</v>
      </c>
      <c r="C253" s="6" t="n">
        <v>27</v>
      </c>
      <c r="D253" s="6" t="n">
        <v>37</v>
      </c>
      <c r="E253" s="6" t="n">
        <v>41</v>
      </c>
      <c r="F253" s="6" t="n">
        <v>42</v>
      </c>
      <c r="G253" s="6" t="n">
        <v>44</v>
      </c>
      <c r="H253" s="6" t="n">
        <v>54</v>
      </c>
      <c r="I253" s="6" t="n">
        <v>59</v>
      </c>
    </row>
    <row r="254" customFormat="false" ht="13.8" hidden="false" customHeight="false" outlineLevel="0" collapsed="false">
      <c r="A254" s="6" t="n">
        <v>4</v>
      </c>
      <c r="B254" s="6" t="n">
        <v>5</v>
      </c>
      <c r="C254" s="6" t="n">
        <v>20</v>
      </c>
      <c r="D254" s="6" t="n">
        <v>27</v>
      </c>
      <c r="E254" s="6" t="n">
        <v>30</v>
      </c>
      <c r="F254" s="6" t="n">
        <v>33</v>
      </c>
      <c r="G254" s="6" t="n">
        <v>41</v>
      </c>
      <c r="H254" s="6" t="n">
        <v>42</v>
      </c>
      <c r="I254" s="6" t="n">
        <v>52</v>
      </c>
    </row>
    <row r="255" customFormat="false" ht="13.8" hidden="false" customHeight="false" outlineLevel="0" collapsed="false"/>
    <row r="256" customFormat="false" ht="13.8" hidden="false" customHeight="false" outlineLevel="0" collapsed="false">
      <c r="A256" s="6" t="n">
        <v>14</v>
      </c>
      <c r="B256" s="6" t="n">
        <v>20</v>
      </c>
      <c r="C256" s="6" t="n">
        <v>24</v>
      </c>
      <c r="D256" s="6" t="n">
        <v>29</v>
      </c>
      <c r="E256" s="6" t="n">
        <v>36</v>
      </c>
      <c r="F256" s="6" t="n">
        <v>37</v>
      </c>
      <c r="G256" s="6" t="n">
        <v>38</v>
      </c>
      <c r="H256" s="6" t="n">
        <v>49</v>
      </c>
      <c r="I256" s="6" t="n">
        <v>53</v>
      </c>
    </row>
    <row r="257" customFormat="false" ht="13.8" hidden="false" customHeight="false" outlineLevel="0" collapsed="false">
      <c r="A257" s="6" t="n">
        <v>22</v>
      </c>
      <c r="B257" s="6" t="n">
        <v>23</v>
      </c>
      <c r="C257" s="6" t="n">
        <v>26</v>
      </c>
      <c r="D257" s="6" t="n">
        <v>27</v>
      </c>
      <c r="E257" s="6" t="n">
        <v>38</v>
      </c>
      <c r="F257" s="6" t="n">
        <v>41</v>
      </c>
      <c r="G257" s="6" t="n">
        <v>42</v>
      </c>
      <c r="H257" s="6" t="n">
        <v>49</v>
      </c>
      <c r="I257" s="6" t="n">
        <v>58</v>
      </c>
    </row>
    <row r="258" customFormat="false" ht="13.8" hidden="false" customHeight="false" outlineLevel="0" collapsed="false">
      <c r="A258" s="6" t="n">
        <v>11</v>
      </c>
      <c r="B258" s="6" t="n">
        <v>18</v>
      </c>
      <c r="C258" s="6" t="n">
        <v>26</v>
      </c>
      <c r="D258" s="6" t="n">
        <v>27</v>
      </c>
      <c r="E258" s="6" t="n">
        <v>30</v>
      </c>
      <c r="F258" s="6" t="n">
        <v>35</v>
      </c>
      <c r="G258" s="6" t="n">
        <v>40</v>
      </c>
      <c r="H258" s="6" t="n">
        <v>41</v>
      </c>
      <c r="I258" s="6" t="n">
        <v>42</v>
      </c>
    </row>
    <row r="259" customFormat="false" ht="13.8" hidden="false" customHeight="false" outlineLevel="0" collapsed="false">
      <c r="A259" s="6" t="n">
        <v>8</v>
      </c>
      <c r="B259" s="6" t="n">
        <v>18</v>
      </c>
      <c r="C259" s="6" t="n">
        <v>35</v>
      </c>
      <c r="D259" s="6" t="n">
        <v>38</v>
      </c>
      <c r="E259" s="6" t="n">
        <v>39</v>
      </c>
      <c r="F259" s="6" t="n">
        <v>43</v>
      </c>
      <c r="G259" s="6" t="n">
        <v>48</v>
      </c>
      <c r="H259" s="6" t="n">
        <v>52</v>
      </c>
      <c r="I259" s="6" t="n">
        <v>56</v>
      </c>
    </row>
    <row r="260" customFormat="false" ht="13.8" hidden="false" customHeight="false" outlineLevel="0" collapsed="false">
      <c r="A260" s="6" t="n">
        <v>19</v>
      </c>
      <c r="B260" s="6" t="n">
        <v>26</v>
      </c>
      <c r="C260" s="6" t="n">
        <v>29</v>
      </c>
      <c r="D260" s="6" t="n">
        <v>34</v>
      </c>
      <c r="E260" s="6" t="n">
        <v>44</v>
      </c>
      <c r="F260" s="6" t="n">
        <v>47</v>
      </c>
      <c r="G260" s="6" t="n">
        <v>51</v>
      </c>
      <c r="H260" s="6" t="n">
        <v>57</v>
      </c>
      <c r="I260" s="6" t="n">
        <v>60</v>
      </c>
    </row>
    <row r="261" customFormat="false" ht="13.8" hidden="false" customHeight="false" outlineLevel="0" collapsed="false">
      <c r="A261" s="6" t="n">
        <v>7</v>
      </c>
      <c r="B261" s="6" t="n">
        <v>14</v>
      </c>
      <c r="C261" s="6" t="n">
        <v>24</v>
      </c>
      <c r="D261" s="6" t="n">
        <v>26</v>
      </c>
      <c r="E261" s="6" t="n">
        <v>29</v>
      </c>
      <c r="F261" s="6" t="n">
        <v>33</v>
      </c>
      <c r="G261" s="6" t="n">
        <v>38</v>
      </c>
      <c r="H261" s="6" t="n">
        <v>41</v>
      </c>
      <c r="I261" s="6" t="n">
        <v>45</v>
      </c>
    </row>
    <row r="262" customFormat="false" ht="13.8" hidden="false" customHeight="false" outlineLevel="0" collapsed="false">
      <c r="A262" s="6" t="n">
        <v>23</v>
      </c>
      <c r="B262" s="6" t="n">
        <v>26</v>
      </c>
      <c r="C262" s="6" t="n">
        <v>27</v>
      </c>
      <c r="D262" s="6" t="n">
        <v>30</v>
      </c>
      <c r="E262" s="6" t="n">
        <v>31</v>
      </c>
      <c r="F262" s="6" t="n">
        <v>34</v>
      </c>
      <c r="G262" s="6" t="n">
        <v>38</v>
      </c>
      <c r="H262" s="6" t="n">
        <v>40</v>
      </c>
      <c r="I262" s="6" t="n">
        <v>41</v>
      </c>
    </row>
    <row r="263" customFormat="false" ht="13.8" hidden="false" customHeight="false" outlineLevel="0" collapsed="false">
      <c r="A263" s="6" t="n">
        <v>8</v>
      </c>
      <c r="B263" s="6" t="n">
        <v>11</v>
      </c>
      <c r="C263" s="6" t="n">
        <v>18</v>
      </c>
      <c r="D263" s="6" t="n">
        <v>31</v>
      </c>
      <c r="E263" s="6" t="n">
        <v>33</v>
      </c>
      <c r="F263" s="6" t="n">
        <v>36</v>
      </c>
      <c r="G263" s="6" t="n">
        <v>38</v>
      </c>
      <c r="H263" s="6" t="n">
        <v>41</v>
      </c>
      <c r="I263" s="6" t="n">
        <v>55</v>
      </c>
    </row>
    <row r="264" customFormat="false" ht="13.8" hidden="false" customHeight="false" outlineLevel="0" collapsed="false">
      <c r="A264" s="6" t="n">
        <v>12</v>
      </c>
      <c r="B264" s="6" t="n">
        <v>18</v>
      </c>
      <c r="C264" s="6" t="n">
        <v>27</v>
      </c>
      <c r="D264" s="6" t="n">
        <v>33</v>
      </c>
      <c r="E264" s="6" t="n">
        <v>35</v>
      </c>
      <c r="F264" s="6" t="n">
        <v>40</v>
      </c>
      <c r="G264" s="6" t="n">
        <v>41</v>
      </c>
      <c r="H264" s="6" t="n">
        <v>42</v>
      </c>
      <c r="I264" s="6" t="n">
        <v>49</v>
      </c>
    </row>
    <row r="265" customFormat="false" ht="13.8" hidden="false" customHeight="false" outlineLevel="0" collapsed="false">
      <c r="A265" s="6" t="n">
        <v>20</v>
      </c>
      <c r="B265" s="6" t="n">
        <v>26</v>
      </c>
      <c r="C265" s="6" t="n">
        <v>34</v>
      </c>
      <c r="D265" s="6" t="n">
        <v>35</v>
      </c>
      <c r="E265" s="6" t="n">
        <v>40</v>
      </c>
      <c r="F265" s="6" t="n">
        <v>43</v>
      </c>
      <c r="G265" s="6" t="n">
        <v>49</v>
      </c>
      <c r="H265" s="6" t="n">
        <v>53</v>
      </c>
      <c r="I265" s="6" t="n">
        <v>57</v>
      </c>
    </row>
    <row r="266" customFormat="false" ht="13.8" hidden="false" customHeight="false" outlineLevel="0" collapsed="false">
      <c r="A266" s="6" t="n">
        <v>1</v>
      </c>
      <c r="B266" s="6" t="n">
        <v>6</v>
      </c>
      <c r="C266" s="6" t="n">
        <v>10</v>
      </c>
      <c r="D266" s="6" t="n">
        <v>21</v>
      </c>
      <c r="E266" s="6" t="n">
        <v>25</v>
      </c>
      <c r="F266" s="6" t="n">
        <v>37</v>
      </c>
      <c r="G266" s="6" t="n">
        <v>38</v>
      </c>
      <c r="H266" s="6" t="n">
        <v>40</v>
      </c>
      <c r="I266" s="6" t="n">
        <v>41</v>
      </c>
    </row>
    <row r="267" customFormat="false" ht="13.8" hidden="false" customHeight="false" outlineLevel="0" collapsed="false">
      <c r="A267" s="6" t="n">
        <v>5</v>
      </c>
      <c r="B267" s="6" t="n">
        <v>125</v>
      </c>
      <c r="C267" s="6" t="n">
        <v>24</v>
      </c>
      <c r="D267" s="6" t="n">
        <v>27</v>
      </c>
      <c r="E267" s="6" t="n">
        <v>30</v>
      </c>
      <c r="F267" s="6" t="n">
        <v>35</v>
      </c>
      <c r="G267" s="6" t="n">
        <v>53</v>
      </c>
      <c r="H267" s="6" t="n">
        <v>55</v>
      </c>
      <c r="I267" s="6" t="n">
        <v>60</v>
      </c>
    </row>
    <row r="268" customFormat="false" ht="13.8" hidden="false" customHeight="false" outlineLevel="0" collapsed="false">
      <c r="A268" s="6" t="n">
        <v>5</v>
      </c>
      <c r="B268" s="6" t="n">
        <v>11</v>
      </c>
      <c r="C268" s="6" t="n">
        <v>26</v>
      </c>
      <c r="D268" s="6" t="n">
        <v>31</v>
      </c>
      <c r="E268" s="6" t="n">
        <v>34</v>
      </c>
      <c r="F268" s="6" t="n">
        <v>35</v>
      </c>
      <c r="G268" s="6" t="n">
        <v>36</v>
      </c>
      <c r="H268" s="6" t="n">
        <v>40</v>
      </c>
      <c r="I268" s="6" t="n">
        <v>44</v>
      </c>
    </row>
    <row r="269" customFormat="false" ht="13.8" hidden="false" customHeight="false" outlineLevel="0" collapsed="false">
      <c r="A269" s="6" t="n">
        <v>30</v>
      </c>
      <c r="B269" s="6" t="n">
        <v>37</v>
      </c>
      <c r="C269" s="6" t="n">
        <v>39</v>
      </c>
      <c r="D269" s="6" t="n">
        <v>40</v>
      </c>
      <c r="E269" s="6" t="n">
        <v>41</v>
      </c>
      <c r="F269" s="6" t="n">
        <v>42</v>
      </c>
      <c r="G269" s="6" t="n">
        <v>46</v>
      </c>
      <c r="H269" s="6" t="n">
        <v>53</v>
      </c>
      <c r="I269" s="6" t="n">
        <v>56</v>
      </c>
    </row>
    <row r="270" customFormat="false" ht="13.8" hidden="false" customHeight="false" outlineLevel="0" collapsed="false">
      <c r="A270" s="6" t="n">
        <v>1</v>
      </c>
      <c r="B270" s="6" t="n">
        <v>14</v>
      </c>
      <c r="C270" s="6" t="n">
        <v>23</v>
      </c>
      <c r="D270" s="6" t="n">
        <v>30</v>
      </c>
      <c r="E270" s="6" t="n">
        <v>31</v>
      </c>
      <c r="F270" s="6" t="n">
        <v>33</v>
      </c>
      <c r="G270" s="6" t="n">
        <v>38</v>
      </c>
      <c r="H270" s="6" t="n">
        <v>41</v>
      </c>
      <c r="I270" s="6" t="n">
        <v>42</v>
      </c>
    </row>
    <row r="271" customFormat="false" ht="13.8" hidden="false" customHeight="false" outlineLevel="0" collapsed="false">
      <c r="A271" s="6" t="n">
        <v>3</v>
      </c>
      <c r="B271" s="6" t="n">
        <v>5</v>
      </c>
      <c r="C271" s="6" t="n">
        <v>9</v>
      </c>
      <c r="D271" s="6" t="n">
        <v>12</v>
      </c>
      <c r="E271" s="6" t="n">
        <v>20</v>
      </c>
      <c r="F271" s="6" t="n">
        <v>27</v>
      </c>
      <c r="G271" s="6" t="n">
        <v>34</v>
      </c>
      <c r="H271" s="6" t="n">
        <v>57</v>
      </c>
      <c r="I271" s="6" t="n">
        <v>60</v>
      </c>
    </row>
    <row r="272" customFormat="false" ht="13.8" hidden="false" customHeight="false" outlineLevel="0" collapsed="false">
      <c r="A272" s="6" t="n">
        <v>20</v>
      </c>
      <c r="B272" s="6" t="n">
        <v>27</v>
      </c>
      <c r="C272" s="6" t="n">
        <v>34</v>
      </c>
      <c r="D272" s="6" t="n">
        <v>37</v>
      </c>
      <c r="E272" s="6" t="n">
        <v>41</v>
      </c>
      <c r="F272" s="6" t="n">
        <v>42</v>
      </c>
      <c r="G272" s="6" t="n">
        <v>46</v>
      </c>
      <c r="H272" s="6" t="n">
        <v>51</v>
      </c>
    </row>
    <row r="273" customFormat="false" ht="13.8" hidden="false" customHeight="false" outlineLevel="0" collapsed="false">
      <c r="A273" s="6" t="n">
        <v>21</v>
      </c>
      <c r="B273" s="6" t="n">
        <v>22</v>
      </c>
      <c r="C273" s="6" t="n">
        <v>27</v>
      </c>
      <c r="D273" s="6" t="n">
        <v>30</v>
      </c>
      <c r="E273" s="6" t="n">
        <v>37</v>
      </c>
      <c r="F273" s="6" t="n">
        <v>44</v>
      </c>
      <c r="G273" s="6" t="n">
        <v>50</v>
      </c>
      <c r="H273" s="6" t="n">
        <v>54</v>
      </c>
    </row>
    <row r="274" customFormat="false" ht="13.8" hidden="false" customHeight="false" outlineLevel="0" collapsed="false">
      <c r="A274" s="6" t="n">
        <v>2</v>
      </c>
      <c r="B274" s="6" t="n">
        <v>8</v>
      </c>
      <c r="C274" s="6" t="n">
        <v>22</v>
      </c>
      <c r="D274" s="6" t="n">
        <v>32</v>
      </c>
      <c r="E274" s="6" t="n">
        <v>39</v>
      </c>
      <c r="F274" s="6" t="n">
        <v>42</v>
      </c>
    </row>
    <row r="275" customFormat="false" ht="13.8" hidden="false" customHeight="false" outlineLevel="0" collapsed="false">
      <c r="A275" s="6" t="n">
        <v>23</v>
      </c>
      <c r="B275" s="6" t="n">
        <v>27</v>
      </c>
      <c r="C275" s="6" t="n">
        <v>30</v>
      </c>
      <c r="D275" s="6" t="n">
        <v>34</v>
      </c>
      <c r="E275" s="6" t="n">
        <v>38</v>
      </c>
      <c r="F275" s="6" t="n">
        <v>41</v>
      </c>
    </row>
    <row r="276" customFormat="false" ht="13.8" hidden="false" customHeight="false" outlineLevel="0" collapsed="false">
      <c r="A276" s="6" t="n">
        <v>23</v>
      </c>
      <c r="B276" s="6" t="n">
        <v>27</v>
      </c>
      <c r="C276" s="6" t="n">
        <v>30</v>
      </c>
      <c r="D276" s="6" t="n">
        <v>32</v>
      </c>
      <c r="E276" s="6" t="n">
        <v>35</v>
      </c>
      <c r="F276" s="6" t="n">
        <v>38</v>
      </c>
    </row>
    <row r="277" customFormat="false" ht="13.8" hidden="false" customHeight="false" outlineLevel="0" collapsed="false">
      <c r="A277" s="6" t="n">
        <v>14</v>
      </c>
      <c r="B277" s="6" t="n">
        <v>22</v>
      </c>
      <c r="C277" s="6" t="n">
        <v>27</v>
      </c>
      <c r="D277" s="6" t="n">
        <v>31</v>
      </c>
      <c r="E277" s="6" t="n">
        <v>35</v>
      </c>
      <c r="F277" s="6" t="n">
        <v>40</v>
      </c>
      <c r="G277" s="6" t="n">
        <v>42</v>
      </c>
    </row>
    <row r="279" customFormat="false" ht="12.8" hidden="false" customHeight="false" outlineLevel="0" collapsed="false">
      <c r="A279" s="0" t="n">
        <v>1</v>
      </c>
      <c r="B279" s="0" t="n">
        <v>4</v>
      </c>
      <c r="C279" s="0" t="n">
        <v>38</v>
      </c>
      <c r="D279" s="0" t="n">
        <v>42</v>
      </c>
      <c r="E279" s="0" t="n">
        <v>51</v>
      </c>
      <c r="F279" s="0" t="n">
        <v>57</v>
      </c>
    </row>
    <row r="280" customFormat="false" ht="12.8" hidden="false" customHeight="false" outlineLevel="0" collapsed="false">
      <c r="A280" s="0" t="n">
        <v>3</v>
      </c>
      <c r="B280" s="0" t="n">
        <v>12</v>
      </c>
      <c r="C280" s="0" t="n">
        <v>32</v>
      </c>
      <c r="D280" s="0" t="n">
        <v>41</v>
      </c>
      <c r="E280" s="0" t="n">
        <v>43</v>
      </c>
      <c r="F280" s="0" t="n">
        <v>52</v>
      </c>
    </row>
    <row r="281" customFormat="false" ht="12.8" hidden="false" customHeight="false" outlineLevel="0" collapsed="false">
      <c r="A281" s="0" t="n">
        <v>1</v>
      </c>
      <c r="B281" s="0" t="n">
        <v>4</v>
      </c>
      <c r="C281" s="0" t="n">
        <v>14</v>
      </c>
      <c r="D281" s="0" t="n">
        <v>53</v>
      </c>
      <c r="E281" s="0" t="n">
        <v>56</v>
      </c>
      <c r="F281" s="0" t="n">
        <v>58</v>
      </c>
    </row>
    <row r="282" customFormat="false" ht="12.8" hidden="false" customHeight="false" outlineLevel="0" collapsed="false">
      <c r="A282" s="0" t="n">
        <v>3</v>
      </c>
      <c r="B282" s="0" t="n">
        <v>25</v>
      </c>
      <c r="C282" s="0" t="n">
        <v>32</v>
      </c>
      <c r="D282" s="0" t="n">
        <v>40</v>
      </c>
      <c r="E282" s="0" t="n">
        <v>46</v>
      </c>
      <c r="F282" s="0" t="n">
        <v>51</v>
      </c>
    </row>
    <row r="283" customFormat="false" ht="12.8" hidden="false" customHeight="false" outlineLevel="0" collapsed="false">
      <c r="A283" s="0" t="n">
        <v>1</v>
      </c>
      <c r="B283" s="0" t="n">
        <v>5</v>
      </c>
      <c r="C283" s="0" t="n">
        <v>12</v>
      </c>
      <c r="D283" s="0" t="n">
        <v>47</v>
      </c>
      <c r="E283" s="0" t="n">
        <v>53</v>
      </c>
      <c r="F283" s="0" t="n">
        <v>54</v>
      </c>
      <c r="G283" s="0" t="n">
        <v>60</v>
      </c>
    </row>
    <row r="284" customFormat="false" ht="12.8" hidden="false" customHeight="false" outlineLevel="0" collapsed="false">
      <c r="A284" s="0" t="n">
        <v>18</v>
      </c>
      <c r="B284" s="0" t="n">
        <v>20</v>
      </c>
      <c r="C284" s="0" t="n">
        <v>23</v>
      </c>
      <c r="D284" s="0" t="n">
        <v>32</v>
      </c>
      <c r="E284" s="0" t="n">
        <v>33</v>
      </c>
      <c r="F284" s="0" t="n">
        <v>40</v>
      </c>
      <c r="G284" s="0" t="n">
        <v>44</v>
      </c>
      <c r="H284" s="0" t="n">
        <v>48</v>
      </c>
      <c r="I284" s="0" t="n">
        <v>54</v>
      </c>
    </row>
    <row r="285" customFormat="false" ht="12.8" hidden="false" customHeight="false" outlineLevel="0" collapsed="false">
      <c r="A285" s="0" t="n">
        <v>1</v>
      </c>
      <c r="B285" s="0" t="n">
        <v>15</v>
      </c>
      <c r="C285" s="0" t="n">
        <v>23</v>
      </c>
      <c r="D285" s="0" t="n">
        <v>27</v>
      </c>
      <c r="E285" s="0" t="n">
        <v>33</v>
      </c>
      <c r="F285" s="0" t="n">
        <v>34</v>
      </c>
      <c r="G285" s="0" t="n">
        <v>36</v>
      </c>
      <c r="H285" s="0" t="n">
        <v>43</v>
      </c>
      <c r="I285" s="0" t="n">
        <v>42</v>
      </c>
    </row>
    <row r="286" customFormat="false" ht="12.8" hidden="false" customHeight="false" outlineLevel="0" collapsed="false">
      <c r="A286" s="0" t="n">
        <v>23</v>
      </c>
      <c r="B286" s="0" t="n">
        <v>27</v>
      </c>
      <c r="C286" s="0" t="n">
        <v>34</v>
      </c>
      <c r="D286" s="0" t="n">
        <v>39</v>
      </c>
      <c r="E286" s="0" t="n">
        <v>42</v>
      </c>
      <c r="F286" s="0" t="n">
        <v>44</v>
      </c>
      <c r="G286" s="0" t="n">
        <v>46</v>
      </c>
      <c r="H286" s="0" t="n">
        <v>47</v>
      </c>
      <c r="I286" s="0" t="n">
        <v>53</v>
      </c>
    </row>
    <row r="287" customFormat="false" ht="12.8" hidden="false" customHeight="false" outlineLevel="0" collapsed="false">
      <c r="A287" s="0" t="n">
        <v>15</v>
      </c>
      <c r="B287" s="0" t="n">
        <v>17</v>
      </c>
      <c r="C287" s="0" t="n">
        <v>18</v>
      </c>
      <c r="D287" s="0" t="n">
        <v>30</v>
      </c>
      <c r="E287" s="0" t="n">
        <v>31</v>
      </c>
      <c r="F287" s="0" t="n">
        <v>33</v>
      </c>
      <c r="G287" s="0" t="n">
        <v>34</v>
      </c>
      <c r="H287" s="0" t="n">
        <v>40</v>
      </c>
      <c r="I287" s="0" t="n">
        <v>52</v>
      </c>
    </row>
    <row r="288" customFormat="false" ht="12.8" hidden="false" customHeight="false" outlineLevel="0" collapsed="false">
      <c r="A288" s="0" t="n">
        <v>5</v>
      </c>
      <c r="B288" s="0" t="n">
        <v>12</v>
      </c>
      <c r="C288" s="0" t="n">
        <v>15</v>
      </c>
      <c r="D288" s="0" t="n">
        <v>20</v>
      </c>
      <c r="E288" s="0" t="n">
        <v>23</v>
      </c>
      <c r="F288" s="0" t="n">
        <v>33</v>
      </c>
      <c r="G288" s="0" t="n">
        <v>34</v>
      </c>
      <c r="H288" s="0" t="n">
        <v>40</v>
      </c>
      <c r="I288" s="0" t="n">
        <v>53</v>
      </c>
    </row>
    <row r="289" customFormat="false" ht="12.8" hidden="false" customHeight="false" outlineLevel="0" collapsed="false">
      <c r="A289" s="0" t="n">
        <v>15</v>
      </c>
      <c r="B289" s="0" t="n">
        <v>18</v>
      </c>
      <c r="C289" s="0" t="n">
        <v>19</v>
      </c>
      <c r="D289" s="0" t="n">
        <v>21</v>
      </c>
      <c r="E289" s="0" t="n">
        <v>23</v>
      </c>
      <c r="F289" s="0" t="n">
        <v>31</v>
      </c>
      <c r="G289" s="0" t="n">
        <v>33</v>
      </c>
      <c r="H289" s="0" t="n">
        <v>44</v>
      </c>
      <c r="I289" s="0" t="n">
        <v>52</v>
      </c>
    </row>
    <row r="290" customFormat="false" ht="12.8" hidden="false" customHeight="false" outlineLevel="0" collapsed="false">
      <c r="A290" s="0" t="n">
        <v>12</v>
      </c>
      <c r="B290" s="0" t="n">
        <v>17</v>
      </c>
      <c r="C290" s="0" t="n">
        <v>20</v>
      </c>
      <c r="D290" s="0" t="n">
        <v>31</v>
      </c>
      <c r="E290" s="0" t="n">
        <v>34</v>
      </c>
      <c r="F290" s="0" t="n">
        <v>40</v>
      </c>
      <c r="G290" s="0" t="n">
        <v>42</v>
      </c>
      <c r="H290" s="0" t="n">
        <v>43</v>
      </c>
      <c r="I290" s="0" t="n">
        <v>50</v>
      </c>
    </row>
    <row r="291" customFormat="false" ht="12.8" hidden="false" customHeight="false" outlineLevel="0" collapsed="false">
      <c r="A291" s="0" t="n">
        <v>18</v>
      </c>
      <c r="B291" s="0" t="n">
        <v>19</v>
      </c>
      <c r="C291" s="0" t="n">
        <v>24</v>
      </c>
      <c r="D291" s="0" t="n">
        <v>25</v>
      </c>
      <c r="E291" s="0" t="n">
        <v>28</v>
      </c>
      <c r="F291" s="0" t="n">
        <v>31</v>
      </c>
      <c r="G291" s="0" t="n">
        <v>32</v>
      </c>
      <c r="H291" s="0" t="n">
        <v>34</v>
      </c>
      <c r="I291" s="0" t="n">
        <v>42</v>
      </c>
    </row>
    <row r="292" customFormat="false" ht="12.8" hidden="false" customHeight="false" outlineLevel="0" collapsed="false">
      <c r="A292" s="0" t="n">
        <v>19</v>
      </c>
      <c r="B292" s="0" t="n">
        <v>21</v>
      </c>
      <c r="C292" s="0" t="n">
        <v>22</v>
      </c>
      <c r="D292" s="0" t="n">
        <v>23</v>
      </c>
      <c r="E292" s="0" t="n">
        <v>25</v>
      </c>
      <c r="F292" s="0" t="n">
        <v>31</v>
      </c>
      <c r="G292" s="0" t="n">
        <v>33</v>
      </c>
      <c r="H292" s="0" t="n">
        <v>40</v>
      </c>
      <c r="I292" s="0" t="n">
        <v>52</v>
      </c>
    </row>
    <row r="293" customFormat="false" ht="12.8" hidden="false" customHeight="false" outlineLevel="0" collapsed="false">
      <c r="A293" s="0" t="n">
        <v>17</v>
      </c>
      <c r="B293" s="0" t="n">
        <v>18</v>
      </c>
      <c r="C293" s="0" t="n">
        <v>20</v>
      </c>
      <c r="D293" s="0" t="n">
        <v>32</v>
      </c>
      <c r="E293" s="0" t="n">
        <v>33</v>
      </c>
      <c r="F293" s="0" t="n">
        <v>34</v>
      </c>
      <c r="G293" s="0" t="n">
        <v>43</v>
      </c>
      <c r="H293" s="0" t="n">
        <v>50</v>
      </c>
      <c r="I293" s="0" t="n">
        <v>52</v>
      </c>
    </row>
    <row r="294" customFormat="false" ht="12.8" hidden="false" customHeight="false" outlineLevel="0" collapsed="false">
      <c r="A294" s="0" t="n">
        <v>1</v>
      </c>
      <c r="B294" s="0" t="n">
        <v>3</v>
      </c>
      <c r="C294" s="0" t="n">
        <v>4</v>
      </c>
      <c r="D294" s="0" t="n">
        <v>6</v>
      </c>
      <c r="E294" s="0" t="n">
        <v>11</v>
      </c>
      <c r="F294" s="0" t="n">
        <v>37</v>
      </c>
      <c r="G294" s="0" t="n">
        <v>38</v>
      </c>
      <c r="H294" s="0" t="n">
        <v>54</v>
      </c>
      <c r="I294" s="0" t="n">
        <v>56</v>
      </c>
    </row>
    <row r="295" customFormat="false" ht="12.8" hidden="false" customHeight="false" outlineLevel="0" collapsed="false">
      <c r="A295" s="0" t="n">
        <v>1</v>
      </c>
      <c r="B295" s="0" t="n">
        <v>4</v>
      </c>
      <c r="C295" s="0" t="n">
        <v>7</v>
      </c>
      <c r="D295" s="0" t="n">
        <v>10</v>
      </c>
      <c r="E295" s="0" t="n">
        <v>11</v>
      </c>
      <c r="F295" s="0" t="n">
        <v>30</v>
      </c>
      <c r="G295" s="0" t="n">
        <v>44</v>
      </c>
      <c r="H295" s="0" t="n">
        <v>53</v>
      </c>
      <c r="I295" s="0" t="n">
        <v>59</v>
      </c>
    </row>
    <row r="296" customFormat="false" ht="12.8" hidden="false" customHeight="false" outlineLevel="0" collapsed="false">
      <c r="A296" s="0" t="n">
        <v>1</v>
      </c>
      <c r="B296" s="0" t="n">
        <v>4</v>
      </c>
      <c r="C296" s="0" t="n">
        <v>7</v>
      </c>
      <c r="D296" s="0" t="n">
        <v>10</v>
      </c>
      <c r="E296" s="0" t="n">
        <v>49</v>
      </c>
      <c r="F296" s="0" t="n">
        <v>52</v>
      </c>
      <c r="G296" s="0" t="n">
        <v>53</v>
      </c>
      <c r="H296" s="0" t="n">
        <v>54</v>
      </c>
      <c r="I296" s="0" t="n">
        <v>57</v>
      </c>
    </row>
    <row r="297" customFormat="false" ht="12.8" hidden="false" customHeight="false" outlineLevel="0" collapsed="false">
      <c r="A297" s="0" t="n">
        <v>1</v>
      </c>
      <c r="B297" s="0" t="n">
        <v>4</v>
      </c>
      <c r="C297" s="0" t="n">
        <v>24</v>
      </c>
      <c r="D297" s="0" t="n">
        <v>33</v>
      </c>
      <c r="E297" s="0" t="n">
        <v>37</v>
      </c>
      <c r="F297" s="0" t="n">
        <v>40</v>
      </c>
      <c r="G297" s="0" t="n">
        <v>51</v>
      </c>
      <c r="H297" s="0" t="n">
        <v>54</v>
      </c>
      <c r="I297" s="0" t="n">
        <v>56</v>
      </c>
    </row>
    <row r="298" customFormat="false" ht="12.8" hidden="false" customHeight="false" outlineLevel="0" collapsed="false">
      <c r="A298" s="0" t="n">
        <v>1</v>
      </c>
      <c r="B298" s="0" t="n">
        <v>5</v>
      </c>
      <c r="C298" s="0" t="n">
        <v>7</v>
      </c>
      <c r="D298" s="0" t="n">
        <v>10</v>
      </c>
      <c r="E298" s="0" t="n">
        <v>12</v>
      </c>
      <c r="F298" s="0" t="n">
        <v>29</v>
      </c>
      <c r="G298" s="0" t="n">
        <v>42</v>
      </c>
      <c r="H298" s="0" t="n">
        <v>49</v>
      </c>
      <c r="I298" s="0" t="n">
        <v>57</v>
      </c>
    </row>
    <row r="299" customFormat="false" ht="12.8" hidden="false" customHeight="false" outlineLevel="0" collapsed="false">
      <c r="A299" s="0" t="n">
        <v>1</v>
      </c>
      <c r="B299" s="0" t="n">
        <v>5</v>
      </c>
      <c r="C299" s="0" t="n">
        <v>8</v>
      </c>
      <c r="D299" s="0" t="n">
        <v>11</v>
      </c>
      <c r="E299" s="0" t="n">
        <v>32</v>
      </c>
      <c r="F299" s="0" t="n">
        <v>33</v>
      </c>
      <c r="G299" s="0" t="n">
        <v>42</v>
      </c>
      <c r="H299" s="0" t="n">
        <v>51</v>
      </c>
      <c r="I299" s="0" t="n">
        <v>59</v>
      </c>
    </row>
    <row r="300" customFormat="false" ht="12.8" hidden="false" customHeight="false" outlineLevel="0" collapsed="false">
      <c r="A300" s="0" t="n">
        <v>1</v>
      </c>
      <c r="B300" s="0" t="n">
        <v>2</v>
      </c>
      <c r="C300" s="0" t="n">
        <v>7</v>
      </c>
      <c r="D300" s="0" t="n">
        <v>8</v>
      </c>
      <c r="E300" s="0" t="n">
        <v>11</v>
      </c>
      <c r="F300" s="0" t="n">
        <v>37</v>
      </c>
      <c r="G300" s="0" t="n">
        <v>39</v>
      </c>
      <c r="H300" s="0" t="n">
        <v>40</v>
      </c>
      <c r="I300" s="0" t="n">
        <v>51</v>
      </c>
    </row>
    <row r="301" customFormat="false" ht="12.8" hidden="false" customHeight="false" outlineLevel="0" collapsed="false">
      <c r="A301" s="0" t="n">
        <v>1</v>
      </c>
      <c r="B301" s="0" t="n">
        <v>4</v>
      </c>
      <c r="C301" s="0" t="n">
        <v>13</v>
      </c>
      <c r="D301" s="0" t="n">
        <v>17</v>
      </c>
      <c r="E301" s="0" t="n">
        <v>31</v>
      </c>
      <c r="F301" s="0" t="n">
        <v>38</v>
      </c>
      <c r="G301" s="0" t="n">
        <v>41</v>
      </c>
      <c r="H301" s="0" t="n">
        <v>45</v>
      </c>
      <c r="I301" s="0" t="n">
        <v>58</v>
      </c>
    </row>
    <row r="302" customFormat="false" ht="12.8" hidden="false" customHeight="false" outlineLevel="0" collapsed="false">
      <c r="A302" s="0" t="n">
        <v>1</v>
      </c>
      <c r="B302" s="0" t="n">
        <v>2</v>
      </c>
      <c r="C302" s="0" t="n">
        <v>6</v>
      </c>
      <c r="D302" s="0" t="n">
        <v>30</v>
      </c>
      <c r="E302" s="0" t="n">
        <v>33</v>
      </c>
      <c r="F302" s="0" t="n">
        <v>38</v>
      </c>
      <c r="G302" s="0" t="n">
        <v>49</v>
      </c>
      <c r="H302" s="0" t="n">
        <v>53</v>
      </c>
      <c r="I302" s="0" t="n">
        <v>56</v>
      </c>
    </row>
    <row r="303" customFormat="false" ht="12.8" hidden="false" customHeight="false" outlineLevel="0" collapsed="false">
      <c r="A303" s="0" t="n">
        <v>2</v>
      </c>
      <c r="B303" s="0" t="n">
        <v>23</v>
      </c>
      <c r="C303" s="0" t="n">
        <v>32</v>
      </c>
      <c r="D303" s="0" t="n">
        <v>34</v>
      </c>
      <c r="E303" s="0" t="n">
        <v>38</v>
      </c>
      <c r="F303" s="0" t="n">
        <v>47</v>
      </c>
      <c r="G303" s="0" t="n">
        <v>48</v>
      </c>
      <c r="H303" s="0" t="n">
        <v>50</v>
      </c>
      <c r="I303" s="0" t="n">
        <v>53</v>
      </c>
    </row>
    <row r="304" customFormat="false" ht="12.8" hidden="false" customHeight="false" outlineLevel="0" collapsed="false">
      <c r="A304" s="0" t="n">
        <v>12</v>
      </c>
      <c r="B304" s="0" t="n">
        <v>18</v>
      </c>
      <c r="C304" s="0" t="n">
        <v>20</v>
      </c>
      <c r="D304" s="0" t="n">
        <v>26</v>
      </c>
      <c r="E304" s="0" t="n">
        <v>30</v>
      </c>
      <c r="F304" s="0" t="n">
        <v>31</v>
      </c>
      <c r="G304" s="0" t="n">
        <v>33</v>
      </c>
      <c r="H304" s="0" t="n">
        <v>34</v>
      </c>
      <c r="I304" s="0" t="n">
        <v>43</v>
      </c>
    </row>
    <row r="305" customFormat="false" ht="12.8" hidden="false" customHeight="false" outlineLevel="0" collapsed="false">
      <c r="A305" s="0" t="n">
        <v>4</v>
      </c>
      <c r="B305" s="0" t="n">
        <v>11</v>
      </c>
      <c r="C305" s="0" t="n">
        <v>27</v>
      </c>
      <c r="D305" s="0" t="n">
        <v>30</v>
      </c>
      <c r="E305" s="0" t="n">
        <v>38</v>
      </c>
      <c r="F305" s="0" t="n">
        <v>43</v>
      </c>
      <c r="G305" s="0" t="n">
        <v>45</v>
      </c>
      <c r="H305" s="0" t="n">
        <v>49</v>
      </c>
      <c r="I305" s="0" t="n">
        <v>54</v>
      </c>
    </row>
    <row r="306" customFormat="false" ht="12.8" hidden="false" customHeight="false" outlineLevel="0" collapsed="false">
      <c r="A306" s="0" t="n">
        <v>4</v>
      </c>
      <c r="B306" s="0" t="n">
        <v>14</v>
      </c>
      <c r="C306" s="0" t="n">
        <v>17</v>
      </c>
      <c r="D306" s="0" t="n">
        <v>27</v>
      </c>
      <c r="E306" s="0" t="n">
        <v>37</v>
      </c>
      <c r="F306" s="0" t="n">
        <v>39</v>
      </c>
      <c r="G306" s="0" t="n">
        <v>44</v>
      </c>
      <c r="H306" s="0" t="n">
        <v>50</v>
      </c>
      <c r="I306" s="0" t="n">
        <v>52</v>
      </c>
    </row>
    <row r="307" customFormat="false" ht="12.8" hidden="false" customHeight="false" outlineLevel="0" collapsed="false">
      <c r="A307" s="0" t="n">
        <v>1</v>
      </c>
      <c r="B307" s="0" t="n">
        <v>2</v>
      </c>
      <c r="C307" s="0" t="n">
        <v>14</v>
      </c>
      <c r="D307" s="0" t="n">
        <v>36</v>
      </c>
      <c r="E307" s="0" t="n">
        <v>38</v>
      </c>
      <c r="F307" s="0" t="n">
        <v>53</v>
      </c>
      <c r="G307" s="0" t="n">
        <v>55</v>
      </c>
      <c r="H307" s="0" t="n">
        <v>57</v>
      </c>
      <c r="I307" s="0" t="n">
        <v>60</v>
      </c>
    </row>
    <row r="308" customFormat="false" ht="12.8" hidden="false" customHeight="false" outlineLevel="0" collapsed="false">
      <c r="A308" s="0" t="n">
        <v>1</v>
      </c>
      <c r="B308" s="0" t="n">
        <v>2</v>
      </c>
      <c r="C308" s="0" t="n">
        <v>10</v>
      </c>
      <c r="D308" s="0" t="n">
        <v>19</v>
      </c>
      <c r="E308" s="0" t="n">
        <v>27</v>
      </c>
      <c r="F308" s="0" t="n">
        <v>32</v>
      </c>
      <c r="G308" s="0" t="n">
        <v>37</v>
      </c>
      <c r="H308" s="0" t="n">
        <v>48</v>
      </c>
      <c r="I308" s="0" t="n">
        <v>51</v>
      </c>
    </row>
    <row r="309" customFormat="false" ht="12.8" hidden="false" customHeight="false" outlineLevel="0" collapsed="false">
      <c r="A309" s="0" t="n">
        <v>1</v>
      </c>
      <c r="B309" s="0" t="n">
        <v>5</v>
      </c>
      <c r="C309" s="0" t="n">
        <v>6</v>
      </c>
      <c r="D309" s="0" t="n">
        <v>9</v>
      </c>
      <c r="E309" s="0" t="n">
        <v>24</v>
      </c>
      <c r="F309" s="0" t="n">
        <v>25</v>
      </c>
      <c r="G309" s="0" t="n">
        <v>27</v>
      </c>
      <c r="H309" s="0" t="n">
        <v>42</v>
      </c>
      <c r="I309" s="0" t="n">
        <v>58</v>
      </c>
    </row>
    <row r="310" customFormat="false" ht="12.8" hidden="false" customHeight="false" outlineLevel="0" collapsed="false">
      <c r="A310" s="0" t="n">
        <v>1</v>
      </c>
      <c r="B310" s="0" t="n">
        <v>2</v>
      </c>
      <c r="C310" s="0" t="n">
        <v>6</v>
      </c>
      <c r="D310" s="0" t="n">
        <v>10</v>
      </c>
      <c r="E310" s="0" t="n">
        <v>17</v>
      </c>
      <c r="F310" s="0" t="n">
        <v>27</v>
      </c>
      <c r="G310" s="0" t="n">
        <v>32</v>
      </c>
      <c r="H310" s="0" t="n">
        <v>34</v>
      </c>
      <c r="I310" s="0" t="n">
        <v>56</v>
      </c>
    </row>
    <row r="311" customFormat="false" ht="12.8" hidden="false" customHeight="false" outlineLevel="0" collapsed="false">
      <c r="A311" s="0" t="n">
        <v>1</v>
      </c>
      <c r="B311" s="0" t="n">
        <v>2</v>
      </c>
      <c r="C311" s="0" t="n">
        <v>5</v>
      </c>
      <c r="D311" s="0" t="n">
        <v>12</v>
      </c>
      <c r="E311" s="0" t="n">
        <v>28</v>
      </c>
      <c r="F311" s="0" t="n">
        <v>33</v>
      </c>
      <c r="G311" s="0" t="n">
        <v>42</v>
      </c>
      <c r="H311" s="0" t="n">
        <v>52</v>
      </c>
      <c r="I311" s="0" t="n">
        <v>59</v>
      </c>
    </row>
    <row r="312" customFormat="false" ht="12.8" hidden="false" customHeight="false" outlineLevel="0" collapsed="false">
      <c r="A312" s="0" t="n">
        <v>1</v>
      </c>
      <c r="B312" s="0" t="n">
        <v>2</v>
      </c>
      <c r="C312" s="0" t="n">
        <v>6</v>
      </c>
      <c r="D312" s="0" t="n">
        <v>14</v>
      </c>
      <c r="E312" s="0" t="n">
        <v>28</v>
      </c>
      <c r="F312" s="0" t="n">
        <v>50</v>
      </c>
      <c r="G312" s="0" t="n">
        <v>51</v>
      </c>
      <c r="H312" s="0" t="n">
        <v>53</v>
      </c>
      <c r="I312" s="0" t="n">
        <v>57</v>
      </c>
    </row>
    <row r="313" customFormat="false" ht="12.8" hidden="false" customHeight="false" outlineLevel="0" collapsed="false">
      <c r="A313" s="0" t="n">
        <v>1</v>
      </c>
      <c r="B313" s="0" t="n">
        <v>3</v>
      </c>
      <c r="C313" s="0" t="n">
        <v>4</v>
      </c>
      <c r="D313" s="0" t="n">
        <v>32</v>
      </c>
      <c r="E313" s="0" t="n">
        <v>37</v>
      </c>
      <c r="F313" s="0" t="n">
        <v>40</v>
      </c>
      <c r="G313" s="0" t="n">
        <v>51</v>
      </c>
      <c r="H313" s="0" t="n">
        <v>53</v>
      </c>
      <c r="I313" s="0" t="n">
        <v>54</v>
      </c>
    </row>
    <row r="314" customFormat="false" ht="12.8" hidden="false" customHeight="false" outlineLevel="0" collapsed="false">
      <c r="A314" s="0" t="n">
        <v>12</v>
      </c>
      <c r="B314" s="0" t="n">
        <v>17</v>
      </c>
      <c r="C314" s="0" t="n">
        <v>18</v>
      </c>
      <c r="D314" s="0" t="n">
        <v>23</v>
      </c>
      <c r="E314" s="0" t="n">
        <v>31</v>
      </c>
      <c r="F314" s="0" t="n">
        <v>34</v>
      </c>
      <c r="G314" s="0" t="n">
        <v>38</v>
      </c>
      <c r="H314" s="0" t="n">
        <v>43</v>
      </c>
      <c r="I314" s="0" t="n">
        <v>50</v>
      </c>
    </row>
    <row r="315" customFormat="false" ht="12.8" hidden="false" customHeight="false" outlineLevel="0" collapsed="false">
      <c r="A315" s="0" t="n">
        <v>1</v>
      </c>
      <c r="B315" s="0" t="n">
        <v>12</v>
      </c>
      <c r="C315" s="0" t="n">
        <v>20</v>
      </c>
      <c r="D315" s="0" t="n">
        <v>22</v>
      </c>
      <c r="E315" s="0" t="n">
        <v>31</v>
      </c>
      <c r="F315" s="0" t="n">
        <v>33</v>
      </c>
      <c r="G315" s="0" t="n">
        <v>34</v>
      </c>
      <c r="H315" s="0" t="n">
        <v>43</v>
      </c>
      <c r="I315" s="0" t="n">
        <v>50</v>
      </c>
    </row>
    <row r="316" customFormat="false" ht="12.8" hidden="false" customHeight="false" outlineLevel="0" collapsed="false">
      <c r="A316" s="0" t="n">
        <v>17</v>
      </c>
      <c r="B316" s="0" t="n">
        <v>21</v>
      </c>
      <c r="C316" s="0" t="n">
        <v>22</v>
      </c>
      <c r="D316" s="0" t="n">
        <v>34</v>
      </c>
      <c r="E316" s="0" t="n">
        <v>39</v>
      </c>
      <c r="F316" s="0" t="n">
        <v>40</v>
      </c>
      <c r="G316" s="0" t="n">
        <v>43</v>
      </c>
      <c r="H316" s="0" t="n">
        <v>44</v>
      </c>
      <c r="I316" s="0" t="n">
        <v>52</v>
      </c>
    </row>
    <row r="317" customFormat="false" ht="12.8" hidden="false" customHeight="false" outlineLevel="0" collapsed="false">
      <c r="A317" s="0" t="n">
        <v>15</v>
      </c>
      <c r="B317" s="0" t="n">
        <v>17</v>
      </c>
      <c r="C317" s="0" t="n">
        <v>24</v>
      </c>
      <c r="D317" s="0" t="n">
        <v>25</v>
      </c>
      <c r="E317" s="0" t="n">
        <v>33</v>
      </c>
      <c r="F317" s="0" t="n">
        <v>34</v>
      </c>
      <c r="G317" s="0" t="n">
        <v>37</v>
      </c>
      <c r="H317" s="0" t="n">
        <v>43</v>
      </c>
      <c r="I317" s="0" t="n">
        <v>52</v>
      </c>
    </row>
    <row r="318" customFormat="false" ht="12.8" hidden="false" customHeight="false" outlineLevel="0" collapsed="false">
      <c r="A318" s="0" t="n">
        <v>15</v>
      </c>
      <c r="B318" s="0" t="n">
        <v>16</v>
      </c>
      <c r="C318" s="0" t="n">
        <v>21</v>
      </c>
      <c r="D318" s="0" t="n">
        <v>31</v>
      </c>
      <c r="E318" s="0" t="n">
        <v>34</v>
      </c>
      <c r="F318" s="0" t="n">
        <v>40</v>
      </c>
      <c r="G318" s="0" t="n">
        <v>43</v>
      </c>
      <c r="H318" s="0" t="n">
        <v>48</v>
      </c>
      <c r="I318" s="0" t="n">
        <v>52</v>
      </c>
    </row>
    <row r="319" customFormat="false" ht="12.8" hidden="false" customHeight="false" outlineLevel="0" collapsed="false">
      <c r="A319" s="0" t="n">
        <v>1</v>
      </c>
      <c r="B319" s="0" t="n">
        <v>18</v>
      </c>
      <c r="C319" s="0" t="n">
        <v>25</v>
      </c>
      <c r="D319" s="0" t="n">
        <v>32</v>
      </c>
      <c r="E319" s="0" t="n">
        <v>34</v>
      </c>
      <c r="F319" s="0" t="n">
        <v>37</v>
      </c>
      <c r="G319" s="0" t="n">
        <v>43</v>
      </c>
      <c r="H319" s="0" t="n">
        <v>50</v>
      </c>
      <c r="I319" s="0" t="n">
        <v>52</v>
      </c>
    </row>
    <row r="320" customFormat="false" ht="12.8" hidden="false" customHeight="false" outlineLevel="0" collapsed="false">
      <c r="A320" s="0" t="n">
        <v>6</v>
      </c>
      <c r="B320" s="0" t="n">
        <v>17</v>
      </c>
      <c r="C320" s="0" t="n">
        <v>19</v>
      </c>
      <c r="D320" s="0" t="n">
        <v>32</v>
      </c>
      <c r="E320" s="0" t="n">
        <v>33</v>
      </c>
      <c r="F320" s="0" t="n">
        <v>34</v>
      </c>
      <c r="G320" s="0" t="n">
        <v>37</v>
      </c>
      <c r="H320" s="0" t="n">
        <v>40</v>
      </c>
      <c r="I320" s="0" t="n">
        <v>43</v>
      </c>
    </row>
    <row r="321" customFormat="false" ht="12.8" hidden="false" customHeight="false" outlineLevel="0" collapsed="false">
      <c r="A321" s="0" t="n">
        <v>1</v>
      </c>
      <c r="B321" s="0" t="n">
        <v>6</v>
      </c>
      <c r="C321" s="0" t="n">
        <v>17</v>
      </c>
      <c r="D321" s="0" t="n">
        <v>18</v>
      </c>
      <c r="E321" s="0" t="n">
        <v>19</v>
      </c>
      <c r="F321" s="0" t="n">
        <v>34</v>
      </c>
      <c r="G321" s="0" t="n">
        <v>37</v>
      </c>
      <c r="H321" s="0" t="n">
        <v>40</v>
      </c>
      <c r="I321" s="0" t="n">
        <v>47</v>
      </c>
    </row>
    <row r="322" customFormat="false" ht="12.8" hidden="false" customHeight="false" outlineLevel="0" collapsed="false">
      <c r="A322" s="0" t="n">
        <v>15</v>
      </c>
      <c r="B322" s="0" t="n">
        <v>20</v>
      </c>
      <c r="C322" s="0" t="n">
        <v>21</v>
      </c>
      <c r="D322" s="0" t="n">
        <v>24</v>
      </c>
      <c r="E322" s="0" t="n">
        <v>34</v>
      </c>
      <c r="F322" s="0" t="n">
        <v>36</v>
      </c>
      <c r="G322" s="0" t="n">
        <v>43</v>
      </c>
      <c r="H322" s="0" t="n">
        <v>45</v>
      </c>
      <c r="I322" s="0" t="n">
        <v>52</v>
      </c>
    </row>
    <row r="323" customFormat="false" ht="12.8" hidden="false" customHeight="false" outlineLevel="0" collapsed="false">
      <c r="A323" s="0" t="n">
        <v>2</v>
      </c>
      <c r="B323" s="0" t="n">
        <v>19</v>
      </c>
      <c r="C323" s="0" t="n">
        <v>22</v>
      </c>
      <c r="D323" s="0" t="n">
        <v>25</v>
      </c>
      <c r="E323" s="0" t="n">
        <v>32</v>
      </c>
      <c r="F323" s="0" t="n">
        <v>34</v>
      </c>
      <c r="G323" s="0" t="n">
        <v>37</v>
      </c>
      <c r="H323" s="0" t="n">
        <v>43</v>
      </c>
      <c r="I323" s="0" t="n">
        <v>48</v>
      </c>
    </row>
    <row r="324" customFormat="false" ht="12.8" hidden="false" customHeight="false" outlineLevel="0" collapsed="false">
      <c r="A324" s="0" t="n">
        <v>19</v>
      </c>
      <c r="B324" s="0" t="n">
        <v>23</v>
      </c>
      <c r="C324" s="0" t="n">
        <v>27</v>
      </c>
      <c r="D324" s="0" t="n">
        <v>34</v>
      </c>
      <c r="E324" s="0" t="n">
        <v>39</v>
      </c>
      <c r="F324" s="0" t="n">
        <v>41</v>
      </c>
      <c r="G324" s="0" t="n">
        <v>44</v>
      </c>
      <c r="H324" s="0" t="n">
        <v>53</v>
      </c>
      <c r="I324" s="0" t="n">
        <v>57</v>
      </c>
    </row>
    <row r="325" customFormat="false" ht="12.8" hidden="false" customHeight="false" outlineLevel="0" collapsed="false">
      <c r="A325" s="0" t="n">
        <v>18</v>
      </c>
      <c r="B325" s="0" t="n">
        <v>19</v>
      </c>
      <c r="C325" s="0" t="n">
        <v>23</v>
      </c>
      <c r="D325" s="0" t="n">
        <v>25</v>
      </c>
      <c r="E325" s="0" t="n">
        <v>30</v>
      </c>
      <c r="F325" s="0" t="n">
        <v>31</v>
      </c>
      <c r="G325" s="0" t="n">
        <v>33</v>
      </c>
      <c r="H325" s="0" t="n">
        <v>40</v>
      </c>
      <c r="I325" s="0" t="n">
        <v>50</v>
      </c>
    </row>
    <row r="326" customFormat="false" ht="12.8" hidden="false" customHeight="false" outlineLevel="0" collapsed="false">
      <c r="A326" s="0" t="n">
        <v>18</v>
      </c>
      <c r="B326" s="0" t="n">
        <v>19</v>
      </c>
      <c r="C326" s="0" t="n">
        <v>21</v>
      </c>
      <c r="D326" s="0" t="n">
        <v>23</v>
      </c>
      <c r="E326" s="0" t="n">
        <v>30</v>
      </c>
      <c r="F326" s="0" t="n">
        <v>31</v>
      </c>
      <c r="G326" s="0" t="n">
        <v>33</v>
      </c>
      <c r="H326" s="0" t="n">
        <v>36</v>
      </c>
      <c r="I326" s="0" t="n">
        <v>44</v>
      </c>
    </row>
    <row r="327" customFormat="false" ht="12.8" hidden="false" customHeight="false" outlineLevel="0" collapsed="false">
      <c r="A327" s="0" t="n">
        <v>1</v>
      </c>
      <c r="B327" s="0" t="n">
        <v>5</v>
      </c>
      <c r="C327" s="0" t="n">
        <v>20</v>
      </c>
      <c r="D327" s="0" t="n">
        <v>22</v>
      </c>
      <c r="E327" s="0" t="n">
        <v>29</v>
      </c>
      <c r="F327" s="0" t="n">
        <v>31</v>
      </c>
      <c r="G327" s="0" t="n">
        <v>33</v>
      </c>
      <c r="H327" s="0" t="n">
        <v>40</v>
      </c>
      <c r="I327" s="0" t="n">
        <v>43</v>
      </c>
    </row>
    <row r="328" customFormat="false" ht="12.8" hidden="false" customHeight="false" outlineLevel="0" collapsed="false">
      <c r="A328" s="0" t="n">
        <v>15</v>
      </c>
      <c r="B328" s="0" t="n">
        <v>16</v>
      </c>
      <c r="C328" s="0" t="n">
        <v>20</v>
      </c>
      <c r="D328" s="0" t="n">
        <v>31</v>
      </c>
      <c r="E328" s="0" t="n">
        <v>34</v>
      </c>
      <c r="F328" s="0" t="n">
        <v>40</v>
      </c>
      <c r="G328" s="0" t="n">
        <v>43</v>
      </c>
      <c r="H328" s="0" t="n">
        <v>45</v>
      </c>
      <c r="I328" s="0" t="n">
        <v>52</v>
      </c>
    </row>
    <row r="329" customFormat="false" ht="12.8" hidden="false" customHeight="false" outlineLevel="0" collapsed="false">
      <c r="A329" s="0" t="n">
        <v>1</v>
      </c>
      <c r="B329" s="0" t="n">
        <v>15</v>
      </c>
      <c r="C329" s="0" t="n">
        <v>20</v>
      </c>
      <c r="D329" s="0" t="n">
        <v>22</v>
      </c>
      <c r="E329" s="0" t="n">
        <v>29</v>
      </c>
      <c r="F329" s="0" t="n">
        <v>32</v>
      </c>
      <c r="G329" s="0" t="n">
        <v>34</v>
      </c>
      <c r="H329" s="0" t="n">
        <v>40</v>
      </c>
      <c r="I329" s="0" t="n">
        <v>44</v>
      </c>
    </row>
    <row r="330" customFormat="false" ht="12.8" hidden="false" customHeight="false" outlineLevel="0" collapsed="false">
      <c r="A330" s="0" t="n">
        <v>8</v>
      </c>
      <c r="B330" s="0" t="n">
        <v>19</v>
      </c>
      <c r="C330" s="0" t="n">
        <v>23</v>
      </c>
      <c r="D330" s="0" t="n">
        <v>27</v>
      </c>
      <c r="E330" s="0" t="n">
        <v>35</v>
      </c>
      <c r="F330" s="0" t="n">
        <v>38</v>
      </c>
      <c r="G330" s="0" t="n">
        <v>43</v>
      </c>
      <c r="H330" s="0" t="n">
        <v>44</v>
      </c>
      <c r="I330" s="0" t="n">
        <v>52</v>
      </c>
    </row>
    <row r="331" customFormat="false" ht="12.8" hidden="false" customHeight="false" outlineLevel="0" collapsed="false">
      <c r="A331" s="0" t="n">
        <v>5</v>
      </c>
      <c r="B331" s="0" t="n">
        <v>17</v>
      </c>
      <c r="C331" s="0" t="n">
        <v>20</v>
      </c>
      <c r="D331" s="0" t="n">
        <v>22</v>
      </c>
      <c r="E331" s="0" t="n">
        <v>23</v>
      </c>
      <c r="F331" s="0" t="n">
        <v>33</v>
      </c>
      <c r="G331" s="0" t="n">
        <v>40</v>
      </c>
      <c r="H331" s="0" t="n">
        <v>42</v>
      </c>
      <c r="I331" s="0" t="n">
        <v>53</v>
      </c>
    </row>
    <row r="332" customFormat="false" ht="12.8" hidden="false" customHeight="false" outlineLevel="0" collapsed="false">
      <c r="A332" s="0" t="n">
        <v>1</v>
      </c>
      <c r="B332" s="0" t="n">
        <v>19</v>
      </c>
      <c r="C332" s="0" t="n">
        <v>20</v>
      </c>
      <c r="D332" s="0" t="n">
        <v>25</v>
      </c>
      <c r="E332" s="0" t="n">
        <v>32</v>
      </c>
      <c r="F332" s="0" t="n">
        <v>33</v>
      </c>
      <c r="G332" s="0" t="n">
        <v>34</v>
      </c>
      <c r="H332" s="0" t="n">
        <v>37</v>
      </c>
      <c r="I332" s="0" t="n">
        <v>43</v>
      </c>
    </row>
    <row r="333" customFormat="false" ht="12.8" hidden="false" customHeight="false" outlineLevel="0" collapsed="false">
      <c r="A333" s="0" t="n">
        <v>1</v>
      </c>
      <c r="B333" s="0" t="n">
        <v>12</v>
      </c>
      <c r="C333" s="0" t="n">
        <v>18</v>
      </c>
      <c r="D333" s="0" t="n">
        <v>32</v>
      </c>
      <c r="E333" s="0" t="n">
        <v>33</v>
      </c>
      <c r="F333" s="0" t="n">
        <v>34</v>
      </c>
      <c r="G333" s="0" t="n">
        <v>37</v>
      </c>
      <c r="H333" s="0" t="n">
        <v>43</v>
      </c>
      <c r="I333" s="0" t="n">
        <v>44</v>
      </c>
    </row>
    <row r="334" customFormat="false" ht="12.8" hidden="false" customHeight="false" outlineLevel="0" collapsed="false">
      <c r="A334" s="0" t="n">
        <v>5</v>
      </c>
      <c r="B334" s="0" t="n">
        <v>8</v>
      </c>
      <c r="C334" s="0" t="n">
        <v>26</v>
      </c>
      <c r="D334" s="0" t="n">
        <v>30</v>
      </c>
      <c r="E334" s="0" t="n">
        <v>33</v>
      </c>
      <c r="F334" s="0" t="n">
        <v>40</v>
      </c>
      <c r="G334" s="0" t="n">
        <v>43</v>
      </c>
      <c r="H334" s="0" t="n">
        <v>46</v>
      </c>
      <c r="I334" s="0" t="n">
        <v>52</v>
      </c>
    </row>
    <row r="335" customFormat="false" ht="12.8" hidden="false" customHeight="false" outlineLevel="0" collapsed="false">
      <c r="A335" s="0" t="n">
        <v>19</v>
      </c>
      <c r="B335" s="0" t="n">
        <v>22</v>
      </c>
      <c r="C335" s="0" t="n">
        <v>24</v>
      </c>
      <c r="D335" s="0" t="n">
        <v>25</v>
      </c>
      <c r="E335" s="0" t="n">
        <v>26</v>
      </c>
      <c r="F335" s="0" t="n">
        <v>31</v>
      </c>
      <c r="G335" s="0" t="n">
        <v>32</v>
      </c>
      <c r="H335" s="0" t="n">
        <v>34</v>
      </c>
      <c r="I335" s="0" t="n">
        <v>45</v>
      </c>
    </row>
    <row r="336" customFormat="false" ht="12.8" hidden="false" customHeight="false" outlineLevel="0" collapsed="false">
      <c r="A336" s="0" t="n">
        <v>19</v>
      </c>
      <c r="B336" s="0" t="n">
        <v>20</v>
      </c>
      <c r="C336" s="0" t="n">
        <v>23</v>
      </c>
      <c r="D336" s="0" t="n">
        <v>24</v>
      </c>
      <c r="E336" s="0" t="n">
        <v>28</v>
      </c>
      <c r="F336" s="0" t="n">
        <v>30</v>
      </c>
      <c r="G336" s="0" t="n">
        <v>33</v>
      </c>
      <c r="H336" s="0" t="n">
        <v>44</v>
      </c>
      <c r="I336" s="0" t="n">
        <v>54</v>
      </c>
    </row>
    <row r="337" customFormat="false" ht="12.8" hidden="false" customHeight="false" outlineLevel="0" collapsed="false">
      <c r="A337" s="0" t="n">
        <v>2</v>
      </c>
      <c r="B337" s="0" t="n">
        <v>18</v>
      </c>
      <c r="C337" s="0" t="n">
        <v>27</v>
      </c>
      <c r="D337" s="0" t="n">
        <v>33</v>
      </c>
      <c r="E337" s="0" t="n">
        <v>34</v>
      </c>
      <c r="F337" s="0" t="n">
        <v>39</v>
      </c>
      <c r="G337" s="0" t="n">
        <v>40</v>
      </c>
      <c r="H337" s="0" t="n">
        <v>45</v>
      </c>
      <c r="I337" s="0" t="n">
        <v>53</v>
      </c>
    </row>
    <row r="338" customFormat="false" ht="12.8" hidden="false" customHeight="false" outlineLevel="0" collapsed="false">
      <c r="A338" s="0" t="n">
        <v>6</v>
      </c>
      <c r="B338" s="0" t="n">
        <v>8</v>
      </c>
      <c r="C338" s="0" t="n">
        <v>17</v>
      </c>
      <c r="D338" s="0" t="n">
        <v>18</v>
      </c>
      <c r="E338" s="0" t="n">
        <v>26</v>
      </c>
      <c r="F338" s="0" t="n">
        <v>31</v>
      </c>
      <c r="G338" s="0" t="n">
        <v>34</v>
      </c>
      <c r="H338" s="0" t="n">
        <v>41</v>
      </c>
      <c r="I338" s="0" t="n">
        <v>43</v>
      </c>
    </row>
    <row r="339" customFormat="false" ht="12.8" hidden="false" customHeight="false" outlineLevel="0" collapsed="false">
      <c r="A339" s="0" t="n">
        <v>19</v>
      </c>
      <c r="B339" s="0" t="n">
        <v>20</v>
      </c>
      <c r="C339" s="0" t="n">
        <v>25</v>
      </c>
      <c r="D339" s="0" t="n">
        <v>27</v>
      </c>
      <c r="E339" s="0" t="n">
        <v>29</v>
      </c>
      <c r="F339" s="0" t="n">
        <v>32</v>
      </c>
      <c r="G339" s="0" t="n">
        <v>33</v>
      </c>
      <c r="H339" s="0" t="n">
        <v>43</v>
      </c>
      <c r="I339" s="0" t="n">
        <v>50</v>
      </c>
    </row>
    <row r="340" customFormat="false" ht="12.8" hidden="false" customHeight="false" outlineLevel="0" collapsed="false">
      <c r="A340" s="0" t="n">
        <v>4</v>
      </c>
      <c r="B340" s="0" t="n">
        <v>15</v>
      </c>
      <c r="C340" s="0" t="n">
        <v>18</v>
      </c>
      <c r="D340" s="0" t="n">
        <v>19</v>
      </c>
      <c r="E340" s="0" t="n">
        <v>27</v>
      </c>
      <c r="F340" s="0" t="n">
        <v>31</v>
      </c>
      <c r="G340" s="0" t="n">
        <v>34</v>
      </c>
      <c r="H340" s="0" t="n">
        <v>40</v>
      </c>
      <c r="I340" s="0" t="n">
        <v>48</v>
      </c>
    </row>
    <row r="341" customFormat="false" ht="12.8" hidden="false" customHeight="false" outlineLevel="0" collapsed="false">
      <c r="A341" s="0" t="n">
        <v>1</v>
      </c>
      <c r="B341" s="0" t="n">
        <v>15</v>
      </c>
      <c r="C341" s="0" t="n">
        <v>18</v>
      </c>
      <c r="D341" s="0" t="n">
        <v>22</v>
      </c>
      <c r="E341" s="0" t="n">
        <v>33</v>
      </c>
      <c r="F341" s="0" t="n">
        <v>41</v>
      </c>
      <c r="G341" s="0" t="n">
        <v>45</v>
      </c>
      <c r="H341" s="0" t="n">
        <v>50</v>
      </c>
      <c r="I341" s="0" t="n">
        <v>53</v>
      </c>
    </row>
    <row r="342" customFormat="false" ht="12.8" hidden="false" customHeight="false" outlineLevel="0" collapsed="false">
      <c r="A342" s="0" t="n">
        <v>2</v>
      </c>
      <c r="B342" s="0" t="n">
        <v>4</v>
      </c>
      <c r="C342" s="0" t="n">
        <v>5</v>
      </c>
      <c r="D342" s="0" t="n">
        <v>21</v>
      </c>
      <c r="E342" s="0" t="n">
        <v>30</v>
      </c>
      <c r="F342" s="0" t="n">
        <v>32</v>
      </c>
      <c r="G342" s="0" t="n">
        <v>34</v>
      </c>
      <c r="H342" s="0" t="n">
        <v>40</v>
      </c>
      <c r="I342" s="0" t="n">
        <v>53</v>
      </c>
    </row>
    <row r="343" customFormat="false" ht="12.8" hidden="false" customHeight="false" outlineLevel="0" collapsed="false">
      <c r="A343" s="0" t="n">
        <v>8</v>
      </c>
      <c r="B343" s="0" t="n">
        <v>17</v>
      </c>
      <c r="C343" s="0" t="n">
        <v>18</v>
      </c>
      <c r="D343" s="0" t="n">
        <v>19</v>
      </c>
      <c r="E343" s="0" t="n">
        <v>27</v>
      </c>
      <c r="F343" s="0" t="n">
        <v>30</v>
      </c>
      <c r="G343" s="0" t="n">
        <v>34</v>
      </c>
      <c r="H343" s="0" t="n">
        <v>40</v>
      </c>
      <c r="I343" s="0" t="n">
        <v>54</v>
      </c>
    </row>
    <row r="344" customFormat="false" ht="12.8" hidden="false" customHeight="false" outlineLevel="0" collapsed="false">
      <c r="A344" s="0" t="n">
        <v>16</v>
      </c>
      <c r="B344" s="0" t="n">
        <v>20</v>
      </c>
      <c r="C344" s="0" t="n">
        <v>26</v>
      </c>
      <c r="D344" s="0" t="n">
        <v>30</v>
      </c>
      <c r="E344" s="0" t="n">
        <v>33</v>
      </c>
      <c r="F344" s="0" t="n">
        <v>37</v>
      </c>
      <c r="G344" s="0" t="n">
        <v>42</v>
      </c>
      <c r="H344" s="0" t="n">
        <v>43</v>
      </c>
      <c r="I344" s="0" t="n">
        <v>48</v>
      </c>
    </row>
    <row r="345" customFormat="false" ht="12.8" hidden="false" customHeight="false" outlineLevel="0" collapsed="false">
      <c r="A345" s="0" t="n">
        <v>16</v>
      </c>
      <c r="B345" s="0" t="n">
        <v>20</v>
      </c>
      <c r="C345" s="0" t="n">
        <v>22</v>
      </c>
      <c r="D345" s="0" t="n">
        <v>31</v>
      </c>
      <c r="E345" s="0" t="n">
        <v>37</v>
      </c>
      <c r="F345" s="0" t="n">
        <v>38</v>
      </c>
      <c r="G345" s="0" t="n">
        <v>45</v>
      </c>
      <c r="H345" s="0" t="n">
        <v>48</v>
      </c>
      <c r="I345" s="0" t="n">
        <v>51</v>
      </c>
    </row>
    <row r="346" customFormat="false" ht="12.8" hidden="false" customHeight="false" outlineLevel="0" collapsed="false">
      <c r="A346" s="0" t="n">
        <v>22</v>
      </c>
      <c r="B346" s="0" t="n">
        <v>28</v>
      </c>
      <c r="C346" s="0" t="n">
        <v>30</v>
      </c>
      <c r="D346" s="0" t="n">
        <v>32</v>
      </c>
      <c r="E346" s="0" t="n">
        <v>34</v>
      </c>
      <c r="F346" s="0" t="n">
        <v>41</v>
      </c>
      <c r="G346" s="0" t="n">
        <v>43</v>
      </c>
      <c r="H346" s="0" t="n">
        <v>45</v>
      </c>
      <c r="I346" s="0" t="n">
        <v>48</v>
      </c>
    </row>
    <row r="347" customFormat="false" ht="12.8" hidden="false" customHeight="false" outlineLevel="0" collapsed="false">
      <c r="A347" s="0" t="n">
        <v>1</v>
      </c>
      <c r="B347" s="0" t="n">
        <v>4</v>
      </c>
      <c r="C347" s="0" t="n">
        <v>18</v>
      </c>
      <c r="D347" s="0" t="n">
        <v>22</v>
      </c>
      <c r="E347" s="0" t="n">
        <v>32</v>
      </c>
      <c r="F347" s="0" t="n">
        <v>33</v>
      </c>
      <c r="G347" s="0" t="n">
        <v>41</v>
      </c>
      <c r="H347" s="0" t="n">
        <v>50</v>
      </c>
      <c r="I347" s="0" t="n">
        <v>52</v>
      </c>
    </row>
    <row r="348" customFormat="false" ht="12.8" hidden="false" customHeight="false" outlineLevel="0" collapsed="false">
      <c r="A348" s="0" t="n">
        <v>4</v>
      </c>
      <c r="B348" s="0" t="n">
        <v>6</v>
      </c>
      <c r="C348" s="0" t="n">
        <v>12</v>
      </c>
      <c r="D348" s="0" t="n">
        <v>17</v>
      </c>
      <c r="E348" s="0" t="n">
        <v>28</v>
      </c>
      <c r="F348" s="0" t="n">
        <v>31</v>
      </c>
      <c r="G348" s="0" t="n">
        <v>35</v>
      </c>
      <c r="H348" s="0" t="n">
        <v>37</v>
      </c>
      <c r="I348" s="0" t="n">
        <v>53</v>
      </c>
    </row>
    <row r="349" customFormat="false" ht="12.8" hidden="false" customHeight="false" outlineLevel="0" collapsed="false">
      <c r="A349" s="0" t="n">
        <v>8</v>
      </c>
      <c r="B349" s="0" t="n">
        <v>12</v>
      </c>
      <c r="C349" s="0" t="n">
        <v>26</v>
      </c>
      <c r="D349" s="0" t="n">
        <v>30</v>
      </c>
      <c r="E349" s="0" t="n">
        <v>33</v>
      </c>
      <c r="F349" s="0" t="n">
        <v>37</v>
      </c>
      <c r="G349" s="0" t="n">
        <v>41</v>
      </c>
      <c r="H349" s="0" t="n">
        <v>42</v>
      </c>
      <c r="I349" s="0" t="n">
        <v>49</v>
      </c>
    </row>
    <row r="350" customFormat="false" ht="12.8" hidden="false" customHeight="false" outlineLevel="0" collapsed="false">
      <c r="A350" s="0" t="n">
        <v>6</v>
      </c>
      <c r="B350" s="0" t="n">
        <v>19</v>
      </c>
      <c r="C350" s="0" t="n">
        <v>21</v>
      </c>
      <c r="D350" s="0" t="n">
        <v>22</v>
      </c>
      <c r="E350" s="0" t="n">
        <v>31</v>
      </c>
      <c r="F350" s="0" t="n">
        <v>33</v>
      </c>
      <c r="G350" s="0" t="n">
        <v>34</v>
      </c>
      <c r="H350" s="0" t="n">
        <v>39</v>
      </c>
      <c r="I350" s="0" t="n">
        <v>46</v>
      </c>
    </row>
    <row r="351" customFormat="false" ht="12.8" hidden="false" customHeight="false" outlineLevel="0" collapsed="false">
      <c r="A351" s="0" t="n">
        <v>17</v>
      </c>
      <c r="B351" s="0" t="n">
        <v>20</v>
      </c>
      <c r="C351" s="0" t="n">
        <v>21</v>
      </c>
      <c r="D351" s="0" t="n">
        <v>24</v>
      </c>
      <c r="E351" s="0" t="n">
        <v>33</v>
      </c>
      <c r="F351" s="0" t="n">
        <v>40</v>
      </c>
      <c r="G351" s="0" t="n">
        <v>42</v>
      </c>
      <c r="H351" s="0" t="n">
        <v>43</v>
      </c>
      <c r="I351" s="0" t="n">
        <v>46</v>
      </c>
    </row>
    <row r="352" customFormat="false" ht="12.8" hidden="false" customHeight="false" outlineLevel="0" collapsed="false">
      <c r="A352" s="0" t="n">
        <v>1</v>
      </c>
      <c r="B352" s="0" t="n">
        <v>20</v>
      </c>
      <c r="C352" s="0" t="n">
        <v>25</v>
      </c>
      <c r="D352" s="0" t="n">
        <v>26</v>
      </c>
      <c r="E352" s="0" t="n">
        <v>31</v>
      </c>
      <c r="F352" s="0" t="n">
        <v>33</v>
      </c>
      <c r="G352" s="0" t="n">
        <v>40</v>
      </c>
      <c r="H352" s="0" t="n">
        <v>413</v>
      </c>
      <c r="I352" s="0" t="n">
        <v>49</v>
      </c>
    </row>
    <row r="353" customFormat="false" ht="12.8" hidden="false" customHeight="false" outlineLevel="0" collapsed="false">
      <c r="A353" s="0" t="n">
        <v>19</v>
      </c>
      <c r="B353" s="0" t="n">
        <v>20</v>
      </c>
      <c r="C353" s="0" t="n">
        <v>25</v>
      </c>
      <c r="D353" s="0" t="n">
        <v>29</v>
      </c>
      <c r="E353" s="0" t="n">
        <v>34</v>
      </c>
      <c r="F353" s="0" t="n">
        <v>40</v>
      </c>
      <c r="G353" s="0" t="n">
        <v>46</v>
      </c>
      <c r="H353" s="0" t="n">
        <v>52</v>
      </c>
      <c r="I353" s="0" t="n">
        <v>53</v>
      </c>
    </row>
    <row r="354" customFormat="false" ht="12.8" hidden="false" customHeight="false" outlineLevel="0" collapsed="false">
      <c r="A354" s="0" t="n">
        <v>2</v>
      </c>
      <c r="B354" s="0" t="n">
        <v>6</v>
      </c>
      <c r="C354" s="0" t="n">
        <v>17</v>
      </c>
      <c r="D354" s="0" t="n">
        <v>18</v>
      </c>
      <c r="E354" s="0" t="n">
        <v>32</v>
      </c>
      <c r="F354" s="0" t="n">
        <v>33</v>
      </c>
      <c r="G354" s="0" t="n">
        <v>34</v>
      </c>
      <c r="H354" s="0" t="n">
        <v>43</v>
      </c>
      <c r="I354" s="0" t="n">
        <v>50</v>
      </c>
    </row>
    <row r="355" customFormat="false" ht="12.8" hidden="false" customHeight="false" outlineLevel="0" collapsed="false">
      <c r="A355" s="0" t="n">
        <v>1</v>
      </c>
      <c r="B355" s="0" t="n">
        <v>15</v>
      </c>
      <c r="C355" s="0" t="n">
        <v>21</v>
      </c>
      <c r="D355" s="0" t="n">
        <v>24</v>
      </c>
      <c r="E355" s="0" t="n">
        <v>33</v>
      </c>
      <c r="F355" s="0" t="n">
        <v>34</v>
      </c>
      <c r="G355" s="0" t="n">
        <v>36</v>
      </c>
      <c r="H355" s="0" t="n">
        <v>43</v>
      </c>
      <c r="I355" s="0" t="n">
        <v>52</v>
      </c>
    </row>
    <row r="356" customFormat="false" ht="12.8" hidden="false" customHeight="false" outlineLevel="0" collapsed="false">
      <c r="A356" s="0" t="n">
        <v>17</v>
      </c>
      <c r="B356" s="0" t="n">
        <v>24</v>
      </c>
      <c r="C356" s="0" t="n">
        <v>25</v>
      </c>
      <c r="D356" s="0" t="n">
        <v>27</v>
      </c>
      <c r="E356" s="0" t="n">
        <v>33</v>
      </c>
      <c r="F356" s="0" t="n">
        <v>34</v>
      </c>
      <c r="G356" s="0" t="n">
        <v>40</v>
      </c>
      <c r="H356" s="0" t="n">
        <v>43</v>
      </c>
      <c r="I356" s="0" t="n">
        <v>52</v>
      </c>
    </row>
    <row r="357" customFormat="false" ht="12.8" hidden="false" customHeight="false" outlineLevel="0" collapsed="false">
      <c r="A357" s="0" t="n">
        <v>15</v>
      </c>
      <c r="B357" s="0" t="n">
        <v>16</v>
      </c>
      <c r="C357" s="0" t="n">
        <v>17</v>
      </c>
      <c r="D357" s="0" t="n">
        <v>19</v>
      </c>
      <c r="E357" s="0" t="n">
        <v>31</v>
      </c>
      <c r="F357" s="0" t="n">
        <v>33</v>
      </c>
      <c r="G357" s="0" t="n">
        <v>34</v>
      </c>
      <c r="H357" s="0" t="n">
        <v>43</v>
      </c>
      <c r="I357" s="0" t="n">
        <v>52</v>
      </c>
    </row>
    <row r="358" customFormat="false" ht="12.8" hidden="false" customHeight="false" outlineLevel="0" collapsed="false">
      <c r="A358" s="0" t="n">
        <v>15</v>
      </c>
      <c r="B358" s="0" t="n">
        <v>17</v>
      </c>
      <c r="C358" s="0" t="n">
        <v>21</v>
      </c>
      <c r="D358" s="0" t="n">
        <v>22</v>
      </c>
      <c r="E358" s="0" t="n">
        <v>31</v>
      </c>
      <c r="F358" s="0" t="n">
        <v>33</v>
      </c>
      <c r="G358" s="0" t="n">
        <v>40</v>
      </c>
      <c r="H358" s="0" t="n">
        <v>43</v>
      </c>
      <c r="I358" s="0" t="n">
        <v>52</v>
      </c>
    </row>
    <row r="359" customFormat="false" ht="12.8" hidden="false" customHeight="false" outlineLevel="0" collapsed="false">
      <c r="A359" s="0" t="n">
        <v>6</v>
      </c>
      <c r="B359" s="0" t="n">
        <v>17</v>
      </c>
      <c r="C359" s="0" t="n">
        <v>18</v>
      </c>
      <c r="D359" s="0" t="n">
        <v>20</v>
      </c>
      <c r="E359" s="0" t="n">
        <v>33</v>
      </c>
      <c r="F359" s="0" t="n">
        <v>34</v>
      </c>
      <c r="G359" s="0" t="n">
        <v>40</v>
      </c>
      <c r="H359" s="0" t="n">
        <v>43</v>
      </c>
      <c r="I359" s="0" t="n">
        <v>52</v>
      </c>
    </row>
    <row r="360" customFormat="false" ht="12.8" hidden="false" customHeight="false" outlineLevel="0" collapsed="false">
      <c r="A360" s="0" t="n">
        <v>15</v>
      </c>
      <c r="B360" s="0" t="n">
        <v>18</v>
      </c>
      <c r="C360" s="0" t="n">
        <v>20</v>
      </c>
      <c r="D360" s="0" t="n">
        <v>21</v>
      </c>
      <c r="E360" s="0" t="n">
        <v>22</v>
      </c>
      <c r="F360" s="0" t="n">
        <v>31</v>
      </c>
      <c r="G360" s="0" t="n">
        <v>33</v>
      </c>
      <c r="H360" s="0" t="n">
        <v>40</v>
      </c>
      <c r="I360" s="0" t="n">
        <v>52</v>
      </c>
    </row>
    <row r="361" customFormat="false" ht="12.8" hidden="false" customHeight="false" outlineLevel="0" collapsed="false">
      <c r="A361" s="0" t="n">
        <v>1</v>
      </c>
      <c r="B361" s="0" t="n">
        <v>17</v>
      </c>
      <c r="C361" s="0" t="n">
        <v>19</v>
      </c>
      <c r="D361" s="0" t="n">
        <v>24</v>
      </c>
      <c r="E361" s="0" t="n">
        <v>32</v>
      </c>
      <c r="F361" s="0" t="n">
        <v>33</v>
      </c>
      <c r="G361" s="0" t="n">
        <v>40</v>
      </c>
      <c r="H361" s="0" t="n">
        <v>43</v>
      </c>
      <c r="I361" s="0" t="n">
        <v>52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92CDE8829F3C7438DCCB0991C30EAAE" ma:contentTypeVersion="3" ma:contentTypeDescription="Crie um novo documento." ma:contentTypeScope="" ma:versionID="36cf41eecaf38ba1d849a0c8dd067090">
  <xsd:schema xmlns:xsd="http://www.w3.org/2001/XMLSchema" xmlns:xs="http://www.w3.org/2001/XMLSchema" xmlns:p="http://schemas.microsoft.com/office/2006/metadata/properties" xmlns:ns1="http://schemas.microsoft.com/sharepoint/v3" xmlns:ns2="3e38fcf2-aa96-4a2c-865b-c3abba01ba51" xmlns:ns3="4455b8ba-124f-46d5-aaaa-9813efd83d1e" targetNamespace="http://schemas.microsoft.com/office/2006/metadata/properties" ma:root="true" ma:fieldsID="023f68b2d27389a617bf935a3f0e17ad" ns1:_="" ns2:_="" ns3:_="">
    <xsd:import namespace="http://schemas.microsoft.com/sharepoint/v3"/>
    <xsd:import namespace="3e38fcf2-aa96-4a2c-865b-c3abba01ba51"/>
    <xsd:import namespace="4455b8ba-124f-46d5-aaaa-9813efd83d1e"/>
    <xsd:element name="properties">
      <xsd:complexType>
        <xsd:sequence>
          <xsd:element name="documentManagement">
            <xsd:complexType>
              <xsd:all>
                <xsd:element ref="ns1:PublishingStartDate" minOccurs="0"/>
                <xsd:element ref="ns1:PublishingExpirationDate" minOccurs="0"/>
                <xsd:element ref="ns2:SharedWithUsers" minOccurs="0"/>
                <xsd:element ref="ns3:AtualizadoPeloTimerJobEm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PublishingStartDate" ma:index="8" nillable="true" ma:displayName="Agendamento de Data de Início" ma:description="Data de Início de Agendamento é uma coluna de site criada pelo recurso de Publicação. Ela é usada para especificar a data e hora em que essa página aparecerá pela primeira vez aos visitantes do site." ma:hidden="true" ma:internalName="PublishingStartDate">
      <xsd:simpleType>
        <xsd:restriction base="dms:Unknown"/>
      </xsd:simpleType>
    </xsd:element>
    <xsd:element name="PublishingExpirationDate" ma:index="9" nillable="true" ma:displayName="Agendamento de Data de Término" ma:description="Data Final de Agendamento é uma coluna de site criada pelo recurso de Publicação. Ela é usada para especificar a data e a hora em que essa página não será mais exibida aos visitantes do site." ma:hidden="true" ma:internalName="PublishingExpirationDat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8fcf2-aa96-4a2c-865b-c3abba01ba5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55b8ba-124f-46d5-aaaa-9813efd83d1e" elementFormDefault="qualified">
    <xsd:import namespace="http://schemas.microsoft.com/office/2006/documentManagement/types"/>
    <xsd:import namespace="http://schemas.microsoft.com/office/infopath/2007/PartnerControls"/>
    <xsd:element name="AtualizadoPeloTimerJobEm" ma:index="11" nillable="true" ma:displayName="Atualizado pelo Timer Job em" ma:format="DateTime" ma:internalName="AtualizadoPeloTimerJobEm">
      <xsd:simpleType>
        <xsd:restriction base="dms:DateTim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PublishingExpirationDate xmlns="http://schemas.microsoft.com/sharepoint/v3" xsi:nil="true"/>
    <PublishingStartDate xmlns="http://schemas.microsoft.com/sharepoint/v3" xsi:nil="true"/>
    <AtualizadoPeloTimerJobEm xmlns="4455b8ba-124f-46d5-aaaa-9813efd83d1e">2025-12-15T04:11:47+00:00</AtualizadoPeloTimerJobEm>
  </documentManagement>
</p:properties>
</file>

<file path=customXml/itemProps1.xml><?xml version="1.0" encoding="utf-8"?>
<ds:datastoreItem xmlns:ds="http://schemas.openxmlformats.org/officeDocument/2006/customXml" ds:itemID="{9445F805-6E3A-4841-AEBD-CF7F6CDA924D}"/>
</file>

<file path=customXml/itemProps2.xml><?xml version="1.0" encoding="utf-8"?>
<ds:datastoreItem xmlns:ds="http://schemas.openxmlformats.org/officeDocument/2006/customXml" ds:itemID="{834FBCC7-87B2-49AB-8978-479962E2FF95}"/>
</file>

<file path=customXml/itemProps3.xml><?xml version="1.0" encoding="utf-8"?>
<ds:datastoreItem xmlns:ds="http://schemas.openxmlformats.org/officeDocument/2006/customXml" ds:itemID="{64615F65-CF13-4100-B135-FA0CB5E1C951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6362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2021-11-18T15:44:32Z</dcterms:created>
  <dc:creator>Jean Paulo Bridi</dc:creator>
  <dc:description/>
  <dc:language>pt-BR</dc:language>
  <cp:lastModifiedBy/>
  <dcterms:modified xsi:type="dcterms:W3CDTF">2026-01-24T22:05:07Z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0x010100C92CDE8829F3C7438DCCB0991C30EAAE</vt:lpwstr>
  </property>
  <property fmtid="{D5CDD505-2E9C-101B-9397-08002B2CF9AE}" pid="3" name="MSIP_Label_752c4e12-c83b-458b-874f-4903c74d145e_ActionId">
    <vt:lpwstr>90025e74-22c5-4bfa-b083-2d2a4e3c6820</vt:lpwstr>
  </property>
  <property fmtid="{D5CDD505-2E9C-101B-9397-08002B2CF9AE}" pid="4" name="MSIP_Label_752c4e12-c83b-458b-874f-4903c74d145e_ContentBits">
    <vt:lpwstr>1</vt:lpwstr>
  </property>
  <property fmtid="{D5CDD505-2E9C-101B-9397-08002B2CF9AE}" pid="5" name="MSIP_Label_752c4e12-c83b-458b-874f-4903c74d145e_Enabled">
    <vt:lpwstr>true</vt:lpwstr>
  </property>
  <property fmtid="{D5CDD505-2E9C-101B-9397-08002B2CF9AE}" pid="6" name="MSIP_Label_752c4e12-c83b-458b-874f-4903c74d145e_Method">
    <vt:lpwstr>Privileged</vt:lpwstr>
  </property>
  <property fmtid="{D5CDD505-2E9C-101B-9397-08002B2CF9AE}" pid="7" name="MSIP_Label_752c4e12-c83b-458b-874f-4903c74d145e_Name">
    <vt:lpwstr>#INTERNO.CAIXA</vt:lpwstr>
  </property>
  <property fmtid="{D5CDD505-2E9C-101B-9397-08002B2CF9AE}" pid="8" name="MSIP_Label_752c4e12-c83b-458b-874f-4903c74d145e_SetDate">
    <vt:lpwstr>2022-09-02T16:16:08Z</vt:lpwstr>
  </property>
  <property fmtid="{D5CDD505-2E9C-101B-9397-08002B2CF9AE}" pid="9" name="MSIP_Label_752c4e12-c83b-458b-874f-4903c74d145e_SiteId">
    <vt:lpwstr>ab9bba98-684a-43fb-add8-9c2bebede229</vt:lpwstr>
  </property>
</Properties>
</file>